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Feuille 5" sheetId="2" r:id="rId6"/>
  </sheets>
  <definedNames>
    <definedName hidden="1" localSheetId="0" name="_xlnm._FilterDatabase">'Feuille 1'!$A$1:$AL$1888</definedName>
  </definedNames>
  <calcPr/>
</workbook>
</file>

<file path=xl/sharedStrings.xml><?xml version="1.0" encoding="utf-8"?>
<sst xmlns="http://schemas.openxmlformats.org/spreadsheetml/2006/main" count="29405" uniqueCount="12299">
  <si>
    <t>sale price</t>
  </si>
  <si>
    <t>sale price effective date</t>
  </si>
  <si>
    <t>brand</t>
  </si>
  <si>
    <t>product_type</t>
  </si>
  <si>
    <t>google_product_category</t>
  </si>
  <si>
    <t>AAY</t>
  </si>
  <si>
    <t>Armoise argienne - Ai ye - 1 Petit Sachet plante 100g</t>
  </si>
  <si>
    <t>Pour réguler le cycle menstruel. Ses principaux bienfaits : favorise l'équilibre féminin, contribue à réguler le cycle, aide à mieux vivre les règles</t>
  </si>
  <si>
    <t>in_stock</t>
  </si>
  <si>
    <t>https://calebasse.com/produits/ai-ye-armoise-argienne-3749?product=3946</t>
  </si>
  <si>
    <t>https://res.cloudinary.com/laboratoire-calebasse/image/upload/v1746528072/ARMOISE_ARGIENNE_100_g_AAY_2063fc7c33.jpg</t>
  </si>
  <si>
    <t/>
  </si>
  <si>
    <t>yes</t>
  </si>
  <si>
    <t>3665346100417</t>
  </si>
  <si>
    <t>sku-AAY</t>
  </si>
  <si>
    <t>Laboratoire Calebasse</t>
  </si>
  <si>
    <t>new</t>
  </si>
  <si>
    <t>no</t>
  </si>
  <si>
    <t>Santé &amp; Bien-être &gt; Plantes &amp; Herbes &gt; Tisanes &amp; Infusions</t>
  </si>
  <si>
    <t>3749</t>
  </si>
  <si>
    <t>1529</t>
  </si>
  <si>
    <t>AAYCP</t>
  </si>
  <si>
    <t>Armoise argienne - Ai ye - 1 flacon de poudre concentrée - 100g</t>
  </si>
  <si>
    <t>https://calebasse.com/produits/ai-ye-armoise-argienne-3749?product=3950</t>
  </si>
  <si>
    <t>https://res.cloudinary.com/laboratoire-calebasse/image/upload/v1760543278/ARMOISE_ARGIENNE_AAYCP_d9b24be750.jpg</t>
  </si>
  <si>
    <t>3665346100431</t>
  </si>
  <si>
    <t>sku-AAYCP</t>
  </si>
  <si>
    <t>AAYL</t>
  </si>
  <si>
    <t>Armoise argienne - Ai ye - 1 Grand Sachet plante 200g</t>
  </si>
  <si>
    <t>https://calebasse.com/produits/ai-ye-armoise-argienne-3749?product=3945</t>
  </si>
  <si>
    <t>https://res.cloudinary.com/laboratoire-calebasse/image/upload/v1747133388/ARMOISE_ARGIENNE_200_g_AAYL_c60eb41815.jpg</t>
  </si>
  <si>
    <t>3665346100424</t>
  </si>
  <si>
    <t>sku-AAYL</t>
  </si>
  <si>
    <t>ABBL</t>
  </si>
  <si>
    <t>Lobélie - Ban bian lian - 1 Petit Sachet plante 50g</t>
  </si>
  <si>
    <t xml:space="preserve"> Ses principaux bienfaits : clarifie la chaleur, détoxifie l'organisme, draine les excès d'eau Ses principaux bienfaits : clarifie la chaleur, détoxifie l'organisme, draine les excès d'eau</t>
  </si>
  <si>
    <t>https://calebasse.com/produits/ban-bian-lian-lobelie-5039?product=7262</t>
  </si>
  <si>
    <t>https://res.cloudinary.com/laboratoire-calebasse/image/upload/v1746524521/LOBELIE_50_g_ABBL_dbb533607a.jpg</t>
  </si>
  <si>
    <t>3665346105016</t>
  </si>
  <si>
    <t>sku-ABBL</t>
  </si>
  <si>
    <t>5039</t>
  </si>
  <si>
    <t>ABDK</t>
  </si>
  <si>
    <t>Graines de Cardamome - Bai dou kou - 1 Petit Sachet plante 50g</t>
  </si>
  <si>
    <t>Pour apaiser les inconforts digestifs. Ses principaux bienfaits : contribue à une bonne digestion</t>
  </si>
  <si>
    <t>https://calebasse.com/produits/bai-dou-kou-graines-de-cardamome-3746?product=3997</t>
  </si>
  <si>
    <t>https://res.cloudinary.com/laboratoire-calebasse/image/upload/v1746526912/GRAINES_DE_CARDAMOME_50_g_ABDK_27a09b3ae1.jpg</t>
  </si>
  <si>
    <t>3665346102411</t>
  </si>
  <si>
    <t>sku-ABDK</t>
  </si>
  <si>
    <t>3746</t>
  </si>
  <si>
    <t>ABDKCP</t>
  </si>
  <si>
    <t>Graines de Cardamome - Bai dou kou - 1 flacon de poudre concentrée - 100g</t>
  </si>
  <si>
    <t>https://calebasse.com/produits/bai-dou-kou-graines-de-cardamome-3746?product=3990</t>
  </si>
  <si>
    <t>https://res.cloudinary.com/laboratoire-calebasse/image/upload/v1634201104/A_baidoukoucp_e4c45664ed.jpg</t>
  </si>
  <si>
    <t>3665346102435</t>
  </si>
  <si>
    <t>sku-ABDKCP</t>
  </si>
  <si>
    <t>ABDKGL</t>
  </si>
  <si>
    <t>Graines de Cardamome - Bai dou kou - 1 flacon de 100 gélules - 50g</t>
  </si>
  <si>
    <t>https://calebasse.com/produits/bai-dou-kou-graines-de-cardamome-3746?product=3956</t>
  </si>
  <si>
    <t>https://res.cloudinary.com/laboratoire-calebasse/image/upload/v1634201098/A_baidoukougl_d564adc816.jpg</t>
  </si>
  <si>
    <t>3665346102459</t>
  </si>
  <si>
    <t>sku-ABDKGL</t>
  </si>
  <si>
    <t>ABDKL</t>
  </si>
  <si>
    <t>Graines de Cardamome - Bai dou kou - 1 Grand Sachet plante 200g</t>
  </si>
  <si>
    <t>https://calebasse.com/produits/bai-dou-kou-graines-de-cardamome-3746?product=3962</t>
  </si>
  <si>
    <t>https://res.cloudinary.com/laboratoire-calebasse/image/upload/v1747133345/GRAINES_DE_CARDAMOME_300_g_ABDKL_889b2eba2d.jpg</t>
  </si>
  <si>
    <t>3665346195123</t>
  </si>
  <si>
    <t>sku-ABDKL</t>
  </si>
  <si>
    <t>ABH</t>
  </si>
  <si>
    <t>Menthe poivrée - Bo he - 1 Petit Sachet plante 50g</t>
  </si>
  <si>
    <t>Pour maintenir l'estomac en bonne santé. Ses principaux bienfaits : permet un sommeil paisible, contribue à une bonne digestion, contribue au fonctionnement normal du tube intestinal</t>
  </si>
  <si>
    <t>https://calebasse.com/produits/bo-he-menthe-poivree-3768?product=3971</t>
  </si>
  <si>
    <t>https://res.cloudinary.com/laboratoire-calebasse/image/upload/v1746528880/MENTHE_POIVREE_50_g_ABH_ccfa797589.jpg</t>
  </si>
  <si>
    <t>3665346106716</t>
  </si>
  <si>
    <t>sku-ABH</t>
  </si>
  <si>
    <t>3768</t>
  </si>
  <si>
    <t>ABHE</t>
  </si>
  <si>
    <t>Bulbe de Lys - Bai he - 1 Petit Sachet plante 100g</t>
  </si>
  <si>
    <t>Pour apaiser le Poumon. Ses principaux bienfaits : tranquillise le shen, permet un sommeil paisible, soulage les voies respiratoires</t>
  </si>
  <si>
    <t>https://calebasse.com/produits/bai-he-bulbe-de-lys-3747?product=3953</t>
  </si>
  <si>
    <t>https://res.cloudinary.com/laboratoire-calebasse/image/upload/v1746526928/BULBE_DE_LYS_100_g_ABHE_89d21ce79a.jpg</t>
  </si>
  <si>
    <t>3665346102619</t>
  </si>
  <si>
    <t>sku-ABHE</t>
  </si>
  <si>
    <t>3747</t>
  </si>
  <si>
    <t>ABHECP</t>
  </si>
  <si>
    <t>Bulbe de Lys - Bai he - 1 flacon de poudre concentrée - 100g</t>
  </si>
  <si>
    <t>https://calebasse.com/produits/bai-he-bulbe-de-lys-3747?product=3968</t>
  </si>
  <si>
    <t>https://res.cloudinary.com/laboratoire-calebasse/image/upload/v1760543730/BULBE_DE_LYS_ABHECP_559c90ab3a.jpg</t>
  </si>
  <si>
    <t>sku-ABHECP</t>
  </si>
  <si>
    <t>ABHEGL</t>
  </si>
  <si>
    <t>Bulbe de Lys - Bai he - 1 flacon de 100 gélules - 50g</t>
  </si>
  <si>
    <t>https://calebasse.com/produits/bai-he-bulbe-de-lys-3747?product=3993</t>
  </si>
  <si>
    <t>https://res.cloudinary.com/laboratoire-calebasse/image/upload/v1760543743/BULBE_DE_LYS_ABHEGL_608c6ca642.jpg</t>
  </si>
  <si>
    <t>3665346102657</t>
  </si>
  <si>
    <t>sku-ABHEGL</t>
  </si>
  <si>
    <t>ABHEL</t>
  </si>
  <si>
    <t>Bulbe de Lys - Bai he - 1 Grand Sachet plante 300g</t>
  </si>
  <si>
    <t>https://calebasse.com/produits/bai-he-bulbe-de-lys-3747?product=3965</t>
  </si>
  <si>
    <t>https://res.cloudinary.com/laboratoire-calebasse/image/upload/v1747133184/BULBE_DE_LYS_300_g_ABHEL_a41dd7af5d.jpg</t>
  </si>
  <si>
    <t>3665346216927</t>
  </si>
  <si>
    <t>sku-ABHEL</t>
  </si>
  <si>
    <t>ABHH</t>
  </si>
  <si>
    <t>Fleurs de Lys - Bai he hua - 1 Petit Sachet plante 50g</t>
  </si>
  <si>
    <t>Pour retrouver le confort respiratoire. Ses principaux bienfaits : libère les voies respiratoires</t>
  </si>
  <si>
    <t>https://calebasse.com/produits/bai-he-hua-fleurs-de-lys-3744?product=3992</t>
  </si>
  <si>
    <t>https://res.cloudinary.com/laboratoire-calebasse/image/upload/v1746526940/LYS_FLEUR_50_g_ABHH_480ce59d71.jpg</t>
  </si>
  <si>
    <t>3665346102718</t>
  </si>
  <si>
    <t>sku-ABHH</t>
  </si>
  <si>
    <t>3744</t>
  </si>
  <si>
    <t>ABHL</t>
  </si>
  <si>
    <t>Menthe poivrée - Bo he - 1 Grand Sachet plante 150g</t>
  </si>
  <si>
    <t>https://calebasse.com/produits/bo-he-menthe-poivree-3768?product=4026</t>
  </si>
  <si>
    <t>https://res.cloudinary.com/laboratoire-calebasse/image/upload/v1747062338/MENTHE_POIVREE_150_g_ABHL_aaecb9c874.jpg</t>
  </si>
  <si>
    <t>3665346198223</t>
  </si>
  <si>
    <t>sku-ABHL</t>
  </si>
  <si>
    <t>ABHS</t>
  </si>
  <si>
    <t>Herbe de Hédyote - Bai hua she she cao - 1 Petit Sachet plante 50g</t>
  </si>
  <si>
    <t>Pour éliminer les toxines. Ses principaux bienfaits : détoxifie l'organisme, aide au confort urinaire</t>
  </si>
  <si>
    <t>https://calebasse.com/produits/bai-hua-she-she-cao-herbe-de-hedyote-4776?product=3970</t>
  </si>
  <si>
    <t>https://res.cloudinary.com/laboratoire-calebasse/image/upload/v1746526874/HEDYOTE_50_g_ABHS_d39c07bd20.jpg</t>
  </si>
  <si>
    <t>3665346103012</t>
  </si>
  <si>
    <t>sku-ABHS</t>
  </si>
  <si>
    <t>4776</t>
  </si>
  <si>
    <t>ABJH</t>
  </si>
  <si>
    <t>Anis étoilé - Ba jiao hui xiang - 1 Petit Sachet plante 100g</t>
  </si>
  <si>
    <t>Pour une digestion optimale. Ses principaux bienfaits : contribue à une bonne digestion, contribue au fonctionnement normal du tube intestinal</t>
  </si>
  <si>
    <t>https://calebasse.com/produits/ba-jiao-hui-xiang-anis-etoile-3743?product=3964</t>
  </si>
  <si>
    <t>https://res.cloudinary.com/laboratoire-calebasse/image/upload/v1752221273/ANIS_ETOILE_100_g_ABJH_60912f8651.jpg</t>
  </si>
  <si>
    <t>3665346101711</t>
  </si>
  <si>
    <t>sku-ABJH</t>
  </si>
  <si>
    <t>3743</t>
  </si>
  <si>
    <t>ABJHL</t>
  </si>
  <si>
    <t>Anis étoilé - Ba jiao hui xiang - 1 Grand Sachet plante 300g</t>
  </si>
  <si>
    <t>https://calebasse.com/produits/ba-jiao-hui-xiang-anis-etoile-3743?product=3944</t>
  </si>
  <si>
    <t>https://res.cloudinary.com/laboratoire-calebasse/image/upload/v1752221295/ANIS_ETOILE_300_g_ABJHL_127ad7c251.jpg</t>
  </si>
  <si>
    <t>3665346122396</t>
  </si>
  <si>
    <t>sku-ABJHL</t>
  </si>
  <si>
    <t>ABJT</t>
  </si>
  <si>
    <t>Racines de Morinne - Ba ji tian - 1 Petit Sachet plante 50g</t>
  </si>
  <si>
    <t>Pour améliorer la vitalité sexuelle masculine. Ses principaux bienfaits : améliore la vie sexuelle, aide au confort urinaire, contribue à une bonne digestion</t>
  </si>
  <si>
    <t>https://calebasse.com/produits/ba-ji-tian-racines-de-morinne-4433?product=3954</t>
  </si>
  <si>
    <t>https://res.cloudinary.com/laboratoire-calebasse/image/upload/v1746525034/MORINNE_RACINE_50_g_ABJT_851b47583d.jpg</t>
  </si>
  <si>
    <t>3665346101612</t>
  </si>
  <si>
    <t>sku-ABJT</t>
  </si>
  <si>
    <t>4433</t>
  </si>
  <si>
    <t>ABJTCP</t>
  </si>
  <si>
    <t>Racines de Morinne - Ba ji tian - 1 flacon de poudre concentrée - 100g</t>
  </si>
  <si>
    <t>https://calebasse.com/produits/ba-ji-tian-racines-de-morinne-4433?product=3955</t>
  </si>
  <si>
    <t>https://res.cloudinary.com/laboratoire-calebasse/image/upload/v1634201111/A_bajitiancp_6cdb42fd74.jpg</t>
  </si>
  <si>
    <t>3665346101636</t>
  </si>
  <si>
    <t>sku-ABJTCP</t>
  </si>
  <si>
    <t>ABJTGL</t>
  </si>
  <si>
    <t>Racines de Morinne - Ba ji tian - 1 flacon de 100 gélules - 50g</t>
  </si>
  <si>
    <t>https://calebasse.com/produits/ba-ji-tian-racines-de-morinne-4433?product=3958</t>
  </si>
  <si>
    <t>https://res.cloudinary.com/laboratoire-calebasse/image/upload/v1634201092/A_bajitiangl_4e189f6b89.jpg</t>
  </si>
  <si>
    <t>3665346101650</t>
  </si>
  <si>
    <t>sku-ABJTGL</t>
  </si>
  <si>
    <t>ABJTL</t>
  </si>
  <si>
    <t>Racines de Morinne - Ba ji tian - 1 Grand Sachet plante 300g</t>
  </si>
  <si>
    <t>https://calebasse.com/produits/ba-ji-tian-racines-de-morinne-4433?product=3961</t>
  </si>
  <si>
    <t>https://res.cloudinary.com/laboratoire-calebasse/image/upload/v1747133368/MORINNE_RACINE_300_g_ABJTL_322a5a8ee6.jpg</t>
  </si>
  <si>
    <t>3665346222621</t>
  </si>
  <si>
    <t>sku-ABJTL</t>
  </si>
  <si>
    <t>ABJZ</t>
  </si>
  <si>
    <t>Graines de Moutarde blanche - Bai jie zi - 1 Petit Sachet plante 100g</t>
  </si>
  <si>
    <t>Pour assainir les voies respiratoires. Ses principaux bienfaits : libère les voies respiratoires</t>
  </si>
  <si>
    <t>https://calebasse.com/produits/bai-jie-zi-graines-de-moutarde-blanche-3753?product=4009</t>
  </si>
  <si>
    <t>https://res.cloudinary.com/laboratoire-calebasse/image/upload/v1746526859/MOUTARDE_BLANCHE_GRAINES_100_g_ABJZ_e06663c07f.jpg</t>
  </si>
  <si>
    <t>3665346103210</t>
  </si>
  <si>
    <t>sku-ABJZ</t>
  </si>
  <si>
    <t>3753</t>
  </si>
  <si>
    <t>ABJZCP</t>
  </si>
  <si>
    <t>Graines de Moutarde blanche - Bai jie zi - 1 flacon de poudre concentrée - 100g</t>
  </si>
  <si>
    <t>https://calebasse.com/produits/bai-jie-zi-graines-de-moutarde-blanche-3753?product=4008</t>
  </si>
  <si>
    <t>https://res.cloudinary.com/laboratoire-calebasse/image/upload/v1634201111/A_baijiezicp_011c8b35f5.jpg</t>
  </si>
  <si>
    <t>3665346103234</t>
  </si>
  <si>
    <t>sku-ABJZCP</t>
  </si>
  <si>
    <t>ABJZGL</t>
  </si>
  <si>
    <t>Graines de Moutarde blanche - Bai jie zi - 1 flacon de 100 gélules - 50g</t>
  </si>
  <si>
    <t>https://calebasse.com/produits/bai-jie-zi-graines-de-moutarde-blanche-3753?product=4020</t>
  </si>
  <si>
    <t>https://res.cloudinary.com/laboratoire-calebasse/image/upload/v1634201098/A_baijiezigl_ce0e066883.jpg</t>
  </si>
  <si>
    <t>3665346103258</t>
  </si>
  <si>
    <t>sku-ABJZGL</t>
  </si>
  <si>
    <t>ABJZL</t>
  </si>
  <si>
    <t>Graines de Moutarde blanche - Bai jie zi - 1 Grand Sachet plante 300g</t>
  </si>
  <si>
    <t>https://calebasse.com/produits/bai-jie-zi-graines-de-moutarde-blanche-3753?product=3994</t>
  </si>
  <si>
    <t>https://res.cloudinary.com/laboratoire-calebasse/image/upload/v1752221836/MOUTARDE_BLANCHE_GRAINES_300_g_ABJZL_e627459e8b.jpg</t>
  </si>
  <si>
    <t>3665346103227</t>
  </si>
  <si>
    <t>sku-ABJZL</t>
  </si>
  <si>
    <t>ABLG</t>
  </si>
  <si>
    <t>Grand indigo - Ban lan gen - 1 Petit Sachet plante 100g</t>
  </si>
  <si>
    <t>Pour soulager les coups de froid. Ses principaux bienfaits : détoxifie l'organisme, apaise les manifestations du coup de froid</t>
  </si>
  <si>
    <t>https://calebasse.com/produits/ban-lan-gen-grand-indigo-3763?product=3984</t>
  </si>
  <si>
    <t>https://res.cloudinary.com/laboratoire-calebasse/image/upload/v1746525491/GRAND_INDIGO_100_g_ABLG_93191938a7.jpg</t>
  </si>
  <si>
    <t>3665346105115</t>
  </si>
  <si>
    <t>sku-ABLG</t>
  </si>
  <si>
    <t>3763</t>
  </si>
  <si>
    <t>ABLGCP</t>
  </si>
  <si>
    <t>Grand indigo - Ban lan gen - 1 flacon de poudre concentrée - 100g</t>
  </si>
  <si>
    <t>https://calebasse.com/produits/ban-lan-gen-grand-indigo-3763?product=3995</t>
  </si>
  <si>
    <t>https://res.cloudinary.com/laboratoire-calebasse/image/upload/v1634201111/A_banlangencp_a3164f0928.jpg</t>
  </si>
  <si>
    <t>3665346105139</t>
  </si>
  <si>
    <t>sku-ABLGCP</t>
  </si>
  <si>
    <t>ABLGGL</t>
  </si>
  <si>
    <t>Grand indigo - Ban lan gen - 1 flacon de 100 gélules - 50g</t>
  </si>
  <si>
    <t>https://calebasse.com/produits/ban-lan-gen-grand-indigo-3763?product=3978</t>
  </si>
  <si>
    <t>https://res.cloudinary.com/laboratoire-calebasse/image/upload/v1634201097/A_banlangengl_61b506611a.jpg</t>
  </si>
  <si>
    <t>3665346105153</t>
  </si>
  <si>
    <t>sku-ABLGGL</t>
  </si>
  <si>
    <t>ABLGL</t>
  </si>
  <si>
    <t>Grand indigo - Ban lan gen - 1 Grand Sachet plante 300g</t>
  </si>
  <si>
    <t>https://calebasse.com/produits/ban-lan-gen-grand-indigo-3763?product=3996</t>
  </si>
  <si>
    <t>https://res.cloudinary.com/laboratoire-calebasse/image/upload/v1747133162/GRAND_INDIGO_300_g_ABLGL_ef1240fc72.jpg</t>
  </si>
  <si>
    <t>3665346105122</t>
  </si>
  <si>
    <t>sku-ABLGL</t>
  </si>
  <si>
    <t>ABMG</t>
  </si>
  <si>
    <t>Racines d’Impérate - Bai mao gen - 1 Petit Sachet plante 100g</t>
  </si>
  <si>
    <t>Pour purifier l’appareil urinaire. Ses principaux bienfaits : détoxifie l'organisme, aide au confort urinaire, stimule les fonctions éliminatrices</t>
  </si>
  <si>
    <t>https://calebasse.com/produits/bai-mao-gen-racines-dimperate-3752?product=3982</t>
  </si>
  <si>
    <t>https://res.cloudinary.com/laboratoire-calebasse/image/upload/v1752221871/RACINES_D_IMPERATE_100_g_ABMG_b2d7b46b01.jpg</t>
  </si>
  <si>
    <t>3665346103517</t>
  </si>
  <si>
    <t>sku-ABMG</t>
  </si>
  <si>
    <t>3752</t>
  </si>
  <si>
    <t>ABMGL</t>
  </si>
  <si>
    <t>Racines d’Impérate - Bai mao gen - 1 Grand Sachet plante 300g</t>
  </si>
  <si>
    <t>https://calebasse.com/produits/bai-mao-gen-racines-dimperate-3752?product=3979</t>
  </si>
  <si>
    <t>https://res.cloudinary.com/laboratoire-calebasse/image/upload/v1752221859/RACINES_D_IMPERATE_300_g_ABMGL_428cfeb0e4.jpg</t>
  </si>
  <si>
    <t>3665346103524</t>
  </si>
  <si>
    <t>sku-ABMGL</t>
  </si>
  <si>
    <t>ABS</t>
  </si>
  <si>
    <t>Pivoine blanche racines - Bai shao yao - 1 Petit Sachet plante 100g</t>
  </si>
  <si>
    <t>Pour retrouver le bien-être. Ses principaux bienfaits : calme l’esprit, favorise l'équilibre féminin</t>
  </si>
  <si>
    <t>https://calebasse.com/produits/bai-shao-yao-pivoine-blanche-4441?product=4012</t>
  </si>
  <si>
    <t>https://res.cloudinary.com/laboratoire-calebasse/image/upload/v1746526837/PIVOINE_BLANCHE_RACINES_100_g_ABS_c842208875.jpg</t>
  </si>
  <si>
    <t>3665346104118</t>
  </si>
  <si>
    <t>sku-ABS</t>
  </si>
  <si>
    <t>4441</t>
  </si>
  <si>
    <t>ABSCP</t>
  </si>
  <si>
    <t>Pivoine blanche racines - Bai shao yao - 1 flacon de poudre concentrée - 100g</t>
  </si>
  <si>
    <t>https://calebasse.com/produits/bai-shao-yao-pivoine-blanche-4441?product=4015</t>
  </si>
  <si>
    <t>https://res.cloudinary.com/laboratoire-calebasse/image/upload/v1698324109/A_Baishaoyaocp_60d8555672.jpg</t>
  </si>
  <si>
    <t>3665346228739</t>
  </si>
  <si>
    <t>sku-ABSCP</t>
  </si>
  <si>
    <t>ABSGL</t>
  </si>
  <si>
    <t>Pivoine blanche racines - Bai shao yao - 1 flacon de 100 gélules - 50g</t>
  </si>
  <si>
    <t>https://calebasse.com/produits/bai-shao-yao-pivoine-blanche-4441?product=4003</t>
  </si>
  <si>
    <t>https://res.cloudinary.com/laboratoire-calebasse/image/upload/v1698323656/A_baishao_36b6399116.jpg</t>
  </si>
  <si>
    <t>3665346228753</t>
  </si>
  <si>
    <t>sku-ABSGL</t>
  </si>
  <si>
    <t>ABSL</t>
  </si>
  <si>
    <t>Pivoine blanche racines - Bai shao yao - 1 Grand Sachet plante 300g</t>
  </si>
  <si>
    <t>https://calebasse.com/produits/bai-shao-yao-pivoine-blanche-4441?product=3983</t>
  </si>
  <si>
    <t>https://res.cloudinary.com/laboratoire-calebasse/image/upload/v1747133219/PIVOINE_BLANCHE_RACINES_300_g_ABSL_27b54478af.jpg</t>
  </si>
  <si>
    <t>3665346223123</t>
  </si>
  <si>
    <t>sku-ABSL</t>
  </si>
  <si>
    <t>ABSS</t>
  </si>
  <si>
    <t>Racines de Glehnia - Bei Sha Shen - 1 Petit Sachet plante 100g</t>
  </si>
  <si>
    <t>Confort respiratoire Ses principaux bienfaits : adoucit les poumons, soulage les voies respiratoires</t>
  </si>
  <si>
    <t>https://calebasse.com/produits/bei-sha-shen-racines-de-glehnia-5092?product=7329</t>
  </si>
  <si>
    <t>https://res.cloudinary.com/laboratoire-calebasse/image/upload/v1746524477/RACINES_DE_GLEHNIA_100_g_ABSS_47e4320560.jpg</t>
  </si>
  <si>
    <t>3665346106013</t>
  </si>
  <si>
    <t>sku-ABSS</t>
  </si>
  <si>
    <t>5092</t>
  </si>
  <si>
    <t>ABSSL</t>
  </si>
  <si>
    <t>Racines de Glehnia - Bei Sha Shen - 1 Grand Sachet plante 300g</t>
  </si>
  <si>
    <t>https://calebasse.com/produits/bei-sha-shen-racines-de-glehnia-5092?product=7330</t>
  </si>
  <si>
    <t>https://res.cloudinary.com/laboratoire-calebasse/image/upload/v1746629394/RACINES_DE_GLEHNIA_300_g_ABSSL_9e5a758941.jpg</t>
  </si>
  <si>
    <t>3665346106020</t>
  </si>
  <si>
    <t>sku-ABSSL</t>
  </si>
  <si>
    <t>ABX</t>
  </si>
  <si>
    <t>Renouée des oiseaux - Bian xu - 1 Petit Sachet plante 50g</t>
  </si>
  <si>
    <t>Pour retrouver le confort urinaire. Ses principaux bienfaits : détoxifie l'organisme, aide au confort urinaire, stimule les fonctions éliminatrices</t>
  </si>
  <si>
    <t>https://calebasse.com/produits/bian-xu-renouee-des-oiseaux-3767?product=4007</t>
  </si>
  <si>
    <t>https://res.cloudinary.com/laboratoire-calebasse/image/upload/v1746528821/RENOUEE_DES_OISEAUX_50_g_ABX_9d55bf6e10.jpg</t>
  </si>
  <si>
    <t>3665346106518</t>
  </si>
  <si>
    <t>sku-ABX</t>
  </si>
  <si>
    <t>3767</t>
  </si>
  <si>
    <t>ABXCP</t>
  </si>
  <si>
    <t>Renouée des oiseaux - Bian xu - 1 flacon de poudre concentrée - 100g</t>
  </si>
  <si>
    <t>https://calebasse.com/produits/bian-xu-renouee-des-oiseaux-3767?product=4017</t>
  </si>
  <si>
    <t>https://res.cloudinary.com/laboratoire-calebasse/image/upload/v1634201098/A_bianxucp_109114f17a.jpg</t>
  </si>
  <si>
    <t>3665346106532</t>
  </si>
  <si>
    <t>sku-ABXCP</t>
  </si>
  <si>
    <t>ABXGL</t>
  </si>
  <si>
    <t>Renouée des oiseaux - Bian xu - 1 flacon de 100 gélules - 50g</t>
  </si>
  <si>
    <t>https://calebasse.com/produits/bian-xu-renouee-des-oiseaux-3767?product=4022</t>
  </si>
  <si>
    <t>https://res.cloudinary.com/laboratoire-calebasse/image/upload/v1634201092/A_bianxugl_04ada46cba.jpg</t>
  </si>
  <si>
    <t>3665346106556</t>
  </si>
  <si>
    <t>sku-ABXGL</t>
  </si>
  <si>
    <t>ABXL</t>
  </si>
  <si>
    <t>Renouée des oiseaux - Bian xu - 1 Grand Sachet plante 150g</t>
  </si>
  <si>
    <t>https://calebasse.com/produits/bian-xu-renouee-des-oiseaux-3767?product=4025</t>
  </si>
  <si>
    <t>https://res.cloudinary.com/laboratoire-calebasse/image/upload/v1747133115/RENOUEE_DES_OISEAUX_150_g_ABXL_525da8e0f8.jpg</t>
  </si>
  <si>
    <t>3665346214725</t>
  </si>
  <si>
    <t>sku-ABXL</t>
  </si>
  <si>
    <t>ABXWHZ</t>
  </si>
  <si>
    <t>Gruau aux cinq rouges au Longan et Arachides - Bu xue wu hong zhou - 1 Petit Sachet plante 100g</t>
  </si>
  <si>
    <t>Pour une peau saine et apaisée. Ses principaux bienfaits : améliore l'apparence de la peau, nourrit le sang et le qi</t>
  </si>
  <si>
    <t>https://calebasse.com/produits/bu-xue-wu-hong-zhou-gruau-au-longan-et-arachides-4674?product=6813</t>
  </si>
  <si>
    <t>https://res.cloudinary.com/laboratoire-calebasse/image/upload/v1746529034/GRUAU_AUX_CINQ_ROUGES_100_g_ABXWHZ_3fdc4542b8.jpg</t>
  </si>
  <si>
    <t>3665346400418</t>
  </si>
  <si>
    <t>sku-ABXWHZ</t>
  </si>
  <si>
    <t>4674</t>
  </si>
  <si>
    <t>ABXWHZX2</t>
  </si>
  <si>
    <t>Gruau aux cinq rouges au Longan et Arachides - Bu xue wu hong zhou - 2 Petits Sachets plantes 100 g</t>
  </si>
  <si>
    <t>https://calebasse.com/produits/bu-xue-wu-hong-zhou-gruau-au-longan-et-arachides-4674?product=7370</t>
  </si>
  <si>
    <t>https://res.cloudinary.com/laboratoire-calebasse/image/upload/v1753347367/_90b6d1b492.jpg</t>
  </si>
  <si>
    <t>sku-ABXWHZX2</t>
  </si>
  <si>
    <t>ABZC</t>
  </si>
  <si>
    <t>Rhizome d'Atractylode préparée - Bai zhu (Chao) - 1 Petit Sachet plante 100g</t>
  </si>
  <si>
    <t>Pour stimuler le transit intestinal. Ses principaux bienfaits : contribue à une bonne digestion, stimule les fonctions éliminatrices, favorise le confort intestinal</t>
  </si>
  <si>
    <t>https://calebasse.com/produits/bai-zhu-chao-rhizome-datractylode-preparee-3757?product=3988</t>
  </si>
  <si>
    <t>https://res.cloudinary.com/laboratoire-calebasse/image/upload/v1746526361/RHIZOME_D_ATRACTYLODE_PREPAREE_100_g_ABZC_0825896ba5.jpg</t>
  </si>
  <si>
    <t>3665346104712</t>
  </si>
  <si>
    <t>sku-ABZC</t>
  </si>
  <si>
    <t>3757</t>
  </si>
  <si>
    <t>ABZCCP</t>
  </si>
  <si>
    <t>Rhizome d'Atractylode préparée - Bai zhu (Chao) - 1 flacon de poudre concentrée - 100g</t>
  </si>
  <si>
    <t>https://calebasse.com/produits/bai-zhu-chao-rhizome-datractylode-preparee-3757?product=3977</t>
  </si>
  <si>
    <t>https://res.cloudinary.com/laboratoire-calebasse/image/upload/v1634201092/A_baizhuchaocp_635043199c.jpg</t>
  </si>
  <si>
    <t>3665346104736</t>
  </si>
  <si>
    <t>sku-ABZCCP</t>
  </si>
  <si>
    <t>ABZCGL</t>
  </si>
  <si>
    <t>Rhizome d'Atractylode préparée - Bai zhu (Chao) - 1 flacon de 100 gélules - 50g</t>
  </si>
  <si>
    <t>https://calebasse.com/produits/bai-zhu-chao-rhizome-datractylode-preparee-3757?product=3999</t>
  </si>
  <si>
    <t>https://res.cloudinary.com/laboratoire-calebasse/image/upload/v1634201104/A_baizhuchaogl_c84f57d384.jpg</t>
  </si>
  <si>
    <t>3665346104750</t>
  </si>
  <si>
    <t>sku-ABZCGL</t>
  </si>
  <si>
    <t>ABZCL</t>
  </si>
  <si>
    <t>Rhizome d'Atractylode préparée - Bai zhu (Chao) - 1 Grand Sachet plante 300g</t>
  </si>
  <si>
    <t>https://calebasse.com/produits/bai-zhu-chao-rhizome-datractylode-preparee-3757?product=3998</t>
  </si>
  <si>
    <t>https://res.cloudinary.com/laboratoire-calebasse/image/upload/v1747133053/RHIZOME_D_ATRACTYLODE_PREPAREE_300_g_ABZCL_bbd60aa1ea.jpg</t>
  </si>
  <si>
    <t>3665346219928</t>
  </si>
  <si>
    <t>sku-ABZCL</t>
  </si>
  <si>
    <t>ABZCP</t>
  </si>
  <si>
    <t>Angélique dahurienne - Bai zhi - 1 flacon de poudre concentrée - 100g</t>
  </si>
  <si>
    <t>Pour apaiser l’appareil respiratoire. Ses principaux bienfaits : libère les voies respiratoires, soulage la tête, soutient les défenses naturelles</t>
  </si>
  <si>
    <t>https://calebasse.com/produits/bai-zhi-angelique-dahurienne-3750?product=3976</t>
  </si>
  <si>
    <t>https://res.cloudinary.com/laboratoire-calebasse/image/upload/v1760543243/ANGELIQUE_DAHURIENNE_ABZCP_634061b481.jpg</t>
  </si>
  <si>
    <t>3665346104637</t>
  </si>
  <si>
    <t>sku-ABZCP</t>
  </si>
  <si>
    <t>3750</t>
  </si>
  <si>
    <t>ABZGL</t>
  </si>
  <si>
    <t>Angélique dahurienne - Bai zhi - 1 flacon de 100 gélules - 50g</t>
  </si>
  <si>
    <t>https://calebasse.com/produits/bai-zhi-angelique-dahurienne-3750?product=3973</t>
  </si>
  <si>
    <t>https://res.cloudinary.com/laboratoire-calebasse/image/upload/v1760543260/ANGELIQUE_DAHURIENNE_ABZGL_9ba8f4f3a7.jpg</t>
  </si>
  <si>
    <t>3665346104651</t>
  </si>
  <si>
    <t>sku-ABZGL</t>
  </si>
  <si>
    <t>ABZI</t>
  </si>
  <si>
    <t>Angélique dahurienne - Bai zhi - 1 Petit Sachet plante 100g</t>
  </si>
  <si>
    <t>https://calebasse.com/produits/bai-zhi-angelique-dahurienne-3750?product=4006</t>
  </si>
  <si>
    <t>https://res.cloudinary.com/laboratoire-calebasse/image/upload/v1751623583/ANGELIQUE_DAHURIENNE_100_g_ABZI_dbf533c998.jpg</t>
  </si>
  <si>
    <t>3665346104613</t>
  </si>
  <si>
    <t>sku-ABZI</t>
  </si>
  <si>
    <t>ABZIL</t>
  </si>
  <si>
    <t>Angélique dahurienne - Bai zhi - 1 Grand Sachet plante 300g</t>
  </si>
  <si>
    <t>https://calebasse.com/produits/bai-zhi-angelique-dahurienne-3750?product=4005</t>
  </si>
  <si>
    <t>https://res.cloudinary.com/laboratoire-calebasse/image/upload/v1751623563/ANGELIQUE_DAHURIENNE_300_g_ABZIL_915bee8d89.jpg</t>
  </si>
  <si>
    <t>3665346217221</t>
  </si>
  <si>
    <t>sku-ABZIL</t>
  </si>
  <si>
    <t>ABZL</t>
  </si>
  <si>
    <t>Herbe de Barbate - Ban zhi lian - 1 Petit Sachet plante 50g</t>
  </si>
  <si>
    <t>Pour éliminer les toxines. Ses principaux bienfaits : détoxifie l'organisme, stimule les fonctions éliminatrices</t>
  </si>
  <si>
    <t>https://calebasse.com/produits/ban-zhi-lian-herbe-de-barbate-3760?product=4014</t>
  </si>
  <si>
    <t>https://res.cloudinary.com/laboratoire-calebasse/image/upload/v1748272220/HERBE_DE_BARBATE_50_g_ABZL_200c527bcd.jpg</t>
  </si>
  <si>
    <t>3665346105610</t>
  </si>
  <si>
    <t>sku-ABZL</t>
  </si>
  <si>
    <t>3760</t>
  </si>
  <si>
    <t>ABZS</t>
  </si>
  <si>
    <t>Rhizome d'Atractylode - Bai zhu (Sheng) - 1 Petit Sachet plante 100g</t>
  </si>
  <si>
    <t>Pour un transit intestinal efficace. Ses principaux bienfaits : apaise la gorge, contribue à une bonne digestion, favorise le confort intestinal</t>
  </si>
  <si>
    <t>https://calebasse.com/produits/bai-zhu-sheng-rhizome-datracylode-3759?product=4018</t>
  </si>
  <si>
    <t>https://res.cloudinary.com/laboratoire-calebasse/image/upload/v1746526698/RHIZOME_D_ATRACYLODE_100_g_ABZS_b87a51aa70.jpg</t>
  </si>
  <si>
    <t>3665346104811</t>
  </si>
  <si>
    <t>sku-ABZS</t>
  </si>
  <si>
    <t>3759</t>
  </si>
  <si>
    <t>ABZSCP</t>
  </si>
  <si>
    <t>Rhizome d'Atractylode - Bai zhu (Sheng) - 1 flacon de poudre concentrée - 100g</t>
  </si>
  <si>
    <t>https://calebasse.com/produits/bai-zhu-sheng-rhizome-datracylode-3759?product=3963</t>
  </si>
  <si>
    <t>https://res.cloudinary.com/laboratoire-calebasse/image/upload/v1634201098/A_baizhushengcp_a06c8474b7.jpg</t>
  </si>
  <si>
    <t>3665346104835</t>
  </si>
  <si>
    <t>sku-ABZSCP</t>
  </si>
  <si>
    <t>ABZSGL</t>
  </si>
  <si>
    <t>Rhizome d'Atractylode - Bai zhu (Sheng) - 1 flacon de 100 gélules - 50g</t>
  </si>
  <si>
    <t>https://calebasse.com/produits/bai-zhu-sheng-rhizome-datracylode-3759?product=3981</t>
  </si>
  <si>
    <t>https://res.cloudinary.com/laboratoire-calebasse/image/upload/v1634201097/A_baizhushenggl_f8ad61b627.jpg</t>
  </si>
  <si>
    <t>3665346104859</t>
  </si>
  <si>
    <t>sku-ABZSGL</t>
  </si>
  <si>
    <t>ABZSL</t>
  </si>
  <si>
    <t>Rhizome d'Atractylode - Bai zhu (Sheng) - 1 Grand Sachet plante 300g</t>
  </si>
  <si>
    <t>https://calebasse.com/produits/bai-zhu-sheng-rhizome-datracylode-3759?product=3966</t>
  </si>
  <si>
    <t>https://res.cloudinary.com/laboratoire-calebasse/image/upload/v1748271953/RHIZOME_D_ATRACYLODE_300_g_ABZSL_98f259599c.jpg</t>
  </si>
  <si>
    <t>3665346125724</t>
  </si>
  <si>
    <t>sku-ABZSL</t>
  </si>
  <si>
    <t>ACEZ</t>
  </si>
  <si>
    <t>Fruits de Xanthiane - Cang er zi - 1 Petit Sachet plante 100g</t>
  </si>
  <si>
    <t>Pour apaiser les réactions allergiques. Ses principaux bienfaits : libère les voies respiratoires, apaise les réactions allergiques</t>
  </si>
  <si>
    <t>https://calebasse.com/produits/chao-cang-er-zi-fruits-de-xanthiane-3770?product=4039</t>
  </si>
  <si>
    <t>https://res.cloudinary.com/laboratoire-calebasse/image/upload/v1746526380/FRUITS_DE_XANTHIANE_100_g_ACEZ_1fface5d8e.jpg</t>
  </si>
  <si>
    <t>3665346107812</t>
  </si>
  <si>
    <t>sku-ACEZ</t>
  </si>
  <si>
    <t>3770</t>
  </si>
  <si>
    <t>ACEZL</t>
  </si>
  <si>
    <t>Fruits de Xanthiane - Cang er zi - 1 Grand Sachet plante 300g</t>
  </si>
  <si>
    <t>https://calebasse.com/produits/chao-cang-er-zi-fruits-de-xanthiane-3770?product=4027</t>
  </si>
  <si>
    <t>https://res.cloudinary.com/laboratoire-calebasse/image/upload/v1747133031/FRUITS_DE_XANTHIANE_300_g_ACEZL_901c1eea3d.jpg</t>
  </si>
  <si>
    <t>3665346194324</t>
  </si>
  <si>
    <t>sku-ACEZL</t>
  </si>
  <si>
    <t>ACH</t>
  </si>
  <si>
    <t>Racine de Buplèvre - Chai hu - 1 Petit Sachet plante 50g</t>
  </si>
  <si>
    <t>Pour retrouver le bien-être émotionnel. Ses principaux bienfaits : tranquillise le shen, améliore l'humeur, favorise l'harmonie émotionnelle</t>
  </si>
  <si>
    <t>https://calebasse.com/produits/chai-hu-racine-de-buplevre-3840?product=4040</t>
  </si>
  <si>
    <t>https://res.cloudinary.com/laboratoire-calebasse/image/upload/v1746525536/RACINE_DE_BUPLEVRE_50_g_ACH_81dae40576.jpg</t>
  </si>
  <si>
    <t>3665346109618</t>
  </si>
  <si>
    <t>sku-ACH</t>
  </si>
  <si>
    <t>3840</t>
  </si>
  <si>
    <t>ACHCP</t>
  </si>
  <si>
    <t>Racine de Buplèvre - Chai hu - 1 flacon de poudre concentrée - 100g</t>
  </si>
  <si>
    <t>https://calebasse.com/produits/chai-hu-racine-de-buplevre-3840?product=4037</t>
  </si>
  <si>
    <t>https://res.cloudinary.com/laboratoire-calebasse/image/upload/v1634201097/A_chaihucp_13b70a2962.jpg</t>
  </si>
  <si>
    <t>3665346109632</t>
  </si>
  <si>
    <t>sku-ACHCP</t>
  </si>
  <si>
    <t>ACHGL</t>
  </si>
  <si>
    <t>Racine de Buplèvre - Chai hu - 1 flacon de 100 gélules - 50g</t>
  </si>
  <si>
    <t>https://calebasse.com/produits/chai-hu-racine-de-buplevre-3840?product=4031</t>
  </si>
  <si>
    <t>https://res.cloudinary.com/laboratoire-calebasse/image/upload/v1634201092/A_chaihugl_b434348d11.jpg</t>
  </si>
  <si>
    <t>3665346109656</t>
  </si>
  <si>
    <t>sku-ACHGL</t>
  </si>
  <si>
    <t>ACJL</t>
  </si>
  <si>
    <t>Tribule terrestre - Ci ji li - 1 Petit Sachet plante 100g</t>
  </si>
  <si>
    <t>Pour stimuler la libido et favoriser la capacité sexuelle. Ses principaux bienfaits : améliore la vie sexuelle, donne du tonus à l'organisme, stimule la vitalité et le tonus sexuel</t>
  </si>
  <si>
    <t>https://calebasse.com/produits/ci-ji-li-tribule-terrestre-3754?product=4077</t>
  </si>
  <si>
    <t>https://res.cloudinary.com/laboratoire-calebasse/image/upload/v1746524422/TRIBULE_TERRESTRE_100_g_ACJL_79b6dc6276.jpg</t>
  </si>
  <si>
    <t>3665346112519</t>
  </si>
  <si>
    <t>sku-ACJL</t>
  </si>
  <si>
    <t>3754</t>
  </si>
  <si>
    <t>ACJLCP</t>
  </si>
  <si>
    <t>Tribule terrestre - Ci ji li - 1 flacon de poudre concentrée - 100g</t>
  </si>
  <si>
    <t>https://calebasse.com/produits/ci-ji-li-tribule-terrestre-3754?product=4074</t>
  </si>
  <si>
    <t>https://res.cloudinary.com/laboratoire-calebasse/image/upload/v1634201098/A_cijilicp_8e9dd7bd39.jpg</t>
  </si>
  <si>
    <t>3665346112533</t>
  </si>
  <si>
    <t>sku-ACJLCP</t>
  </si>
  <si>
    <t>ACJLGL</t>
  </si>
  <si>
    <t>Tribule terrestre - Ci ji li - 1 flacon de 100 gélules - 50g</t>
  </si>
  <si>
    <t>https://calebasse.com/produits/ci-ji-li-tribule-terrestre-3754?product=4079</t>
  </si>
  <si>
    <t>https://res.cloudinary.com/laboratoire-calebasse/image/upload/v1634201103/A_cijiligl_69d1d7d3c2.jpg</t>
  </si>
  <si>
    <t>3665346112557</t>
  </si>
  <si>
    <t>sku-ACJLGL</t>
  </si>
  <si>
    <t>ACJLL</t>
  </si>
  <si>
    <t>Tribule terrestre - Ci ji li - 1 Grand Sachet plante 300g</t>
  </si>
  <si>
    <t>https://calebasse.com/produits/ci-ji-li-tribule-terrestre-3754?product=4076</t>
  </si>
  <si>
    <t>https://res.cloudinary.com/laboratoire-calebasse/image/upload/v1747132920/TRIBULE_TERRESTRE_300_g_ACJLL_7e2d80468a.jpg</t>
  </si>
  <si>
    <t>3665346216323</t>
  </si>
  <si>
    <t>sku-ACJLL</t>
  </si>
  <si>
    <t>ACJLLX2</t>
  </si>
  <si>
    <t>Tribule terrestre - Ci ji li - 2 Grands Sachets plantes 300 g</t>
  </si>
  <si>
    <t>https://calebasse.com/produits/ci-ji-li-tribule-terrestre-3754?product=7367</t>
  </si>
  <si>
    <t>https://res.cloudinary.com/laboratoire-calebasse/image/upload/v1753346926/_ad8bc90c6f.jpg</t>
  </si>
  <si>
    <t>sku-ACJLLX2</t>
  </si>
  <si>
    <t>ACP</t>
  </si>
  <si>
    <t>Peau de Mandarine - Chen pi - 1 Petit Sachet plante 100g</t>
  </si>
  <si>
    <t>Au parfum délicatement acidulé et aux bienfaits rééquilibrants, la  Peau de mandarine se révèle comme un allié ancestral de la digestion et du souffle. Ses principaux bienfaits : facilite la digestion et allège l’estomac, libère les voies respiratoires, antioxydant et anti-inflammatoire, protège la peau et ralentit le vieillissement</t>
  </si>
  <si>
    <t>https://calebasse.com/produits/chen-pi-peau-de-mandarine-3781?product=4056</t>
  </si>
  <si>
    <t>https://res.cloudinary.com/laboratoire-calebasse/image/upload/v1746534383/PEAU_DE_MANDARINE_100_g_ACP_b054baad0a.jpg</t>
  </si>
  <si>
    <t>3665346110218</t>
  </si>
  <si>
    <t>sku-ACP</t>
  </si>
  <si>
    <t>https://res.cloudinary.com/laboratoire-calebasse/image/upload/v1761927778/1_Principa_ad1c4705f5.jpg; https://res.cloudinary.com/laboratoire-calebasse/image/upload/v1761927777/2_Vertu_85d30d386f.jpg; https://res.cloudinary.com/laboratoire-calebasse/image/upload/v1761927778/3_Go_7f228952ff.jpg; https://res.cloudinary.com/laboratoire-calebasse/image/upload/v1761927778/4_1_Infusio_bcbee61136.jpg; https://res.cloudinary.com/laboratoire-calebasse/image/upload/v1761927777/5_Ancedot_03b39f1270.jpg</t>
  </si>
  <si>
    <t>3781</t>
  </si>
  <si>
    <t>ACPC</t>
  </si>
  <si>
    <t>Herbe de Sedi - Chui pen cao - 1 Petit Sachet plante 50g</t>
  </si>
  <si>
    <t>Pour éliminer les toxines de l’organisme. Ses principaux bienfaits : détoxifie l'organisme, aide au confort urinaire, stimule les fonctions éliminatrices</t>
  </si>
  <si>
    <t>https://calebasse.com/produits/chui-pen-cao-herbe-de-sedi-3785?product=4069</t>
  </si>
  <si>
    <t>https://res.cloudinary.com/laboratoire-calebasse/image/upload/v1746524672/HERBE_DE_SEDI_50_g_ACPC_68bad39521.jpg</t>
  </si>
  <si>
    <t>3665346112311</t>
  </si>
  <si>
    <t>sku-ACPC</t>
  </si>
  <si>
    <t>3785</t>
  </si>
  <si>
    <t>ACPCL</t>
  </si>
  <si>
    <t>Herbe de Sedi - Chui pen cao - 1 Grand Sachet plante 150g</t>
  </si>
  <si>
    <t>https://calebasse.com/produits/chui-pen-cao-herbe-de-sedi-3785?product=4067</t>
  </si>
  <si>
    <t>https://res.cloudinary.com/laboratoire-calebasse/image/upload/v1747132935/HERBE_DE_SEDI_150_g_ACPCL_d1a7656657.jpg</t>
  </si>
  <si>
    <t>3665346197028</t>
  </si>
  <si>
    <t>sku-ACPCL</t>
  </si>
  <si>
    <t>ACPCP</t>
  </si>
  <si>
    <t>Peau de Mandarine - Chen pi - 1 flacon de poudre concentrée - 100g</t>
  </si>
  <si>
    <t>https://calebasse.com/produits/chen-pi-peau-de-mandarine-3781?product=4055</t>
  </si>
  <si>
    <t>https://res.cloudinary.com/laboratoire-calebasse/image/upload/v1634201103/A_chenpicp_36f0f144b5.jpg</t>
  </si>
  <si>
    <t>3665346110232</t>
  </si>
  <si>
    <t>sku-ACPCP</t>
  </si>
  <si>
    <t>ACPGL</t>
  </si>
  <si>
    <t>Peau de Mandarine - Chen pi - 1 flacon de 100 gélules - 50g</t>
  </si>
  <si>
    <t>https://calebasse.com/produits/chen-pi-peau-de-mandarine-3781?product=4059</t>
  </si>
  <si>
    <t>https://res.cloudinary.com/laboratoire-calebasse/image/upload/v1634201103/A_chenpigl_26f6766fc3.jpg</t>
  </si>
  <si>
    <t>3665346110256</t>
  </si>
  <si>
    <t>sku-ACPGL</t>
  </si>
  <si>
    <t>ACPL</t>
  </si>
  <si>
    <t>Peau de Mandarine - Chen pi - 1 Grand Sachet plante 300g</t>
  </si>
  <si>
    <t>https://calebasse.com/produits/chen-pi-peau-de-mandarine-3781?product=4054</t>
  </si>
  <si>
    <t>https://res.cloudinary.com/laboratoire-calebasse/image/upload/v1747132970/PEAU_DE_MANDARINE_300_g_ACPL_d954b0b575.jpg</t>
  </si>
  <si>
    <t>3665346186022</t>
  </si>
  <si>
    <t>sku-ACPL</t>
  </si>
  <si>
    <t>ACPLX2</t>
  </si>
  <si>
    <t>Peau de Mandarine - Chen pi - 2 Grands Sachets plantes 300g</t>
  </si>
  <si>
    <t>https://calebasse.com/produits/chen-pi-peau-de-mandarine-3781?product=7363</t>
  </si>
  <si>
    <t>https://res.cloudinary.com/laboratoire-calebasse/image/upload/v1753347139/_61e2344471.jpg</t>
  </si>
  <si>
    <t>sku-ACPLX2</t>
  </si>
  <si>
    <t>ACPXH</t>
  </si>
  <si>
    <t>Écorce de mandarine du Xin hui - Chen pi (Xinhui) - 1 Petit Sachet plante 50g</t>
  </si>
  <si>
    <t>Pour préserver la santé cardiovasculaire. Ses principaux bienfaits : tonifie le qi, soutient les défenses naturelles, favorise le confort cardiovasculaire</t>
  </si>
  <si>
    <t>out_of_stock</t>
  </si>
  <si>
    <t>https://calebasse.com/produits/chen-pi-xin-hui-ecorce-de-mandarine-du-xin-hui-4517?product=6523</t>
  </si>
  <si>
    <t>https://res.cloudinary.com/laboratoire-calebasse/image/upload/v1746525228/ECORCE_DE_MANDARINE_DU_XIN_HUI_50_g_ACPXH_2a97159744.jpg</t>
  </si>
  <si>
    <t>3665346182710</t>
  </si>
  <si>
    <t>sku-ACPXH</t>
  </si>
  <si>
    <t>4517</t>
  </si>
  <si>
    <t>ACQC</t>
  </si>
  <si>
    <t>Grand plantain - Che qian cao - 1 Petit Sachet plante 50g</t>
  </si>
  <si>
    <t>https://calebasse.com/produits/che-qian-cao-grand-plantain-3771?product=4036</t>
  </si>
  <si>
    <t>https://res.cloudinary.com/laboratoire-calebasse/image/upload/v1746529139/GRAND_PLANTAIN_50_g_ACQC_0caa1100d0.jpg</t>
  </si>
  <si>
    <t>3665346110010</t>
  </si>
  <si>
    <t>sku-ACQC</t>
  </si>
  <si>
    <t>3771</t>
  </si>
  <si>
    <t>ACQCCP</t>
  </si>
  <si>
    <t>Grand plantain - Che qian cao - 1 flacon de poudre concentrée - 100g</t>
  </si>
  <si>
    <t>https://calebasse.com/produits/che-qian-cao-grand-plantain-3771?product=4044</t>
  </si>
  <si>
    <t>https://res.cloudinary.com/laboratoire-calebasse/image/upload/v1634201097/A_cheqiancaocp_6f94692b83.jpg</t>
  </si>
  <si>
    <t>3665346110034</t>
  </si>
  <si>
    <t>sku-ACQCCP</t>
  </si>
  <si>
    <t>ACQCGL</t>
  </si>
  <si>
    <t>Grand plantain - Che qian cao - 1 flacon de 100 gélules - 50g</t>
  </si>
  <si>
    <t>https://calebasse.com/produits/che-qian-cao-grand-plantain-3771?product=4046</t>
  </si>
  <si>
    <t>https://res.cloudinary.com/laboratoire-calebasse/image/upload/v1634201092/A_cheqiancaogl_b264af761a.jpg</t>
  </si>
  <si>
    <t>3665346110058</t>
  </si>
  <si>
    <t>sku-ACQCGL</t>
  </si>
  <si>
    <t>ACQZ</t>
  </si>
  <si>
    <t>Graines de plantain - Che qian zi - 1 Petit Sachet plante 100g</t>
  </si>
  <si>
    <t>Pour un système urinaire en bonne santé. Ses principaux bienfaits : aide au confort urinaire, stimule les fonctions éliminatrices</t>
  </si>
  <si>
    <t>https://calebasse.com/produits/che-qian-zi-graines-de-plantain-3779?product=4049</t>
  </si>
  <si>
    <t>https://res.cloudinary.com/laboratoire-calebasse/image/upload/v1752222183/GRAINES_DE_PLANTAIN_100_g_ACQZ_31fe0d8f1a.jpg</t>
  </si>
  <si>
    <t>3665346110119</t>
  </si>
  <si>
    <t>sku-ACQZ</t>
  </si>
  <si>
    <t>3779</t>
  </si>
  <si>
    <t>ACQZCP</t>
  </si>
  <si>
    <t>Graines de plantain - Che qian zi - 1 flacon de poudre concentrée - 100g</t>
  </si>
  <si>
    <t>https://calebasse.com/produits/che-qian-zi-graines-de-plantain-3779?product=4050</t>
  </si>
  <si>
    <t>https://res.cloudinary.com/laboratoire-calebasse/image/upload/v1634201103/A_cheqianzicp_87c4336a41.jpg</t>
  </si>
  <si>
    <t>3665346110133</t>
  </si>
  <si>
    <t>sku-ACQZCP</t>
  </si>
  <si>
    <t>ACQZGL</t>
  </si>
  <si>
    <t>Graines de plantain - Che qian zi - 1 flacon de 100 gélules - 50g</t>
  </si>
  <si>
    <t>https://calebasse.com/produits/che-qian-zi-graines-de-plantain-3779?product=4053</t>
  </si>
  <si>
    <t>https://res.cloudinary.com/laboratoire-calebasse/image/upload/v1634201092/A_cheqianzigl_ad85bc50f2.jpg</t>
  </si>
  <si>
    <t>3665346110157</t>
  </si>
  <si>
    <t>sku-ACQZGL</t>
  </si>
  <si>
    <t>ACQZL</t>
  </si>
  <si>
    <t>Graines de plantain - Che qian zi - 1 Grand Sachet plante 300g</t>
  </si>
  <si>
    <t>https://calebasse.com/produits/che-qian-zi-graines-de-plantain-3779?product=4048</t>
  </si>
  <si>
    <t>https://res.cloudinary.com/laboratoire-calebasse/image/upload/v1752222170/GRAINES_DE_PLANTAIN_300_g_ACQZL_e47c31ea84.jpg</t>
  </si>
  <si>
    <t>3665346195628</t>
  </si>
  <si>
    <t>sku-ACQZL</t>
  </si>
  <si>
    <t>ACWJ</t>
  </si>
  <si>
    <t>Ginseng Sibérien - Ci wu jia - 1 Petit Sachet plante 100g</t>
  </si>
  <si>
    <t>Pour accroitre l'énergie intellectuelle et physique. Ses principaux bienfaits : réduit la fatigue, donne du tonus à l'organisme, soutient les défenses naturelles, améliore la concentration</t>
  </si>
  <si>
    <t>https://calebasse.com/produits/ci-wu-jia-ginseng-siberien-3772?product=4082</t>
  </si>
  <si>
    <t>https://res.cloudinary.com/laboratoire-calebasse/image/upload/v1746524407/GINSENG_SIBERIEN_100_g_ACWJ_521e764543.jpg</t>
  </si>
  <si>
    <t>3665346112816</t>
  </si>
  <si>
    <t>sku-ACWJ</t>
  </si>
  <si>
    <t>3772</t>
  </si>
  <si>
    <t>ACWJL</t>
  </si>
  <si>
    <t>Ginseng Sibérien - Ci wu jia - 1 Grand Sachet plante 300g</t>
  </si>
  <si>
    <t>https://calebasse.com/produits/ci-wu-jia-ginseng-siberien-3772?product=4080</t>
  </si>
  <si>
    <t>https://res.cloudinary.com/laboratoire-calebasse/image/upload/v1747062321/GINSENG_SIBERIEN_300_g_ACWJL_8f8105d6db.jpg</t>
  </si>
  <si>
    <t>3665346194720</t>
  </si>
  <si>
    <t>sku-ACWJL</t>
  </si>
  <si>
    <t>ACX</t>
  </si>
  <si>
    <t>Livèche striée - Chuan xiong - 1 Petit Sachet plante 100g</t>
  </si>
  <si>
    <t>Pour retrouver une tête apaisée. Ses principaux bienfaits : tonifie le qi, soulage la tête, contribue au confort cutané</t>
  </si>
  <si>
    <t>https://calebasse.com/produits/chuan-xiong-liveche-striee-3775?product=4061</t>
  </si>
  <si>
    <t>https://res.cloudinary.com/laboratoire-calebasse/image/upload/v1751624303/LIVECHE_STRIEE_100_g_ACX_f5dd01f118.jpg</t>
  </si>
  <si>
    <t>3665346112212</t>
  </si>
  <si>
    <t>sku-ACX</t>
  </si>
  <si>
    <t>3775</t>
  </si>
  <si>
    <t>ACXCP</t>
  </si>
  <si>
    <t>Livèche striée - Chuan xiong - 1 flacon de poudre concentrée - 100g</t>
  </si>
  <si>
    <t>https://calebasse.com/produits/chuan-xiong-liveche-striee-3775?product=4064</t>
  </si>
  <si>
    <t>https://res.cloudinary.com/laboratoire-calebasse/image/upload/v1634201103/A_chuanxiongcp_709cd4ec55.jpg</t>
  </si>
  <si>
    <t>3665346112236</t>
  </si>
  <si>
    <t>sku-ACXCP</t>
  </si>
  <si>
    <t>ACXGL</t>
  </si>
  <si>
    <t>Livèche striée - Chuan xiong - 1 flacon de 100 gélules - 50g</t>
  </si>
  <si>
    <t>https://calebasse.com/produits/chuan-xiong-liveche-striee-3775?product=4066</t>
  </si>
  <si>
    <t>https://res.cloudinary.com/laboratoire-calebasse/image/upload/v1634201099/A_chuanxionggl_ed2c0fcef8.jpg</t>
  </si>
  <si>
    <t>3665346112250</t>
  </si>
  <si>
    <t>sku-ACXGL</t>
  </si>
  <si>
    <t>ACXL</t>
  </si>
  <si>
    <t>Livèche striée - Chuan xiong - 1 Grand Sachet plante 300g</t>
  </si>
  <si>
    <t>https://calebasse.com/produits/chuan-xiong-liveche-striee-3775?product=4063</t>
  </si>
  <si>
    <t>https://res.cloudinary.com/laboratoire-calebasse/image/upload/v1751624291/LIVECHE_STRIEE_300_g_ACXL_ef39c7c5db.jpg</t>
  </si>
  <si>
    <t>3665346198025</t>
  </si>
  <si>
    <t>sku-ACXL</t>
  </si>
  <si>
    <t>ADAS</t>
  </si>
  <si>
    <t>Sauge rouge - Dan shen - 1 Petit Sachet plante 100g</t>
  </si>
  <si>
    <t>Pour retrouver le confort cardiovasculaire. Ses principaux bienfaits : stimule la circulation sanguine, favorise le confort cardiovasculaire</t>
  </si>
  <si>
    <t>https://calebasse.com/produits/dan-shen-sauge-rouge-3788?product=4109</t>
  </si>
  <si>
    <t>https://res.cloudinary.com/laboratoire-calebasse/image/upload/v1746523921/SAUGE_ROUGE_100_g_ADAS_c9ab45baca.jpg</t>
  </si>
  <si>
    <t>3665346115213</t>
  </si>
  <si>
    <t>sku-ADAS</t>
  </si>
  <si>
    <t>3788</t>
  </si>
  <si>
    <t>ADASL</t>
  </si>
  <si>
    <t>Sauge rouge - Dan shen - 1 Grand Sachet plante 300g</t>
  </si>
  <si>
    <t>https://calebasse.com/produits/dan-shen-sauge-rouge-3788?product=4108</t>
  </si>
  <si>
    <t>https://res.cloudinary.com/laboratoire-calebasse/image/upload/v1747132873/SAUGE_ROUGE_300_g_ADASL_abc418ce3b.jpg</t>
  </si>
  <si>
    <t>3665346188729</t>
  </si>
  <si>
    <t>sku-ADASL</t>
  </si>
  <si>
    <t>ADGP</t>
  </si>
  <si>
    <t>Racines de Goji - Di gu pi - 1 Petit Sachet plante 100g</t>
  </si>
  <si>
    <t>Pour calmer les bouffées de chaleur. Ses principaux bienfaits : favorise l'équilibre féminin, accompagne la transition vers la ménopause, soulage les inconforts ménopausiques</t>
  </si>
  <si>
    <t>https://calebasse.com/produits/di-gu-pi-racines-de-goji-3773?product=4128</t>
  </si>
  <si>
    <t>https://res.cloudinary.com/laboratoire-calebasse/image/upload/v1751623546/RACINES_DE_GOJI_100_g_ADGP_f47fe8c24d.jpg</t>
  </si>
  <si>
    <t>3665346116616</t>
  </si>
  <si>
    <t>sku-ADGP</t>
  </si>
  <si>
    <t>3773</t>
  </si>
  <si>
    <t>ADGPCP</t>
  </si>
  <si>
    <t>Racines de Goji - Di gu pi - 1 flacon de poudre concentrée - 100g</t>
  </si>
  <si>
    <t>https://calebasse.com/produits/di-gu-pi-racines-de-goji-3773?product=4130</t>
  </si>
  <si>
    <t>https://res.cloudinary.com/laboratoire-calebasse/image/upload/v1698332180/A_digupicp_ac4c47963c.jpg</t>
  </si>
  <si>
    <t>3665346116630</t>
  </si>
  <si>
    <t>sku-ADGPCP</t>
  </si>
  <si>
    <t>ADGPGL</t>
  </si>
  <si>
    <t>Racines de Goji - Di gu pi - 1 flacon de 100 gélules - 50g</t>
  </si>
  <si>
    <t>https://calebasse.com/produits/di-gu-pi-racines-de-goji-3773?product=4132</t>
  </si>
  <si>
    <t>https://res.cloudinary.com/laboratoire-calebasse/image/upload/v1698332160/A_digupi_4dbef33ed1.jpg</t>
  </si>
  <si>
    <t>3665346116654</t>
  </si>
  <si>
    <t>sku-ADGPGL</t>
  </si>
  <si>
    <t>ADGPI</t>
  </si>
  <si>
    <t>Peau de Courge cireuse - Dong gua pi - 1 Petit Sachet plante 50g</t>
  </si>
  <si>
    <t>Pour perdre du poids sainement. Ses principaux bienfaits : aide à la perte de poids, draine les excès d'eau</t>
  </si>
  <si>
    <t>https://calebasse.com/produits/dong-gua-pi-peau-de-courge-cireuse-3761?product=4146</t>
  </si>
  <si>
    <t>https://res.cloudinary.com/laboratoire-calebasse/image/upload/v1746524315/COURGE_CIREUSE_PEAU_50_g_ADGPI_5aa3734a90.jpg</t>
  </si>
  <si>
    <t>3665346117613</t>
  </si>
  <si>
    <t>sku-ADGPI</t>
  </si>
  <si>
    <t>3761</t>
  </si>
  <si>
    <t>ADGPIL</t>
  </si>
  <si>
    <t>Peau de Courge cireuse - Dong gua pi - 1 Grand Sachet plante 140g</t>
  </si>
  <si>
    <t>https://calebasse.com/produits/dong-gua-pi-peau-de-courge-cireuse-3761?product=4148</t>
  </si>
  <si>
    <t>https://res.cloudinary.com/laboratoire-calebasse/image/upload/v1747132748/COURGE_CIREUSE_PEAU_140_g_ADGPIL_44e8674231.jpg</t>
  </si>
  <si>
    <t>3665346188224</t>
  </si>
  <si>
    <t>sku-ADGPIL</t>
  </si>
  <si>
    <t>ADGPL</t>
  </si>
  <si>
    <t>Racines de Goji - Di gu pi - 1 Grand Sachet plante 240g</t>
  </si>
  <si>
    <t>https://calebasse.com/produits/di-gu-pi-racines-de-goji-3773?product=4129</t>
  </si>
  <si>
    <t>https://res.cloudinary.com/laboratoire-calebasse/image/upload/v1751623529/RACINES_DE_GOJI_240_g_ADGPL_e2e5506273.jpg</t>
  </si>
  <si>
    <t>3665346116623</t>
  </si>
  <si>
    <t>sku-ADGPL</t>
  </si>
  <si>
    <t>ADJ</t>
  </si>
  <si>
    <t>Herbe de Circé - Da ji - 1 Petit Sachet plante 100g</t>
  </si>
  <si>
    <t>Pour un confort urinaire optimal. Ses principaux bienfaits : aide au confort urinaire, stimule les fonctions éliminatrices</t>
  </si>
  <si>
    <t>https://calebasse.com/produits/da-ji-herbe-de-circe-3778?product=4090</t>
  </si>
  <si>
    <t>https://res.cloudinary.com/laboratoire-calebasse/image/upload/v1746524722/HERBE_DE_CIRCE_100_g_ADJ_c8eba8b842.jpg</t>
  </si>
  <si>
    <t>3665346114216</t>
  </si>
  <si>
    <t>sku-ADJ</t>
  </si>
  <si>
    <t>3778</t>
  </si>
  <si>
    <t>ADJ3</t>
  </si>
  <si>
    <t>Herbe de Circé - Da ji - 1 Grand Sachet plante 200g</t>
  </si>
  <si>
    <t>https://calebasse.com/produits/da-ji-herbe-de-circe-3778?product=4091</t>
  </si>
  <si>
    <t>https://res.cloudinary.com/laboratoire-calebasse/image/upload/v1747132904/HERBE_DE_CIRCE_200_g_ADJ_3_fa917f240b.jpg</t>
  </si>
  <si>
    <t>3665346114223</t>
  </si>
  <si>
    <t>sku-ADJ3</t>
  </si>
  <si>
    <t>ADQY</t>
  </si>
  <si>
    <t>Feuilles d'Indigo - Da qing ye - 1 Petit Sachet plante 100g</t>
  </si>
  <si>
    <t>Pour purifier et protéger l’organisme. Ses principaux bienfaits : détoxifie l'organisme, améliore l'apparence de la peau, libère les voies respiratoires</t>
  </si>
  <si>
    <t>https://calebasse.com/produits/da-qing-ye-feuilles-dindigo-3837?product=4096</t>
  </si>
  <si>
    <t>https://res.cloudinary.com/laboratoire-calebasse/image/upload/v1746524737/INDIGO_FEUILLE_100_g_ADQY_61adeed040.jpg</t>
  </si>
  <si>
    <t>3665346114414</t>
  </si>
  <si>
    <t>sku-ADQY</t>
  </si>
  <si>
    <t>3837</t>
  </si>
  <si>
    <t>ADQYCP</t>
  </si>
  <si>
    <t>Feuilles d'Indigo - Da qing ye - 1 flacon de poudre concentrée - 100g</t>
  </si>
  <si>
    <t>https://calebasse.com/produits/da-qing-ye-feuilles-dindigo-3837?product=4097</t>
  </si>
  <si>
    <t>https://res.cloudinary.com/laboratoire-calebasse/image/upload/v1634201104/A_daqingyecp_85ad98b1a7.jpg</t>
  </si>
  <si>
    <t>3665346114438</t>
  </si>
  <si>
    <t>sku-ADQYCP</t>
  </si>
  <si>
    <t>ADQYGL</t>
  </si>
  <si>
    <t>Feuilles d'Indigo - Da qing ye - 1 flacon de 100 gélules - 50g</t>
  </si>
  <si>
    <t>https://calebasse.com/produits/da-qing-ye-feuilles-dindigo-3837?product=4102</t>
  </si>
  <si>
    <t>https://res.cloudinary.com/laboratoire-calebasse/image/upload/v1634201103/A_daqingyegl_035cf16eda.jpg</t>
  </si>
  <si>
    <t>3665346114452</t>
  </si>
  <si>
    <t>sku-ADQYGL</t>
  </si>
  <si>
    <t>ADQYL</t>
  </si>
  <si>
    <t>Feuilles d'Indigo - Da qing ye - 1 Grand Sachet plante 200g</t>
  </si>
  <si>
    <t>https://calebasse.com/produits/da-qing-ye-feuilles-dindigo-3837?product=4098</t>
  </si>
  <si>
    <t>https://res.cloudinary.com/laboratoire-calebasse/image/upload/v1747132888/INDIGO_FEUILLE_200_g_ADQYL_02b6e652b2.jpg</t>
  </si>
  <si>
    <t>3665346222027</t>
  </si>
  <si>
    <t>sku-ADQYL</t>
  </si>
  <si>
    <t>ADS</t>
  </si>
  <si>
    <t>Ginseng impérial - Dang shen - 1 Petit Sachet plante 100g</t>
  </si>
  <si>
    <t>Au goût doux avec une légère note miellée et aux vertus bienfaisantes, le Ginseng impérial renforce la vitalité, stimule les défenses naturelles et préserve l’équilibre des aînés. Ses principaux bienfaits : nourrit la rate et les poumons, réduit la fatigue, renforce les défenses naturelles et l’endurance, soutient une digestion fluide et équilibrée, favorise le bien-être des seniors</t>
  </si>
  <si>
    <t>https://calebasse.com/produits/dang-shen-ginseng-imperial-3784?product=4122</t>
  </si>
  <si>
    <t>https://res.cloudinary.com/laboratoire-calebasse/image/upload/v1767804495/GINSENG_IMPERIAL_100_g_ADS_6676258b66.jpg</t>
  </si>
  <si>
    <t>3665346115817</t>
  </si>
  <si>
    <t>sku-ADS</t>
  </si>
  <si>
    <t>https://res.cloudinary.com/laboratoire-calebasse/image/upload/v1761927955/1_Principa_1_9b7a89c073.jpg; https://res.cloudinary.com/laboratoire-calebasse/image/upload/v1761927954/2_Vertu_1_b6282376ee.jpg; https://res.cloudinary.com/laboratoire-calebasse/image/upload/v1761927954/3_Go_1_bfff5a0b2e.jpg; https://res.cloudinary.com/laboratoire-calebasse/image/upload/v1761927955/4_2_Dcoctio_61a858c2c1.jpg; https://res.cloudinary.com/laboratoire-calebasse/image/upload/v1761927954/6_Ancedot_76855ec803.jpg</t>
  </si>
  <si>
    <t>3784</t>
  </si>
  <si>
    <t>ADSCP</t>
  </si>
  <si>
    <t>Ginseng impérial - Dang shen - 1 flacon de poudre concentrée - 100g</t>
  </si>
  <si>
    <t>https://calebasse.com/produits/dang-shen-ginseng-imperial-3784?product=4124</t>
  </si>
  <si>
    <t>https://res.cloudinary.com/laboratoire-calebasse/image/upload/v1634201104/A_dangshencp_7e5912e9ae.jpg</t>
  </si>
  <si>
    <t>3665346115831</t>
  </si>
  <si>
    <t>sku-ADSCP</t>
  </si>
  <si>
    <t>ADSGL</t>
  </si>
  <si>
    <t>Ginseng impérial - Dang shen - 1 flacon de 100 gélules - 50g</t>
  </si>
  <si>
    <t>https://calebasse.com/produits/dang-shen-ginseng-imperial-3784?product=4125</t>
  </si>
  <si>
    <t>https://res.cloudinary.com/laboratoire-calebasse/image/upload/v1634201103/A_dangshengl_83776b5bfd.jpg</t>
  </si>
  <si>
    <t>3665346115855</t>
  </si>
  <si>
    <t>sku-ADSGL</t>
  </si>
  <si>
    <t>ADSL</t>
  </si>
  <si>
    <t>Ginseng impérial - Dang shen - 1 Grand Sachet plante 300g</t>
  </si>
  <si>
    <t>https://calebasse.com/produits/dang-shen-ginseng-imperial-3784?product=4123</t>
  </si>
  <si>
    <t>https://res.cloudinary.com/laboratoire-calebasse/image/upload/v1767804509/GINSENG_IMPERIAL_300_g_ADSL_11f419875d.jpg</t>
  </si>
  <si>
    <t>3665346115824</t>
  </si>
  <si>
    <t>sku-ADSL</t>
  </si>
  <si>
    <t>ADUZ</t>
  </si>
  <si>
    <t>Eucomine - Du zhong - 1 Petit Sachet plante 100g</t>
  </si>
  <si>
    <t>Pour retrouver le confort. Ses principaux bienfaits : favorise le confort articulaire, apaise les sensibilités articulaires</t>
  </si>
  <si>
    <t>https://calebasse.com/produits/du-zhong-eucomine-3777?product=4154</t>
  </si>
  <si>
    <t>https://res.cloudinary.com/laboratoire-calebasse/image/upload/v1746525436/EUCOMINE_100_g_ADUZ_9b8e3433a8.jpg</t>
  </si>
  <si>
    <t>3665346118214</t>
  </si>
  <si>
    <t>sku-ADUZ</t>
  </si>
  <si>
    <t>3777</t>
  </si>
  <si>
    <t>ADUZCP</t>
  </si>
  <si>
    <t>Eucomine - Du zhong - 1 flacon de poudre concentrée - 100g</t>
  </si>
  <si>
    <t>https://calebasse.com/produits/du-zhong-eucomine-3777?product=4157</t>
  </si>
  <si>
    <t>https://res.cloudinary.com/laboratoire-calebasse/image/upload/v1634201104/A_duzhongcp_d7c49db529.jpg</t>
  </si>
  <si>
    <t>3665346139332</t>
  </si>
  <si>
    <t>sku-ADUZCP</t>
  </si>
  <si>
    <t>ADUZGL</t>
  </si>
  <si>
    <t>Eucomine - Du zhong - 1 flacon de 100 gélules - 50g</t>
  </si>
  <si>
    <t>https://calebasse.com/produits/du-zhong-eucomine-3777?product=4158</t>
  </si>
  <si>
    <t>https://res.cloudinary.com/laboratoire-calebasse/image/upload/v1634201104/A_duzhonggl_96ebd9567a.jpg</t>
  </si>
  <si>
    <t>3665346139356</t>
  </si>
  <si>
    <t>sku-ADUZGL</t>
  </si>
  <si>
    <t>ADX</t>
  </si>
  <si>
    <t>Clou de Girofle - Ding xiang - 1 Petit Sachet plante 50g</t>
  </si>
  <si>
    <t>Pour favoriser l'appétit et maintenir une bonne digestion. Ses principaux bienfaits : contribue à une bonne digestion, soulage les sensibilités de l'estomac, stimule l'appétit</t>
  </si>
  <si>
    <t>https://calebasse.com/produits/ding-xiang-clou-de-girofle-3786?product=4138</t>
  </si>
  <si>
    <t>https://res.cloudinary.com/laboratoire-calebasse/image/upload/v1746523803/CLOU_DE_GIROFLE_50_g_ADX_d163d714b9.jpg</t>
  </si>
  <si>
    <t>3665346117415</t>
  </si>
  <si>
    <t>sku-ADX</t>
  </si>
  <si>
    <t>3786</t>
  </si>
  <si>
    <t>ADXCP</t>
  </si>
  <si>
    <t>Clou de Girofle - Ding xiang - 1 flacon de poudre concentrée - 100g</t>
  </si>
  <si>
    <t>https://calebasse.com/produits/ding-xiang-clou-de-girofle-3786?product=4142</t>
  </si>
  <si>
    <t>https://res.cloudinary.com/laboratoire-calebasse/image/upload/v1760543889/CLOU_DE_GIROFLE_ADXCP_5754173f99.jpg</t>
  </si>
  <si>
    <t>3665346117439</t>
  </si>
  <si>
    <t>sku-ADXCP</t>
  </si>
  <si>
    <t>ADXGL</t>
  </si>
  <si>
    <t>Clou de Girofle - Ding xiang - 1 flacon de 100 gélules - 50g</t>
  </si>
  <si>
    <t>https://calebasse.com/produits/ding-xiang-clou-de-girofle-3786?product=4144</t>
  </si>
  <si>
    <t>https://res.cloudinary.com/laboratoire-calebasse/image/upload/v1760543904/CLOU_DE_GIROFLE_ADXGL_e020ec0202.jpg</t>
  </si>
  <si>
    <t>3665346117453</t>
  </si>
  <si>
    <t>sku-ADXGL</t>
  </si>
  <si>
    <t>ADXL</t>
  </si>
  <si>
    <t>Clou de Girofle - Ding xiang - 1 Grand Sachet plante 300g</t>
  </si>
  <si>
    <t>https://calebasse.com/produits/ding-xiang-clou-de-girofle-3786?product=4141</t>
  </si>
  <si>
    <t>https://res.cloudinary.com/laboratoire-calebasse/image/upload/v1747132764/CLOU_DE_GIROFLE_300_g_ADXL_a1d4fda00b.jpg</t>
  </si>
  <si>
    <t>sku-ADXL</t>
  </si>
  <si>
    <t>ADY</t>
  </si>
  <si>
    <t>Racines de Sanguine - Di yu - 1 Petit Sachet plante 100g</t>
  </si>
  <si>
    <t>Pour calmer les saignements. Ses principaux bienfaits : atténuer les pertes de sang, favorise la cicatrisation</t>
  </si>
  <si>
    <t>https://calebasse.com/produits/di-yu-racines-de-sanguine-3758?product=4134</t>
  </si>
  <si>
    <t>https://res.cloudinary.com/laboratoire-calebasse/image/upload/v1746524639/RACINES_DE_SANGUINE_100_g_ADY_b7569b928f.jpg</t>
  </si>
  <si>
    <t>3665346116913</t>
  </si>
  <si>
    <t>sku-ADY</t>
  </si>
  <si>
    <t>3758</t>
  </si>
  <si>
    <t>ADYCP</t>
  </si>
  <si>
    <t>Racines de Sanguine - Di yu - 1 flacon de poudre concentrée - 100g</t>
  </si>
  <si>
    <t>https://calebasse.com/produits/di-yu-racines-de-sanguine-3758?product=4136</t>
  </si>
  <si>
    <t>https://res.cloudinary.com/laboratoire-calebasse/image/upload/v1634201104/A_diyucp_98d15a99cd.jpg</t>
  </si>
  <si>
    <t>3665346116937</t>
  </si>
  <si>
    <t>sku-ADYCP</t>
  </si>
  <si>
    <t>ADYGL</t>
  </si>
  <si>
    <t>Racines de Sanguine - Di yu - 1 flacon de 100 gélules - 50g</t>
  </si>
  <si>
    <t>https://calebasse.com/produits/di-yu-racines-de-sanguine-3758?product=4139</t>
  </si>
  <si>
    <t>https://res.cloudinary.com/laboratoire-calebasse/image/upload/v1634201104/A_diyugl_32723d52de.jpg</t>
  </si>
  <si>
    <t>3665346116951</t>
  </si>
  <si>
    <t>sku-ADYGL</t>
  </si>
  <si>
    <t>ADYL</t>
  </si>
  <si>
    <t>Racines de Sanguine - Di yu - 1 Grand Sachet plante 300g</t>
  </si>
  <si>
    <t>https://calebasse.com/produits/di-yu-racines-de-sanguine-3758?product=4135</t>
  </si>
  <si>
    <t>https://res.cloudinary.com/laboratoire-calebasse/image/upload/v1747132778/RACINES_DE_SANGUINE_300_g_ADYL_011e31410b.jpg</t>
  </si>
  <si>
    <t>3665346116920</t>
  </si>
  <si>
    <t>sku-ADYL</t>
  </si>
  <si>
    <t>ADZ</t>
  </si>
  <si>
    <t>Fruits de jujube - Da zao - 1 Petit Sachet plante 100g</t>
  </si>
  <si>
    <t>Douceur sucrée, nourrissante et réconfortante. À déguster comme fruit sec, en infusion ou comme accompagnement gourmand. Ses principaux bienfaits : contribue à la récupération après le cycle, nourrit le sang et le qi, calme l’esprit et améliore le sommeil, contribue à une bonne digestion, défenses immunitaires</t>
  </si>
  <si>
    <t>https://calebasse.com/produits/da-zao-fruits-de-jujube-3755?product=4101</t>
  </si>
  <si>
    <t>https://res.cloudinary.com/laboratoire-calebasse/image/upload/v1746523906/FRUITS_DE_JUJUBE_100_g_ADZ_11259ff315.jpg</t>
  </si>
  <si>
    <t>3665346114612</t>
  </si>
  <si>
    <t>sku-ADZ</t>
  </si>
  <si>
    <t>https://res.cloudinary.com/laboratoire-calebasse/image/upload/v1755594007/1_9e6ed26324.jpg; https://res.cloudinary.com/laboratoire-calebasse/image/upload/v1755594007/2_140b4d20ca.jpg; https://res.cloudinary.com/laboratoire-calebasse/image/upload/v1755594007/3_64d30a0b9b.jpg; https://res.cloudinary.com/laboratoire-calebasse/image/upload/v1755594007/4_422f792dfc.jpg; https://res.cloudinary.com/laboratoire-calebasse/image/upload/v1755594007/5_eac5e45dbe.jpg; https://res.cloudinary.com/laboratoire-calebasse/image/upload/v1755594007/6_54c8cf397d.jpg</t>
  </si>
  <si>
    <t>3755</t>
  </si>
  <si>
    <t>ADZCP</t>
  </si>
  <si>
    <t>Fruits de jujube - Da zao - 1 flacon de poudre concentrée - 100g</t>
  </si>
  <si>
    <t>https://calebasse.com/produits/da-zao-fruits-de-jujube-3755?product=4104</t>
  </si>
  <si>
    <t>https://res.cloudinary.com/laboratoire-calebasse/image/upload/v1634201103/A_dazaocp_728958f208.jpg</t>
  </si>
  <si>
    <t>3665346114636</t>
  </si>
  <si>
    <t>sku-ADZCP</t>
  </si>
  <si>
    <t>ADZGL</t>
  </si>
  <si>
    <t>Fruits de jujube - Da zao - 1 flacon de 100 gélules - 50g</t>
  </si>
  <si>
    <t>https://calebasse.com/produits/da-zao-fruits-de-jujube-3755?product=4106</t>
  </si>
  <si>
    <t>https://res.cloudinary.com/laboratoire-calebasse/image/upload/v1634201104/A_dazaogl_ac77c68c12.jpg</t>
  </si>
  <si>
    <t>3665346114650</t>
  </si>
  <si>
    <t>sku-ADZGL</t>
  </si>
  <si>
    <t>ADZL</t>
  </si>
  <si>
    <t>Fruits de jujube - Da zao - 1 Grand Sachet plante 300g</t>
  </si>
  <si>
    <t>https://calebasse.com/produits/da-zao-fruits-de-jujube-3755?product=4103</t>
  </si>
  <si>
    <t>https://res.cloudinary.com/laboratoire-calebasse/image/upload/v1748271122/FRUITS_DE_JUJUBE_300_g_ADZL_058734a480.jpg</t>
  </si>
  <si>
    <t>3665346186121</t>
  </si>
  <si>
    <t>sku-ADZL</t>
  </si>
  <si>
    <t>ADZY</t>
  </si>
  <si>
    <t>Feuilles de Lophatère - Dan zhu ye - 1 Petit Sachet plante 50g</t>
  </si>
  <si>
    <t>Pour retrouver le confort urinaire. Ses principaux bienfaits : aide au confort urinaire, stimule les fonctions éliminatrices</t>
  </si>
  <si>
    <t>https://calebasse.com/produits/dan-zhu-ye-feuilles-de-lophatere-3782?product=4114</t>
  </si>
  <si>
    <t>https://res.cloudinary.com/laboratoire-calebasse/image/upload/v1746526243/FEUILLES_DE_LOPHATERE_50_g_ADZY_10c63039e7.jpg</t>
  </si>
  <si>
    <t>3665346115312</t>
  </si>
  <si>
    <t>sku-ADZY</t>
  </si>
  <si>
    <t>3782</t>
  </si>
  <si>
    <t>ADZYL</t>
  </si>
  <si>
    <t>Feuilles de Lophatère - Dan zhu ye - 1 Grand Sachet plante 200g</t>
  </si>
  <si>
    <t>https://calebasse.com/produits/dan-zhu-ye-feuilles-de-lophatere-3782?product=4115</t>
  </si>
  <si>
    <t>https://res.cloudinary.com/laboratoire-calebasse/image/upload/v1747132854/FEUILLES_DE_LOPHATERE_200_g_ADZYL_0e60b8e316.jpg</t>
  </si>
  <si>
    <t>3665346122525</t>
  </si>
  <si>
    <t>sku-ADZYL</t>
  </si>
  <si>
    <t>AEBS</t>
  </si>
  <si>
    <t>Centipède - E bu shi cao - 1 Petit Sachet plante 50g</t>
  </si>
  <si>
    <t>Pour retrouver le confort respiratoire. Ses principaux bienfaits : apaise la gorge, apaise les manifestations du coup de froid</t>
  </si>
  <si>
    <t>https://calebasse.com/produits/e-bu-shi-cao-centipede-3766?product=4159</t>
  </si>
  <si>
    <t>https://res.cloudinary.com/laboratoire-calebasse/image/upload/v1746534850/CENTIPEDE_50_g_AEBS_375d51a9f6.jpg</t>
  </si>
  <si>
    <t>3665346118511</t>
  </si>
  <si>
    <t>sku-AEBS</t>
  </si>
  <si>
    <t>3766</t>
  </si>
  <si>
    <t>AEBSL</t>
  </si>
  <si>
    <t>Centipède - E bu shi cao - 1 Grand Sachet plante 140g</t>
  </si>
  <si>
    <t>https://calebasse.com/produits/e-bu-shi-cao-centipede-3766?product=4161</t>
  </si>
  <si>
    <t>https://res.cloudinary.com/laboratoire-calebasse/image/upload/v1747132715/CENTIPEDE_140_g_AEBSL_db51243baa.jpg</t>
  </si>
  <si>
    <t>3665346191620</t>
  </si>
  <si>
    <t>sku-AEBSL</t>
  </si>
  <si>
    <t>AFF</t>
  </si>
  <si>
    <t>Silère - Fang feng - 1 Petit Sachet plante 100g</t>
  </si>
  <si>
    <t>Pour chasser les excès de Chaleur. Ses principaux bienfaits : clarifie la chaleur, favorise le confort articulaire</t>
  </si>
  <si>
    <t>https://calebasse.com/produits/fang-feng-silere-3839?product=4162</t>
  </si>
  <si>
    <t>https://res.cloudinary.com/laboratoire-calebasse/image/upload/v1751623792/SILERE_100_g_AFF_6558eaa653.jpg</t>
  </si>
  <si>
    <t>3665346119112</t>
  </si>
  <si>
    <t>sku-AFF</t>
  </si>
  <si>
    <t>3839</t>
  </si>
  <si>
    <t>AFFCP</t>
  </si>
  <si>
    <t>Silère - Fang feng - 1 flacon de poudre concentrée - 100g</t>
  </si>
  <si>
    <t>https://calebasse.com/produits/fang-feng-silere-3839?product=4164</t>
  </si>
  <si>
    <t>https://res.cloudinary.com/laboratoire-calebasse/image/upload/v1678966408/A_fangfeng_CP_c2c76765f0.jpg</t>
  </si>
  <si>
    <t>3665346119136</t>
  </si>
  <si>
    <t>sku-AFFCP</t>
  </si>
  <si>
    <t>AFFGL</t>
  </si>
  <si>
    <t>Silère - Fang feng - 1 flacon de 100 gélules - 50g</t>
  </si>
  <si>
    <t>https://calebasse.com/produits/fang-feng-silere-3839?product=4166</t>
  </si>
  <si>
    <t>https://res.cloudinary.com/laboratoire-calebasse/image/upload/v1678966256/A_fangfeng_GL_2a277c153d.jpg</t>
  </si>
  <si>
    <t>3665346119150</t>
  </si>
  <si>
    <t>sku-AFFGL</t>
  </si>
  <si>
    <t>AFFL</t>
  </si>
  <si>
    <t>Silère - Fang feng - 1 Grand Sachet plante 300g</t>
  </si>
  <si>
    <t>https://calebasse.com/produits/fang-feng-silere-3839?product=4163</t>
  </si>
  <si>
    <t>https://res.cloudinary.com/laboratoire-calebasse/image/upload/v1751623781/SILERE_300_g_AFFL_ce00baed89.jpg</t>
  </si>
  <si>
    <t>3665346215623</t>
  </si>
  <si>
    <t>sku-AFFL</t>
  </si>
  <si>
    <t>AFL</t>
  </si>
  <si>
    <t>Poria - Fu ling - 1 Petit Sachet plante 100g</t>
  </si>
  <si>
    <t>Pour éliminer les excès d'eau et tonifier la Rate. Ses principaux bienfaits : draine les excès d'eau, stimule les fonctions éliminatrices</t>
  </si>
  <si>
    <t>https://calebasse.com/produits/fu-ling-poria-3787?product=4167</t>
  </si>
  <si>
    <t>https://res.cloudinary.com/laboratoire-calebasse/image/upload/v1746528209/PORIA_100_g_AFL_ab8d6e908b.jpg</t>
  </si>
  <si>
    <t>3665346120217</t>
  </si>
  <si>
    <t>sku-AFL</t>
  </si>
  <si>
    <t>3787</t>
  </si>
  <si>
    <t>AFLCP</t>
  </si>
  <si>
    <t>Poria - Fu ling - 1 flacon de poudre concentrée - 100g</t>
  </si>
  <si>
    <t>https://calebasse.com/produits/fu-ling-poria-3787?product=4169</t>
  </si>
  <si>
    <t>https://res.cloudinary.com/laboratoire-calebasse/image/upload/v1703089096/A_fuling_CP_eb4a7738a5.jpg</t>
  </si>
  <si>
    <t>3665346120231</t>
  </si>
  <si>
    <t>sku-AFLCP</t>
  </si>
  <si>
    <t>AFLGL</t>
  </si>
  <si>
    <t>Poria - Fu ling - 1 flacon de 100 gélules - 50g</t>
  </si>
  <si>
    <t>https://calebasse.com/produits/fu-ling-poria-3787?product=4172</t>
  </si>
  <si>
    <t>https://res.cloudinary.com/laboratoire-calebasse/image/upload/v1703089120/A_fuling_GL_d549694479.jpg</t>
  </si>
  <si>
    <t>3665346120255</t>
  </si>
  <si>
    <t>sku-AFLGL</t>
  </si>
  <si>
    <t>AFLL</t>
  </si>
  <si>
    <t>Poria - Fu ling - 1 Grand Sachet plante 300g</t>
  </si>
  <si>
    <t>https://calebasse.com/produits/fu-ling-poria-3787?product=4168</t>
  </si>
  <si>
    <t>https://res.cloudinary.com/laboratoire-calebasse/image/upload/v1747132588/PORIA_300_g_AFLL_4233253754.jpg</t>
  </si>
  <si>
    <t>3665346186220</t>
  </si>
  <si>
    <t>sku-AFLL</t>
  </si>
  <si>
    <t>AFLLX2</t>
  </si>
  <si>
    <t>Poria - Fu ling - 2 Grands Sachets plantes 300g</t>
  </si>
  <si>
    <t>https://calebasse.com/produits/fu-ling-poria-3787?product=7366</t>
  </si>
  <si>
    <t>https://res.cloudinary.com/laboratoire-calebasse/image/upload/v1753347034/_3f5556c10b.jpg</t>
  </si>
  <si>
    <t>sku-AFLLX2</t>
  </si>
  <si>
    <t>AFPZ</t>
  </si>
  <si>
    <t>Framboisier fruit - framboise - Fu pen zi - 1 Petit Sachet plante 100g</t>
  </si>
  <si>
    <t>Framboises séchées, enrichies en nutriments, idéales pour la santé féminine. Ses principaux bienfaits : renforce le jing, anti-oxydant, confort oculaire, défenses immunitaires</t>
  </si>
  <si>
    <t>https://calebasse.com/produits/fu-pen-zi-framboisier-fruit-framboise-5159?product=7441</t>
  </si>
  <si>
    <t>https://res.cloudinary.com/laboratoire-calebasse/image/upload/v1746529047/FRAMBOISIER_FRUIT_100_g_AFPZ_8e5563aefb.jpg</t>
  </si>
  <si>
    <t>3665346120910</t>
  </si>
  <si>
    <t>sku-AFPZ</t>
  </si>
  <si>
    <t>5159</t>
  </si>
  <si>
    <t>AGC</t>
  </si>
  <si>
    <t>Réglisse - Gan cao - 1 Petit Sachet plante 100g</t>
  </si>
  <si>
    <t>Pour retrouver le confort digestif. Ses principaux bienfaits : tonifie le qi, soutient les défenses naturelles, soulage les sensibilités de l'estomac, protège la fonction hépatique</t>
  </si>
  <si>
    <t>https://calebasse.com/produits/gan-cao-reglisse-3795?product=4174</t>
  </si>
  <si>
    <t>https://res.cloudinary.com/laboratoire-calebasse/image/upload/v1746526632/REGLISSE_100_g_AGC_e2f6e143c7.jpg</t>
  </si>
  <si>
    <t>3665346127612</t>
  </si>
  <si>
    <t>sku-AGC</t>
  </si>
  <si>
    <t>3795</t>
  </si>
  <si>
    <t>AGCL</t>
  </si>
  <si>
    <t>Réglisse - Gan cao - 1 Grand Sachet plante 300g</t>
  </si>
  <si>
    <t>https://calebasse.com/produits/gan-cao-reglisse-3795?product=4178</t>
  </si>
  <si>
    <t>https://res.cloudinary.com/laboratoire-calebasse/image/upload/v1747132574/REGLISSE_300_g_AGCL_178b0d8ae7.jpg</t>
  </si>
  <si>
    <t>3665346187227</t>
  </si>
  <si>
    <t>sku-AGCL</t>
  </si>
  <si>
    <t>AGF</t>
  </si>
  <si>
    <t>Fleur du Ginseng - Ren shen hua - 1 Petit Sachet plante 50g</t>
  </si>
  <si>
    <t>Pour augmenter le Qi. Ses principaux bienfaits : tonifie le qi, contribue à une bonne digestion, soutient les défenses naturelles</t>
  </si>
  <si>
    <t>https://calebasse.com/produits/ren-shen-hua-fleur-du-ginseng-3900?product=4616</t>
  </si>
  <si>
    <t>https://res.cloudinary.com/laboratoire-calebasse/image/upload/v1746524123/GINSENG_FLEUR_50_g_AGF_fd39ee6c7b.jpg</t>
  </si>
  <si>
    <t>3665346153314</t>
  </si>
  <si>
    <t>sku-AGF</t>
  </si>
  <si>
    <t>3900</t>
  </si>
  <si>
    <t>AGFL</t>
  </si>
  <si>
    <t>Fleur du Ginseng - Ren shen hua - 1 Grand Sachet plante 260g</t>
  </si>
  <si>
    <t>https://calebasse.com/produits/ren-shen-hua-fleur-du-ginseng-3900?product=4617</t>
  </si>
  <si>
    <t>https://res.cloudinary.com/laboratoire-calebasse/image/upload/v1748272109/GINSENG_FLEUR_260_g_AGFL_86293a1666.jpg</t>
  </si>
  <si>
    <t>3665346193129</t>
  </si>
  <si>
    <t>sku-AGFL</t>
  </si>
  <si>
    <t>AGG</t>
  </si>
  <si>
    <t>Racines de Kudzu - Ge gen - 1 Petit Sachet plante 100g</t>
  </si>
  <si>
    <t>Pour purifier l’organisme. Ses principaux bienfaits : détoxifie l'organisme, purifie le corps des substances addictives</t>
  </si>
  <si>
    <t>https://calebasse.com/produits/ge-gen-racines-de-kudzu-3842?product=4193</t>
  </si>
  <si>
    <t>https://res.cloudinary.com/laboratoire-calebasse/image/upload/v1746528835/RACINES_DE_KUDZU_100_g_AGG_f4659731f2.jpg</t>
  </si>
  <si>
    <t>3665346121917</t>
  </si>
  <si>
    <t>sku-AGG</t>
  </si>
  <si>
    <t>3842</t>
  </si>
  <si>
    <t>AGGGL</t>
  </si>
  <si>
    <t>Racines de Kudzu - Ge gen - 1 Flacon gélules en poudre concentrée 50g</t>
  </si>
  <si>
    <t>https://calebasse.com/produits/ge-gen-racines-de-kudzu-3842?product=7255</t>
  </si>
  <si>
    <t>https://res.cloudinary.com/laboratoire-calebasse/image/upload/v1706541400/A_gegen_GL_f13ca0a6fd.jpg</t>
  </si>
  <si>
    <t>3665346228951</t>
  </si>
  <si>
    <t>sku-AGGGL</t>
  </si>
  <si>
    <t>AGGL</t>
  </si>
  <si>
    <t>Racines de Kudzu - Ge gen - 1 Grand Sachet plante 300g</t>
  </si>
  <si>
    <t>https://calebasse.com/produits/ge-gen-racines-de-kudzu-3842?product=4192</t>
  </si>
  <si>
    <t>https://res.cloudinary.com/laboratoire-calebasse/image/upload/v1747132509/RACINES_DE_KUDZU_300_g_AGGL_568891e004.jpg</t>
  </si>
  <si>
    <t>sku-AGGL</t>
  </si>
  <si>
    <t>AGH</t>
  </si>
  <si>
    <t>Osmanthus - Gui Hua - 1 Petit Sachet plante 50g</t>
  </si>
  <si>
    <t>Fleurs dorées à l’arôme envoûtant, utilisées depuis des siècles en Chine pour un souffle plus libre. Ses principaux bienfaits : apaise la gorge, libère les voies respiratoires</t>
  </si>
  <si>
    <t>https://calebasse.com/produits/gui-hua-olivier-odorant-3794?product=4218</t>
  </si>
  <si>
    <t>https://res.cloudinary.com/laboratoire-calebasse/image/upload/v1752239994/OSMANTHUS_50_g_AGH_2f507a586d.jpg</t>
  </si>
  <si>
    <t>3665346124116</t>
  </si>
  <si>
    <t>sku-AGH</t>
  </si>
  <si>
    <t>https://res.cloudinary.com/laboratoire-calebasse/image/upload/v1755594327/1_61216e9142.jpg; https://res.cloudinary.com/laboratoire-calebasse/image/upload/v1755594328/2_24faab8c64.jpg; https://res.cloudinary.com/laboratoire-calebasse/image/upload/v1755594328/3_a78e072ed1.jpg; https://res.cloudinary.com/laboratoire-calebasse/image/upload/v1755594328/4_8509805646.jpg; https://res.cloudinary.com/laboratoire-calebasse/image/upload/v1755594328/5_ccff05e88d.jpg; https://res.cloudinary.com/laboratoire-calebasse/image/upload/v1755594328/6_30284fed4d.jpg</t>
  </si>
  <si>
    <t>3794</t>
  </si>
  <si>
    <t>AGJ</t>
  </si>
  <si>
    <t>Gingembre - Gan jiang - 1 Petit Sachet plante 100g</t>
  </si>
  <si>
    <t>Pour favoriser la digestion. Ses principaux bienfaits : contribue à une bonne digestion, soutient les défenses naturelles, contribue à équilibrer le sucre, contribue au fonctionnement normal du tube intestinal</t>
  </si>
  <si>
    <t>https://calebasse.com/produits/gan-jiang-gingembre-3793?product=4180</t>
  </si>
  <si>
    <t>https://res.cloudinary.com/laboratoire-calebasse/image/upload/v1746525057/GINGEMBRE_100_g_AGJ_cd7160edcb.jpg</t>
  </si>
  <si>
    <t>3665346132012</t>
  </si>
  <si>
    <t>sku-AGJ</t>
  </si>
  <si>
    <t>3793</t>
  </si>
  <si>
    <t>AGJC</t>
  </si>
  <si>
    <t>Malte du berger - Gu jing cao - 1 Petit Sachet plante 50g</t>
  </si>
  <si>
    <t>Pour apaiser les yeux sensibles et fatigués. Ses principaux bienfaits : clarifie la chaleur, apaiser la fatigue visuelle</t>
  </si>
  <si>
    <t>https://calebasse.com/produits/gu-jing-cao-malte-du-berger-3808?product=4209</t>
  </si>
  <si>
    <t>https://res.cloudinary.com/laboratoire-calebasse/image/upload/v1746529080/MALTE_DU_BERGER_50_g_AGJC_4a306189f8.jpg</t>
  </si>
  <si>
    <t>3665346122914</t>
  </si>
  <si>
    <t>sku-AGJC</t>
  </si>
  <si>
    <t>3808</t>
  </si>
  <si>
    <t>AGJCP</t>
  </si>
  <si>
    <t>Gingembre - Gan jiang - 1 flacon de poudre concentrée - 100g</t>
  </si>
  <si>
    <t>https://calebasse.com/produits/gan-jiang-gingembre-3793?product=4181</t>
  </si>
  <si>
    <t>https://res.cloudinary.com/laboratoire-calebasse/image/upload/v1634201105/A_ganjiangcp_8259bb7e62.jpg</t>
  </si>
  <si>
    <t>3665346132036</t>
  </si>
  <si>
    <t>sku-AGJCP</t>
  </si>
  <si>
    <t>AGJGL</t>
  </si>
  <si>
    <t>Gingembre - Gan jiang - 1 flacon de 100 gélules - 50g</t>
  </si>
  <si>
    <t>https://calebasse.com/produits/gan-jiang-gingembre-3793?product=4184</t>
  </si>
  <si>
    <t>https://res.cloudinary.com/laboratoire-calebasse/image/upload/v1634201104/A_ganjianggl_0a944ea26c.jpg</t>
  </si>
  <si>
    <t>3665346132050</t>
  </si>
  <si>
    <t>sku-AGJGL</t>
  </si>
  <si>
    <t>AGJH</t>
  </si>
  <si>
    <t>Chrysanthème - Ju hua (gong) - 1 Petit Sachet plante 100g</t>
  </si>
  <si>
    <t>Pour apaiser les yeux. Ses principaux bienfaits : confort oculaire, apaiser la fatigue visuelle</t>
  </si>
  <si>
    <t>https://calebasse.com/produits/ju-hua-gong-boutons-de-chrysantheme-gong-5053?product=7281</t>
  </si>
  <si>
    <t>https://res.cloudinary.com/laboratoire-calebasse/image/upload/v1746529111/CHRYSANTHEME_GONG_100_g_AGJH_e3d45df02c.jpg</t>
  </si>
  <si>
    <t>3665346135211</t>
  </si>
  <si>
    <t>sku-AGJH</t>
  </si>
  <si>
    <t>5053</t>
  </si>
  <si>
    <t>AGJL</t>
  </si>
  <si>
    <t>Gingembre - Gan jiang - 1 Grand Sachet plante 300g</t>
  </si>
  <si>
    <t>https://calebasse.com/produits/gan-jiang-gingembre-3793?product=4182</t>
  </si>
  <si>
    <t>https://res.cloudinary.com/laboratoire-calebasse/image/upload/v1747132560/GINGEMBRE_300_g_AGJL_20df7d9298.jpg</t>
  </si>
  <si>
    <t>3665346194522</t>
  </si>
  <si>
    <t>sku-AGJL</t>
  </si>
  <si>
    <t>AGJQ</t>
  </si>
  <si>
    <t>Herbe de Desmodium - Guang jin qian cao - 1 Petit Sachet plante 50g</t>
  </si>
  <si>
    <t>Pour stimuler la fonction hépatique. Ses principaux bienfaits : contribue à une bonne digestion, protège la fonction hépatique, stimule le foie</t>
  </si>
  <si>
    <t>https://calebasse.com/produits/guang-jin-qian-cao-herbe-de-desmodium-3791?product=4215</t>
  </si>
  <si>
    <t>https://res.cloudinary.com/laboratoire-calebasse/image/upload/v1751623935/HERBE_DE_DESMODIUM_50_g_AGJQ_799f0533c9.jpg</t>
  </si>
  <si>
    <t>3665346133811</t>
  </si>
  <si>
    <t>sku-AGJQ</t>
  </si>
  <si>
    <t>3791</t>
  </si>
  <si>
    <t>AGJQL</t>
  </si>
  <si>
    <t>Herbe de Desmodium - Guang jin qian cao - 1 Grand Sachet plante 150g</t>
  </si>
  <si>
    <t>https://calebasse.com/produits/guang-jin-qian-cao-herbe-de-desmodium-3791?product=4217</t>
  </si>
  <si>
    <t>https://res.cloudinary.com/laboratoire-calebasse/image/upload/v1751623914/HERBE_DE_DESMODIUM_150_g_AGJQL_87ba676f21.jpg</t>
  </si>
  <si>
    <t>3665346188828</t>
  </si>
  <si>
    <t>sku-AGJQL</t>
  </si>
  <si>
    <t>AGLJ</t>
  </si>
  <si>
    <t>Galangal - Gao liang jiang - 1 Petit Sachet plante 100g</t>
  </si>
  <si>
    <t>Pour retrouver l'équilibre gastrique et intestinal. Ses principaux bienfaits : harmonise l'estomac, contribue à une bonne digestion, contribue au fonctionnement normal du tube intestinal</t>
  </si>
  <si>
    <t>https://calebasse.com/produits/gao-liang-jiang-galangal-3780?product=4186</t>
  </si>
  <si>
    <t>https://res.cloudinary.com/laboratoire-calebasse/image/upload/v1746534575/GALANGAL_100_g_AGLJ_21a35e1e6e.jpg</t>
  </si>
  <si>
    <t>3665346121719</t>
  </si>
  <si>
    <t>sku-AGLJ</t>
  </si>
  <si>
    <t>3780</t>
  </si>
  <si>
    <t>AGLJCP</t>
  </si>
  <si>
    <t>Galangal - Gao liang jiang - 1 flacon de poudre concentrée - 100g</t>
  </si>
  <si>
    <t>https://calebasse.com/produits/gao-liang-jiang-galangal-3780?product=4188</t>
  </si>
  <si>
    <t>https://res.cloudinary.com/laboratoire-calebasse/image/upload/v1634201104/A_gaoliangjiangcp_5cfd012ac0.jpg</t>
  </si>
  <si>
    <t>3665346121733</t>
  </si>
  <si>
    <t>sku-AGLJCP</t>
  </si>
  <si>
    <t>AGLJGL</t>
  </si>
  <si>
    <t>Galangal - Gao liang jiang - 1 flacon de 100 gélules - 50g</t>
  </si>
  <si>
    <t>https://calebasse.com/produits/gao-liang-jiang-galangal-3780?product=4191</t>
  </si>
  <si>
    <t>https://res.cloudinary.com/laboratoire-calebasse/image/upload/v1634201104/A_gaoliangjianggl_8fbc1826e0.jpg</t>
  </si>
  <si>
    <t>3665346121757</t>
  </si>
  <si>
    <t>sku-AGLJGL</t>
  </si>
  <si>
    <t>AGLJL</t>
  </si>
  <si>
    <t>Galangal - Gao liang jiang - 1 Grand Sachet plante 300g</t>
  </si>
  <si>
    <t>https://calebasse.com/produits/gao-liang-jiang-galangal-3780?product=4187</t>
  </si>
  <si>
    <t>https://res.cloudinary.com/laboratoire-calebasse/image/upload/v1747132527/GALANGAL_300_g_AGLJL_d848c471a6.jpg</t>
  </si>
  <si>
    <t>3665346121726</t>
  </si>
  <si>
    <t>sku-AGLJL</t>
  </si>
  <si>
    <t>AGQZ</t>
  </si>
  <si>
    <t>Baies de Goji premium – le goji rouge, fruit de la jeunesse éternelle - Petit sachet de Goji premium : 200g</t>
  </si>
  <si>
    <t>Antioxydant, détoxifiant et revitalisant, le goji aide à préserver la jeunesse du corps. Ses principaux bienfaits : anti-oxydant, réduit la fatigue, détoxifie l'organisme, vitalité de l'homme</t>
  </si>
  <si>
    <t>https://calebasse.com/produits/gou-qi-zi-baies-de-goji-3832?product=4194</t>
  </si>
  <si>
    <t>https://res.cloudinary.com/laboratoire-calebasse/image/upload/v1746525522/BAIES_DE_GOJI_200_g_AGQZ_5b69fbc46a.jpg</t>
  </si>
  <si>
    <t>3665346122617</t>
  </si>
  <si>
    <t>sku-AGQZ</t>
  </si>
  <si>
    <t>https://res.cloudinary.com/laboratoire-calebasse/image/upload/v1724315596/1_7c32873cf3.png; https://res.cloudinary.com/laboratoire-calebasse/image/upload/v1724256452/2_9d8d5d8bee.png; https://res.cloudinary.com/laboratoire-calebasse/image/upload/v1724315673/3_f4491e1c95.png; https://res.cloudinary.com/laboratoire-calebasse/image/upload/v1724315711/6_c9c117d8ab.png; https://res.cloudinary.com/laboratoire-calebasse/image/upload/v1724256452/5_bef79b22b9.png; https://res.cloudinary.com/laboratoire-calebasse/image/upload/v1724316243/7_59dd999220.jpg; https://res.cloudinary.com/laboratoire-calebasse/image/upload/v1724316244/9_4fa9c78d89.jpg; https://res.cloudinary.com/laboratoire-calebasse/image/upload/v1724316244/10_26c0189a57.jpg</t>
  </si>
  <si>
    <t>3832</t>
  </si>
  <si>
    <t>AGQZ+AJHUA</t>
  </si>
  <si>
    <t>Tisane Éveil du Printemps - Chrysanthème et Baies de goji - Duo : Baies de goji 200 g + Camomille chinoise 100 g</t>
  </si>
  <si>
    <t xml:space="preserve"> Ses principaux bienfaits : régule le yang du foie, défenses immunitaires, confort oculaire Ses principaux bienfaits : régule le yang du foie, défenses immunitaires, confort oculaire</t>
  </si>
  <si>
    <t>https://calebasse.com/produits/tisane-eveil-du-printemps-chrysantheme-et-baies-de-goji?product=7459</t>
  </si>
  <si>
    <t>https://res.cloudinary.com/laboratoire-calebasse/image/upload/v1744961828/eveil_du_printempsx2_f8154a7e8a.png</t>
  </si>
  <si>
    <t>sku-AGQZ+AJHUA</t>
  </si>
  <si>
    <t>5166</t>
  </si>
  <si>
    <t>AGQZCP</t>
  </si>
  <si>
    <t>Extrait de baies de goji - 1 flacon de poudre concentrée - 100g</t>
  </si>
  <si>
    <t>Pour préserver la jeunesse du corps. Ses principaux bienfaits : détoxifie l'organisme, réduit la fatigue, anti-oxydant</t>
  </si>
  <si>
    <t>https://calebasse.com/produits/extrait-de-baies-de-goji-61110?product=4196</t>
  </si>
  <si>
    <t>https://res.cloudinary.com/laboratoire-calebasse/image/upload/v1760543619/BAIES_DE_GOJI_AGQZCP_4e33e7b0fc.jpg</t>
  </si>
  <si>
    <t>3665346122631</t>
  </si>
  <si>
    <t>sku-AGQZCP</t>
  </si>
  <si>
    <t>5097</t>
  </si>
  <si>
    <t>AGQZGL</t>
  </si>
  <si>
    <t>Extrait de baies de goji - 1 flacon de 100 gélules - 50g</t>
  </si>
  <si>
    <t>https://calebasse.com/produits/extrait-de-baies-de-goji-61110?product=4198</t>
  </si>
  <si>
    <t>https://res.cloudinary.com/laboratoire-calebasse/image/upload/v1760543634/BAIES_DE_GOJI_AGQZGL_6f89adc012.jpg</t>
  </si>
  <si>
    <t>3665346122655</t>
  </si>
  <si>
    <t>sku-AGQZGL</t>
  </si>
  <si>
    <t>AGQZL</t>
  </si>
  <si>
    <t>Baies de Goji premium – le goji rouge, fruit de la jeunesse éternelle - Grand sachet de Goji premium : 600 g</t>
  </si>
  <si>
    <t>https://calebasse.com/produits/gou-qi-zi-baies-de-goji-3832?product=4195</t>
  </si>
  <si>
    <t>https://res.cloudinary.com/laboratoire-calebasse/image/upload/v1747132480/BAIES_DE_GOJI_600_g_AGQZL_45f2c54569.jpg</t>
  </si>
  <si>
    <t>3665346217429</t>
  </si>
  <si>
    <t>sku-AGQZL</t>
  </si>
  <si>
    <t>AGSB</t>
  </si>
  <si>
    <t>Fougère des paniers - Gu sui bu - 1 Petit Sachet plante 100g</t>
  </si>
  <si>
    <t>Pour préserver la santé osseuse. Ses principaux bienfaits : favorise le confort articulaire, contribue à la santé des os</t>
  </si>
  <si>
    <t>https://calebasse.com/produits/gu-sui-bu-fougere-des-paniers-3792?product=4207</t>
  </si>
  <si>
    <t>https://res.cloudinary.com/laboratoire-calebasse/image/upload/v1746534560/FOUGERE_DES_PANIERS_100_g_AGSB_57d7918e80.jpg</t>
  </si>
  <si>
    <t>3665346123119</t>
  </si>
  <si>
    <t>sku-AGSB</t>
  </si>
  <si>
    <t>3792</t>
  </si>
  <si>
    <t>AGSBL</t>
  </si>
  <si>
    <t>Fougère des paniers - Gu sui bu - 1 Grand Sachet plante 240g</t>
  </si>
  <si>
    <t>https://calebasse.com/produits/gu-sui-bu-fougere-des-paniers-3792?product=4208</t>
  </si>
  <si>
    <t>https://res.cloudinary.com/laboratoire-calebasse/image/upload/v1747132459/FOUGERE_DES_PANIERS_240_g_AGSBL_a7f000e2ad.jpg</t>
  </si>
  <si>
    <t>3665346190029</t>
  </si>
  <si>
    <t>sku-AGSBL</t>
  </si>
  <si>
    <t>AGT</t>
  </si>
  <si>
    <t>Griffe de chat - Gou teng - 1 Petit Sachet plante 100g</t>
  </si>
  <si>
    <t>Pour des articulations flexibles. Ses principaux bienfaits : favorise le confort articulaire, soulage la tête</t>
  </si>
  <si>
    <t>https://calebasse.com/produits/gou-teng-griffe-de-chat-3765?product=4202</t>
  </si>
  <si>
    <t>https://res.cloudinary.com/laboratoire-calebasse/image/upload/v1751624277/GRIFFE_DE_CHAT_100_g_AGT_364f823acc.jpg</t>
  </si>
  <si>
    <t>3665346122716</t>
  </si>
  <si>
    <t>sku-AGT</t>
  </si>
  <si>
    <t>3765</t>
  </si>
  <si>
    <t>AGTGL</t>
  </si>
  <si>
    <t>Griffe de chat - Gou teng - 1 flacon de 100 gélules - 50g</t>
  </si>
  <si>
    <t>https://calebasse.com/produits/gou-teng-griffe-de-chat-3765?product=4204</t>
  </si>
  <si>
    <t>https://res.cloudinary.com/laboratoire-calebasse/image/upload/v1634201104/A_goutenggl_a70c3453d3.jpg</t>
  </si>
  <si>
    <t>3665346122754</t>
  </si>
  <si>
    <t>sku-AGTGL</t>
  </si>
  <si>
    <t>AGTL</t>
  </si>
  <si>
    <t>Griffe de chat - Gou teng - 1 Grand Sachet plante 240g</t>
  </si>
  <si>
    <t>https://calebasse.com/produits/gou-teng-griffe-de-chat-3765?product=4200</t>
  </si>
  <si>
    <t>https://res.cloudinary.com/laboratoire-calebasse/image/upload/v1747132494/GRIFFE_DE_CHAT_240_g_AGTL_01e55cbcb2.jpg</t>
  </si>
  <si>
    <t>3665346196229</t>
  </si>
  <si>
    <t>sku-AGTL</t>
  </si>
  <si>
    <t>AGZ</t>
  </si>
  <si>
    <t>Tiges de Cannelle - Gui zhi - 1 Petit Sachet plante 100g</t>
  </si>
  <si>
    <t>Pour mieux vivre les règles. Ses principaux bienfaits : aide à mieux vivre les règles</t>
  </si>
  <si>
    <t>https://calebasse.com/produits/gui-zhi-tiges-de-cannelle-4509?product=4220</t>
  </si>
  <si>
    <t>https://res.cloudinary.com/laboratoire-calebasse/image/upload/v1746525552/TIGES_DE_CANNELLE_100_g_AGZ_d33cb04620.jpg</t>
  </si>
  <si>
    <t>3665346124512</t>
  </si>
  <si>
    <t>sku-AGZ</t>
  </si>
  <si>
    <t>4509</t>
  </si>
  <si>
    <t>AGZGL</t>
  </si>
  <si>
    <t>Tiges de Cannelle - Gui zhi - 1 flacon de 100 gélules - 50g</t>
  </si>
  <si>
    <t>https://calebasse.com/produits/gui-zhi-tiges-de-cannelle-4509?product=4224</t>
  </si>
  <si>
    <t>https://res.cloudinary.com/laboratoire-calebasse/image/upload/v1634201104/A_guizhigl_b349909e71.jpg</t>
  </si>
  <si>
    <t>3665346124550</t>
  </si>
  <si>
    <t>sku-AGZGL</t>
  </si>
  <si>
    <t>AGZL</t>
  </si>
  <si>
    <t>Tiges de Cannelle - Gui zhi - 1 Grand Sachet plante 300g</t>
  </si>
  <si>
    <t>https://calebasse.com/produits/gui-zhi-tiges-de-cannelle-4509?product=4221</t>
  </si>
  <si>
    <t>https://res.cloudinary.com/laboratoire-calebasse/image/upload/v1747064861/TIGES_DE_CANNELLE_300_g_AGZL_4df82889bf.jpg</t>
  </si>
  <si>
    <t>3665346216125</t>
  </si>
  <si>
    <t>sku-AGZL</t>
  </si>
  <si>
    <t>AHFT</t>
  </si>
  <si>
    <t>Liane de poivre japonais - Hai feng teng - 1 Petit Sachet plante 100g</t>
  </si>
  <si>
    <t>Pour soulager les sensibilités articulaires. Ses principaux bienfaits : favorise le confort articulaire, apaise les sensibilités articulaires</t>
  </si>
  <si>
    <t>https://calebasse.com/produits/hai-feng-teng-liane-de-poivre-japonais-3811?product=4226</t>
  </si>
  <si>
    <t>https://res.cloudinary.com/laboratoire-calebasse/image/upload/v1746526185/LIANE_DE_POIVRE_JAPONAIS_100_g_AHFT_3496ab2962.jpg</t>
  </si>
  <si>
    <t>3665346125014</t>
  </si>
  <si>
    <t>sku-AHFT</t>
  </si>
  <si>
    <t>3811</t>
  </si>
  <si>
    <t>AHFTL</t>
  </si>
  <si>
    <t>Liane de poivre japonais - Hai feng teng - 1 Grand Sachet plante 300g</t>
  </si>
  <si>
    <t>https://calebasse.com/produits/hai-feng-teng-liane-de-poivre-japonais-3811?product=4227</t>
  </si>
  <si>
    <t>https://res.cloudinary.com/laboratoire-calebasse/image/upload/v1663151758/A_haifengteng_052c95f538.jpg</t>
  </si>
  <si>
    <t>sku-AHFTL</t>
  </si>
  <si>
    <t>AHGQ</t>
  </si>
  <si>
    <t>Baies de Goji Noires premium – Le goji noir, roi des anthocyanines - Hei gou qi - 1 sachet Baies de Goji noires prémium - 100g</t>
  </si>
  <si>
    <t>Antioxydant, revitalisant et fortifiant. Pour diminuer les effets du vieillissement, garder l'éclat de la jeunesse et renforcer vos défenses. Ses principaux bienfaits : anti-oxydant, anti-rides, apaiser la fatigue visuelle, réduit la fatigue, défenses immunitaires</t>
  </si>
  <si>
    <t>https://calebasse.com/produits/baies-de-goji-noir-premium-le-roi-des-anthocyanines-5149?product=7422</t>
  </si>
  <si>
    <t>https://res.cloudinary.com/laboratoire-calebasse/image/upload/v1746535241/BAIES_DE_GOJI_NOIRES_100_g_AHGQ_25b0f1a07a.jpg</t>
  </si>
  <si>
    <t>3665346217313</t>
  </si>
  <si>
    <t>sku-AHGQ</t>
  </si>
  <si>
    <t>https://res.cloudinary.com/laboratoire-calebasse/image/upload/v1736242430/Instagram_post_1_538f271c38.jpg; https://res.cloudinary.com/laboratoire-calebasse/image/upload/v1736242430/Instagram_post_3_ccf97480d4.jpg; https://res.cloudinary.com/laboratoire-calebasse/image/upload/v1736242430/Instagram_post_2_37d1add9a9.jpg; https://res.cloudinary.com/laboratoire-calebasse/image/upload/v1736242430/Instagram_post_4_49b8b78048.jpg; https://res.cloudinary.com/laboratoire-calebasse/image/upload/v1755770012/Goji_noir_compare_r_1_e0f18e42ab.png</t>
  </si>
  <si>
    <t>5150</t>
  </si>
  <si>
    <t>AHGQ-XL</t>
  </si>
  <si>
    <t>Baies de Goji Noires premium – Le goji noir, roi des anthocyanines - Hei gou qi - 1 sachet Baies de Goji noires premium sélection XL - 100g</t>
  </si>
  <si>
    <t>https://calebasse.com/produits/baies-de-goji-noir-premium-le-roi-des-anthocyanines-5149?product=7537</t>
  </si>
  <si>
    <t>https://res.cloudinary.com/laboratoire-calebasse/image/upload/v1755769567/BAIES_DE_GOJI_NOIRES_XL_100_g_AHGQ_XL_a00206b1ef.jpg</t>
  </si>
  <si>
    <t>3665346122624</t>
  </si>
  <si>
    <t>sku-AHGQ-XL</t>
  </si>
  <si>
    <t>Anti-oxydant; Anti-rides; Apaiser la fatigue visuelle; Réduit la fatigue; Défenses immunitaires</t>
  </si>
  <si>
    <t>AHH</t>
  </si>
  <si>
    <t>Fleurs de lotus - He Hua - 1 Petit Sachet plante 50g</t>
  </si>
  <si>
    <t>Pour retrouver le confort. Ses principaux bienfaits : tranquillise le shen, favorise la cicatrisation</t>
  </si>
  <si>
    <t>https://calebasse.com/produits/he-hua-fleurs-de-lotus-3815?product=4236</t>
  </si>
  <si>
    <t>https://res.cloudinary.com/laboratoire-calebasse/image/upload/v1746528750/LOTUS_FLEUR_50_g_AHH_9976d6c72f.jpg</t>
  </si>
  <si>
    <t>3665346193419</t>
  </si>
  <si>
    <t>sku-AHH</t>
  </si>
  <si>
    <t>3815</t>
  </si>
  <si>
    <t>AHHM</t>
  </si>
  <si>
    <t>Sophora du Japon - Huai hua mi - 1 Petit Sachet plante 100g</t>
  </si>
  <si>
    <t>Pour tonifier la circulation veineuse. Ses principaux bienfaits : contribue au confort veineux, soulage les jambes lourdes, atténuer les pertes de sang</t>
  </si>
  <si>
    <t>https://calebasse.com/produits/huai-hua-mi-sophora-du-japon-3822?product=4316</t>
  </si>
  <si>
    <t>https://res.cloudinary.com/laboratoire-calebasse/image/upload/v1746525886/SOPHORA_DU_JAPON_100_g_AHHM_a012ffa58f.jpg</t>
  </si>
  <si>
    <t>3665346129814</t>
  </si>
  <si>
    <t>sku-AHHM</t>
  </si>
  <si>
    <t>3822</t>
  </si>
  <si>
    <t>AHHMCP</t>
  </si>
  <si>
    <t>Sophora du Japon - Huai hua mi - 1 flacon de poudre concentrée - 100g</t>
  </si>
  <si>
    <t>https://calebasse.com/produits/huai-hua-mi-sophora-du-japon-3822?product=4317</t>
  </si>
  <si>
    <t>https://res.cloudinary.com/laboratoire-calebasse/image/upload/v1634201110/A_huaihuamicp_7e54fec55b.jpg</t>
  </si>
  <si>
    <t>3665346129838</t>
  </si>
  <si>
    <t>sku-AHHMCP</t>
  </si>
  <si>
    <t>AHHMGL</t>
  </si>
  <si>
    <t>Sophora du Japon - Huai hua mi - 1 flacon de 100 gélules - 50g</t>
  </si>
  <si>
    <t>https://calebasse.com/produits/huai-hua-mi-sophora-du-japon-3822?product=4320</t>
  </si>
  <si>
    <t>https://res.cloudinary.com/laboratoire-calebasse/image/upload/v1634201110/A_huaihuamigl_e080c30564.jpg</t>
  </si>
  <si>
    <t>3665346129852</t>
  </si>
  <si>
    <t>sku-AHHMGL</t>
  </si>
  <si>
    <t>AHHML</t>
  </si>
  <si>
    <t>Sophora du Japon - Huai hua mi - 1 Grand Sachet plante 300g</t>
  </si>
  <si>
    <t>https://calebasse.com/produits/huai-hua-mi-sophora-du-japon-3822?product=4319</t>
  </si>
  <si>
    <t>https://res.cloudinary.com/laboratoire-calebasse/image/upload/v1747064151/SOPHORA_DU_JAPON_300_g_AHHML_e2be10e93a.jpg</t>
  </si>
  <si>
    <t>3665346219829</t>
  </si>
  <si>
    <t>sku-AHHML</t>
  </si>
  <si>
    <t>AHHP</t>
  </si>
  <si>
    <t>Écorce d’Arbre à soie - He huan pi - 1 Petit Sachet plante 100g</t>
  </si>
  <si>
    <t>Pour calmer la nervosité. Ses principaux bienfaits : améliore la qualité du sommeil, tranquillise le shen, améliore l'humeur</t>
  </si>
  <si>
    <t>https://calebasse.com/produits/he-huan-pi-ecorce-darbre-a-soie-3817?product=4244</t>
  </si>
  <si>
    <t>https://res.cloudinary.com/laboratoire-calebasse/image/upload/v1746524570/ECORCE_D_ARBRE_A_SOIE_100_g_AHHP_2adb3ae8b6.jpg</t>
  </si>
  <si>
    <t>3665346126011</t>
  </si>
  <si>
    <t>sku-AHHP</t>
  </si>
  <si>
    <t>3817</t>
  </si>
  <si>
    <t>AHHPCP</t>
  </si>
  <si>
    <t>Écorce d’Arbre à soie - He huan pi - 1 flacon de poudre concentrée - 100g</t>
  </si>
  <si>
    <t>https://calebasse.com/produits/he-huan-pi-ecorce-darbre-a-soie-3817?product=4246</t>
  </si>
  <si>
    <t>https://res.cloudinary.com/laboratoire-calebasse/image/upload/v1760544007/ECORCE_D_ARBRE_A_SOIE_AHHPCP_a51f325d0c.jpg</t>
  </si>
  <si>
    <t>3665346126035</t>
  </si>
  <si>
    <t>sku-AHHPCP</t>
  </si>
  <si>
    <t>AHHPGL</t>
  </si>
  <si>
    <t>Écorce d’Arbre à soie - He huan pi - 1 flacon de 100 gélules - 50g</t>
  </si>
  <si>
    <t>https://calebasse.com/produits/he-huan-pi-ecorce-darbre-a-soie-3817?product=4248</t>
  </si>
  <si>
    <t>https://res.cloudinary.com/laboratoire-calebasse/image/upload/v1760544019/ECORCE_D_ARBRE_A_SOIE_AHHPGL_69911973e1.jpg</t>
  </si>
  <si>
    <t>sku-AHHPGL</t>
  </si>
  <si>
    <t>AHHPL</t>
  </si>
  <si>
    <t>Écorce d’Arbre à soie - He huan pi - 1 Grand Sachet plante 300g</t>
  </si>
  <si>
    <t>https://calebasse.com/produits/he-huan-pi-ecorce-darbre-a-soie-3817?product=4245</t>
  </si>
  <si>
    <t>https://res.cloudinary.com/laboratoire-calebasse/image/upload/v1747064800/ECORCE_D_ARBRE_A_SOIE_300_g_AHHPL_6294bb12ea.jpg</t>
  </si>
  <si>
    <t>3665346192320</t>
  </si>
  <si>
    <t>sku-AHHPL</t>
  </si>
  <si>
    <t>AHHUA</t>
  </si>
  <si>
    <t>Fleurs de Carthame - Hong hua - 1 Petit Sachet plante 50g</t>
  </si>
  <si>
    <t>Pour dissoudre la Stase. Ses principaux bienfaits : contribue au confort veineux, soulage les jambes lourdes</t>
  </si>
  <si>
    <t>https://calebasse.com/produits/hong-hua-fleurs-de-carthame-3836?product=4266</t>
  </si>
  <si>
    <t>https://res.cloudinary.com/laboratoire-calebasse/image/upload/v1746527444/FLEURS_DE_CARTHAME_50_g_AHHUA_b871d9d18c.jpg</t>
  </si>
  <si>
    <t>3665346127414</t>
  </si>
  <si>
    <t>sku-AHHUA</t>
  </si>
  <si>
    <t>3836</t>
  </si>
  <si>
    <t>AHHUACP</t>
  </si>
  <si>
    <t>Fleurs de Carthame - Hong hua - 1 flacon de poudre concentrée - 100g</t>
  </si>
  <si>
    <t>https://calebasse.com/produits/hong-hua-fleurs-de-carthame-3836?product=4268</t>
  </si>
  <si>
    <t>https://res.cloudinary.com/laboratoire-calebasse/image/upload/v1634201105/A_honghuacp_c7eb177837.jpg</t>
  </si>
  <si>
    <t>3665346127438</t>
  </si>
  <si>
    <t>sku-AHHUACP</t>
  </si>
  <si>
    <t>AHHUAGL</t>
  </si>
  <si>
    <t>Fleurs de Carthame - Hong hua - 1 flacon de 100 gélules - 50g</t>
  </si>
  <si>
    <t>https://calebasse.com/produits/hong-hua-fleurs-de-carthame-3836?product=4269</t>
  </si>
  <si>
    <t>https://res.cloudinary.com/laboratoire-calebasse/image/upload/v1634201104/A_honghuagl_dd67efe6a8.jpg</t>
  </si>
  <si>
    <t>3665346127452</t>
  </si>
  <si>
    <t>sku-AHHUAGL</t>
  </si>
  <si>
    <t>AHJ</t>
  </si>
  <si>
    <t>Cordée des Montagnes - L'Élixir de la Jeunesse - Huang jing - 1 Petit Sachet plante 100g</t>
  </si>
  <si>
    <t>Goût sucré et moelleux, tonifiante, nourrissante et rééquilibrante. Tonifie les reins, soutient l’énergie vitale et aide à préserver l’éclat de la peau. Ses principaux bienfaits : tonifie le qi, réduit la fatigue, calme l’esprit et améliore le sommeil</t>
  </si>
  <si>
    <t>https://calebasse.com/produits/huang-jing-cordee-des-montagnes-3812?product=4322</t>
  </si>
  <si>
    <t>https://res.cloudinary.com/laboratoire-calebasse/image/upload/v1746535022/CORDEE_DES_MONTAGNES_100_g_AHJ_045113aaf8.jpg</t>
  </si>
  <si>
    <t>3665346130117</t>
  </si>
  <si>
    <t>sku-AHJ</t>
  </si>
  <si>
    <t>https://res.cloudinary.com/laboratoire-calebasse/image/upload/v1753369363/1_6bd4035feb.jpg; https://res.cloudinary.com/laboratoire-calebasse/image/upload/v1753101213/2_d4d791cf59.jpg; https://res.cloudinary.com/laboratoire-calebasse/image/upload/v1753101213/3_4adfe85721.jpg; https://res.cloudinary.com/laboratoire-calebasse/image/upload/v1753101213/4_06be049910.jpg; https://res.cloudinary.com/laboratoire-calebasse/image/upload/v1753101213/5_274b97c18c.jpg; https://res.cloudinary.com/laboratoire-calebasse/image/upload/v1753101211/6_4555a90c55.jpg</t>
  </si>
  <si>
    <t>3812</t>
  </si>
  <si>
    <t>AHJB</t>
  </si>
  <si>
    <t>Poivre blanc - Hu jiao (bai) - 1 Petit Sachet plante 100g</t>
  </si>
  <si>
    <t>Pour améliorer la digestion. Ses principaux bienfaits : contribue à une bonne digestion, soulage les sensibilités de l'estomac, stimule l'appétit</t>
  </si>
  <si>
    <t>https://calebasse.com/produits/bai-hu-jiao-poivre-blanc-4500?product=4295</t>
  </si>
  <si>
    <t>https://res.cloudinary.com/laboratoire-calebasse/image/upload/v1746526795/POIVRE_BLANC_100_g_AHJB_e410819fdd.jpg</t>
  </si>
  <si>
    <t>3665346128619</t>
  </si>
  <si>
    <t>sku-AHJB</t>
  </si>
  <si>
    <t>4500</t>
  </si>
  <si>
    <t>AHJBGL</t>
  </si>
  <si>
    <t>Poivre blanc - Hu jiao (bai) - 1 Flacon gélules en poudre concentrée 50g</t>
  </si>
  <si>
    <t>https://calebasse.com/produits/bai-hu-jiao-poivre-blanc-4500?product=7256</t>
  </si>
  <si>
    <t>https://res.cloudinary.com/laboratoire-calebasse/image/upload/v1706544875/A_hujiaobai_GL_7c0da94b86.jpg</t>
  </si>
  <si>
    <t>3665346128657</t>
  </si>
  <si>
    <t>sku-AHJBGL</t>
  </si>
  <si>
    <t>AHJBL</t>
  </si>
  <si>
    <t>Poivre blanc - Hu jiao (bai) - 1 Grand Sachet plante 300g</t>
  </si>
  <si>
    <t>https://calebasse.com/produits/bai-hu-jiao-poivre-blanc-4500?product=4297</t>
  </si>
  <si>
    <t>https://res.cloudinary.com/laboratoire-calebasse/image/upload/v1747133282/POIVRE_BLANC_300_g_AHJBL_e2086fd858.jpg</t>
  </si>
  <si>
    <t>3665346128626</t>
  </si>
  <si>
    <t>sku-AHJBL</t>
  </si>
  <si>
    <t>AHJH</t>
  </si>
  <si>
    <t>Poivre noir - Hu jiao (hei) - 1 Petit Sachet plante 100g</t>
  </si>
  <si>
    <t>Pour stimuler la digestion. Ses principaux bienfaits : contribue à une bonne digestion, favorise le confort intestinal</t>
  </si>
  <si>
    <t>https://calebasse.com/produits/hei-hu-jiao-poivre-noir-3814?product=4294</t>
  </si>
  <si>
    <t>https://res.cloudinary.com/laboratoire-calebasse/image/upload/v1746535256/POIVRE_NOIR_100_g_AHJH_e6c6c208a8.jpg</t>
  </si>
  <si>
    <t>3665346128718</t>
  </si>
  <si>
    <t>sku-AHJH</t>
  </si>
  <si>
    <t>3814</t>
  </si>
  <si>
    <t>AHJHGL</t>
  </si>
  <si>
    <t>Poivre noir - Hu jiao (hei) - 1 Flacon gélules en poudre concentrée 50g</t>
  </si>
  <si>
    <t>https://calebasse.com/produits/hei-hu-jiao-poivre-noir-3814?product=6385</t>
  </si>
  <si>
    <t>https://res.cloudinary.com/laboratoire-calebasse/image/upload/v1634201200/A_hujiaoheigl_96e2f1380a.jpg</t>
  </si>
  <si>
    <t>3665346128756</t>
  </si>
  <si>
    <t>sku-AHJHGL</t>
  </si>
  <si>
    <t>AHJHL</t>
  </si>
  <si>
    <t>Poivre noir - Hu jiao (hei) - 1 Grand Sachet plante 300g</t>
  </si>
  <si>
    <t>https://calebasse.com/produits/hei-hu-jiao-poivre-noir-3814?product=4296</t>
  </si>
  <si>
    <t>https://res.cloudinary.com/laboratoire-calebasse/image/upload/v1747064726/POIVRE_NOIR_300_g_AHJHL_031ea8651f.jpg</t>
  </si>
  <si>
    <t>3665346128725</t>
  </si>
  <si>
    <t>sku-AHJHL</t>
  </si>
  <si>
    <t>AHJL</t>
  </si>
  <si>
    <t>Cordée des Montagnes - L'Élixir de la Jeunesse - Huang jing - 1 Grand Sachet plante 300g</t>
  </si>
  <si>
    <t>https://calebasse.com/produits/huang-jing-cordee-des-montagnes-3812?product=4323</t>
  </si>
  <si>
    <t>https://res.cloudinary.com/laboratoire-calebasse/image/upload/v1747064136/CORDEE_DES_MONTAGNES_300_g_AHJL_a98d09e970.jpg</t>
  </si>
  <si>
    <t>3665346190128</t>
  </si>
  <si>
    <t>sku-AHJL</t>
  </si>
  <si>
    <t>AHJM</t>
  </si>
  <si>
    <t>Poivre du Sichuan (Ma) - Hua jiao (ma) - 1 Petit Sachet plante 100g</t>
  </si>
  <si>
    <t xml:space="preserve"> Ses principaux bienfaits : contribue à une bonne digestion Ses principaux bienfaits : contribue à une bonne digestion</t>
  </si>
  <si>
    <t>https://calebasse.com/produits/hua-jiao-ma-poivre-du-sichuan-ma-5033?product=7265</t>
  </si>
  <si>
    <t>https://res.cloudinary.com/laboratoire-calebasse/image/upload/v1746534967/POIVRE_DU_SICHUAN_MA_100_g_AHJM_baf2ff2838.jpg</t>
  </si>
  <si>
    <t>3665346183816</t>
  </si>
  <si>
    <t>sku-AHJM</t>
  </si>
  <si>
    <t>5033</t>
  </si>
  <si>
    <t>AHJML</t>
  </si>
  <si>
    <t>Poivre du Sichuan (Ma) - Hua jiao (ma) - 1 Grand Sachet plante 300g</t>
  </si>
  <si>
    <t>https://calebasse.com/produits/hua-jiao-ma-poivre-du-sichuan-ma-5033?product=7266</t>
  </si>
  <si>
    <t>https://res.cloudinary.com/laboratoire-calebasse/image/upload/v1747062561/POIVRE_DU_SICHUAN_MA_300_g_AHJML_420fcc3916.jpg</t>
  </si>
  <si>
    <t>3665346199220</t>
  </si>
  <si>
    <t>sku-AHJML</t>
  </si>
  <si>
    <t>AHJQ</t>
  </si>
  <si>
    <t>Poivre de Sichuan (Qing) - Hua jiao (qing) - 1 Petit Sachet plante 100g</t>
  </si>
  <si>
    <t>https://calebasse.com/produits/hua-jiao-qing-poivre-de-sichuan-qing-5032?product=7267</t>
  </si>
  <si>
    <t>https://res.cloudinary.com/laboratoire-calebasse/image/upload/v1746534437/POIVRE_DE_SICHUAN_QING_100_g_AHJ_788a6499b0.jpg</t>
  </si>
  <si>
    <t>3665346129418</t>
  </si>
  <si>
    <t>sku-AHJQ</t>
  </si>
  <si>
    <t>5032</t>
  </si>
  <si>
    <t>AHJQL</t>
  </si>
  <si>
    <t>Poivre de Sichuan (Qing) - Hua jiao (qing) - 1 Grand Sachet plante 300g</t>
  </si>
  <si>
    <t>https://calebasse.com/produits/hua-jiao-qing-poivre-de-sichuan-qing-5032?product=7268</t>
  </si>
  <si>
    <t>https://res.cloudinary.com/laboratoire-calebasse/image/upload/v1748272139/POIVRE_DE_SICHUAN_QING_300_g_AHJQL_07283b0322.jpg</t>
  </si>
  <si>
    <t>sku-AHJQL</t>
  </si>
  <si>
    <t>AHJT</t>
  </si>
  <si>
    <t>Rhodiola - Ta hua hong jing tian - 1 Petit Sachet plante 100g</t>
  </si>
  <si>
    <t>Pour maintenir la cadence. Ses principaux bienfaits : tonifie le qi, donne du tonus à l'organisme, contribue à une activité intellectuelle et cognitive optimale</t>
  </si>
  <si>
    <t>https://calebasse.com/produits/hong-jing-tian-rhodiola-3830?product=4272</t>
  </si>
  <si>
    <t>https://res.cloudinary.com/laboratoire-calebasse/image/upload/v1746527415/RHODIOLA_100_g_AHJT_148c604b34.jpg</t>
  </si>
  <si>
    <t>3665346127513</t>
  </si>
  <si>
    <t>sku-AHJT</t>
  </si>
  <si>
    <t>3830</t>
  </si>
  <si>
    <t>AHJTCP</t>
  </si>
  <si>
    <t>Rhodiola - Hong jing tian - 1 flacon de poudre concentrée - 100g</t>
  </si>
  <si>
    <t>Pour maintenir la cadence. Ses principaux bienfaits : contribue à une activité intellectuelle et cognitive optimale, donne du tonus à l'organisme, tonifie le qi</t>
  </si>
  <si>
    <t>https://calebasse.com/produits/hong-jing-tian-rhodiola-5251?product=4275</t>
  </si>
  <si>
    <t>https://res.cloudinary.com/laboratoire-calebasse/image/upload/v1634201105/A_hongjingtiancp_2819a53bbb.jpg</t>
  </si>
  <si>
    <t>3665346127537</t>
  </si>
  <si>
    <t>sku-AHJTCP</t>
  </si>
  <si>
    <t>5251</t>
  </si>
  <si>
    <t>AHJTGL</t>
  </si>
  <si>
    <t>Rhodiola - Hong jing tian - 1 flacon de 100 gélules - 50g</t>
  </si>
  <si>
    <t>https://calebasse.com/produits/hong-jing-tian-rhodiola-5251?product=4278</t>
  </si>
  <si>
    <t>https://res.cloudinary.com/laboratoire-calebasse/image/upload/v1634201104/A_hongjingtiangl_a20045986f.jpg</t>
  </si>
  <si>
    <t>3665346127551</t>
  </si>
  <si>
    <t>sku-AHJTGL</t>
  </si>
  <si>
    <t>AHJTL</t>
  </si>
  <si>
    <t>Rhodiola - Ta hua hong jing tian - 1 Grand Sachet plante 300g</t>
  </si>
  <si>
    <t>https://calebasse.com/produits/hong-jing-tian-rhodiola-3830?product=4273</t>
  </si>
  <si>
    <t>https://res.cloudinary.com/laboratoire-calebasse/image/upload/v1747064691/RHODIOLA_300_g_AHJTL_b90209e241.jpg</t>
  </si>
  <si>
    <t>3665346215029</t>
  </si>
  <si>
    <t>sku-AHJTL</t>
  </si>
  <si>
    <t>AHME</t>
  </si>
  <si>
    <t>Oreille de Judas - Mu er (hei) - 1 Petit Sachet plante 100g</t>
  </si>
  <si>
    <t>Pour purifier le sang et fortifier l’organisme. Ses principaux bienfaits : stimule la circulation sanguine, soutient les défenses naturelles, contribue à équilibrer le sucre</t>
  </si>
  <si>
    <t>https://calebasse.com/produits/hei-mu-er-oreille-de-judas-3831?product=4262</t>
  </si>
  <si>
    <t>https://res.cloudinary.com/laboratoire-calebasse/image/upload/v1746535226/OREILLE_DE_JUDAS_100_g_AHME_8f75e8c41c.jpg</t>
  </si>
  <si>
    <t>3665346147115</t>
  </si>
  <si>
    <t>sku-AHME</t>
  </si>
  <si>
    <t>3831</t>
  </si>
  <si>
    <t>AHMEX3</t>
  </si>
  <si>
    <t>Oreille de Judas - Mu er (hei) - 3 Petits Sachets plantes 100g</t>
  </si>
  <si>
    <t>https://calebasse.com/produits/hei-mu-er-oreille-de-judas-3831?product=7371</t>
  </si>
  <si>
    <t>https://res.cloudinary.com/laboratoire-calebasse/image/upload/v1753347828/_41792f1559.jpg</t>
  </si>
  <si>
    <t>sku-AHMEX3</t>
  </si>
  <si>
    <t>AHP</t>
  </si>
  <si>
    <t>Ecorce de Magnolia - Hou po - 1 Petit Sachet plante 100g</t>
  </si>
  <si>
    <t>Pour retrouver une digestion saine. Ses principaux bienfaits : réduire les flatulences et ballonnements, contribue à une bonne digestion, donne du tonus à l'organisme, libère les voies respiratoires</t>
  </si>
  <si>
    <t>https://calebasse.com/produits/hou-pu-ecorce-de-magnolia-3809?product=4286</t>
  </si>
  <si>
    <t>https://res.cloudinary.com/laboratoire-calebasse/image/upload/v1746524549/MAGNOLIA_ECORCE_100_g_AHP_80d55f9319.jpg</t>
  </si>
  <si>
    <t>3665346184011</t>
  </si>
  <si>
    <t>sku-AHP</t>
  </si>
  <si>
    <t>3809</t>
  </si>
  <si>
    <t>AHPL</t>
  </si>
  <si>
    <t>Ecorce de Magnolia - Hou po - 1 Grand Sachet plante 300g</t>
  </si>
  <si>
    <t>https://calebasse.com/produits/hou-pu-ecorce-de-magnolia-3809?product=4287</t>
  </si>
  <si>
    <t>https://res.cloudinary.com/laboratoire-calebasse/image/upload/v1747064195/MAGNOLIA_ECORCE_300_g_AHPL_4a258683eb.jpg</t>
  </si>
  <si>
    <t>3665346192528</t>
  </si>
  <si>
    <t>sku-AHPL</t>
  </si>
  <si>
    <t>AHQM</t>
  </si>
  <si>
    <t>Levure de riz rouge - Hong qu mi - 1 Petit Sachet plante 100g</t>
  </si>
  <si>
    <t>Pour maintenir un taux de cholestérol normal. Ses principaux bienfaits : favorise le confort cardiovasculaire, contribue à équilibrer les lipides</t>
  </si>
  <si>
    <t>https://calebasse.com/produits/hong-qu-mi-levure-de-riz-rouge-3833?product=4280</t>
  </si>
  <si>
    <t>https://res.cloudinary.com/laboratoire-calebasse/image/upload/v1746527429/LEVURE_DE_RIZ_ROUGE_100_g_AHQM_bcdec27167.jpg</t>
  </si>
  <si>
    <t>3665346128015</t>
  </si>
  <si>
    <t>sku-AHQM</t>
  </si>
  <si>
    <t>3833</t>
  </si>
  <si>
    <t>AHQMEI</t>
  </si>
  <si>
    <t>Gomphrena prunier - Pour une peau éclatante et un regard reposé - Hong qiao mei - 1 Petit Sachet plante 50g</t>
  </si>
  <si>
    <t>Antioxydant, apaisant, revitalisant. Pour préserver votre jeunesse, apaiser vos yeux fatigués et renforcer votre vitalité au quotidien. Ses principaux bienfaits : anti-rides, anti-oxydant, apaiser la fatigue visuelle, retarde le vieillissement cutané</t>
  </si>
  <si>
    <t>https://calebasse.com/produits/hong-qiao-mei-gomphrena-prunier-3834?product=4277</t>
  </si>
  <si>
    <t>https://res.cloudinary.com/laboratoire-calebasse/image/upload/v1746527399/GOMPHRENA_PRUNIER_50_g_AHQMEI_e83529cd28.jpg</t>
  </si>
  <si>
    <t>3665346127919</t>
  </si>
  <si>
    <t>sku-AHQMEI</t>
  </si>
  <si>
    <t>https://res.cloudinary.com/laboratoire-calebasse/image/upload/v1736431990/1_19a9159b35.jpg; https://res.cloudinary.com/laboratoire-calebasse/image/upload/v1753344700/2_577d589fac.jpg; https://res.cloudinary.com/laboratoire-calebasse/image/upload/v1736431991/3_34ee49dc99.jpg; https://res.cloudinary.com/laboratoire-calebasse/image/upload/v1736431991/4_ae0b2912e2.jpg</t>
  </si>
  <si>
    <t>3834</t>
  </si>
  <si>
    <t>AHQMEIX2</t>
  </si>
  <si>
    <t>Gomphrena prunier - Pour une peau éclatante et un regard reposé - Hong qiao mei - 2 Sachets plantes</t>
  </si>
  <si>
    <t>https://calebasse.com/produits/hong-qiao-mei-gomphrena-prunier-3834?product=7444</t>
  </si>
  <si>
    <t>https://res.cloudinary.com/laboratoire-calebasse/image/upload/v1753347294/_815d996f6d.jpg</t>
  </si>
  <si>
    <t>sku-AHQMEIX2</t>
  </si>
  <si>
    <t>AHQML</t>
  </si>
  <si>
    <t>Levure de riz rouge - Hong qu mi - 1 Grand Sachet plante 300g</t>
  </si>
  <si>
    <t>https://calebasse.com/produits/hong-qu-mi-levure-de-riz-rouge-3833?product=4281</t>
  </si>
  <si>
    <t>https://res.cloudinary.com/laboratoire-calebasse/image/upload/v1747064667/LEVURE_DE_RIZ_ROUGE_300_g_AHQML_9ee09a5418.jpg</t>
  </si>
  <si>
    <t>3665346197929</t>
  </si>
  <si>
    <t>sku-AHQML</t>
  </si>
  <si>
    <t>AHQS</t>
  </si>
  <si>
    <t>Racine d’Astragale -La gardienne du Qi - Huang qi (Sheng) - 1 Petit Sachet plante 100g</t>
  </si>
  <si>
    <t>Goût doux et chaleureux, utilisé depuis des siècles en Chine pour nourrir l’énergie vitale au quotidien. Ses principaux bienfaits : tonifie le qi, donne du tonus à l'organisme, soutient les défenses naturelles</t>
  </si>
  <si>
    <t>https://calebasse.com/produits/huang-qi-sheng-astragale-4498?product=4327</t>
  </si>
  <si>
    <t>https://res.cloudinary.com/laboratoire-calebasse/image/upload/v1746535139/ASTRAGALE_RACINES_100_g_AHQS_523f9c72d2.jpg</t>
  </si>
  <si>
    <t>3665346130414</t>
  </si>
  <si>
    <t>sku-AHQS</t>
  </si>
  <si>
    <t>https://res.cloudinary.com/laboratoire-calebasse/image/upload/v1753101120/1_0b298fcb96.jpg; https://res.cloudinary.com/laboratoire-calebasse/image/upload/v1753101120/2_d2fb1d3587.jpg; https://res.cloudinary.com/laboratoire-calebasse/image/upload/v1753101120/3_f8cc84eee0.jpg; https://res.cloudinary.com/laboratoire-calebasse/image/upload/v1753101120/4_4666f2e0a7.jpg; https://res.cloudinary.com/laboratoire-calebasse/image/upload/v1753101119/5_44ebb95840.jpg; https://res.cloudinary.com/laboratoire-calebasse/image/upload/v1753101120/6_846fc56b8a.jpg</t>
  </si>
  <si>
    <t>4498</t>
  </si>
  <si>
    <t>AHQSL</t>
  </si>
  <si>
    <t>Racine d’Astragale -La gardienne du Qi - Huang qi (Sheng) - 1 Grand Sachet plante 300g</t>
  </si>
  <si>
    <t>https://calebasse.com/produits/huang-qi-sheng-astragale-4498?product=4330</t>
  </si>
  <si>
    <t>https://res.cloudinary.com/laboratoire-calebasse/image/upload/v1747062289/ASTRAGALE_RACINES_300_g_AHQSL_bb88db82ef.jpg</t>
  </si>
  <si>
    <t>3665346185810</t>
  </si>
  <si>
    <t>sku-AHQSL</t>
  </si>
  <si>
    <t>AHRS</t>
  </si>
  <si>
    <t>Racine de Ginseng rouge - Hong shen - 1 Flacon plante 50g</t>
  </si>
  <si>
    <t>Traditionnellement associé à la chaleur et à la vigilance, le ginseng rouge accompagne la récupération et convient aux personnes sensibles au froid ou en période d’affaiblissement. Ses principaux bienfaits : soutient la récupération, favorise la vigilance, renforce les défenses de l’organisme au quotidien, adapté aux terrains frileux ou affaiblis</t>
  </si>
  <si>
    <t>https://calebasse.com/produits/hong-shen-racine-de-ginseng-rouge-3835?product=4282</t>
  </si>
  <si>
    <t>https://res.cloudinary.com/laboratoire-calebasse/image/upload/v1754486195/hong_shen_8447ec7aac.jpg</t>
  </si>
  <si>
    <t>3665346153215</t>
  </si>
  <si>
    <t>sku-AHRS</t>
  </si>
  <si>
    <t>3835</t>
  </si>
  <si>
    <t>AHSHGL</t>
  </si>
  <si>
    <t>Maitake - Hui shu hua - 1 flacon de 100 gélules - 50g</t>
  </si>
  <si>
    <t>Champignon adaptatif, le Maitake soutient l’équilibre naturel de l’organisme. Il aide à limiter les accumulations et à favoriser une circulation fluide, sans surstimulation. Ses principaux bienfaits : soutient l’équilibre du centre digestif, aide à dissiper les excès internes, soutient une vitalité stable et bien répartie, favorise la clarté et la stabilité interne</t>
  </si>
  <si>
    <t>https://calebasse.com/produits/hui-shu-hua-maitake-4368?product=7324</t>
  </si>
  <si>
    <t>https://res.cloudinary.com/laboratoire-calebasse/image/upload/v1719239273/A_huishuhua_GL_02b6f1ba60.jpg</t>
  </si>
  <si>
    <t>3665346142158</t>
  </si>
  <si>
    <t>sku-AHSHGL</t>
  </si>
  <si>
    <t>4368</t>
  </si>
  <si>
    <t>AHSW</t>
  </si>
  <si>
    <t>Renouée à fleurs multiples - He shou wu - 1 Petit Sachet plante 100g</t>
  </si>
  <si>
    <t>Pour renforcer la santé capillaire. Ses principaux bienfaits : tonifie le qi des reins et du foie, favorise l’équilibre des graisses dans l’organisme, soutient la vitalité et l’énergie globale, favorise la beauté et la densité des cheveux</t>
  </si>
  <si>
    <t>https://calebasse.com/produits/he-shou-wu-renouee-a-fleurs-multiples-3820?product=4249</t>
  </si>
  <si>
    <t>https://res.cloudinary.com/laboratoire-calebasse/image/upload/v1746524166/RENOUEE_A_FLEURS_MULTIPLES_100_g_AHSW_1c00db4a6c.jpg</t>
  </si>
  <si>
    <t>3665346126219</t>
  </si>
  <si>
    <t>sku-AHSW</t>
  </si>
  <si>
    <t>3820</t>
  </si>
  <si>
    <t>AHSWL</t>
  </si>
  <si>
    <t>Renouée à fleurs multiples - He shou wu - 1 Grand Sachet plante 300g</t>
  </si>
  <si>
    <t>https://calebasse.com/produits/he-shou-wu-renouee-a-fleurs-multiples-3820?product=4252</t>
  </si>
  <si>
    <t>https://res.cloudinary.com/laboratoire-calebasse/image/upload/v1747064777/RENOUEE_A_FLEURS_MULTIPLES_300_g_AHSWL_51d47902d9.jpg</t>
  </si>
  <si>
    <t>3665346214527</t>
  </si>
  <si>
    <t>sku-AHSWL</t>
  </si>
  <si>
    <t>AHSY</t>
  </si>
  <si>
    <t>Peau d‘arachide - Hua sheng yi - 1 Petit Sachet plante 50g</t>
  </si>
  <si>
    <t>Pour tonifier la circulation sanguine. Ses principaux bienfaits : stimule la circulation sanguine, contribue au confort veineux, atténuer les pertes de sang</t>
  </si>
  <si>
    <t>https://calebasse.com/produits/hua-sheng-yi-peau-darachide-3825?product=4311</t>
  </si>
  <si>
    <t>https://res.cloudinary.com/laboratoire-calebasse/image/upload/v1746528113/PEAU_D_ARACHIDE_50_g_AHSY_3821021b16.jpg</t>
  </si>
  <si>
    <t>3665346129517</t>
  </si>
  <si>
    <t>sku-AHSY</t>
  </si>
  <si>
    <t>3825</t>
  </si>
  <si>
    <t>AHSYGL</t>
  </si>
  <si>
    <t>Peau d‘arachide - Hua sheng yi - 1 Flacon gélules en poudre concentrée 50g</t>
  </si>
  <si>
    <t>https://calebasse.com/produits/hua-sheng-yi-peau-darachide-3825?product=4314</t>
  </si>
  <si>
    <t>https://res.cloudinary.com/laboratoire-calebasse/image/upload/v1634201110/A_huashengyigl_3666ff44df.jpg</t>
  </si>
  <si>
    <t>3665346129555</t>
  </si>
  <si>
    <t>sku-AHSYGL</t>
  </si>
  <si>
    <t>AHSYL</t>
  </si>
  <si>
    <t>Peau d‘arachide - Hua sheng yi - 1 Grand Sachet plante 240g</t>
  </si>
  <si>
    <t>https://calebasse.com/produits/hua-sheng-yi-peau-darachide-3825?product=4313</t>
  </si>
  <si>
    <t>https://res.cloudinary.com/laboratoire-calebasse/image/upload/v1747064180/PEAU_D_ARACHIDE_240_g_AHSYL_154d581c85.jpg</t>
  </si>
  <si>
    <t>3665346199022</t>
  </si>
  <si>
    <t>sku-AHSYL</t>
  </si>
  <si>
    <t>AHX</t>
  </si>
  <si>
    <t>Patchouli - Guang huo xiang - 1 Petit Sachet plante 50g</t>
  </si>
  <si>
    <t>Pour apaiser l'appareil digestif. Ses principaux bienfaits : contribue à une bonne digestion, réduire les flatulences et ballonnements, apaise les nausées</t>
  </si>
  <si>
    <t>https://calebasse.com/produits/guang-huo-xiang-patchouli-3802?product=4210</t>
  </si>
  <si>
    <t>https://res.cloudinary.com/laboratoire-calebasse/image/upload/v1746525097/PATCHOULI_50_g_AHX_bfdb532f56.jpg</t>
  </si>
  <si>
    <t>3665346131114</t>
  </si>
  <si>
    <t>sku-AHX</t>
  </si>
  <si>
    <t>3802</t>
  </si>
  <si>
    <t>AHXCP</t>
  </si>
  <si>
    <t>Patchouli - Guang huo xiang - 1 flacon de poudre concentrée - 100g</t>
  </si>
  <si>
    <t>https://calebasse.com/produits/guang-huo-xiang-patchouli-3802?product=4212</t>
  </si>
  <si>
    <t>https://res.cloudinary.com/laboratoire-calebasse/image/upload/v1635948048/A_guanghuoxiangcp_6156870380.jpg</t>
  </si>
  <si>
    <t>3665346131138</t>
  </si>
  <si>
    <t>sku-AHXCP</t>
  </si>
  <si>
    <t>AHXGL</t>
  </si>
  <si>
    <t>Patchouli - Guang huo xiang - 1 flacon de 100 gélules - 50g</t>
  </si>
  <si>
    <t>https://calebasse.com/produits/guang-huo-xiang-patchouli-3802?product=4214</t>
  </si>
  <si>
    <t>https://res.cloudinary.com/laboratoire-calebasse/image/upload/v1635946914/A_guanghuoxianggl_041e2d8f7b.jpg</t>
  </si>
  <si>
    <t>3665346131152</t>
  </si>
  <si>
    <t>sku-AHXGL</t>
  </si>
  <si>
    <t>AHXL</t>
  </si>
  <si>
    <t>Patchouli - Guang huo xiang - 1 Grand Sachet plante 200g</t>
  </si>
  <si>
    <t>https://calebasse.com/produits/guang-huo-xiang-patchouli-3802?product=4211</t>
  </si>
  <si>
    <t>https://res.cloudinary.com/laboratoire-calebasse/image/upload/v1747064895/PATCHOULI_200_g_AHXL_0a7d4343ba.jpg</t>
  </si>
  <si>
    <t>3665346198926</t>
  </si>
  <si>
    <t>sku-AHXL</t>
  </si>
  <si>
    <t>AHY</t>
  </si>
  <si>
    <t>Feuilles de Lotus - He ye - 1 Petit Sachet plante 50g</t>
  </si>
  <si>
    <t>Pour favoriser la perte de poids et drainer l’organisme. Ses principaux bienfaits : aide à la perte de poids, stimule les fonctions éliminatrices</t>
  </si>
  <si>
    <t>https://calebasse.com/produits/he-ye-feuilles-de-lotus-3826?product=4256</t>
  </si>
  <si>
    <t>https://res.cloudinary.com/laboratoire-calebasse/image/upload/v1751623618/FEUILLES_DE_LOTUS_50_g_AHY_79e470caa6.jpg</t>
  </si>
  <si>
    <t>3665346126417</t>
  </si>
  <si>
    <t>sku-AHY</t>
  </si>
  <si>
    <t>3826</t>
  </si>
  <si>
    <t>AHYCP</t>
  </si>
  <si>
    <t>Feuilles de Lotus - He ye - 1 flacon de poudre concentrée - 100g</t>
  </si>
  <si>
    <t>https://calebasse.com/produits/he-ye-feuilles-de-lotus-3826?product=4257</t>
  </si>
  <si>
    <t>https://res.cloudinary.com/laboratoire-calebasse/image/upload/v1634201104/A_heyecp_1e2be59e9b.jpg</t>
  </si>
  <si>
    <t>3665346126431</t>
  </si>
  <si>
    <t>sku-AHYCP</t>
  </si>
  <si>
    <t>AHYGL</t>
  </si>
  <si>
    <t>Feuilles de Lotus - He ye - 1 flacon de 100 gélules - 50g</t>
  </si>
  <si>
    <t>https://calebasse.com/produits/he-ye-feuilles-de-lotus-3826?product=4261</t>
  </si>
  <si>
    <t>https://res.cloudinary.com/laboratoire-calebasse/image/upload/v1634201110/A_heyegl_88b42623e8.jpg</t>
  </si>
  <si>
    <t>3665346126455</t>
  </si>
  <si>
    <t>sku-AHYGL</t>
  </si>
  <si>
    <t>AHYL</t>
  </si>
  <si>
    <t>Feuilles de Lotus - He ye - 1 Grand Sachet plante 140g</t>
  </si>
  <si>
    <t>https://calebasse.com/produits/he-ye-feuilles-de-lotus-3826?product=4258</t>
  </si>
  <si>
    <t>https://res.cloudinary.com/laboratoire-calebasse/image/upload/v1751623599/FEUILLES_DE_LOTUS_140_g_AHYL_16a1044781.jpg</t>
  </si>
  <si>
    <t>3665346185926</t>
  </si>
  <si>
    <t>sku-AHYL</t>
  </si>
  <si>
    <t>AHZ</t>
  </si>
  <si>
    <t>Renouée du Japon - Hu zhang - 1 Petit Sachet plante 100g</t>
  </si>
  <si>
    <t>Pour purifier et protéger l’organisme. Ses principaux bienfaits : détoxifie l'organisme, draine les excès d'eau, stimule les fonctions éliminatrices</t>
  </si>
  <si>
    <t>https://calebasse.com/produits/hu-zhang-renouee-du-japon-3819?product=4305</t>
  </si>
  <si>
    <t>https://res.cloudinary.com/laboratoire-calebasse/image/upload/v1746528976/RENOUEE_DU_JAPON_100_g_AHZ_856e884973.jpg</t>
  </si>
  <si>
    <t>3665346129319</t>
  </si>
  <si>
    <t>sku-AHZ</t>
  </si>
  <si>
    <t>3819</t>
  </si>
  <si>
    <t>AHZAO</t>
  </si>
  <si>
    <t>Sargasse - Hai zao - 1 Petit Sachet plante 50g</t>
  </si>
  <si>
    <t>Pour réduire l’apport calorique et faciliter la perte de poids. Ses principaux bienfaits : aide à la perte de poids, draine les excès d'eau, action coupe-faim</t>
  </si>
  <si>
    <t>https://calebasse.com/produits/hai-zao-sargasse-3806?product=4230</t>
  </si>
  <si>
    <t>https://res.cloudinary.com/laboratoire-calebasse/image/upload/v1746526084/SARGASSE_50_g_AHZAO_f6f1f505b7.jpg</t>
  </si>
  <si>
    <t>3665346125410</t>
  </si>
  <si>
    <t>sku-AHZAO</t>
  </si>
  <si>
    <t>3806</t>
  </si>
  <si>
    <t>AHZAOCP</t>
  </si>
  <si>
    <t>Sargasse - Hai zao - 1 flacon de poudre concentrée - 100g</t>
  </si>
  <si>
    <t>https://calebasse.com/produits/hai-zao-sargasse-3806?product=4232</t>
  </si>
  <si>
    <t>https://res.cloudinary.com/laboratoire-calebasse/image/upload/v1704448107/A_haizao_CP_8c27fa3bf0.jpg</t>
  </si>
  <si>
    <t>3665346125434</t>
  </si>
  <si>
    <t>sku-AHZAOCP</t>
  </si>
  <si>
    <t>AHZAOGL</t>
  </si>
  <si>
    <t>Sargasse - Hai zao - 1 flacon de 100 gélules - 50g</t>
  </si>
  <si>
    <t>https://calebasse.com/produits/hai-zao-sargasse-3806?product=4234</t>
  </si>
  <si>
    <t>https://res.cloudinary.com/laboratoire-calebasse/image/upload/v1704448131/A_haizao_GL_013f53c975.jpg</t>
  </si>
  <si>
    <t>3665346125458</t>
  </si>
  <si>
    <t>sku-AHZAOGL</t>
  </si>
  <si>
    <t>AHZAOL</t>
  </si>
  <si>
    <t>Sargasse - Hai zao - 1 Grand Sachet plante 140g</t>
  </si>
  <si>
    <t>https://calebasse.com/produits/hai-zao-sargasse-3806?product=4231</t>
  </si>
  <si>
    <t>https://res.cloudinary.com/laboratoire-calebasse/image/upload/v1747064836/SARGASSE_140_g_AHZAOL_c8fc0a0b90.jpg</t>
  </si>
  <si>
    <t>3665346187722</t>
  </si>
  <si>
    <t>sku-AHZAOL</t>
  </si>
  <si>
    <t>AHZL</t>
  </si>
  <si>
    <t>Renouée du Japon - Hu zhang - 1 Grand Sachet plante 300g</t>
  </si>
  <si>
    <t>https://calebasse.com/produits/hu-zhang-renouee-du-japon-3819?product=4308</t>
  </si>
  <si>
    <t>https://res.cloudinary.com/laboratoire-calebasse/image/upload/v1747062259/RENOUEE_DU_JAPON_300_g_AHZL_c88da94239.jpg</t>
  </si>
  <si>
    <t>3665346214824</t>
  </si>
  <si>
    <t>sku-AHZL</t>
  </si>
  <si>
    <t>AHZM</t>
  </si>
  <si>
    <t>Sésame noir - Hei zhi ma - 1 Petit Sachet plante 100g</t>
  </si>
  <si>
    <t>Pour fortifier l’organisme. Ses principaux bienfaits : stimule le transit intestinal, stimule la mémoire et les capacités intellectuelles</t>
  </si>
  <si>
    <t>https://calebasse.com/produits/hei-zhi-ma-sesame-noir-3824?product=4264</t>
  </si>
  <si>
    <t>https://res.cloudinary.com/laboratoire-calebasse/image/upload/v1746535269/SESAME_NOIR_100_g_AHZM_db93aa6bdf.jpg</t>
  </si>
  <si>
    <t>3665346126813</t>
  </si>
  <si>
    <t>sku-AHZM</t>
  </si>
  <si>
    <t>3824</t>
  </si>
  <si>
    <t>AHZML</t>
  </si>
  <si>
    <t>Sésame noir - Hei zhi ma - 1 Grand Sachet plante 300g</t>
  </si>
  <si>
    <t>https://calebasse.com/produits/hei-zhi-ma-sesame-noir-3824?product=4265</t>
  </si>
  <si>
    <t>https://res.cloudinary.com/laboratoire-calebasse/image/upload/v1747064705/SESAME_NOIR_300_g_AHZML_d7bbd400c6.jpg</t>
  </si>
  <si>
    <t>3665346215524</t>
  </si>
  <si>
    <t>sku-AHZML</t>
  </si>
  <si>
    <t>AJCZ</t>
  </si>
  <si>
    <t>Ciboule de Chine - Jiu cai zi - 1 Petit Sachet plante 100g</t>
  </si>
  <si>
    <t>Pour renforcer la vitalité masculine. Ses principaux bienfaits : améliore la vie sexuelle, soutient la fertilité</t>
  </si>
  <si>
    <t>https://calebasse.com/produits/jiu-cai-zi-ciboule-de-chine-3804?product=4387</t>
  </si>
  <si>
    <t>https://res.cloudinary.com/laboratoire-calebasse/image/upload/v1746534464/CIBOULE_DE_CHINE_100_g_AJCZ_f897545b9c.jpg</t>
  </si>
  <si>
    <t>3665346134719</t>
  </si>
  <si>
    <t>sku-AJCZ</t>
  </si>
  <si>
    <t>3804</t>
  </si>
  <si>
    <t>AJCZCP</t>
  </si>
  <si>
    <t>Ciboule de Chine - Jiu cai zi - 1 flacon de poudre concentrée - 100g</t>
  </si>
  <si>
    <t>https://calebasse.com/produits/jiu-cai-zi-ciboule-de-chine-3804?product=4390</t>
  </si>
  <si>
    <t>https://res.cloudinary.com/laboratoire-calebasse/image/upload/v1760543798/CIBOULE_DE_CHINE_AJCZCP_60f2b866c2.jpg</t>
  </si>
  <si>
    <t>3665346134733</t>
  </si>
  <si>
    <t>sku-AJCZCP</t>
  </si>
  <si>
    <t>AJCZGL</t>
  </si>
  <si>
    <t>Ciboule de Chine - Jiu cai zi - 1 flacon de 100 gélules - 50g</t>
  </si>
  <si>
    <t>https://calebasse.com/produits/jiu-cai-zi-ciboule-de-chine-3804?product=4392</t>
  </si>
  <si>
    <t>https://res.cloudinary.com/laboratoire-calebasse/image/upload/v1760543812/CIBOULE_DE_CHINE_AJCZGL_5f1e0f263a.jpg</t>
  </si>
  <si>
    <t>sku-AJCZGL</t>
  </si>
  <si>
    <t>AJCZL</t>
  </si>
  <si>
    <t>Ciboule de Chine - Jiu cai zi - 1 Grand Sachet plante 300g</t>
  </si>
  <si>
    <t>https://calebasse.com/produits/jiu-cai-zi-ciboule-de-chine-3804?product=4389</t>
  </si>
  <si>
    <t>https://res.cloudinary.com/laboratoire-calebasse/image/upload/v1747063860/CIBOULE_DE_CHINE_300_g_AJCZL_56e808ef88.jpg</t>
  </si>
  <si>
    <t>3665346191927</t>
  </si>
  <si>
    <t>sku-AJCZL</t>
  </si>
  <si>
    <t>AJGC</t>
  </si>
  <si>
    <t>Chapelet de Canton - Ji gu cao - 1 Petit Sachet plante 50g</t>
  </si>
  <si>
    <t>Pour purifier le Foie. Ses principaux bienfaits : contribue à une bonne digestion, protège la fonction hépatique, stimule le foie</t>
  </si>
  <si>
    <t>https://calebasse.com/produits/ji-gu-cao-chapelet-de-canton-3823?product=4334</t>
  </si>
  <si>
    <t>https://res.cloudinary.com/laboratoire-calebasse/image/upload/v1751623868/CHAPELET_DE_CANTON_50_g_AJGC_7243b8f4cd.jpg</t>
  </si>
  <si>
    <t>3665346131411</t>
  </si>
  <si>
    <t>sku-AJGC</t>
  </si>
  <si>
    <t>3823</t>
  </si>
  <si>
    <t>AJGCL</t>
  </si>
  <si>
    <t>Chapelet de Canton - Ji gu cao - 1 Grand Sachet plante 150g</t>
  </si>
  <si>
    <t>https://calebasse.com/produits/ji-gu-cao-chapelet-de-canton-3823?product=4335</t>
  </si>
  <si>
    <t>https://res.cloudinary.com/laboratoire-calebasse/image/upload/v1751623856/CHAPELET_DE_CANTON_150_g_AJGCL_0db071ed8a.jpg</t>
  </si>
  <si>
    <t>3665346131428</t>
  </si>
  <si>
    <t>sku-AJGCL</t>
  </si>
  <si>
    <t>AJGCP</t>
  </si>
  <si>
    <t>Racines de Platycodon - Jie geng - 1 flacon de poudre concentrée - 100g</t>
  </si>
  <si>
    <t>Pour retrouver le confort respiratoire. Ses principaux bienfaits : apaise la gorge, libère les voies respiratoires</t>
  </si>
  <si>
    <t>https://calebasse.com/produits/jie-geng-racines-de-platycodon-3776?product=4358</t>
  </si>
  <si>
    <t>https://res.cloudinary.com/laboratoire-calebasse/image/upload/v1704446664/A_jiegengcp_e90fb45b74.jpg</t>
  </si>
  <si>
    <t>3665346132838</t>
  </si>
  <si>
    <t>sku-AJGCP</t>
  </si>
  <si>
    <t>3776</t>
  </si>
  <si>
    <t>AJGEN</t>
  </si>
  <si>
    <t>Racines de Platycodon - Jie geng - 1 Petit Sachet plante 100g</t>
  </si>
  <si>
    <t>https://calebasse.com/produits/jie-geng-racines-de-platycodon-3776?product=4357</t>
  </si>
  <si>
    <t>https://res.cloudinary.com/laboratoire-calebasse/image/upload/v1746525865/RACINES_DE_PLATYCODON_100_g_AJGEN_f30072fd6f.jpg</t>
  </si>
  <si>
    <t>3665346132814</t>
  </si>
  <si>
    <t>sku-AJGEN</t>
  </si>
  <si>
    <t>AJGENL</t>
  </si>
  <si>
    <t>Racines de Platycodon - Jie geng - 1 Grand Sachet plante 300g</t>
  </si>
  <si>
    <t>https://calebasse.com/produits/jie-geng-racines-de-platycodon-3776?product=4356</t>
  </si>
  <si>
    <t>https://res.cloudinary.com/laboratoire-calebasse/image/upload/v1747063845/RACINES_DE_PLATYCODON_300_g_AJGENL_df59bf826a.jpg</t>
  </si>
  <si>
    <t>3665346114520</t>
  </si>
  <si>
    <t>sku-AJGENL</t>
  </si>
  <si>
    <t>AJGGL</t>
  </si>
  <si>
    <t>Racines de Platycodon - Jie geng - 1 flacon de 100 gélules - 50g</t>
  </si>
  <si>
    <t>https://calebasse.com/produits/jie-geng-racines-de-platycodon-3776?product=4359</t>
  </si>
  <si>
    <t>https://res.cloudinary.com/laboratoire-calebasse/image/upload/v1704446689/A_jiegeng_GL_786f72bea7.jpg</t>
  </si>
  <si>
    <t>3665346132852</t>
  </si>
  <si>
    <t>sku-AJGGL</t>
  </si>
  <si>
    <t>AJGH</t>
  </si>
  <si>
    <t>Célosia - Ji guan hua - 1 Petit Sachet plante 50g</t>
  </si>
  <si>
    <t>Pour retrouver le confort. Ses principaux bienfaits : favorise le confort intestinal, contribue au confort veineux, atténuer les pertes de sang</t>
  </si>
  <si>
    <t>https://calebasse.com/produits/ji-guan-hua-celosia-3828?product=4336</t>
  </si>
  <si>
    <t>https://res.cloudinary.com/laboratoire-calebasse/image/upload/v1748268443/CELOSIA_50_g_AJGH_d97f222622.jpg</t>
  </si>
  <si>
    <t>3665346131510</t>
  </si>
  <si>
    <t>sku-AJGH</t>
  </si>
  <si>
    <t>3828</t>
  </si>
  <si>
    <t>AJGL</t>
  </si>
  <si>
    <t>Herbe de l'immortalité - Feuilles de Couronne bleue - Jiao gu lan - 1 Petit sachet plante - 100 g</t>
  </si>
  <si>
    <t>Goût agréable, revitalisante, équilibrante et fortifiante. Stimule la circulation, favorise la digestion et renforce l’immunité au quotidien. Ses principaux bienfaits : favorise le fonctionnement du foie, maintien des équilibres circulatoires, contribue à une tension normale</t>
  </si>
  <si>
    <t>https://calebasse.com/produits/jiao-gu-lan-feuilles-de-couronne-bleue-3838?product=4350</t>
  </si>
  <si>
    <t>https://res.cloudinary.com/laboratoire-calebasse/image/upload/v1746527469/HERBE_DE_L_IMMORTALITE_100_g_AJGL_4b34dc0089.jpg</t>
  </si>
  <si>
    <t>3665346132715</t>
  </si>
  <si>
    <t>sku-AJGL</t>
  </si>
  <si>
    <t>https://res.cloudinary.com/laboratoire-calebasse/image/upload/v1739812648/1_Principal_min_fe83595646.png; https://res.cloudinary.com/laboratoire-calebasse/image/upload/v1739886815/2_vertus_jiao_gu_lan_9a141111e9.jpg; https://res.cloudinary.com/laboratoire-calebasse/image/upload/v1739812648/3_Gout_min_b438842803.png; https://res.cloudinary.com/laboratoire-calebasse/image/upload/v1771493532/7_Pourquoi_9_8056c857bb.jpg; https://res.cloudinary.com/laboratoire-calebasse/image/upload/v1739812648/6_Ancedote_min_b69ccf1df8.png; https://res.cloudinary.com/laboratoire-calebasse/image/upload/v1739812648/4_Infusion_min_83ee3d4cd8.png; https://res.cloudinary.com/laboratoire-calebasse/image/upload/v1771493532/7_Pourquoi_6_1807a753b1.jpg</t>
  </si>
  <si>
    <t>3838</t>
  </si>
  <si>
    <t>AJH</t>
  </si>
  <si>
    <t>Curcuma - Jiang huang - 1 Petit Sachet plante 100g</t>
  </si>
  <si>
    <t>Pour maintenir la santé du foie. Ses principaux bienfaits : contribue à une bonne digestion, favorise le confort articulaire, favorise le fonctionnement du foie, protège la fonction hépatique</t>
  </si>
  <si>
    <t>https://calebasse.com/produits/jiang-huang-curcuma-3827?product=4344</t>
  </si>
  <si>
    <t>https://res.cloudinary.com/laboratoire-calebasse/image/upload/v1746524798/CURCUMA_100_g_AJH_0e67594988.jpg</t>
  </si>
  <si>
    <t>3665346132111</t>
  </si>
  <si>
    <t>sku-AJH</t>
  </si>
  <si>
    <t>3827</t>
  </si>
  <si>
    <t>AJHL</t>
  </si>
  <si>
    <t>Curcuma - Jiang huang - 1 Grand Sachet plante 300g</t>
  </si>
  <si>
    <t>https://calebasse.com/produits/jiang-huang-curcuma-3827?product=4345</t>
  </si>
  <si>
    <t>https://res.cloudinary.com/laboratoire-calebasse/image/upload/v1747063931/CURCUMA_300_g_AJHL_15b1976286.jpg</t>
  </si>
  <si>
    <t>3665346192221</t>
  </si>
  <si>
    <t>sku-AJHL</t>
  </si>
  <si>
    <t>AJHUA</t>
  </si>
  <si>
    <t>Camomille chinoise - Ju hua (hang) - 1 Petit Sachet plante 100g</t>
  </si>
  <si>
    <t>Au parfum délicat et aux vertus apaisantes, la Camomille chinoise se distingue comme l’une des fleurs les plus prisées pour soulager la fatigue oculaire et apporter détente et clarté à l’esprit. Ses principaux bienfaits : nourrit et tonifie les poumons et la rate, soulage la fatigue oculaire, détend la tête et l’esprit, détoxifiant et rafraîchissant</t>
  </si>
  <si>
    <t>https://calebasse.com/produits/ju-hua-hang-boutons-de-chrysantheme-3790?product=4394</t>
  </si>
  <si>
    <t>https://res.cloudinary.com/laboratoire-calebasse/image/upload/v1746525451/CAMOMILLE_CHINOISE_100_g_AJHUA_318edf00fe.jpg</t>
  </si>
  <si>
    <t>3665346135419</t>
  </si>
  <si>
    <t>sku-AJHUA</t>
  </si>
  <si>
    <t>https://res.cloudinary.com/laboratoire-calebasse/image/upload/v1761928069/1_Principa_d20592023a.jpg; https://res.cloudinary.com/laboratoire-calebasse/image/upload/v1761928069/2_Vertu_baccc8da72.jpg; https://res.cloudinary.com/laboratoire-calebasse/image/upload/v1761928068/3_Go_5039cef477.jpg; https://res.cloudinary.com/laboratoire-calebasse/image/upload/v1761928069/4_1_Infusion_280ec32b10.jpg; https://res.cloudinary.com/laboratoire-calebasse/image/upload/v1761928069/5_Ancedot_61c53e1486.jpg</t>
  </si>
  <si>
    <t>3790</t>
  </si>
  <si>
    <t>AJHUAL</t>
  </si>
  <si>
    <t>Camomille chinoise - Ju hua (hang) - 1 Grand Sachet plante 200g</t>
  </si>
  <si>
    <t>https://calebasse.com/produits/ju-hua-hang-boutons-de-chrysantheme-3790?product=4395</t>
  </si>
  <si>
    <t>https://res.cloudinary.com/laboratoire-calebasse/image/upload/v1747064822/CAMOMILLE_CHINOISE_200_g_AJHUAL_a991d1dfb0.jpg</t>
  </si>
  <si>
    <t>3665346216828</t>
  </si>
  <si>
    <t>sku-AJHUAL</t>
  </si>
  <si>
    <t>AJJS</t>
  </si>
  <si>
    <t>Herbe à chat du Japon - Jing jie sui - 1 Petit Sachet plante 50g</t>
  </si>
  <si>
    <t>Pour soulager le coup de froid. Ses principaux bienfaits : apaise la gorge, soulage la tête, apaise les manifestations du coup de froid</t>
  </si>
  <si>
    <t>https://calebasse.com/produits/jing-jie-sui-herbe-a-chat-du-japon-3805?product=4382</t>
  </si>
  <si>
    <t>https://res.cloudinary.com/laboratoire-calebasse/image/upload/v1746528265/HERBE_A_CHAT_DU_JAPON_50_g_AJJS_a11c4febbe.jpg</t>
  </si>
  <si>
    <t>3665346134412</t>
  </si>
  <si>
    <t>sku-AJJS</t>
  </si>
  <si>
    <t>3805</t>
  </si>
  <si>
    <t>AJJSCP</t>
  </si>
  <si>
    <t>Herbe à chat du Japon - Jing jie sui - 1 flacon de poudre concentrée - 100g</t>
  </si>
  <si>
    <t>https://calebasse.com/produits/jing-jie-sui-herbe-a-chat-du-japon-3805?product=4385</t>
  </si>
  <si>
    <t>https://res.cloudinary.com/laboratoire-calebasse/image/upload/v1634201111/A_jingjiesuicp_2d2ef8d5c3.jpg</t>
  </si>
  <si>
    <t>3665346134436</t>
  </si>
  <si>
    <t>sku-AJJSCP</t>
  </si>
  <si>
    <t>AJJSGL</t>
  </si>
  <si>
    <t>Herbe à chat du Japon - Jing jie sui - 1 flacon de 100 gélules - 50g</t>
  </si>
  <si>
    <t>https://calebasse.com/produits/jing-jie-sui-herbe-a-chat-du-japon-3805?product=4386</t>
  </si>
  <si>
    <t>https://res.cloudinary.com/laboratoire-calebasse/image/upload/v1634201111/A_jingjiesuigl_2a598faa02.jpg</t>
  </si>
  <si>
    <t>3665346134450</t>
  </si>
  <si>
    <t>sku-AJJSGL</t>
  </si>
  <si>
    <t>AJJSL</t>
  </si>
  <si>
    <t>Herbe à chat du Japon - Jing jie sui - 1 Grand Sachet plante 140g</t>
  </si>
  <si>
    <t>https://calebasse.com/produits/jing-jie-sui-herbe-a-chat-du-japon-3805?product=4383</t>
  </si>
  <si>
    <t>https://res.cloudinary.com/laboratoire-calebasse/image/upload/v1747063875/HERBE_A_CHAT_DU_JAPON_140_g_AJJSL_600223dd95.jpg</t>
  </si>
  <si>
    <t>3665346196328</t>
  </si>
  <si>
    <t>sku-AJJSL</t>
  </si>
  <si>
    <t>AJLH</t>
  </si>
  <si>
    <t>Trolle de Chine - Jin lian hua - 1 Petit Sachet plante 50g</t>
  </si>
  <si>
    <t>Pour retrouver le confort de la gorge. Ses principaux bienfaits : apaise la gorge, apaiser la fatigue visuelle</t>
  </si>
  <si>
    <t>https://calebasse.com/produits/jin-lian-hua-trolle-de-chine-3798?product=4364</t>
  </si>
  <si>
    <t>https://res.cloudinary.com/laboratoire-calebasse/image/upload/v1746534186/TROLLE_DE_CHINE_50_g_AJLH_93b17bb0e6.jpg</t>
  </si>
  <si>
    <t>3665346133514</t>
  </si>
  <si>
    <t>sku-AJLH</t>
  </si>
  <si>
    <t>3798</t>
  </si>
  <si>
    <t>AJMZ</t>
  </si>
  <si>
    <t>Cassis de Chine - Jue ming zi - 1 Petit Sachet plante 100g</t>
  </si>
  <si>
    <t>Pour clarifier le Foie et apaiser les yeux. Ses principaux bienfaits : apaiser la fatigue visuelle</t>
  </si>
  <si>
    <t>https://calebasse.com/produits/jue-ming-zi-cassis-de-chine-3843?product=4401</t>
  </si>
  <si>
    <t>https://res.cloudinary.com/laboratoire-calebasse/image/upload/v1746524351/CASSIS_DE_CHINE_100_g_AJMZ_5f15bbbfa8.jpg</t>
  </si>
  <si>
    <t>3665346135815</t>
  </si>
  <si>
    <t>sku-AJMZ</t>
  </si>
  <si>
    <t>3843</t>
  </si>
  <si>
    <t>AJMZL</t>
  </si>
  <si>
    <t>Cassis de Chine - Jue ming zi - 1 Grand Sachet plante 300g</t>
  </si>
  <si>
    <t>https://calebasse.com/produits/jue-ming-zi-cassis-de-chine-3843?product=4403</t>
  </si>
  <si>
    <t>https://res.cloudinary.com/laboratoire-calebasse/image/upload/v1747063827/CASSIS_DE_CHINE_300_g_AJMZL_6b6f45d05e.jpg</t>
  </si>
  <si>
    <t>3665346135822</t>
  </si>
  <si>
    <t>sku-AJMZL</t>
  </si>
  <si>
    <t>AJQC</t>
  </si>
  <si>
    <t>Herbe de lysimachia - Jin qian cao - 1 Petit Sachet plante 50g</t>
  </si>
  <si>
    <t>Traditionnellement utilisée en pharmacopée chinoise, la Lysimachia est appréciée pour accompagner la digestion, notamment après des repas riches. Ses principaux bienfaits : contribue à une bonne digestion, soutient le confort digestif, favorise le fonctionnement du foie</t>
  </si>
  <si>
    <t>https://calebasse.com/produits/jin-qian-cao-herbe-de-lysimachia-3799?product=4363</t>
  </si>
  <si>
    <t>https://res.cloudinary.com/laboratoire-calebasse/image/upload/v1746534289/HERBE_DE_LYSIMACHIA_50_g_AJQC_3f0b0176b1.jpg</t>
  </si>
  <si>
    <t>3665346133712</t>
  </si>
  <si>
    <t>sku-AJQC</t>
  </si>
  <si>
    <t>3799</t>
  </si>
  <si>
    <t>AJQCCP</t>
  </si>
  <si>
    <t>Herbe de lysimachia - Jin qian cao - 1 flacon de poudre concentrée - 100g</t>
  </si>
  <si>
    <t>Pour améliorer la digestion des aliments riches Ses principaux bienfaits : stimule le foie, favorise le fonctionnement du foie, contribue à une bonne digestion</t>
  </si>
  <si>
    <t>https://calebasse.com/produits/jin-qian-cao-herbe-de-lysimachia?product=4366</t>
  </si>
  <si>
    <t>https://res.cloudinary.com/laboratoire-calebasse/image/upload/v1634201111/A_jinqiancaocp_b193f2e4a0.jpg</t>
  </si>
  <si>
    <t>3665346133736</t>
  </si>
  <si>
    <t>sku-AJQCCP</t>
  </si>
  <si>
    <t>5250</t>
  </si>
  <si>
    <t>AJQCGL</t>
  </si>
  <si>
    <t>Herbe de lysimachia - Jin qian cao - 1 flacon de 100 gélules - 50g</t>
  </si>
  <si>
    <t>https://calebasse.com/produits/jin-qian-cao-herbe-de-lysimachia?product=4372</t>
  </si>
  <si>
    <t>https://res.cloudinary.com/laboratoire-calebasse/image/upload/v1634201111/A_jinqiancaogl_cea71ed0b9.jpg</t>
  </si>
  <si>
    <t>3665346133750</t>
  </si>
  <si>
    <t>sku-AJQCGL</t>
  </si>
  <si>
    <t>AJQCL</t>
  </si>
  <si>
    <t>Herbe de lysimachia - Jin qian cao - 1 Grand Sachet plante 150g</t>
  </si>
  <si>
    <t>https://calebasse.com/produits/jin-qian-cao-herbe-de-lysimachia-3799?product=4365</t>
  </si>
  <si>
    <t>https://res.cloudinary.com/laboratoire-calebasse/image/upload/v1747063902/HERBE_DE_LYSIMACHIA_150_g_AJQCL_fba0a0f1be.jpg</t>
  </si>
  <si>
    <t>sku-AJQCL</t>
  </si>
  <si>
    <t>AJSJ</t>
  </si>
  <si>
    <t>Fleurs de Chrysanthème doré - Jin si ju - 1 Petit Sachet plante 50g</t>
  </si>
  <si>
    <t>Pour retrouver des voies respiratoires apaisées. Ses principaux bienfaits : clarifie la chaleur, détoxifie l'organisme, soulage les voies respiratoires</t>
  </si>
  <si>
    <t>https://calebasse.com/produits/jin-si-ju-fleurs-de-chrysantheme-dore-3801?product=4368</t>
  </si>
  <si>
    <t>https://res.cloudinary.com/laboratoire-calebasse/image/upload/v1746534150/FLEURS_DE_CHRYSANTHEME_DORE_50_g_AJSJ_887bc3dd30.jpg</t>
  </si>
  <si>
    <t>3665346134016</t>
  </si>
  <si>
    <t>sku-AJSJ</t>
  </si>
  <si>
    <t>3801</t>
  </si>
  <si>
    <t>AJXT</t>
  </si>
  <si>
    <t>Liane de milette - Ji xue teng - 1 Petit Sachet plante 100g</t>
  </si>
  <si>
    <t>Pour préserver la santé articulaire. Ses principaux bienfaits : favorise le confort articulaire, soutient la souplesse articulaire</t>
  </si>
  <si>
    <t>https://calebasse.com/produits/ji-xue-teng-liane-de-milette-3821?product=4338</t>
  </si>
  <si>
    <t>https://res.cloudinary.com/laboratoire-calebasse/image/upload/v1752222402/LIANE_DE_MILETTE_100_g_AJXTL_3c0aabf195.jpg</t>
  </si>
  <si>
    <t>3665346131916</t>
  </si>
  <si>
    <t>sku-AJXT</t>
  </si>
  <si>
    <t>3821</t>
  </si>
  <si>
    <t>AJXTCP</t>
  </si>
  <si>
    <t>Liane de milette - Ji xue teng - 1 flacon de poudre concentrée - 100g</t>
  </si>
  <si>
    <t>https://calebasse.com/produits/ji-xue-teng-liane-de-milette-3821?product=4339</t>
  </si>
  <si>
    <t>https://res.cloudinary.com/laboratoire-calebasse/image/upload/v1704447951/A_jixueteng_CP_2f19f80b6b.jpg</t>
  </si>
  <si>
    <t>3665346131930</t>
  </si>
  <si>
    <t>sku-AJXTCP</t>
  </si>
  <si>
    <t>AJXTGL</t>
  </si>
  <si>
    <t>Liane de milette - Ji xue teng - 1 flacon de 100 gélules - 50g</t>
  </si>
  <si>
    <t>https://calebasse.com/produits/ji-xue-teng-liane-de-milette-3821?product=4342</t>
  </si>
  <si>
    <t>https://res.cloudinary.com/laboratoire-calebasse/image/upload/v1704447974/A_jixueteng_GL_872f660878.jpg</t>
  </si>
  <si>
    <t>3665346131954</t>
  </si>
  <si>
    <t>sku-AJXTGL</t>
  </si>
  <si>
    <t>AJXTL</t>
  </si>
  <si>
    <t>Liane de milette - Ji xue teng - 1 Grand Sachet plante 300g</t>
  </si>
  <si>
    <t>https://calebasse.com/produits/ji-xue-teng-liane-de-milette-3821?product=4340</t>
  </si>
  <si>
    <t>https://res.cloudinary.com/laboratoire-calebasse/image/upload/v1752222391/LIANE_DE_MILETTE_300_g_AJXTL_c270dd0bde.jpg</t>
  </si>
  <si>
    <t>3665346131923</t>
  </si>
  <si>
    <t>sku-AJXTL</t>
  </si>
  <si>
    <t>AJYH</t>
  </si>
  <si>
    <t>Chèvrefeuille du Japon - Jin yin hua - 1 Petit Sachet plante 50g</t>
  </si>
  <si>
    <t>Pour purifier l'organisme. Ses principaux bienfaits : apaise la gorge, détoxifie l'organisme, contribue au confort cutané</t>
  </si>
  <si>
    <t>https://calebasse.com/produits/jin-yin-hua-chevrefeuille-du-japon-3800?product=4369</t>
  </si>
  <si>
    <t>https://res.cloudinary.com/laboratoire-calebasse/image/upload/v1746534304/CHEVREFEUILLE_DU_JAPON_50_g_AJYH_83e961c98f.jpg</t>
  </si>
  <si>
    <t>3665346134115</t>
  </si>
  <si>
    <t>sku-AJYH</t>
  </si>
  <si>
    <t>3800</t>
  </si>
  <si>
    <t>AJYHCP</t>
  </si>
  <si>
    <t>Chèvrefeuille du Japon - Jin yin hua - 1 flacon de poudre concentrée - 100g</t>
  </si>
  <si>
    <t>https://calebasse.com/produits/jin-yin-hua-chevrefeuille-du-japon-3800?product=4373</t>
  </si>
  <si>
    <t>https://res.cloudinary.com/laboratoire-calebasse/image/upload/v1760543768/CHEVREFEUILLE_DU_JAPON_AJYHCP_24b671321a.jpg</t>
  </si>
  <si>
    <t>3665346134139</t>
  </si>
  <si>
    <t>sku-AJYHCP</t>
  </si>
  <si>
    <t>AJYHGL</t>
  </si>
  <si>
    <t>Chèvrefeuille du Japon - Jin yin hua - 1 flacon de 100 gélules - 50g</t>
  </si>
  <si>
    <t>https://calebasse.com/produits/jin-yin-hua-chevrefeuille-du-japon-3800?product=4376</t>
  </si>
  <si>
    <t>https://res.cloudinary.com/laboratoire-calebasse/image/upload/v1760543780/CHEVREFEUILLE_DU_JAPON_AJYHGL_ecc49ff14e.jpg</t>
  </si>
  <si>
    <t>3665346134153</t>
  </si>
  <si>
    <t>sku-AJYHGL</t>
  </si>
  <si>
    <t>AJYHL</t>
  </si>
  <si>
    <t>Chèvrefeuille du Japon - Jin yin hua - 1 Grand Sachet plante 150g</t>
  </si>
  <si>
    <t>https://calebasse.com/produits/jin-yin-hua-chevrefeuille-du-japon-3800?product=4371</t>
  </si>
  <si>
    <t>https://res.cloudinary.com/laboratoire-calebasse/image/upload/v1747063889/CHEVREFEUILLE_DU_JAPON_150_g_AJYHL_5aaf8352b9.jpg</t>
  </si>
  <si>
    <t>3665346220726</t>
  </si>
  <si>
    <t>sku-AJYHL</t>
  </si>
  <si>
    <t>AJZJ</t>
  </si>
  <si>
    <t>Fleurs de Souci - Jin zhan ju - 1 Petit Sachet plante 50g</t>
  </si>
  <si>
    <t>Pour purifier l’organisme. Ses principaux bienfaits : stimule la circulation sanguine, détoxifie l'organisme</t>
  </si>
  <si>
    <t>https://calebasse.com/produits/jin-zhan-ju-fleurs-de-souci-3803?product=4380</t>
  </si>
  <si>
    <t>https://res.cloudinary.com/laboratoire-calebasse/image/upload/v1746534170/FLEURS_DE_SOUCI_50_g_AJZJ_3e6754ea58.jpg</t>
  </si>
  <si>
    <t>3665346134313</t>
  </si>
  <si>
    <t>sku-AJZJ</t>
  </si>
  <si>
    <t>3803</t>
  </si>
  <si>
    <t>AKB</t>
  </si>
  <si>
    <t>Laminaire - Kun bu - 1 Petit Sachet plante 50g</t>
  </si>
  <si>
    <t>Pour accompagner la perte de poids. Ses principaux bienfaits : aide à la perte de poids, action coupe-faim</t>
  </si>
  <si>
    <t>https://calebasse.com/produits/kun-bu-laminaire-3849?product=4416</t>
  </si>
  <si>
    <t>https://res.cloudinary.com/laboratoire-calebasse/image/upload/v1751623818/LAMINAIRE_50_g_AKB_88e1e26a96.jpg</t>
  </si>
  <si>
    <t>3665346137017</t>
  </si>
  <si>
    <t>sku-AKB</t>
  </si>
  <si>
    <t>3849</t>
  </si>
  <si>
    <t>AKBL</t>
  </si>
  <si>
    <t>Laminaire - Kun bu - 1 Grand Sachet plante 140g</t>
  </si>
  <si>
    <t>https://calebasse.com/produits/kun-bu-laminaire-3849?product=4418</t>
  </si>
  <si>
    <t>https://res.cloudinary.com/laboratoire-calebasse/image/upload/v1751623807/LAMINAIRE_140_g_AKBL_150484654d.jpg</t>
  </si>
  <si>
    <t>3665346197820</t>
  </si>
  <si>
    <t>sku-AKBL</t>
  </si>
  <si>
    <t>AKDC</t>
  </si>
  <si>
    <t>Houx amer - Ku ding cha - 1 Petit Sachet plante 50g</t>
  </si>
  <si>
    <t>Pour équilibrer l'organisme. Ses principaux bienfaits : contribue à équilibrer le sucre</t>
  </si>
  <si>
    <t>https://calebasse.com/produits/ku-ding-cha-houx-amer-3845?product=4405</t>
  </si>
  <si>
    <t>https://res.cloudinary.com/laboratoire-calebasse/image/upload/v1747062175/HOUX_AMER_50_g_AKDC_f3cea896aa.jpg</t>
  </si>
  <si>
    <t>3665346136317</t>
  </si>
  <si>
    <t>sku-AKDC</t>
  </si>
  <si>
    <t>3845</t>
  </si>
  <si>
    <t>AKDCL</t>
  </si>
  <si>
    <t>Houx amer - Ku ding cha - 1 Grand Sachet plante 300g</t>
  </si>
  <si>
    <t>https://calebasse.com/produits/ku-ding-cha-houx-amer-3845?product=4407</t>
  </si>
  <si>
    <t>https://res.cloudinary.com/laboratoire-calebasse/image/upload/v1747062273/HOUX_AMER_300_g_AKDCL_85e7f661ef.jpg</t>
  </si>
  <si>
    <t>3665346197127</t>
  </si>
  <si>
    <t>sku-AKDCL</t>
  </si>
  <si>
    <t>AKS</t>
  </si>
  <si>
    <t>Ginseng amer - Ku shen - 1 Petit Sachet plante 100g</t>
  </si>
  <si>
    <t>Pour une peau saine et apaisée. Ses principaux bienfaits : contribue au confort cutané, améliore l'apparence de la peau, détoxifie l'organisme</t>
  </si>
  <si>
    <t>https://calebasse.com/produits/ku-shen-ginseng-amer-5213?product=4408</t>
  </si>
  <si>
    <t>https://res.cloudinary.com/laboratoire-calebasse/image/upload/v1746528150/GINSENG_AMER_100_g_AKS_c246565ec1.jpg</t>
  </si>
  <si>
    <t>3665346136614</t>
  </si>
  <si>
    <t>sku-AKS</t>
  </si>
  <si>
    <t>5213</t>
  </si>
  <si>
    <t>AKSCP</t>
  </si>
  <si>
    <t>Ginseng amer - Ku shen - 1 flacon de poudre concentrée - 100g</t>
  </si>
  <si>
    <t>Pour une peau saine et apaisée. Ses principaux bienfaits : détoxifie l'organisme, améliore l'apparence de la peau, contribue au confort cutané</t>
  </si>
  <si>
    <t>https://calebasse.com/produits/ku-shen-ginseng-amer-10530?product=4410</t>
  </si>
  <si>
    <t>https://res.cloudinary.com/laboratoire-calebasse/image/upload/v1634201111/A_kushencp_8f5004fd5c.jpg</t>
  </si>
  <si>
    <t>3665346136638</t>
  </si>
  <si>
    <t>sku-AKSCP</t>
  </si>
  <si>
    <t>3847</t>
  </si>
  <si>
    <t>AKSGL</t>
  </si>
  <si>
    <t>Ginseng amer - Ku shen - 1 flacon de 100 gélules - 50g</t>
  </si>
  <si>
    <t>https://calebasse.com/produits/ku-shen-ginseng-amer-10530?product=4411</t>
  </si>
  <si>
    <t>https://res.cloudinary.com/laboratoire-calebasse/image/upload/v1634201111/A_kushengl_8de3429e36.jpg</t>
  </si>
  <si>
    <t>3665346136652</t>
  </si>
  <si>
    <t>sku-AKSGL</t>
  </si>
  <si>
    <t>AKSL</t>
  </si>
  <si>
    <t>Ginseng amer - Ku shen - 1 Grand Sachet plante 300g</t>
  </si>
  <si>
    <t>https://calebasse.com/produits/ku-shen-ginseng-amer-5213?product=4409</t>
  </si>
  <si>
    <t>https://res.cloudinary.com/laboratoire-calebasse/image/upload/v1751623492/GINSENG_AMER_300_g_AKSL_8bb6c788ed.jpg</t>
  </si>
  <si>
    <t>3665346194621</t>
  </si>
  <si>
    <t>sku-AKSL</t>
  </si>
  <si>
    <t>AKXH</t>
  </si>
  <si>
    <t>Œillet commun - Kang xian hua - 1 Petit Sachet plante 50g</t>
  </si>
  <si>
    <t>Pour éliminer les toxines. Ses principaux bienfaits : détoxifie l'organisme, libère les voies respiratoires</t>
  </si>
  <si>
    <t>https://calebasse.com/produits/kang-xian-hua-oeillet-commun-3844?product=4404</t>
  </si>
  <si>
    <t>https://res.cloudinary.com/laboratoire-calebasse/image/upload/v1746525129/Oe_ILLET_COMMUN_50_g_AKXH_e9748f8226.jpg</t>
  </si>
  <si>
    <t>3665346135914</t>
  </si>
  <si>
    <t>sku-AKXH</t>
  </si>
  <si>
    <t>3844</t>
  </si>
  <si>
    <t>ALBM</t>
  </si>
  <si>
    <t>Feuilles d’Apocyne - Luo bu ma ye - 1 Petit Sachet plante 100g</t>
  </si>
  <si>
    <t>Pour calmer le Yang du Foie. Ses principaux bienfaits : favorise le confort cardiovasculaire, contribue à une tension normale</t>
  </si>
  <si>
    <t>https://calebasse.com/produits/luo-bu-ma-ye-feuilles-dapocyne-3863?product=4477</t>
  </si>
  <si>
    <t>https://res.cloudinary.com/laboratoire-calebasse/image/upload/v1746527956/FEUILLES_D_APOCYNE_100_g_ALBM_7d7d0e7948.jpg</t>
  </si>
  <si>
    <t>3665346141113</t>
  </si>
  <si>
    <t>sku-ALBM</t>
  </si>
  <si>
    <t>3863</t>
  </si>
  <si>
    <t>ALBML</t>
  </si>
  <si>
    <t>Feuilles d’Apocyne - Luo bu ma ye - 1 Grand Sachet plante 200g</t>
  </si>
  <si>
    <t>https://calebasse.com/produits/luo-bu-ma-ye-feuilles-dapocyne-3863?product=4476</t>
  </si>
  <si>
    <t>https://res.cloudinary.com/laboratoire-calebasse/image/upload/v1752221923/FEUILLES_D_APOCYNE_200_g_ALBML_f201493cd6.jpg</t>
  </si>
  <si>
    <t>3665346192511</t>
  </si>
  <si>
    <t>sku-ALBML</t>
  </si>
  <si>
    <t>ALC</t>
  </si>
  <si>
    <t>Thé vert - Lü cha - 1 Petit Sachet plante 100g</t>
  </si>
  <si>
    <t>Pour aider à brûler les graisses. Ses principaux bienfaits : aide à la perte de poids, contribue à une bonne digestion, draine les excès d'eau</t>
  </si>
  <si>
    <t>https://calebasse.com/produits/lu-cha-the-vert-3859?product=4469</t>
  </si>
  <si>
    <t>https://res.cloudinary.com/laboratoire-calebasse/image/upload/v1751623989/THE_VERT_100_g_ALC_b8f149fd42.jpg</t>
  </si>
  <si>
    <t>3665346140314</t>
  </si>
  <si>
    <t>sku-ALC</t>
  </si>
  <si>
    <t>3859</t>
  </si>
  <si>
    <t>2073</t>
  </si>
  <si>
    <t>ALCGL</t>
  </si>
  <si>
    <t>Thé vert - Lü cha - 1 Flacon gélules en poudre moulue 50g</t>
  </si>
  <si>
    <t>https://calebasse.com/produits/lu-cha-the-vert-3859?product=4470</t>
  </si>
  <si>
    <t>https://res.cloudinary.com/laboratoire-calebasse/image/upload/v1634201115/A_luchagl_b9ea31d561.jpg</t>
  </si>
  <si>
    <t>3665346140352</t>
  </si>
  <si>
    <t>sku-ALCGL</t>
  </si>
  <si>
    <t>ALCL</t>
  </si>
  <si>
    <t>Thé vert - Lü cha - 1 Grand Sachet plante 300g</t>
  </si>
  <si>
    <t>https://calebasse.com/produits/lu-cha-the-vert-3859?product=4468</t>
  </si>
  <si>
    <t>https://res.cloudinary.com/laboratoire-calebasse/image/upload/v1751623977/THE_VERT_300_g_ALCL_465b9e5fe0.jpg</t>
  </si>
  <si>
    <t>3665346216026</t>
  </si>
  <si>
    <t>sku-ALCL</t>
  </si>
  <si>
    <t>ALDC</t>
  </si>
  <si>
    <t>Gentiane jaune - Long dan cao - 1 Petit Sachet plante 50g</t>
  </si>
  <si>
    <t>Pour détoxifier le foie. Ses principaux bienfaits : contribue à une bonne digestion, stimule le foie</t>
  </si>
  <si>
    <t>https://calebasse.com/produits/long-dan-cao-gentiane-jaune-4507?product=4458</t>
  </si>
  <si>
    <t>https://res.cloudinary.com/laboratoire-calebasse/image/upload/v1751623896/GENTIANE_JAUNE_50_g_ALDC_5f7b0c0114.jpg</t>
  </si>
  <si>
    <t>3665346139813</t>
  </si>
  <si>
    <t>sku-ALDC</t>
  </si>
  <si>
    <t>4507</t>
  </si>
  <si>
    <t>ALDCCP</t>
  </si>
  <si>
    <t>Gentiane jaune - Long dan cao - 1 flacon de poudre concentrée - 100g</t>
  </si>
  <si>
    <t>https://calebasse.com/produits/long-dan-cao-gentiane-jaune-4507?product=4456</t>
  </si>
  <si>
    <t>https://res.cloudinary.com/laboratoire-calebasse/image/upload/v1634201224/A_longdancaocp_626615fc32.jpg</t>
  </si>
  <si>
    <t>3665346139837</t>
  </si>
  <si>
    <t>sku-ALDCCP</t>
  </si>
  <si>
    <t>ALDCGL</t>
  </si>
  <si>
    <t>Gentiane jaune - Long dan cao - 1 flacon de 100 gélules - 50g</t>
  </si>
  <si>
    <t>https://calebasse.com/produits/long-dan-cao-gentiane-jaune-4507?product=4459</t>
  </si>
  <si>
    <t>https://res.cloudinary.com/laboratoire-calebasse/image/upload/v1634201235/A_longdancaogl_b8fce56020.jpg</t>
  </si>
  <si>
    <t>3665346139851</t>
  </si>
  <si>
    <t>sku-ALDCGL</t>
  </si>
  <si>
    <t>ALDCL</t>
  </si>
  <si>
    <t>Gentiane jaune - Long dan cao - 1 Grand Sachet plante 200g</t>
  </si>
  <si>
    <t>https://calebasse.com/produits/long-dan-cao-gentiane-jaune-4507?product=4457</t>
  </si>
  <si>
    <t>https://res.cloudinary.com/laboratoire-calebasse/image/upload/v1751623882/GENTIANE_JAUNE_200_g_ALDCL_df7a6be786.jpg</t>
  </si>
  <si>
    <t>3665346194423</t>
  </si>
  <si>
    <t>sku-ALDCL</t>
  </si>
  <si>
    <t>ALDK</t>
  </si>
  <si>
    <t>Cardamome vert - Lü dou kou - 1 Petit Sachet plante 50g</t>
  </si>
  <si>
    <t>Pour favoriser la digestion. Ses principaux bienfaits : contribue à une bonne digestion</t>
  </si>
  <si>
    <t>https://calebasse.com/produits/lu-dou-kou-cardamome-vert-3861?product=4472</t>
  </si>
  <si>
    <t>https://res.cloudinary.com/laboratoire-calebasse/image/upload/v1746527941/CARDAMOME_VERT_50_g_ALDK_8f45b88db2.jpg</t>
  </si>
  <si>
    <t>3665346140413</t>
  </si>
  <si>
    <t>sku-ALDK</t>
  </si>
  <si>
    <t>3861</t>
  </si>
  <si>
    <t>ALDKL</t>
  </si>
  <si>
    <t>Cardamome vert - Lü dou kou - 1 Grand Sachet plante 200g</t>
  </si>
  <si>
    <t>https://calebasse.com/produits/lu-dou-kou-cardamome-vert-3861?product=4473</t>
  </si>
  <si>
    <t>https://res.cloudinary.com/laboratoire-calebasse/image/upload/v1747062595/CARDAMOME_VERT_200_g_ALDKL_8942876b0f.jpg</t>
  </si>
  <si>
    <t>3665346191422</t>
  </si>
  <si>
    <t>sku-ALDKL</t>
  </si>
  <si>
    <t>ALFZ</t>
  </si>
  <si>
    <t>Graines de Radis - Lai fu zi - 1 Petit Sachet plante 100g</t>
  </si>
  <si>
    <t>Pour retrouver le confort digestif. Ses principaux bienfaits : contribue à une bonne digestion, soulage les sensibilités de l'estomac</t>
  </si>
  <si>
    <t>https://calebasse.com/produits/lai-fu-zi-graines-de-radis-3851?product=4420</t>
  </si>
  <si>
    <t>https://res.cloudinary.com/laboratoire-calebasse/image/upload/v1746528763/GRAINES_DE_RADIS_100_g_ALFZ_052120514d.jpg</t>
  </si>
  <si>
    <t>3665346137215</t>
  </si>
  <si>
    <t>sku-ALFZ</t>
  </si>
  <si>
    <t>3851</t>
  </si>
  <si>
    <t>ALFZCP</t>
  </si>
  <si>
    <t>Graines de Radis - Lai fu zi - 1 flacon de poudre concentrée - 100g</t>
  </si>
  <si>
    <t>https://calebasse.com/produits/lai-fu-zi-graines-de-radis-3851?product=4422</t>
  </si>
  <si>
    <t>https://res.cloudinary.com/laboratoire-calebasse/image/upload/v1634201111/A_laifuzicp_95529a07aa.jpg</t>
  </si>
  <si>
    <t>3665346137239</t>
  </si>
  <si>
    <t>sku-ALFZCP</t>
  </si>
  <si>
    <t>ALFZGL</t>
  </si>
  <si>
    <t>Graines de Radis - Lai fu zi - 1 flacon de 100 gélules - 50g</t>
  </si>
  <si>
    <t>https://calebasse.com/produits/lai-fu-zi-graines-de-radis-3851?product=4424</t>
  </si>
  <si>
    <t>https://res.cloudinary.com/laboratoire-calebasse/image/upload/v1634201111/A_laifuzigl_7c56fb7d44.jpg</t>
  </si>
  <si>
    <t>3665346137253</t>
  </si>
  <si>
    <t>sku-ALFZGL</t>
  </si>
  <si>
    <t>ALFZL</t>
  </si>
  <si>
    <t>Graines de Radis - Lai fu zi - 1 Grand Sachet plante 300g</t>
  </si>
  <si>
    <t>https://calebasse.com/produits/lai-fu-zi-graines-de-radis-3851?product=4421</t>
  </si>
  <si>
    <t>https://res.cloudinary.com/laboratoire-calebasse/image/upload/v1747063777/GRAINES_DE_RADIS_300_g_ALFZL_ae98694ae8.jpg</t>
  </si>
  <si>
    <t>3665346137222</t>
  </si>
  <si>
    <t>sku-ALFZL</t>
  </si>
  <si>
    <t>ALG</t>
  </si>
  <si>
    <t>Roseau commun - Lu gen - 1 Petit Sachet plante 100g</t>
  </si>
  <si>
    <t xml:space="preserve"> Ses principaux bienfaits : détoxifie l’organisme Ses principaux bienfaits : détoxifie l’organisme</t>
  </si>
  <si>
    <t>https://calebasse.com/produits/lu-gen-roseau-commun-5040?product=7263</t>
  </si>
  <si>
    <t>https://res.cloudinary.com/laboratoire-calebasse/image/upload/v1746528100/ROSEAU_COMMUN_100_g_ALG_0ecd432be9.jpg</t>
  </si>
  <si>
    <t>3665346140611</t>
  </si>
  <si>
    <t>sku-ALG</t>
  </si>
  <si>
    <t>5040</t>
  </si>
  <si>
    <t>ALGC</t>
  </si>
  <si>
    <t>Herbe d'Érode - Lao Guan cao - 1 Petit Sachet plante 50g</t>
  </si>
  <si>
    <t>Pour détoxifier l’organisme. Ses principaux bienfaits : clarifie la chaleur, détoxifie l'organisme, stimule les fonctions éliminatrices, contribue au confort cutané</t>
  </si>
  <si>
    <t>https://calebasse.com/produits/lao-guan-cao-herbe-derode-4508?product=4425</t>
  </si>
  <si>
    <t>https://res.cloudinary.com/laboratoire-calebasse/image/upload/v1746527984/HERBE_D_ERODE_50_g_ALHC_36904de16d.jpg</t>
  </si>
  <si>
    <t>3665346112564</t>
  </si>
  <si>
    <t>sku-ALGC</t>
  </si>
  <si>
    <t>4508</t>
  </si>
  <si>
    <t>ALGCL</t>
  </si>
  <si>
    <t>Herbe d'Érode - Lao Guan cao - 1 Grand Sachet plante 160g</t>
  </si>
  <si>
    <t>https://calebasse.com/produits/lao-guan-cao-herbe-derode-4508?product=4427</t>
  </si>
  <si>
    <t>https://res.cloudinary.com/laboratoire-calebasse/image/upload/v1747063760/HERBE_D_ERODE_160_g_ALHCL_189fa1b589.jpg</t>
  </si>
  <si>
    <t>3665346122563</t>
  </si>
  <si>
    <t>sku-ALGCL</t>
  </si>
  <si>
    <t>ALGL</t>
  </si>
  <si>
    <t>Roseau commun - Lu gen - 1 Grand Sachet plante 300g</t>
  </si>
  <si>
    <t>https://calebasse.com/produits/lu-gen-roseau-commun-5040?product=7264</t>
  </si>
  <si>
    <t>https://res.cloudinary.com/laboratoire-calebasse/image/upload/v1747063667/ROSEAU_COMMUN_300_g_ALGL_3dd01bfa6f.jpg</t>
  </si>
  <si>
    <t>3665346219720</t>
  </si>
  <si>
    <t>sku-ALGL</t>
  </si>
  <si>
    <t>ALHG</t>
  </si>
  <si>
    <t>Fruits du Arhat - Luo han guo - 1 Petit Sachet plante 80g</t>
  </si>
  <si>
    <t>Pour préserver la voix. Ses principaux bienfaits : apaise la gorge, soulage la voix</t>
  </si>
  <si>
    <t>https://calebasse.com/produits/luo-han-guo-fruits-du-arhat-3864?product=4478</t>
  </si>
  <si>
    <t>https://res.cloudinary.com/laboratoire-calebasse/image/upload/v1746527970/FRUITS_DU_ARHAT_80_g_ALHG_af7e5354cc.jpg</t>
  </si>
  <si>
    <t>3665346141212</t>
  </si>
  <si>
    <t>sku-ALHG</t>
  </si>
  <si>
    <t>3864</t>
  </si>
  <si>
    <t>ALHGL</t>
  </si>
  <si>
    <t>Fruits du Arhat - Luo han guo - 1 Grand Sachet plante 160g</t>
  </si>
  <si>
    <t>https://calebasse.com/produits/luo-han-guo-fruits-du-arhat-3864?product=4479</t>
  </si>
  <si>
    <t>https://res.cloudinary.com/laboratoire-calebasse/image/upload/v1747062245/FRUITS_DU_ARHAT_160_g_ALHGL_c0356769f1.jpg</t>
  </si>
  <si>
    <t>3665346220429</t>
  </si>
  <si>
    <t>sku-ALHGL</t>
  </si>
  <si>
    <t>ALJN</t>
  </si>
  <si>
    <t>Armoise irrégulière - Liu ji nu - 1 Petit Sachet plante 100g</t>
  </si>
  <si>
    <t>Pour retrouver le confort urinaire et dissoudre la Stase. Ses principaux bienfaits : stimule la circulation sanguine, contribue à réguler le cycle, aide au confort urinaire</t>
  </si>
  <si>
    <t>https://calebasse.com/produits/liu-ji-nu-armoise-irreguliere-3857?product=4455</t>
  </si>
  <si>
    <t>https://res.cloudinary.com/laboratoire-calebasse/image/upload/v1746524394/ARMOISE_IRREGULIERE_100_g_ALJN_a90225fcdb.jpg</t>
  </si>
  <si>
    <t>3665346139615</t>
  </si>
  <si>
    <t>sku-ALJN</t>
  </si>
  <si>
    <t>3857</t>
  </si>
  <si>
    <t>ALJNL</t>
  </si>
  <si>
    <t>Armoise irrégulière - Liu ji nu - 1 Grand Sachet plante 260g</t>
  </si>
  <si>
    <t>https://calebasse.com/produits/liu-ji-nu-armoise-irreguliere-3857?product=4454</t>
  </si>
  <si>
    <t>https://res.cloudinary.com/laboratoire-calebasse/image/upload/v1747063697/ARMOISE_IRREGULIERE_260_g_ALJNL_e902b02f02.jpg</t>
  </si>
  <si>
    <t>3665346217023</t>
  </si>
  <si>
    <t>sku-ALJNL</t>
  </si>
  <si>
    <t>ALQ</t>
  </si>
  <si>
    <t>Fruits de Cloches dorées - Lian qiao - 1 Petit Sachet plante 100g</t>
  </si>
  <si>
    <t>Pour clarifier la Chaleur. Ses principaux bienfaits : détoxifie l'organisme, soulage les voies respiratoires</t>
  </si>
  <si>
    <t>https://calebasse.com/produits/lian-qiao-fruits-de-cloches-dorees-3852?product=4428</t>
  </si>
  <si>
    <t>https://res.cloudinary.com/laboratoire-calebasse/image/upload/v1746533893/FRUITS_DE_CLOCHES_DOREES_100_g_ALQ_b5f5c70b20.jpg</t>
  </si>
  <si>
    <t>3665346138212</t>
  </si>
  <si>
    <t>sku-ALQ</t>
  </si>
  <si>
    <t>3852</t>
  </si>
  <si>
    <t>ALQCP</t>
  </si>
  <si>
    <t>Fruits de Cloches dorées - Lian qiao - 1 flacon de poudre concentrée - 100g</t>
  </si>
  <si>
    <t>https://calebasse.com/produits/lian-qiao-fruits-de-cloches-dorees-3852?product=4430</t>
  </si>
  <si>
    <t>https://res.cloudinary.com/laboratoire-calebasse/image/upload/v1634201111/A_lianqiaocp_0367b67e86.jpg</t>
  </si>
  <si>
    <t>3665346138250</t>
  </si>
  <si>
    <t>sku-ALQCP</t>
  </si>
  <si>
    <t>ALQGL</t>
  </si>
  <si>
    <t>Fruits de Cloches dorées - Lian qiao - 1 flacon de 100 gélules - 50g</t>
  </si>
  <si>
    <t>https://calebasse.com/produits/lian-qiao-fruits-de-cloches-dorees-3852?product=4432</t>
  </si>
  <si>
    <t>https://res.cloudinary.com/laboratoire-calebasse/image/upload/v1634201111/A_lianqiaogl_07f3c90f07.jpg</t>
  </si>
  <si>
    <t>3665346138236</t>
  </si>
  <si>
    <t>sku-ALQGL</t>
  </si>
  <si>
    <t>ALQL</t>
  </si>
  <si>
    <t>Fruits de Cloches dorées - Lian qiao - 1 Grand Sachet plante 260g</t>
  </si>
  <si>
    <t>https://calebasse.com/produits/lian-qiao-fruits-de-cloches-dorees-3852?product=4429</t>
  </si>
  <si>
    <t>https://res.cloudinary.com/laboratoire-calebasse/image/upload/v1747063743/FRUITS_DE_CLOCHES_DOREES_260_g_ALQL_013dd9961a.jpg</t>
  </si>
  <si>
    <t>3665346194225</t>
  </si>
  <si>
    <t>sku-ALQL</t>
  </si>
  <si>
    <t>ALST</t>
  </si>
  <si>
    <t>Liane de Jasmin étoilé - Luo shi teng - 1 Petit Sachet plante 100g</t>
  </si>
  <si>
    <t>Pour préserver la santé articulaire. Ses principaux bienfaits : favorise le confort articulaire, apaise les sensibilités articulaires</t>
  </si>
  <si>
    <t>https://calebasse.com/produits/luo-shi-teng-liane-de-jasmin-etoile-3866?product=4480</t>
  </si>
  <si>
    <t>https://res.cloudinary.com/laboratoire-calebasse/image/upload/v1746527457/LIANE_DE_JASMIN_ETOILE_100_g_ALST_0144a16f22.jpg</t>
  </si>
  <si>
    <t>3665346141311</t>
  </si>
  <si>
    <t>sku-ALST</t>
  </si>
  <si>
    <t>3866</t>
  </si>
  <si>
    <t>ALSTL</t>
  </si>
  <si>
    <t>Liane de Jasmin étoilé - Luo shi teng - 1 Grand Sachet plante 300g</t>
  </si>
  <si>
    <t>https://calebasse.com/produits/luo-shi-teng-liane-de-jasmin-etoile-3866?product=4481</t>
  </si>
  <si>
    <t>https://res.cloudinary.com/laboratoire-calebasse/image/upload/v1747062577/LIANE_DE_JASMIN_ETOILE_300_g_ALSTL_9e9b2bb359.jpg</t>
  </si>
  <si>
    <t>3665346141328</t>
  </si>
  <si>
    <t>sku-ALSTL</t>
  </si>
  <si>
    <t>ALXH</t>
  </si>
  <si>
    <t>Bignone à grandes fleurs - Ling xiao hua - 1 Petit Sachet plante 50g</t>
  </si>
  <si>
    <t>Pour éliminer la Stase. Ses principaux bienfaits : stimule la circulation sanguine, détoxifie l'organisme</t>
  </si>
  <si>
    <t>https://calebasse.com/produits/ling-xiao-hua-bignone-a-grandes-fleurs-3855?product=4444</t>
  </si>
  <si>
    <t>https://res.cloudinary.com/laboratoire-calebasse/image/upload/v1748268544/BIGNONE_A_GRANDES_FLEURS_50_g_ALXH_8f2f395327.jpg</t>
  </si>
  <si>
    <t>3665346138915</t>
  </si>
  <si>
    <t>sku-ALXH</t>
  </si>
  <si>
    <t>3855</t>
  </si>
  <si>
    <t>ALYR</t>
  </si>
  <si>
    <t>Fruit de Longan - Long yan rou - 1 Petit Sachet plante 100g</t>
  </si>
  <si>
    <t>Pour préserver l'équilibre de l'organisme. Ses principaux bienfaits : réduit la fatigue, tranquillise le shen, donne du tonus à l'organisme</t>
  </si>
  <si>
    <t>https://calebasse.com/produits/long-yan-rou-fruit-de-longan-3858?product=4462</t>
  </si>
  <si>
    <t>https://res.cloudinary.com/laboratoire-calebasse/image/upload/v1746535296/FRUIT_DE_LONGAN_100_g_ALYR_9dd55bba6a.jpg</t>
  </si>
  <si>
    <t>3665346140116</t>
  </si>
  <si>
    <t>sku-ALYR</t>
  </si>
  <si>
    <t>3858</t>
  </si>
  <si>
    <t>ALYRCP</t>
  </si>
  <si>
    <t>Fruit de Longan - Long yan rou - 1 flacon de poudre concentrée - 100g</t>
  </si>
  <si>
    <t>https://calebasse.com/produits/long-yan-rou-fruit-de-longan-3858?product=4465</t>
  </si>
  <si>
    <t>https://res.cloudinary.com/laboratoire-calebasse/image/upload/v1634201117/A_longyanroucp_ed9a3af37a.jpg</t>
  </si>
  <si>
    <t>3665346140130</t>
  </si>
  <si>
    <t>sku-ALYRCP</t>
  </si>
  <si>
    <t>ALYRGL</t>
  </si>
  <si>
    <t>Fruit de Longan - Long yan rou - 1 flacon de 100 gélules - 50g</t>
  </si>
  <si>
    <t>https://calebasse.com/produits/long-yan-rou-fruit-de-longan-3858?product=4466</t>
  </si>
  <si>
    <t>https://res.cloudinary.com/laboratoire-calebasse/image/upload/v1634201118/A_longyanrougl_c84055861f.jpg</t>
  </si>
  <si>
    <t>3665346140154</t>
  </si>
  <si>
    <t>sku-ALYRGL</t>
  </si>
  <si>
    <t>ALYRL</t>
  </si>
  <si>
    <t>Fruit de Longan - Long yan rou - 1 Grand Sachet plante 300g</t>
  </si>
  <si>
    <t>https://calebasse.com/produits/long-yan-rou-fruit-de-longan-3858?product=4463</t>
  </si>
  <si>
    <t>https://res.cloudinary.com/laboratoire-calebasse/image/upload/v1754492163/FRUIT_DE_LONGAN_300_g_ALYRL_8d0f3d467a.jpg</t>
  </si>
  <si>
    <t>3665346122846</t>
  </si>
  <si>
    <t>sku-ALYRL</t>
  </si>
  <si>
    <t>ALZ</t>
  </si>
  <si>
    <t>Reishi (Ganoderma) – Champignon des empereurs - Ling zhi - 1 Petit Sachet plante 100g</t>
  </si>
  <si>
    <t>Saveur amère et boisée, symbole de longévité depuis des millénaires. Ses principaux bienfaits : anti-âge, régulation du système immunitaire, apaise l’esprit pour un sommeil profond, antioxydant et anti-fatigue</t>
  </si>
  <si>
    <t>https://calebasse.com/produits/ling-zhi-ganoderma-reishi-3856?product=4449</t>
  </si>
  <si>
    <t>https://res.cloudinary.com/laboratoire-calebasse/image/upload/v1746526335/REISHI_100_g_ALZ_86bb6a1eb2.jpg</t>
  </si>
  <si>
    <t>3665346139011</t>
  </si>
  <si>
    <t>sku-ALZ</t>
  </si>
  <si>
    <t>https://res.cloudinary.com/laboratoire-calebasse/image/upload/v1756721362/1_0a0a0cd477.jpg; https://res.cloudinary.com/laboratoire-calebasse/image/upload/v1756721361/2_a06fb2e2f1.jpg; https://res.cloudinary.com/laboratoire-calebasse/image/upload/v1756721361/3_91d522d48f.jpg; https://res.cloudinary.com/laboratoire-calebasse/image/upload/v1756721362/4_2aa1e6e30a.jpg; https://res.cloudinary.com/laboratoire-calebasse/image/upload/v1756721362/5_0bdd7c2285.jpg; https://res.cloudinary.com/laboratoire-calebasse/image/upload/v1756721362/6_67e83cf389.jpg</t>
  </si>
  <si>
    <t>3856</t>
  </si>
  <si>
    <t>ALZCP</t>
  </si>
  <si>
    <t>Reishi (Ganoderma) – Champignon des empereurs - Ling zhi - 1 flacon de poudre concentrée - 100g</t>
  </si>
  <si>
    <t>https://calebasse.com/produits/ling-zhi-ganoderma-reishi-3856?product=4450</t>
  </si>
  <si>
    <t>https://res.cloudinary.com/laboratoire-calebasse/image/upload/v1741963492/4x_ABCD_mockup_MAX_111aa9509a.jpg</t>
  </si>
  <si>
    <t>3665346139035</t>
  </si>
  <si>
    <t>sku-ALZCP</t>
  </si>
  <si>
    <t>ALZGL</t>
  </si>
  <si>
    <t>Reishi (Ganoderma) – Champignon des empereurs - Ling zhi - 1 flacon de 100 gélules - 50g</t>
  </si>
  <si>
    <t>https://calebasse.com/produits/ling-zhi-ganoderma-reishi-3856?product=4452</t>
  </si>
  <si>
    <t>https://res.cloudinary.com/laboratoire-calebasse/image/upload/v1741963539/4x_ABCD_mockup_MAX_8bef61de57.jpg</t>
  </si>
  <si>
    <t>3665346139059</t>
  </si>
  <si>
    <t>sku-ALZGL</t>
  </si>
  <si>
    <t>ALZI</t>
  </si>
  <si>
    <t>Graines de Lotus - Lian zi - 1 Petit Sachet plante 100g</t>
  </si>
  <si>
    <t>Une graine sacrée au goût doux, utilisée depuis des siècles pour apaiser l’esprit et renforcer l’énergie intérieure. Ses principaux bienfaits : tonifie l’organisme en profondeur, permet un sommeil paisible, améliore l'humeur</t>
  </si>
  <si>
    <t>https://calebasse.com/produits/lian-zi-graines-de-lotus-3853?product=4434</t>
  </si>
  <si>
    <t>https://res.cloudinary.com/laboratoire-calebasse/image/upload/v1746528778/GRAINES_DE_LOTUS_100_g_ALZI_e6c18e95d3.jpg</t>
  </si>
  <si>
    <t>3665346138410</t>
  </si>
  <si>
    <t>sku-ALZI</t>
  </si>
  <si>
    <t>https://res.cloudinary.com/laboratoire-calebasse/image/upload/v1755594469/1_5fd6755d11.jpg; https://res.cloudinary.com/laboratoire-calebasse/image/upload/v1755594470/2_f569d84296.jpg; https://res.cloudinary.com/laboratoire-calebasse/image/upload/v1755594470/3_adf2711393.jpg; https://res.cloudinary.com/laboratoire-calebasse/image/upload/v1755594469/4_99cf5e609c.jpg; https://res.cloudinary.com/laboratoire-calebasse/image/upload/v1755594469/5_b55de3af29.jpg</t>
  </si>
  <si>
    <t>3853</t>
  </si>
  <si>
    <t>ALZIGL</t>
  </si>
  <si>
    <t>Graines de Lotus - Lian zi - 1 flacon de 100 gélules - 50g</t>
  </si>
  <si>
    <t>https://calebasse.com/produits/lian-zi-graines-de-lotus-3853?product=4439</t>
  </si>
  <si>
    <t>https://res.cloudinary.com/laboratoire-calebasse/image/upload/v1634201111/A_lianzigl_70c114a140.jpg</t>
  </si>
  <si>
    <t>3665346138458</t>
  </si>
  <si>
    <t>sku-ALZIGL</t>
  </si>
  <si>
    <t>ALZIL</t>
  </si>
  <si>
    <t>Graines de Lotus - Lian zi - 1 Grand Sachet plante 300g</t>
  </si>
  <si>
    <t>https://calebasse.com/produits/lian-zi-graines-de-lotus-3853?product=4435</t>
  </si>
  <si>
    <t>https://res.cloudinary.com/laboratoire-calebasse/image/upload/v1747063731/GRAINES_DE_LOTUS_300_g_ALZIL_00f6c33b2b.jpg</t>
  </si>
  <si>
    <t>3665346188019</t>
  </si>
  <si>
    <t>sku-ALZIL</t>
  </si>
  <si>
    <t>ALZL</t>
  </si>
  <si>
    <t>Reishi (Ganoderma) – Champignon des empereurs - Ling zhi - 1 Grand Sachet plante 200g</t>
  </si>
  <si>
    <t>https://calebasse.com/produits/ling-zhi-ganoderma-reishi-3856?product=4448</t>
  </si>
  <si>
    <t>https://res.cloudinary.com/laboratoire-calebasse/image/upload/v1747063716/REISHI_200_g_ALZL_0df62c3426.jpg</t>
  </si>
  <si>
    <t>3665346218228</t>
  </si>
  <si>
    <t>sku-ALZL</t>
  </si>
  <si>
    <t>ALZX</t>
  </si>
  <si>
    <t>Germes de lotus - Lian zi xin - 1 Flacon plante 50g</t>
  </si>
  <si>
    <t>Un rituel apaisant à adopter au quotidien. Ses principaux bienfaits : facilite l'endormissement, tranquillise le shen, chasse la nervosité</t>
  </si>
  <si>
    <t>https://calebasse.com/produits/lian-zi-xin-germes-de-lotus-3854?product=4440</t>
  </si>
  <si>
    <t>https://res.cloudinary.com/laboratoire-calebasse/image/upload/v1754486141/lian_zi_xin_5522393077.jpg</t>
  </si>
  <si>
    <t>3665346138519</t>
  </si>
  <si>
    <t>sku-ALZX</t>
  </si>
  <si>
    <t>https://res.cloudinary.com/laboratoire-calebasse/image/upload/v1756721404/1_41d011d0fa.jpg; https://res.cloudinary.com/laboratoire-calebasse/image/upload/v1756721403/2_a152ff17f8.jpg; https://res.cloudinary.com/laboratoire-calebasse/image/upload/v1756721403/3_04fe775c0f.jpg; https://res.cloudinary.com/laboratoire-calebasse/image/upload/v1756721403/4_5c12620422.jpg; https://res.cloudinary.com/laboratoire-calebasse/image/upload/v1756721404/5_2d572bb5e1.jpg</t>
  </si>
  <si>
    <t>3854</t>
  </si>
  <si>
    <t>AMCX</t>
  </si>
  <si>
    <t>Pourpier maraîcher - Ma chi xian - 1 Petit Sachet plante 50g</t>
  </si>
  <si>
    <t>Pour un post-partum serein. Ses principaux bienfaits : favorise l'équilibre féminin, atténuer les pertes de sang, contribue à la récupération post-partum</t>
  </si>
  <si>
    <t>https://calebasse.com/produits/ma-chi-xian-pourpier-maraicher-3865?product=4482</t>
  </si>
  <si>
    <t>https://res.cloudinary.com/laboratoire-calebasse/image/upload/v1746534527/POURPIER_MARAICHER_50_g_AMCX_2fb4573f84.jpg</t>
  </si>
  <si>
    <t>3665346141618</t>
  </si>
  <si>
    <t>sku-AMCX</t>
  </si>
  <si>
    <t>3865</t>
  </si>
  <si>
    <t>AMCXL</t>
  </si>
  <si>
    <t>Pourpier maraîcher - Ma chi xian - 1 Grand Sachet plante 200g</t>
  </si>
  <si>
    <t>https://calebasse.com/produits/ma-chi-xian-pourpier-maraicher-3865?product=4483</t>
  </si>
  <si>
    <t>https://res.cloudinary.com/laboratoire-calebasse/image/upload/v1747062544/POURPIER_MARAICHER_200_g_AMCXL_63ec223272.jpg</t>
  </si>
  <si>
    <t>3665346199428</t>
  </si>
  <si>
    <t>sku-AMCXL</t>
  </si>
  <si>
    <t>AMD</t>
  </si>
  <si>
    <t>Muguet du Japon - Mai dong - 1 Petit Sachet plante 50g</t>
  </si>
  <si>
    <t>Pour tonifier le Yin. Ses principaux bienfaits : nourrit le yin du poumon</t>
  </si>
  <si>
    <t>https://calebasse.com/produits/mai-dong-muguet-du-japon-4537?product=6562</t>
  </si>
  <si>
    <t>https://res.cloudinary.com/laboratoire-calebasse/image/upload/v1746534863/MUGUET_DU_JAPON_50_g_AMD_e7441812ec.jpg</t>
  </si>
  <si>
    <t>3665346182512</t>
  </si>
  <si>
    <t>sku-AMD</t>
  </si>
  <si>
    <t>4537</t>
  </si>
  <si>
    <t>AMDCP</t>
  </si>
  <si>
    <t>Muguet du Japon - Mai dong - 1 flacon de poudre concentrée - 100g</t>
  </si>
  <si>
    <t>https://calebasse.com/produits/mai-dong-muguet-du-japon-4537?product=6567</t>
  </si>
  <si>
    <t>https://res.cloudinary.com/laboratoire-calebasse/image/upload/v1704444093/A_mai_dong_CP_34d9999264.jpg</t>
  </si>
  <si>
    <t>3665346141830</t>
  </si>
  <si>
    <t>sku-AMDCP</t>
  </si>
  <si>
    <t>AMDGL</t>
  </si>
  <si>
    <t>Muguet du Japon - Mai dong - 1 flacon de 100 gélules - 50g</t>
  </si>
  <si>
    <t>https://calebasse.com/produits/mai-dong-muguet-du-japon-4537?product=6564</t>
  </si>
  <si>
    <t>https://res.cloudinary.com/laboratoire-calebasse/image/upload/v1704444132/A_mai_dong_GL_804f184c76.jpg</t>
  </si>
  <si>
    <t>3665346141854</t>
  </si>
  <si>
    <t>sku-AMDGL</t>
  </si>
  <si>
    <t>AMDH</t>
  </si>
  <si>
    <t>Pivoine en arbre - Mu dan hua - 1 Petit Sachet plante 50g</t>
  </si>
  <si>
    <t xml:space="preserve"> Ses principaux bienfaits : contribue à réguler le cycle, favorise l’équilibre féminin Ses principaux bienfaits : contribue à réguler le cycle, favorise l’équilibre féminin</t>
  </si>
  <si>
    <t>https://calebasse.com/produits/mu-dan-hua-pivoine-en-arbre-5036?product=6534</t>
  </si>
  <si>
    <t>https://res.cloudinary.com/laboratoire-calebasse/image/upload/v1746526541/PIVOINE_EN_ARBRE_50_g_AMDH_4e2baa6110.jpg</t>
  </si>
  <si>
    <t>3665346183410</t>
  </si>
  <si>
    <t>sku-AMDH</t>
  </si>
  <si>
    <t>5036</t>
  </si>
  <si>
    <t>AMDL</t>
  </si>
  <si>
    <t>Muguet du Japon - Mai dong - 1 Grand Sachet plante 200g</t>
  </si>
  <si>
    <t>https://calebasse.com/produits/mai-dong-muguet-du-japon-4537?product=6563</t>
  </si>
  <si>
    <t>https://res.cloudinary.com/laboratoire-calebasse/image/upload/v1747062529/MUGUET_DU_JAPON_200_g_AMDL_43474ec22c.jpg</t>
  </si>
  <si>
    <t>3665346198322</t>
  </si>
  <si>
    <t>sku-AMDL</t>
  </si>
  <si>
    <t>AMDP</t>
  </si>
  <si>
    <t>Racines de Pivoine - Mu dan pi - 1 Petit Sachet plante 100g</t>
  </si>
  <si>
    <t>Pour favoriser le confort féminin. Ses principaux bienfaits : aide à mieux vivre les règles, accompagne la transition vers la ménopause</t>
  </si>
  <si>
    <t>https://calebasse.com/produits/mu-dan-pi-racines-de-pivoine-3875?product=4510</t>
  </si>
  <si>
    <t>https://res.cloudinary.com/laboratoire-calebasse/image/upload/v1746526528/RACINES_DE_PIVOINE_100_g_AMDP_0f1c2a48d4.jpg</t>
  </si>
  <si>
    <t>3665346144718</t>
  </si>
  <si>
    <t>sku-AMDP</t>
  </si>
  <si>
    <t>3875</t>
  </si>
  <si>
    <t>AMDPCP</t>
  </si>
  <si>
    <t>Racines de Pivoine - Mu dan pi - 1 flacon de poudre concentrée - 100g</t>
  </si>
  <si>
    <t>https://calebasse.com/produits/mu-dan-pi-racines-de-pivoine-3875?product=4511</t>
  </si>
  <si>
    <t>https://res.cloudinary.com/laboratoire-calebasse/image/upload/v1704448742/A_mudanpi_CP_7d59fc1d22.jpg</t>
  </si>
  <si>
    <t>3665346144732</t>
  </si>
  <si>
    <t>sku-AMDPCP</t>
  </si>
  <si>
    <t>AMDPGL</t>
  </si>
  <si>
    <t>Racines de Pivoine - Mu dan pi - 1 flacon de 100 gélules - 50g</t>
  </si>
  <si>
    <t>https://calebasse.com/produits/mu-dan-pi-racines-de-pivoine-3875?product=4517</t>
  </si>
  <si>
    <t>https://res.cloudinary.com/laboratoire-calebasse/image/upload/v1704448765/A_mudanpi_GL_0843349ada.jpg</t>
  </si>
  <si>
    <t>3665346144756</t>
  </si>
  <si>
    <t>sku-AMDPGL</t>
  </si>
  <si>
    <t>AMDPL</t>
  </si>
  <si>
    <t>Racines de Pivoine - Mu dan pi - 1 Grand Sachet plante 300g</t>
  </si>
  <si>
    <t>https://calebasse.com/produits/mu-dan-pi-racines-de-pivoine-3875?product=4512</t>
  </si>
  <si>
    <t>https://res.cloudinary.com/laboratoire-calebasse/image/upload/v1747062460/RACINES_DE_PIVOINE_300_g_AMDPL_7890642130.jpg</t>
  </si>
  <si>
    <t>3665346144725</t>
  </si>
  <si>
    <t>sku-AMDPL</t>
  </si>
  <si>
    <t>AMG</t>
  </si>
  <si>
    <t>Cognassier fruit - Mu gua - 1 Petit Sachet plante 100g</t>
  </si>
  <si>
    <t>Pour retrouver le confort et améliorer la digestion. Ses principaux bienfaits : contribue à une bonne digestion, favorise le confort articulaire, décontracte les muscles</t>
  </si>
  <si>
    <t>https://calebasse.com/produits/mu-gua-fruits-de-papaye-4554?product=4516</t>
  </si>
  <si>
    <t>https://res.cloudinary.com/laboratoire-calebasse/image/upload/v1747062194/COGNASSIER_FRUIT_100_g_AMG_814541870b.jpg</t>
  </si>
  <si>
    <t>3665346144916</t>
  </si>
  <si>
    <t>sku-AMG</t>
  </si>
  <si>
    <t>4554</t>
  </si>
  <si>
    <t>AMGGL</t>
  </si>
  <si>
    <t>Cognassier fruit - Mu gua - 1 flacon de 100 gélules - 50g</t>
  </si>
  <si>
    <t>https://calebasse.com/produits/mu-gua-fruits-de-papaye-4554?product=4520</t>
  </si>
  <si>
    <t>https://res.cloudinary.com/laboratoire-calebasse/image/upload/v1760543938/COGNASSIER_FRUIT_AMGGL_99f6ad0fb7.jpg</t>
  </si>
  <si>
    <t>3665346144954</t>
  </si>
  <si>
    <t>sku-AMGGL</t>
  </si>
  <si>
    <t>AMGH</t>
  </si>
  <si>
    <t>Boutons de Rose - Douceur, légèreté &amp; circulation intérieure - Mei gui hua - 1 Petit Sachet plante 100g</t>
  </si>
  <si>
    <t>Délicats, parfumés et élégants en infusion, les boutons de rose accompagnent les moments où l’on ressent le besoin de ralentir, de relâcher les tensions et de retrouver une sensation de fluidité, dans le corps comme dans l’esprit. Ses principaux bienfaits : aide l’esprit à redescendre en fin de journée, invite au calme et à la détente, accompagne la sensation de légèreté après les repas, apporte une touche florale raffinée aux infusions et à la cuisine</t>
  </si>
  <si>
    <t>https://calebasse.com/produits/mei-gui-hua-boutons-de-rose-3872?product=4505</t>
  </si>
  <si>
    <t>https://res.cloudinary.com/laboratoire-calebasse/image/upload/v1746526619/BOUTONS_DE_ROSE_100_g_AMGH_99ebfdf9a5.jpg</t>
  </si>
  <si>
    <t>3665346143612</t>
  </si>
  <si>
    <t>sku-AMGH</t>
  </si>
  <si>
    <t>https://res.cloudinary.com/laboratoire-calebasse/image/upload/v1770310036/boutons_de_rose_64d27dd85c.jpg</t>
  </si>
  <si>
    <t>3872</t>
  </si>
  <si>
    <t>AMGHL</t>
  </si>
  <si>
    <t>Boutons de Rose - Douceur, légèreté &amp; circulation intérieure - Mei gui hua - 1 Grand Sachet plante 300g</t>
  </si>
  <si>
    <t>https://calebasse.com/produits/mei-gui-hua-boutons-de-rose-3872?product=4507</t>
  </si>
  <si>
    <t>https://res.cloudinary.com/laboratoire-calebasse/image/upload/v1747062226/BOUTONS_DE_ROSE_300_g_AMGHL_78729073c2.jpg</t>
  </si>
  <si>
    <t>3665346189023</t>
  </si>
  <si>
    <t>sku-AMGHL</t>
  </si>
  <si>
    <t>AMGL</t>
  </si>
  <si>
    <t>Cognassier fruit - Mu gua - 1 Grand Sachet plante 300g</t>
  </si>
  <si>
    <t>https://calebasse.com/produits/mu-gua-fruits-de-papaye-4554?product=4515</t>
  </si>
  <si>
    <t>https://res.cloudinary.com/laboratoire-calebasse/image/upload/v1747062207/COGNASSIER_FRUIT_300_g_AMGL_1788d4059e.jpg</t>
  </si>
  <si>
    <t>3665346144923</t>
  </si>
  <si>
    <t>sku-AMGL</t>
  </si>
  <si>
    <t>AMJZ</t>
  </si>
  <si>
    <t>Poivre des moines - Man jing zi - 1 Petit Sachet plante 100g</t>
  </si>
  <si>
    <t>Pour une tête apaisée. Ses principaux bienfaits : soulage la tête, apaiser la fatigue visuelle</t>
  </si>
  <si>
    <t>https://calebasse.com/produits/man-jing-zi-poivre-des-moines-3869?product=4498</t>
  </si>
  <si>
    <t>https://res.cloudinary.com/laboratoire-calebasse/image/upload/v1746528868/POIVRE_DES_MOINES_100_g_AMJZ_bc21146e8d.jpg</t>
  </si>
  <si>
    <t>3665346142219</t>
  </si>
  <si>
    <t>sku-AMJZ</t>
  </si>
  <si>
    <t>3869</t>
  </si>
  <si>
    <t>AMJZCP</t>
  </si>
  <si>
    <t>Poivre des moines - Man jing zi - 1 flacon de poudre concentrée - 100g</t>
  </si>
  <si>
    <t>https://calebasse.com/produits/man-jing-zi-poivre-des-moines-3869?product=4501</t>
  </si>
  <si>
    <t>https://res.cloudinary.com/laboratoire-calebasse/image/upload/v1634201118/A_manjingzicp_e0baf43ce4.jpg</t>
  </si>
  <si>
    <t>3665346142233</t>
  </si>
  <si>
    <t>sku-AMJZCP</t>
  </si>
  <si>
    <t>AMJZGL</t>
  </si>
  <si>
    <t>Poivre des moines - Man jing zi - 1 flacon de 100 gélules - 50g</t>
  </si>
  <si>
    <t>https://calebasse.com/produits/man-jing-zi-poivre-des-moines-3869?product=4502</t>
  </si>
  <si>
    <t>https://res.cloudinary.com/laboratoire-calebasse/image/upload/v1634201117/A_manjingzigl_de6deeabeb.jpg</t>
  </si>
  <si>
    <t>3665346142257</t>
  </si>
  <si>
    <t>sku-AMJZGL</t>
  </si>
  <si>
    <t>AMJZL</t>
  </si>
  <si>
    <t>Poivre des moines - Man jing zi - 1 Grand Sachet plante 300g</t>
  </si>
  <si>
    <t>https://calebasse.com/produits/man-jing-zi-poivre-des-moines-3869?product=4500</t>
  </si>
  <si>
    <t>https://res.cloudinary.com/laboratoire-calebasse/image/upload/v1747062496/POIVRE_DES_MOINES_300_g_AMJZL_b898ad2764.jpg</t>
  </si>
  <si>
    <t>3665346142226</t>
  </si>
  <si>
    <t>sku-AMJZL</t>
  </si>
  <si>
    <t>AMK</t>
  </si>
  <si>
    <t>Maca - 1 Flacon plante 50g</t>
  </si>
  <si>
    <t>Pour stimuler le désir sexuel. Ses principaux bienfaits : améliore la vie sexuelle, donne du tonus à l'organisme, stimule la vitalité et le tonus sexuel, soutient la fertilité</t>
  </si>
  <si>
    <t>https://calebasse.com/produits/maca-3867?product=4484</t>
  </si>
  <si>
    <t>https://res.cloudinary.com/laboratoire-calebasse/image/upload/v1754487627/ma_ka_0d8712d6b0.jpg</t>
  </si>
  <si>
    <t>3665346141717</t>
  </si>
  <si>
    <t>sku-AMK</t>
  </si>
  <si>
    <t>3867</t>
  </si>
  <si>
    <t>AMLH</t>
  </si>
  <si>
    <t>Fleurs de jasmin - La douceur qui apaise le quotidien - Mo li hua - 1 Petit Sachet plante 50g</t>
  </si>
  <si>
    <t>Fleur blanche au parfum discret et enveloppant, le jasmin est apprécié depuis des siècles pour sa capacité à apaiser l’esprit sans l’alourdir. Ses principaux bienfaits : favorise l’apaisement de l’esprit, accompagne l’équilibre émotionnel au quotidien, contribue au confort de la peau et à une sensation de légèreté</t>
  </si>
  <si>
    <t>https://calebasse.com/produits/mo-li-hua-fleurs-de-jasmin-3873?product=4508</t>
  </si>
  <si>
    <t>https://res.cloudinary.com/laboratoire-calebasse/image/upload/v1746528197/FLEURS_DE_JASMIN_50_g_AMLH_8a55f5aa2d.jpg</t>
  </si>
  <si>
    <t>3665346144411</t>
  </si>
  <si>
    <t>sku-AMLH</t>
  </si>
  <si>
    <t>3873</t>
  </si>
  <si>
    <t>AMLHL</t>
  </si>
  <si>
    <t>Fleurs de jasmin - La douceur qui apaise le quotidien - Mo li hua - 1 Grand Sachet plante 260g</t>
  </si>
  <si>
    <t>https://calebasse.com/produits/mo-li-hua-fleurs-de-jasmin-3873?product=4509</t>
  </si>
  <si>
    <t>https://res.cloudinary.com/laboratoire-calebasse/image/upload/v1747062477/FLEURS_DE_JASMIN_260_g_AMLHL_fe7c5ad858.jpg</t>
  </si>
  <si>
    <t>3665346189429</t>
  </si>
  <si>
    <t>sku-AMLHL</t>
  </si>
  <si>
    <t>AMLHLX2</t>
  </si>
  <si>
    <t>Fleurs de jasmin - La douceur qui apaise le quotidien - Mo li hua - 2 Grands Sachets plantes 260g</t>
  </si>
  <si>
    <t>https://calebasse.com/produits/mo-li-hua-fleurs-de-jasmin-3873?product=7365</t>
  </si>
  <si>
    <t>https://res.cloudinary.com/laboratoire-calebasse/image/upload/v1753346999/_13431e7c41.jpg</t>
  </si>
  <si>
    <t>sku-AMLHLX2</t>
  </si>
  <si>
    <t>AMSH</t>
  </si>
  <si>
    <t>Rhododendron - Man shan hong - 1 Petit Sachet plante 50g</t>
  </si>
  <si>
    <t>https://calebasse.com/produits/man-shan-hong-rhododendron-3871?product=4504</t>
  </si>
  <si>
    <t>https://res.cloudinary.com/laboratoire-calebasse/image/upload/v1746526303/RHODODENDRON_50_g_AMSH_6bf8d576f8.jpg</t>
  </si>
  <si>
    <t>3665346142318</t>
  </si>
  <si>
    <t>sku-AMSH</t>
  </si>
  <si>
    <t>3871</t>
  </si>
  <si>
    <t>AMSHL</t>
  </si>
  <si>
    <t>Rhododendron - Man shan hong - 1 Grand Sachet plante 200g</t>
  </si>
  <si>
    <t>https://calebasse.com/produits/man-shan-hong-rhododendron-3871?product=4506</t>
  </si>
  <si>
    <t>https://res.cloudinary.com/laboratoire-calebasse/image/upload/v1747062514/RHODODENDRON_200_g_AMSHL_ac47c43b5a.jpg</t>
  </si>
  <si>
    <t>3665346215227</t>
  </si>
  <si>
    <t>sku-AMSHL</t>
  </si>
  <si>
    <t>AMYC</t>
  </si>
  <si>
    <t>Graines de malt germé cuit - Mai ya (Chao) - 1 Petit Sachet plante 100g</t>
  </si>
  <si>
    <t>Pour aider les digestions difficiles. Ses principaux bienfaits : contribue à une bonne digestion, favorise le confort intestinal</t>
  </si>
  <si>
    <t>https://calebasse.com/produits/mai-ya-chao-graines-de-malt-germe-cuit-3868?product=4486</t>
  </si>
  <si>
    <t>https://res.cloudinary.com/laboratoire-calebasse/image/upload/v1746526418/GRAINES_DEMALT_GERME_CUIT_100_g_AMYC_e031360b01.jpg</t>
  </si>
  <si>
    <t>3665346141915</t>
  </si>
  <si>
    <t>sku-AMYC</t>
  </si>
  <si>
    <t>3868</t>
  </si>
  <si>
    <t>AMYCCP</t>
  </si>
  <si>
    <t>Graines de malt germé cuit - Mai ya (Chao) - 1 flacon de poudre concentrée - 100g</t>
  </si>
  <si>
    <t>https://calebasse.com/produits/mai-ya-chao-graines-de-malt-germe-cuit-3868?product=4488</t>
  </si>
  <si>
    <t>https://res.cloudinary.com/laboratoire-calebasse/image/upload/v1634201224/A_chaomaiyacp_71685a8642.jpg</t>
  </si>
  <si>
    <t>3665346141939</t>
  </si>
  <si>
    <t>sku-AMYCCP</t>
  </si>
  <si>
    <t>AMYCGL</t>
  </si>
  <si>
    <t>Graines de malt germé cuit - Mai ya (Chao) - 1 flacon de 100 gélules - 50g</t>
  </si>
  <si>
    <t>https://calebasse.com/produits/mai-ya-chao-graines-de-malt-germe-cuit-3868?product=4490</t>
  </si>
  <si>
    <t>https://res.cloudinary.com/laboratoire-calebasse/image/upload/v1634201116/A_chaomaiyagl_480cb12da4.jpg</t>
  </si>
  <si>
    <t>3665346141953</t>
  </si>
  <si>
    <t>sku-AMYCGL</t>
  </si>
  <si>
    <t>AMYCL</t>
  </si>
  <si>
    <t>Graines de malt germé cuit - Mai ya (Chao) - 1 Grand Sachet plante 300g</t>
  </si>
  <si>
    <t>https://calebasse.com/produits/mai-ya-chao-graines-de-malt-germe-cuit-3868?product=4487</t>
  </si>
  <si>
    <t>https://res.cloudinary.com/laboratoire-calebasse/image/upload/v1747133015/GRAINES_DE_MALT_GERME_CUIT_300_g_AMYCL_44f0484e95.jpg</t>
  </si>
  <si>
    <t>3665346195529</t>
  </si>
  <si>
    <t>sku-AMYCL</t>
  </si>
  <si>
    <t>AMYMC</t>
  </si>
  <si>
    <t>Thé Mao yan mei - Mao yan mei cha - 1 Petit Sachet plante 50g</t>
  </si>
  <si>
    <t xml:space="preserve"> Ses principaux bienfaits : soutient les défenses naturelles, détoxifie l’organisme Ses principaux bienfaits : soutient les défenses naturelles, détoxifie l’organisme</t>
  </si>
  <si>
    <t>https://calebasse.com/produits/mao-yan-mei-cha-the-mao-yan-mei-5043?product=7270</t>
  </si>
  <si>
    <t>https://res.cloudinary.com/laboratoire-calebasse/image/upload/v1751624010/THE_MAO_YAN_MEI_50_g_AMYMC_13776ad448.jpg</t>
  </si>
  <si>
    <t>3665346184110</t>
  </si>
  <si>
    <t>sku-AMYMC</t>
  </si>
  <si>
    <t>5043</t>
  </si>
  <si>
    <t>AMYS</t>
  </si>
  <si>
    <t>Graines de Malt germé - Mai ya (Sheng) - 1 Petit Sachet plante 100g</t>
  </si>
  <si>
    <t>Pour vivre sereinement l'arrivée des règles. Ses principaux bienfaits : favorise l'équilibre féminin, aide à mieux vivre les règles</t>
  </si>
  <si>
    <t>https://calebasse.com/produits/mai-ya-sheng-graines-de-malt-germe-3870?product=4491</t>
  </si>
  <si>
    <t>https://res.cloudinary.com/laboratoire-calebasse/image/upload/v1746526734/GRAINES_DE_MALT_GERME_100_g_AMYS_cf28d899b2.jpg</t>
  </si>
  <si>
    <t>3665346142011</t>
  </si>
  <si>
    <t>sku-AMYS</t>
  </si>
  <si>
    <t>3870</t>
  </si>
  <si>
    <t>AMYSCP</t>
  </si>
  <si>
    <t>Graines de Malt germé - Mai ya (Sheng) - 1 flacon de poudre concentrée - 100g</t>
  </si>
  <si>
    <t>https://calebasse.com/produits/mai-ya-sheng-graines-de-malt-germe-3870?product=4495</t>
  </si>
  <si>
    <t>https://res.cloudinary.com/laboratoire-calebasse/image/upload/v1665068501/A_shengmaiyacp_d8b983d86f.jpg</t>
  </si>
  <si>
    <t>3665346142035</t>
  </si>
  <si>
    <t>sku-AMYSCP</t>
  </si>
  <si>
    <t>AMYSGL</t>
  </si>
  <si>
    <t>Graines de Malt germé - Mai ya (Sheng) - 1 flacon de 100 gélules - 50g</t>
  </si>
  <si>
    <t>https://calebasse.com/produits/mai-ya-sheng-graines-de-malt-germe-3870?product=4494</t>
  </si>
  <si>
    <t>https://res.cloudinary.com/laboratoire-calebasse/image/upload/v1665068479/A_shengmaiya_GL_251f5e9fcb.jpg</t>
  </si>
  <si>
    <t>3665346142059</t>
  </si>
  <si>
    <t>sku-AMYSGL</t>
  </si>
  <si>
    <t>AMYSL</t>
  </si>
  <si>
    <t>Graines de Malt germé - Mai ya (Sheng) - 1 Grand Sachet plante 300g</t>
  </si>
  <si>
    <t>https://calebasse.com/produits/mai-ya-sheng-graines-de-malt-germe-3870?product=4493</t>
  </si>
  <si>
    <t>https://res.cloudinary.com/laboratoire-calebasse/image/upload/v1748271891/GRAINES_DE_MALT_GERME_300_g_AMYSL_250c42d4b6.jpg</t>
  </si>
  <si>
    <t>3665346195420</t>
  </si>
  <si>
    <t>sku-AMYSL</t>
  </si>
  <si>
    <t>AMZ</t>
  </si>
  <si>
    <t>Prêle chinoise - Mu zei - 1 Petit Sachet plante 100g</t>
  </si>
  <si>
    <t>https://calebasse.com/produits/mu-zei-prele-chinoise-3876?product=4522</t>
  </si>
  <si>
    <t>https://res.cloudinary.com/laboratoire-calebasse/image/upload/v1746525404/PRELE_CHINOISE_100_g_AMZ_add3eef02a.jpg</t>
  </si>
  <si>
    <t>3665346145616</t>
  </si>
  <si>
    <t>sku-AMZ</t>
  </si>
  <si>
    <t>3876</t>
  </si>
  <si>
    <t>AMZCP</t>
  </si>
  <si>
    <t>Prêle chinoise - Mu zei - 1 flacon de poudre concentrée - 100g</t>
  </si>
  <si>
    <t>https://calebasse.com/produits/mu-zei-prele-chinoise-3876?product=4524</t>
  </si>
  <si>
    <t>https://res.cloudinary.com/laboratoire-calebasse/image/upload/v1634201116/A_muzeicp_a35fa74207.jpg</t>
  </si>
  <si>
    <t>3665346145630</t>
  </si>
  <si>
    <t>sku-AMZCP</t>
  </si>
  <si>
    <t>AMZGL</t>
  </si>
  <si>
    <t>Prêle chinoise - Mu zei - 1 flacon de 100 gélules - 50g</t>
  </si>
  <si>
    <t>https://calebasse.com/produits/mu-zei-prele-chinoise-3876?product=4526</t>
  </si>
  <si>
    <t>https://res.cloudinary.com/laboratoire-calebasse/image/upload/v1634201119/A_muzeigl_14d8c4f409.jpg</t>
  </si>
  <si>
    <t>3665346145654</t>
  </si>
  <si>
    <t>sku-AMZGL</t>
  </si>
  <si>
    <t>AMZL</t>
  </si>
  <si>
    <t>Prêle chinoise - Mu zei - 1 Grand Sachet plante 300g</t>
  </si>
  <si>
    <t>https://calebasse.com/produits/mu-zei-prele-chinoise-3876?product=4523</t>
  </si>
  <si>
    <t>https://res.cloudinary.com/laboratoire-calebasse/image/upload/v1747062443/PRELE_CHINOISE_300_g_AMZL_30d64c1cd7.jpg</t>
  </si>
  <si>
    <t>3665346199527</t>
  </si>
  <si>
    <t>sku-AMZL</t>
  </si>
  <si>
    <t>ANBZ</t>
  </si>
  <si>
    <t>Graines de Bardane - Niu bang zi - 1 Petit Sachet plante 100g</t>
  </si>
  <si>
    <t>Pour une gorge apaisée. Ses principaux bienfaits : détoxifie l'organisme, libère les voies respiratoires, apaise les réactions allergiques</t>
  </si>
  <si>
    <t>https://calebasse.com/produits/niu-bang-zi-graines-de-bardane-3878?product=4532</t>
  </si>
  <si>
    <t>https://res.cloudinary.com/laboratoire-calebasse/image/upload/v1746526498/GRAINES_DE_BARDANE_100_g_ANBZ_a99387dcdf.jpg</t>
  </si>
  <si>
    <t>3665346146019</t>
  </si>
  <si>
    <t>sku-ANBZ</t>
  </si>
  <si>
    <t>3878</t>
  </si>
  <si>
    <t>ANBZCP</t>
  </si>
  <si>
    <t>Graines de Bardane - Niu bang zi - 1 flacon de poudre concentrée - 100g</t>
  </si>
  <si>
    <t>https://calebasse.com/produits/niu-bang-zi-graines-de-bardane-3878?product=4534</t>
  </si>
  <si>
    <t>https://res.cloudinary.com/laboratoire-calebasse/image/upload/v1634201118/A_niubangzicp_46baabfd34.jpg</t>
  </si>
  <si>
    <t>3665346146033</t>
  </si>
  <si>
    <t>sku-ANBZCP</t>
  </si>
  <si>
    <t>ANBZGL</t>
  </si>
  <si>
    <t>Graines de Bardane - Niu bang zi - 1 flacon de 100 gélules - 50g</t>
  </si>
  <si>
    <t>https://calebasse.com/produits/niu-bang-zi-graines-de-bardane-3878?product=4536</t>
  </si>
  <si>
    <t>https://res.cloudinary.com/laboratoire-calebasse/image/upload/v1634201117/A_niubangzigl_2ab1795f97.jpg</t>
  </si>
  <si>
    <t>3665346146057</t>
  </si>
  <si>
    <t>sku-ANBZGL</t>
  </si>
  <si>
    <t>ANBZL</t>
  </si>
  <si>
    <t>Graines de Bardane - Niu bang zi - 1 Grand Sachet plante 300g</t>
  </si>
  <si>
    <t>https://calebasse.com/produits/niu-bang-zi-graines-de-bardane-3878?product=4533</t>
  </si>
  <si>
    <t>https://res.cloudinary.com/laboratoire-calebasse/image/upload/v1747062387/GRAINES_DE_BARDANE_300_g_ANBZL_0e829bce79.jpg</t>
  </si>
  <si>
    <t>3665346195024</t>
  </si>
  <si>
    <t>sku-ANBZL</t>
  </si>
  <si>
    <t>ANDG</t>
  </si>
  <si>
    <t>Racine de riz gluant - Nuo dao gen - 1 Petit Sachet plante 50g</t>
  </si>
  <si>
    <t>Pour calmer les bouffées de chaleur. Ses principaux bienfaits : favorise l'équilibre féminin, soulage les inconforts ménopausiques</t>
  </si>
  <si>
    <t>https://calebasse.com/produits/nuo-dao-gen-racine-de-riz-gluant-3883?product=4552</t>
  </si>
  <si>
    <t>https://res.cloudinary.com/laboratoire-calebasse/image/upload/v1746527096/RACINE_DERIZ_GLUANT_50_g_ANDG_3ec0c55290.jpg</t>
  </si>
  <si>
    <t>3665346146514</t>
  </si>
  <si>
    <t>sku-ANDG</t>
  </si>
  <si>
    <t>3883</t>
  </si>
  <si>
    <t>ANDGCP</t>
  </si>
  <si>
    <t>Racine de riz gluant - Nuo dao gen - 1 flacon de poudre concentrée - 100g</t>
  </si>
  <si>
    <t>https://calebasse.com/produits/nuo-dao-gen-racine-de-riz-gluant-3883?product=4554</t>
  </si>
  <si>
    <t>https://res.cloudinary.com/laboratoire-calebasse/image/upload/v1634201115/A_nuodaogencp_ff0fe76d04.jpg</t>
  </si>
  <si>
    <t>3665346146538</t>
  </si>
  <si>
    <t>sku-ANDGCP</t>
  </si>
  <si>
    <t>ANDGGL</t>
  </si>
  <si>
    <t>Racine de riz gluant - Nuo dao gen - 1 flacon de 100 gélules - 50g</t>
  </si>
  <si>
    <t>https://calebasse.com/produits/nuo-dao-gen-racine-de-riz-gluant-3883?product=4556</t>
  </si>
  <si>
    <t>https://res.cloudinary.com/laboratoire-calebasse/image/upload/v1634201117/A_nuodaogengl_7a2afca89c.jpg</t>
  </si>
  <si>
    <t>3665346146552</t>
  </si>
  <si>
    <t>sku-ANDGGL</t>
  </si>
  <si>
    <t>ANGZ</t>
  </si>
  <si>
    <t>Graines de courge - Nan gua zi - 1 Petit Sachet plante 100g</t>
  </si>
  <si>
    <t>Pour le confort de l'homme. Ses principaux bienfaits : aide au confort urinaire</t>
  </si>
  <si>
    <t>https://calebasse.com/produits/nan-gua-zi-graines-de-courge-3877?product=4528</t>
  </si>
  <si>
    <t>https://res.cloudinary.com/laboratoire-calebasse/image/upload/v1746524536/GRAINES_DE_COURGE_100_g_ANGZ_64423e2e8a.jpg</t>
  </si>
  <si>
    <t>3665346145814</t>
  </si>
  <si>
    <t>sku-ANGZ</t>
  </si>
  <si>
    <t>3877</t>
  </si>
  <si>
    <t>ANGZL</t>
  </si>
  <si>
    <t>Graines de courge - Nan gua zi - 1 Grand Sachet plante 300g</t>
  </si>
  <si>
    <t>https://calebasse.com/produits/nan-gua-zi-graines-de-courge-3877?product=4529</t>
  </si>
  <si>
    <t>https://res.cloudinary.com/laboratoire-calebasse/image/upload/v1747062425/GRAINES_DE_COURGE_300_g_ANGZL_149bdf4359.jpg</t>
  </si>
  <si>
    <t>3665346145821</t>
  </si>
  <si>
    <t>sku-ANGZL</t>
  </si>
  <si>
    <t>ANIU</t>
  </si>
  <si>
    <t>Grande Bardane - Niu bang gen - 1 Petit Sachet plante 100g</t>
  </si>
  <si>
    <t>Pour une peau saine et nette. Ses principaux bienfaits : stimule les fonctions éliminatrices, contribue au confort cutané</t>
  </si>
  <si>
    <t>https://calebasse.com/produits/niu-bang-gen-grande-bardane-3882?product=4530</t>
  </si>
  <si>
    <t>https://res.cloudinary.com/laboratoire-calebasse/image/upload/v1746526514/GRANDE_BARDANE_100_g_ANIU_c6d6e1b63d.jpg</t>
  </si>
  <si>
    <t>3665346105818</t>
  </si>
  <si>
    <t>sku-ANIU</t>
  </si>
  <si>
    <t>3882</t>
  </si>
  <si>
    <t>ANIUL</t>
  </si>
  <si>
    <t>Grande Bardane - Niu bang gen - 1 Grand Sachet plante 300g</t>
  </si>
  <si>
    <t>https://calebasse.com/produits/niu-bang-gen-grande-bardane-3882?product=4531</t>
  </si>
  <si>
    <t>https://res.cloudinary.com/laboratoire-calebasse/image/upload/v1747062404/GRANDE_BARDANE_300_g_ANIUL_c1422fb181.jpg</t>
  </si>
  <si>
    <t>3665346195925</t>
  </si>
  <si>
    <t>sku-ANIUL</t>
  </si>
  <si>
    <t>ANXH</t>
  </si>
  <si>
    <t>Racine de Genou de taureau - Niu xi (Huai) - 1 Petit Sachet plante 100g</t>
  </si>
  <si>
    <t>Pour retrouver le confort. Ses principaux bienfaits : favorise le confort articulaire, contribue à la santé des séniors</t>
  </si>
  <si>
    <t>https://calebasse.com/produits/niu-xi-huai-racine-de-genou-de-taureau-3880?product=4545</t>
  </si>
  <si>
    <t>https://res.cloudinary.com/laboratoire-calebasse/image/upload/v1746525205/RACINE_DE_GENOU_DE_TAUREAU_100_g_ANXH_4ab96ad341.jpg</t>
  </si>
  <si>
    <t>3665346146217</t>
  </si>
  <si>
    <t>sku-ANXH</t>
  </si>
  <si>
    <t>3880</t>
  </si>
  <si>
    <t>ANXHCP</t>
  </si>
  <si>
    <t>Racine de Genou de taureau - Niu xi (Huai) - 1 flacon de poudre concentrée - 100g</t>
  </si>
  <si>
    <t>https://calebasse.com/produits/niu-xi-huai-racine-de-genou-de-taureau-3880?product=4546</t>
  </si>
  <si>
    <t>https://res.cloudinary.com/laboratoire-calebasse/image/upload/v1634201115/A_huainiuxicp_e3cac8d97b.jpg</t>
  </si>
  <si>
    <t>3665346146231</t>
  </si>
  <si>
    <t>sku-ANXHCP</t>
  </si>
  <si>
    <t>ANXHGL</t>
  </si>
  <si>
    <t>Racine de Genou de taureau - Niu xi (Huai) - 1 flacon de 100 gélules - 50g</t>
  </si>
  <si>
    <t>https://calebasse.com/produits/niu-xi-huai-racine-de-genou-de-taureau-3880?product=4547</t>
  </si>
  <si>
    <t>https://res.cloudinary.com/laboratoire-calebasse/image/upload/v1634201119/A_huainiuxigl_b6c60d5171.jpg</t>
  </si>
  <si>
    <t>3665346146255</t>
  </si>
  <si>
    <t>sku-ANXHGL</t>
  </si>
  <si>
    <t>ANXHL</t>
  </si>
  <si>
    <t>Racine de Genou de taureau - Niu xi (Huai) - 1 Grand Sachet plante 300g</t>
  </si>
  <si>
    <t>https://calebasse.com/produits/niu-xi-huai-racine-de-genou-de-taureau-3880?product=4544</t>
  </si>
  <si>
    <t>https://res.cloudinary.com/laboratoire-calebasse/image/upload/v1747064166/RACINE_DE_GENOU_DE_TAUREAU_300_g_ANXHL_9886178758.jpg</t>
  </si>
  <si>
    <t>3665346199923</t>
  </si>
  <si>
    <t>sku-ANXHL</t>
  </si>
  <si>
    <t>ANZZ</t>
  </si>
  <si>
    <t>Graines de Liguste - Nü zhen zi - 1 Petit Sachet plante 100g</t>
  </si>
  <si>
    <t>Pour améliorer la vitalité féminine. Ses principaux bienfaits : favorise l'équilibre féminin, stimule la vitalité et le tonus sexuel</t>
  </si>
  <si>
    <t>https://calebasse.com/produits/nu-zhen-zi-graines-de-liguste-3881?product=4550</t>
  </si>
  <si>
    <t>https://res.cloudinary.com/laboratoire-calebasse/image/upload/v1746524752/GRAINES_DE_LIGUSTE_100_g_ANZZ_c560c4279c.jpg</t>
  </si>
  <si>
    <t>3665346146415</t>
  </si>
  <si>
    <t>sku-ANZZ</t>
  </si>
  <si>
    <t>3881</t>
  </si>
  <si>
    <t>ANZZL</t>
  </si>
  <si>
    <t>Graines de Liguste - Nü zhen zi - 1 Grand Sachet plante 300g</t>
  </si>
  <si>
    <t>https://calebasse.com/produits/nu-zhen-zi-graines-de-liguste-3881?product=4551</t>
  </si>
  <si>
    <t>https://res.cloudinary.com/laboratoire-calebasse/image/upload/v1747062369/GRAINES_DE_LIGUSTE_300_g_ANZZL_a52ced14cc.jpg</t>
  </si>
  <si>
    <t>3665346222416</t>
  </si>
  <si>
    <t>sku-ANZZL</t>
  </si>
  <si>
    <t>AOJ</t>
  </si>
  <si>
    <t>Rhizome de lotus - Ou jie - 1 Petit Sachet plante 100g</t>
  </si>
  <si>
    <t>Pour calmer les saignements. Ses principaux bienfaits : détoxifie l'organisme, atténuer les pertes de sang</t>
  </si>
  <si>
    <t>https://calebasse.com/produits/ou-jie-rhizome-de-lotus-3884?product=4557</t>
  </si>
  <si>
    <t>https://res.cloudinary.com/laboratoire-calebasse/image/upload/v1746528928/RHIZOMEDE_LOTUS_100_g_AOJ_79455d23b0.jpg</t>
  </si>
  <si>
    <t>3665346147412</t>
  </si>
  <si>
    <t>sku-AOJ</t>
  </si>
  <si>
    <t>3884</t>
  </si>
  <si>
    <t>AOJCP</t>
  </si>
  <si>
    <t>Rhizome de lotus - Ou jie - 1 flacon de poudre concentrée - 100g</t>
  </si>
  <si>
    <t>https://calebasse.com/produits/ou-jie-rhizome-de-lotus-3884?product=4561</t>
  </si>
  <si>
    <t>https://res.cloudinary.com/laboratoire-calebasse/image/upload/v1634201117/A_oujiecp_9843584d22.jpg</t>
  </si>
  <si>
    <t>3665346147436</t>
  </si>
  <si>
    <t>sku-AOJCP</t>
  </si>
  <si>
    <t>AOJGL</t>
  </si>
  <si>
    <t>Rhizome de lotus - Ou jie - 1 flacon de 100 gélules - 50g</t>
  </si>
  <si>
    <t>https://calebasse.com/produits/ou-jie-rhizome-de-lotus-3884?product=4562</t>
  </si>
  <si>
    <t>https://res.cloudinary.com/laboratoire-calebasse/image/upload/v1634201119/A_oujiegl_64329d4bda.jpg</t>
  </si>
  <si>
    <t>3665346147450</t>
  </si>
  <si>
    <t>sku-AOJGL</t>
  </si>
  <si>
    <t>AOJL</t>
  </si>
  <si>
    <t>Rhizome de lotus - Ou jie - 1 Grand Sachet plante 300g</t>
  </si>
  <si>
    <t>https://calebasse.com/produits/ou-jie-rhizome-de-lotus-3884?product=4558</t>
  </si>
  <si>
    <t>https://res.cloudinary.com/laboratoire-calebasse/image/upload/v1747062353/RHIZOMEDE_LOTUS_300_g_AOJL_59a8939835.jpg</t>
  </si>
  <si>
    <t>3665346214923</t>
  </si>
  <si>
    <t>sku-AOJL</t>
  </si>
  <si>
    <t>AP</t>
  </si>
  <si>
    <t>Piment - La jiao - 1 Petit Sachet plante 100g</t>
  </si>
  <si>
    <t>Pour protéger l’estomac. Ses principaux bienfaits : contribue à une bonne digestion, soulage les sensibilités de l'estomac</t>
  </si>
  <si>
    <t>https://calebasse.com/produits/la-jiao-piment-3848?product=4417</t>
  </si>
  <si>
    <t>https://res.cloudinary.com/laboratoire-calebasse/image/upload/v1746529173/PIMENT_100_g_AP_fe38d439e4.jpg</t>
  </si>
  <si>
    <t>3665346137116</t>
  </si>
  <si>
    <t>sku-AP</t>
  </si>
  <si>
    <t>3848</t>
  </si>
  <si>
    <t>APDH</t>
  </si>
  <si>
    <t>Fruit de Lychnophore - Pang da hai - 1 Petit Sachet plante 50g</t>
  </si>
  <si>
    <t>Pour transformer les Mucosités et apaiser la voix. Ses principaux bienfaits : apaise la gorge, libère les voies respiratoires, soulage la voix</t>
  </si>
  <si>
    <t>https://calebasse.com/produits/pang-da-hai-fruit-de-lychnophore-3885?product=4563</t>
  </si>
  <si>
    <t>https://res.cloudinary.com/laboratoire-calebasse/image/upload/v1746528057/FRUIT_DE_LYCHNOPHORE_50_g_APDH_daf634c6a5.jpg</t>
  </si>
  <si>
    <t>3665346147719</t>
  </si>
  <si>
    <t>sku-APDH</t>
  </si>
  <si>
    <t>3885</t>
  </si>
  <si>
    <t>APDHL</t>
  </si>
  <si>
    <t>Fruit de Lychnophore - Pang da hai - 1 Grand Sachet plante 280g</t>
  </si>
  <si>
    <t>https://calebasse.com/produits/pang-da-hai-fruit-de-lychnophore-3885?product=4565</t>
  </si>
  <si>
    <t>https://res.cloudinary.com/laboratoire-calebasse/image/upload/v1748272203/FRUIT_DE_LYCHNOPHORE_280_g_APDHL_1ca3d35b15.jpg</t>
  </si>
  <si>
    <t>3665346221921</t>
  </si>
  <si>
    <t>sku-APDHL</t>
  </si>
  <si>
    <t>APEB</t>
  </si>
  <si>
    <t>Thé Puer blanc - Pu er (bai) - 1 Petit Sachet plante 100g</t>
  </si>
  <si>
    <t>Pour faciliter l'amincissement. Ses principaux bienfaits : aide à la perte de poids, contribue à une bonne digestion, stimule les fonctions éliminatrices</t>
  </si>
  <si>
    <t>https://calebasse.com/produits/pu-er-bai-the-puer-blanc-3889?product=4580</t>
  </si>
  <si>
    <t>https://res.cloudinary.com/laboratoire-calebasse/image/upload/v1751623964/THE_PUER_BLANC_100_g_APEB_0f02311974.jpg</t>
  </si>
  <si>
    <t>3665346149515</t>
  </si>
  <si>
    <t>sku-APEB</t>
  </si>
  <si>
    <t>3889</t>
  </si>
  <si>
    <t>APEBL</t>
  </si>
  <si>
    <t>Thé Puer blanc - Pu er (bai) - 1 Grand Sachet plante 300g</t>
  </si>
  <si>
    <t>https://calebasse.com/produits/pu-er-bai-the-puer-blanc-3889?product=4581</t>
  </si>
  <si>
    <t>https://res.cloudinary.com/laboratoire-calebasse/image/upload/v1751623950/THE_PUER_BLANC_300_g_APEBL_467651f99d.jpg</t>
  </si>
  <si>
    <t>3665346215821</t>
  </si>
  <si>
    <t>sku-APEBL</t>
  </si>
  <si>
    <t>APEH</t>
  </si>
  <si>
    <t>Thé Puer jaune - Pu er (huang) - 1 Petit Sachet plante 100g</t>
  </si>
  <si>
    <t>https://calebasse.com/produits/pu-er-huang-the-puer-jaune-3890?product=4582</t>
  </si>
  <si>
    <t>https://res.cloudinary.com/laboratoire-calebasse/image/upload/v1751624080/THE_PUER_JAUNE_100_g_APEH_84f61e239d.jpg</t>
  </si>
  <si>
    <t>3665346149614</t>
  </si>
  <si>
    <t>sku-APEH</t>
  </si>
  <si>
    <t>3890</t>
  </si>
  <si>
    <t>APEHL</t>
  </si>
  <si>
    <t>Thé Puer jaune - Pu er (huang) - 1 Grand Sachet plante 300g</t>
  </si>
  <si>
    <t>https://calebasse.com/produits/pu-er-huang-the-puer-jaune-3890?product=4583</t>
  </si>
  <si>
    <t>https://res.cloudinary.com/laboratoire-calebasse/image/upload/v1751624068/THE_PUER_JAUNE_300_g_APEHL_a7f30c05ce.jpg</t>
  </si>
  <si>
    <t>3665346215920</t>
  </si>
  <si>
    <t>sku-APEHL</t>
  </si>
  <si>
    <t>APEHX2</t>
  </si>
  <si>
    <t>Thé Puer jaune - Pu er (huang) - 2 Sachets plantes 100g</t>
  </si>
  <si>
    <t>https://calebasse.com/produits/pu-er-huang-the-puer-jaune-3890?product=7438</t>
  </si>
  <si>
    <t>https://res.cloudinary.com/laboratoire-calebasse/image/upload/v1753347432/_5c7a9f49c7.jpg</t>
  </si>
  <si>
    <t>sku-APEHX2</t>
  </si>
  <si>
    <t>APGH</t>
  </si>
  <si>
    <t>Fleurs de pommier - Ping guo hua - 1 Petit Sachet plante 50g</t>
  </si>
  <si>
    <t>Pour préserver la santé cutanée. Ses principaux bienfaits : détoxifie l'organisme, améliore l'apparence de la peau, stimule les fonctions éliminatrices</t>
  </si>
  <si>
    <t>https://calebasse.com/produits/ping-guo-hua-fleurs-de-pommier-3888?product=4579</t>
  </si>
  <si>
    <t>https://res.cloudinary.com/laboratoire-calebasse/image/upload/v1746528165/POMMIER_FLEUR_50_g_APGH_30753a0dd0.jpg</t>
  </si>
  <si>
    <t>3665346148617</t>
  </si>
  <si>
    <t>sku-APGH</t>
  </si>
  <si>
    <t>3888</t>
  </si>
  <si>
    <t>APGY</t>
  </si>
  <si>
    <t>Dent de lion (Pissenlit) - Pu gong ying - 1 Petit Sachet plante 50g</t>
  </si>
  <si>
    <t>Pour purifier naturellement l’organisme. Ses principaux bienfaits : clarifie la chaleur, détoxifie l'organisme, aide au confort urinaire</t>
  </si>
  <si>
    <t>https://calebasse.com/produits/pu-gong-ying-dent-de-lion-pissenlit-3891?product=4585</t>
  </si>
  <si>
    <t>https://res.cloudinary.com/laboratoire-calebasse/image/upload/v1746528849/DENT_DE_LION_PISSENLIT_50_g_APGY_0c63aa9825.jpg</t>
  </si>
  <si>
    <t>3665346149218</t>
  </si>
  <si>
    <t>sku-APGY</t>
  </si>
  <si>
    <t>3891</t>
  </si>
  <si>
    <t>APGYCP</t>
  </si>
  <si>
    <t>Dent de lion (Pissenlit) - Pu gong ying - 1 flacon de poudre concentrée - 100g</t>
  </si>
  <si>
    <t>https://calebasse.com/produits/pu-gong-ying-dent-de-lion-pissenlit-3891?product=4586</t>
  </si>
  <si>
    <t>https://res.cloudinary.com/laboratoire-calebasse/image/upload/v1760543963/DENT_DE_LION_PISSENLIT_APGYCP_daf49959e7.jpg</t>
  </si>
  <si>
    <t>3665346149232</t>
  </si>
  <si>
    <t>sku-APGYCP</t>
  </si>
  <si>
    <t>APGYGL</t>
  </si>
  <si>
    <t>Dent de lion (Pissenlit) - Pu gong ying - 1 flacon de 100 gélules - 50g</t>
  </si>
  <si>
    <t>https://calebasse.com/produits/pu-gong-ying-dent-de-lion-pissenlit-3891?product=4588</t>
  </si>
  <si>
    <t>https://res.cloudinary.com/laboratoire-calebasse/image/upload/v1760543982/DENT_DE_LION_PISSENLIT_APGYGL_b149a3454d.jpg</t>
  </si>
  <si>
    <t>3665346149256</t>
  </si>
  <si>
    <t>sku-APGYGL</t>
  </si>
  <si>
    <t>APGYL</t>
  </si>
  <si>
    <t>Dent de lion (Pissenlit) - Pu gong ying - 1 Grand Sachet plante 150g</t>
  </si>
  <si>
    <t>https://calebasse.com/produits/pu-gong-ying-dent-de-lion-pissenlit-3891?product=4584</t>
  </si>
  <si>
    <t>https://res.cloudinary.com/laboratoire-calebasse/image/upload/v1748272155/DENT_DE_LION_PISSENLIT_150_g_APGYL_a7e37ad8c8.jpg</t>
  </si>
  <si>
    <t>3665346188125</t>
  </si>
  <si>
    <t>sku-APGYL</t>
  </si>
  <si>
    <t>APL</t>
  </si>
  <si>
    <t>Herbe de Fortune - Pei lan - 1 Petit Sachet plante 50g</t>
  </si>
  <si>
    <t>Pour éliminer les Mucosités. Ses principaux bienfaits : détoxifie l'organisme, apaise les manifestations du coup de froid</t>
  </si>
  <si>
    <t>https://calebasse.com/produits/pei-lan-herbe-de-fortune-3887?product=4570</t>
  </si>
  <si>
    <t>https://res.cloudinary.com/laboratoire-calebasse/image/upload/v1746524179/HERBE_DE_FORTUNE_50_g_APL_6c38a34a01.jpg</t>
  </si>
  <si>
    <t>3665346148310</t>
  </si>
  <si>
    <t>sku-APL</t>
  </si>
  <si>
    <t>3887</t>
  </si>
  <si>
    <t>APLL</t>
  </si>
  <si>
    <t>Piment - La jiao - 1 Grand Sachet plante 200g</t>
  </si>
  <si>
    <t>https://calebasse.com/produits/la-jiao-piment-3848?product=4419</t>
  </si>
  <si>
    <t>https://res.cloudinary.com/laboratoire-calebasse/image/upload/v1747063792/PIMENT_200_g_APLL_df48cbcd93.jpg</t>
  </si>
  <si>
    <t>3665346137123</t>
  </si>
  <si>
    <t>sku-APLL</t>
  </si>
  <si>
    <t>APLNL</t>
  </si>
  <si>
    <t>Herbe de Fortune - Pei lan - 1 Grand Sachet plante 200g</t>
  </si>
  <si>
    <t>https://calebasse.com/produits/pei-lan-herbe-de-fortune-3887?product=4571</t>
  </si>
  <si>
    <t>https://res.cloudinary.com/laboratoire-calebasse/image/upload/v1748272187/HERBE_DE_FORTUNE_200_g_APLNL_dee820f28d.jpg</t>
  </si>
  <si>
    <t>3665346148327</t>
  </si>
  <si>
    <t>sku-APLNL</t>
  </si>
  <si>
    <t>APPY</t>
  </si>
  <si>
    <t>Feuilles de Bibacier - Pi pa ye - 1 Petit Sachet plante 50g</t>
  </si>
  <si>
    <t>Pour évacuer les toxines et les glaires. Ses principaux bienfaits : libère les voies respiratoires</t>
  </si>
  <si>
    <t>https://calebasse.com/produits/pi-pa-ye-feuilles-de-bibacier-3886?product=4572</t>
  </si>
  <si>
    <t>https://res.cloudinary.com/laboratoire-calebasse/image/upload/v1746525506/FEUILLES_DE_BIBACIER_50_g_APPY_55f5e90234.jpg</t>
  </si>
  <si>
    <t>3665346148419</t>
  </si>
  <si>
    <t>sku-APPY</t>
  </si>
  <si>
    <t>3886</t>
  </si>
  <si>
    <t>APPYCP</t>
  </si>
  <si>
    <t>Feuilles de Bibacier - Pi pa ye - 1 flacon de poudre concentrée - 100g</t>
  </si>
  <si>
    <t>https://calebasse.com/produits/pi-pa-ye-feuilles-de-bibacier-3886?product=4573</t>
  </si>
  <si>
    <t>https://res.cloudinary.com/laboratoire-calebasse/image/upload/v1634201121/A_pipayecp_fb2c2acef1.jpg</t>
  </si>
  <si>
    <t>3665346148433</t>
  </si>
  <si>
    <t>sku-APPYCP</t>
  </si>
  <si>
    <t>APPYGL</t>
  </si>
  <si>
    <t>Feuilles de Bibacier - Pi pa ye - 1 flacon de 100 gélules - 50g</t>
  </si>
  <si>
    <t>https://calebasse.com/produits/pi-pa-ye-feuilles-de-bibacier-3886?product=4576</t>
  </si>
  <si>
    <t>https://res.cloudinary.com/laboratoire-calebasse/image/upload/v1634201120/A_pipayegl_af0610bff4.jpg</t>
  </si>
  <si>
    <t>3665346148457</t>
  </si>
  <si>
    <t>sku-APPYGL</t>
  </si>
  <si>
    <t>APPYL</t>
  </si>
  <si>
    <t>Feuilles de Bibacier - Pi pa ye - 1 Grand Sachet plante 180g</t>
  </si>
  <si>
    <t>https://calebasse.com/produits/pi-pa-ye-feuilles-de-bibacier-3886?product=4575</t>
  </si>
  <si>
    <t>https://res.cloudinary.com/laboratoire-calebasse/image/upload/v1748272171/FEUILLES_DE_BIBACIER_180_g_APPYL_f302225414.jpg</t>
  </si>
  <si>
    <t>3665346192627</t>
  </si>
  <si>
    <t>sku-APPYL</t>
  </si>
  <si>
    <t>AQCJ</t>
  </si>
  <si>
    <t>Immortelle à bractée - Qi cai ju - 1 Petit Sachet plante 50g</t>
  </si>
  <si>
    <t>Pour purifier l’organisme en douceur. Ses principaux bienfaits : détoxifie l'organisme, libère les voies respiratoires, contribue au confort cutané</t>
  </si>
  <si>
    <t>https://calebasse.com/produits/qi-cai-ju-immortelle-a-bractee-3892?product=4590</t>
  </si>
  <si>
    <t>https://res.cloudinary.com/laboratoire-calebasse/image/upload/v1746523821/IMMORTELLE_A_BRACTEE_50_g_AQCJ_3cf3b2a7c9.jpg</t>
  </si>
  <si>
    <t>3665346149713</t>
  </si>
  <si>
    <t>sku-AQCJ</t>
  </si>
  <si>
    <t>3892</t>
  </si>
  <si>
    <t>AQM</t>
  </si>
  <si>
    <t>Oeillet superbe - Qu mai - 1 Petit Sachet plante 50g</t>
  </si>
  <si>
    <t>https://calebasse.com/produits/qu-mai-oeillet-superbe-3897?product=4601</t>
  </si>
  <si>
    <t>https://res.cloudinary.com/laboratoire-calebasse/image/upload/v1746526986/OEILLET_SUPERBE_50_g_AQM_c2b1a9bc9c.jpg</t>
  </si>
  <si>
    <t>3665346151815</t>
  </si>
  <si>
    <t>sku-AQM</t>
  </si>
  <si>
    <t>3897</t>
  </si>
  <si>
    <t>AQML</t>
  </si>
  <si>
    <t>Oeillet superbe - Qu mai - 1 Grand Sachet plante 200g</t>
  </si>
  <si>
    <t>https://calebasse.com/produits/qu-mai-oeillet-superbe-3897?product=4600</t>
  </si>
  <si>
    <t>https://res.cloudinary.com/laboratoire-calebasse/image/upload/v1748272123/OEILLET_SUPERBE_200_g_AQML_ef3d2947bd.jpg</t>
  </si>
  <si>
    <t>3665346223420</t>
  </si>
  <si>
    <t>sku-AQML</t>
  </si>
  <si>
    <t>AQRH</t>
  </si>
  <si>
    <t>Fleurs de Gomphrena - Qian ri hong - 1 Petit Sachet plante 50g</t>
  </si>
  <si>
    <t>Pour assainir l'appareil respiratoire. Ses principaux bienfaits : détoxifie l'organisme, libère les voies respiratoires</t>
  </si>
  <si>
    <t>https://calebasse.com/produits/qian-ri-hong-fleurs-de-gomphrena-3894?product=4594</t>
  </si>
  <si>
    <t>https://res.cloudinary.com/laboratoire-calebasse/image/upload/v1746524492/FLEURS_DE_GOMPHRENA_50_g_AQRH_50e1fb86df.jpg</t>
  </si>
  <si>
    <t>3665346150719</t>
  </si>
  <si>
    <t>sku-AQRH</t>
  </si>
  <si>
    <t>3894</t>
  </si>
  <si>
    <t>AQS</t>
  </si>
  <si>
    <t>Graines de Nénuphar épineux - Graines grillées - Qian shi - 1 Petit Sachet plante 100g</t>
  </si>
  <si>
    <t>Pour retrouver le confort urinaire. Ses principaux bienfaits : améliore la vie sexuelle, aide au confort urinaire</t>
  </si>
  <si>
    <t>https://calebasse.com/produits/qian-shi-graines-de-nenuphar-epineux-graines-grillees-3895?product=4596</t>
  </si>
  <si>
    <t>https://res.cloudinary.com/laboratoire-calebasse/image/upload/v1746528086/NENUPHAR_EPINEUX_100_g_AQS_08c124ef64.jpg</t>
  </si>
  <si>
    <t>3665346150818</t>
  </si>
  <si>
    <t>sku-AQS</t>
  </si>
  <si>
    <t>3895</t>
  </si>
  <si>
    <t>AQSL</t>
  </si>
  <si>
    <t>Graines de Nénuphar épineux - Graines grillées - Qian shi - 1 Grand Sachet plante 300g</t>
  </si>
  <si>
    <t>https://calebasse.com/produits/qian-shi-graines-de-nenuphar-epineux-graines-grillees-3895?product=4597</t>
  </si>
  <si>
    <t>https://res.cloudinary.com/laboratoire-calebasse/image/upload/v1754901515/NENUPHAR_EPINEUX_300_g_AQSL_4df7173f03.jpg</t>
  </si>
  <si>
    <t>3665346222850</t>
  </si>
  <si>
    <t>sku-AQSL</t>
  </si>
  <si>
    <t>AQSMYZ</t>
  </si>
  <si>
    <t>Gruau aux Jujubes et Lys - Qu shi mei yan zhou - 1 Petit Sachet plante 100g</t>
  </si>
  <si>
    <t>Pour tonifier le Yin et clarifier la Chaleur Ses principaux bienfaits : clarifie la chaleur, elimine l'humidité, tonifie le yin</t>
  </si>
  <si>
    <t>https://calebasse.com/produits/qu-shi-mei-yan-zhou-gruau-aux-jujubes-et-lys-4692?product=6811</t>
  </si>
  <si>
    <t>https://res.cloudinary.com/laboratoire-calebasse/image/upload/v1746527059/GRUAU_AUX_JUJUBES_ET_LYS_100_g_AQSMYZ_2e8495b096.jpg</t>
  </si>
  <si>
    <t>3665346400210</t>
  </si>
  <si>
    <t>sku-AQSMYZ</t>
  </si>
  <si>
    <t>4692</t>
  </si>
  <si>
    <t>ARDT</t>
  </si>
  <si>
    <t>Liane de chèvrefeuille du Japon - Ren dong teng - 1 Petit Sachet plante 100g</t>
  </si>
  <si>
    <t>Pour préserver la santé articulaire. Ses principaux bienfaits : détoxifie l'organisme, favorise le confort articulaire, apaise les sensibilités articulaires</t>
  </si>
  <si>
    <t>https://calebasse.com/produits/ren-dong-teng-liane-de-chevrefeuille-du-japon-3899?product=4607</t>
  </si>
  <si>
    <t>https://res.cloudinary.com/laboratoire-calebasse/image/upload/v1746525189/LIANE_DE_CHEVREFEUILLE_DU_JAPON_100_g_ARDT_4fc577b243.jpg</t>
  </si>
  <si>
    <t>3665346152614</t>
  </si>
  <si>
    <t>sku-ARDT</t>
  </si>
  <si>
    <t>3899</t>
  </si>
  <si>
    <t>ARDTCP</t>
  </si>
  <si>
    <t>Liane de chèvrefeuille du Japon - Ren dong teng - 1 flacon de poudre concentrée - 100g</t>
  </si>
  <si>
    <t>https://calebasse.com/produits/ren-dong-teng-liane-de-chevrefeuille-du-japon-3899?product=4608</t>
  </si>
  <si>
    <t>https://res.cloudinary.com/laboratoire-calebasse/image/upload/v1634201124/A_rendongtengcp_c0a4cc01b7.jpg</t>
  </si>
  <si>
    <t>3665346152638</t>
  </si>
  <si>
    <t>sku-ARDTCP</t>
  </si>
  <si>
    <t>ARDTGL</t>
  </si>
  <si>
    <t>Liane de chèvrefeuille du Japon - Ren dong teng - 1 flacon de 100 gélules - 50g</t>
  </si>
  <si>
    <t>https://calebasse.com/produits/ren-dong-teng-liane-de-chevrefeuille-du-japon-3899?product=4610</t>
  </si>
  <si>
    <t>https://res.cloudinary.com/laboratoire-calebasse/image/upload/v1634201121/A_rendongtenggl_9c035d00bc.jpg</t>
  </si>
  <si>
    <t>3665346152652</t>
  </si>
  <si>
    <t>sku-ARDTGL</t>
  </si>
  <si>
    <t>ARDTL</t>
  </si>
  <si>
    <t>Liane de chèvrefeuille du Japon - Ren dong teng - 1 Grand Sachet plante 300g</t>
  </si>
  <si>
    <t>https://calebasse.com/produits/ren-dong-teng-liane-de-chevrefeuille-du-japon-3899?product=4605</t>
  </si>
  <si>
    <t>https://res.cloudinary.com/laboratoire-calebasse/image/upload/v1748272092/LIANE_DE_CHEVREFEUILLE_DU_JAPON_300_g_ARDTL_90e12dd8f3.jpg</t>
  </si>
  <si>
    <t>3665346152621</t>
  </si>
  <si>
    <t>sku-ARDTL</t>
  </si>
  <si>
    <t>ARG</t>
  </si>
  <si>
    <t>Écorce de cannelle de Chine - Rou gui - 1 Petit Sachet plante 100g</t>
  </si>
  <si>
    <t>Pour réchauffer les Estomacs froids. Ses principaux bienfaits : contribue à une bonne digestion, soulage les sensibilités de l'estomac, contribue à équilibrer le sucre</t>
  </si>
  <si>
    <t>https://calebasse.com/produits/rou-gui-ecorce-de-cannelle-4506?product=4620</t>
  </si>
  <si>
    <t>https://res.cloudinary.com/laboratoire-calebasse/image/upload/v1746528001/ECORCE_DE_CANNELLE_100_g_ARG_97d16d6fd4.jpg</t>
  </si>
  <si>
    <t>3665346153819</t>
  </si>
  <si>
    <t>sku-ARG</t>
  </si>
  <si>
    <t>4506</t>
  </si>
  <si>
    <t>ARGCP</t>
  </si>
  <si>
    <t>Écorce de cannelle de Chine - Rou gui - 1 flacon de poudre concentrée - 100g</t>
  </si>
  <si>
    <t>https://calebasse.com/produits/rou-gui-ecorce-de-cannelle-4506?product=4622</t>
  </si>
  <si>
    <t>https://res.cloudinary.com/laboratoire-calebasse/image/upload/v1760544041/ECORCE_DE_CANNELLE_ARGCP_3400e7470e.jpg</t>
  </si>
  <si>
    <t>3665346153833</t>
  </si>
  <si>
    <t>sku-ARGCP</t>
  </si>
  <si>
    <t>ARGGL</t>
  </si>
  <si>
    <t>Écorce de cannelle de Chine - Rou gui - 1 flacon de 100 gélules - 50g</t>
  </si>
  <si>
    <t>https://calebasse.com/produits/rou-gui-ecorce-de-cannelle-4506?product=4624</t>
  </si>
  <si>
    <t>https://res.cloudinary.com/laboratoire-calebasse/image/upload/v1760544056/ECORCE_DE_CANNELLE_ARGGL_466387d822.jpg</t>
  </si>
  <si>
    <t>3665346153857</t>
  </si>
  <si>
    <t>sku-ARGGL</t>
  </si>
  <si>
    <t>ARGL</t>
  </si>
  <si>
    <t>Écorce de cannelle de Chine - Rou gui - 1 Grand Sachet plante 300g</t>
  </si>
  <si>
    <t>https://calebasse.com/produits/rou-gui-ecorce-de-cannelle-4506?product=4621</t>
  </si>
  <si>
    <t>https://res.cloudinary.com/laboratoire-calebasse/image/upload/v1748272076/ECORCE_DE_CANNELLE_300_g_ARGL_2d711e5321.jpg</t>
  </si>
  <si>
    <t>3665346222928</t>
  </si>
  <si>
    <t>sku-ARGL</t>
  </si>
  <si>
    <t>ARS</t>
  </si>
  <si>
    <t>Racine de Ginseng - Ren shen - 1 Flacon plante 50g</t>
  </si>
  <si>
    <t>Au goût subtilement amer et aux vertus tonifiantes, le ginseng se distingue comme l’une des plantes les plus précieuses d’Asie. Ses principaux bienfaits : nourrit la rate et les poumons, anti-fatigue en renforçant le qi, renforce les défenses naturelles et l’endurance, améliore la concentration et la mémoire</t>
  </si>
  <si>
    <t>https://calebasse.com/produits/ren-shen-racine-de-ginseng-4679?product=4612</t>
  </si>
  <si>
    <t>https://res.cloudinary.com/laboratoire-calebasse/image/upload/v1754486229/ren_shen_79e9aab939.jpg</t>
  </si>
  <si>
    <t>3665346152911</t>
  </si>
  <si>
    <t>sku-ARS</t>
  </si>
  <si>
    <t>https://res.cloudinary.com/laboratoire-calebasse/image/upload/v1756721427/1_f620f20bcf.jpg; https://res.cloudinary.com/laboratoire-calebasse/image/upload/v1756721427/2_36f469d115.jpg; https://res.cloudinary.com/laboratoire-calebasse/image/upload/v1756721426/3_e59d51bb1f.jpg; https://res.cloudinary.com/laboratoire-calebasse/image/upload/v1756721427/4_fd8090b363.jpg; https://res.cloudinary.com/laboratoire-calebasse/image/upload/v1756721427/5_daf5bf068d.jpg; https://res.cloudinary.com/laboratoire-calebasse/image/upload/v1756721427/6_dad96afc09.jpg</t>
  </si>
  <si>
    <t>4679</t>
  </si>
  <si>
    <t>ARSX2</t>
  </si>
  <si>
    <t>Racine de Ginseng - Ren shen - 2 Flacons plantes de 50 g</t>
  </si>
  <si>
    <t>https://calebasse.com/produits/ren-shen-racine-de-ginseng-4679?product=7358</t>
  </si>
  <si>
    <t>https://res.cloudinary.com/laboratoire-calebasse/image/upload/v1753428412/Ren_shen_x_2_50g_4db3eaa671.jpg</t>
  </si>
  <si>
    <t>sku-ARSX2</t>
  </si>
  <si>
    <t>ARSY</t>
  </si>
  <si>
    <t>Feuilles de Ginseng - Ren shen ye - 1 Petit Sachet plante 50g</t>
  </si>
  <si>
    <t>Pour renforcer l’organisme. Ses principaux bienfaits : tonifie le qi, soutient les défenses naturelles, stimule la mémoire et les capacités intellectuelles</t>
  </si>
  <si>
    <t>https://calebasse.com/produits/ren-shen-ye-feuilles-de-ginseng-3901?product=4618</t>
  </si>
  <si>
    <t>https://res.cloudinary.com/laboratoire-calebasse/image/upload/v1746524105/FEUILLES_DE_GINSENG_50_g_ARSY_792eae9a8e.jpg</t>
  </si>
  <si>
    <t>3665346153413</t>
  </si>
  <si>
    <t>sku-ARSY</t>
  </si>
  <si>
    <t>3901</t>
  </si>
  <si>
    <t>ASBP</t>
  </si>
  <si>
    <t>Écorce de Mûrier - Sang bai pi - 1 Petit Sachet plante 100g</t>
  </si>
  <si>
    <t>Pour libérer les voies respiratoires. Ses principaux bienfaits : détoxifie l'organisme, libère les voies respiratoires</t>
  </si>
  <si>
    <t>https://calebasse.com/produits/sang-bai-pi-ecorce-de-murier-3905?product=4634</t>
  </si>
  <si>
    <t>https://res.cloudinary.com/laboratoire-calebasse/image/upload/v1746525836/ECORCE_DE_MURIER_100_g_ASBP_da805d2ed5.jpg</t>
  </si>
  <si>
    <t>3665346154311</t>
  </si>
  <si>
    <t>sku-ASBP</t>
  </si>
  <si>
    <t>3905</t>
  </si>
  <si>
    <t>ASBPCP</t>
  </si>
  <si>
    <t>Écorce de Mûrier - Sang bai pi - 1 flacon de poudre concentrée - 100g</t>
  </si>
  <si>
    <t>https://calebasse.com/produits/sang-bai-pi-ecorce-de-murier-3905?product=4636</t>
  </si>
  <si>
    <t>https://res.cloudinary.com/laboratoire-calebasse/image/upload/v1760598510/ECORCE_DE_MURIER_ASBPCP_38f2bef640.jpg</t>
  </si>
  <si>
    <t>3665346154335</t>
  </si>
  <si>
    <t>sku-ASBPCP</t>
  </si>
  <si>
    <t>ASBPGL</t>
  </si>
  <si>
    <t>Écorce de Mûrier - Sang bai pi - 1 flacon de 100 gélules - 50g</t>
  </si>
  <si>
    <t>https://calebasse.com/produits/sang-bai-pi-ecorce-de-murier-3905?product=4638</t>
  </si>
  <si>
    <t>https://res.cloudinary.com/laboratoire-calebasse/image/upload/v1760598532/ECORCE_DE_MURIER_ASBPGL_7f64ff7629.jpg</t>
  </si>
  <si>
    <t>3665346154359</t>
  </si>
  <si>
    <t>sku-ASBPGL</t>
  </si>
  <si>
    <t>ASBPL</t>
  </si>
  <si>
    <t>Écorce de Mûrier - Sang bai pi - 1 Grand Sachet plante 300g</t>
  </si>
  <si>
    <t>https://calebasse.com/produits/sang-bai-pi-ecorce-de-murier-3905?product=4635</t>
  </si>
  <si>
    <t>https://res.cloudinary.com/laboratoire-calebasse/image/upload/v1754901759/ECORCE_DE_MURIER_300_g_ASBPL_73a9f6a64f.jpg</t>
  </si>
  <si>
    <t>3665346228623</t>
  </si>
  <si>
    <t>sku-ASBPL</t>
  </si>
  <si>
    <t>ASCH</t>
  </si>
  <si>
    <t>Camélia - Shan cha hua - 1 Petit Sachet plante 50g</t>
  </si>
  <si>
    <t>Pour améliorer l'apparence de la peau et des cheveux. Ses principaux bienfaits : améliore l'apparence de la peau, renforce la santé capillaire</t>
  </si>
  <si>
    <t>https://calebasse.com/produits/shan-cha-hua-camelia-3911?product=4662</t>
  </si>
  <si>
    <t>https://res.cloudinary.com/laboratoire-calebasse/image/upload/v1746524972/CAMELIA_50_g_ASCH_36fc9a7687.jpg</t>
  </si>
  <si>
    <t>3665346155714</t>
  </si>
  <si>
    <t>sku-ASCH</t>
  </si>
  <si>
    <t>3911</t>
  </si>
  <si>
    <t>ASCP</t>
  </si>
  <si>
    <t>Roseau des rochers - Shi chang pu - 1 Petit Sachet plante 100g</t>
  </si>
  <si>
    <t>Pour favoriser la concentration et le calme. Ses principaux bienfaits : tranquillise le shen, améliore la concentration</t>
  </si>
  <si>
    <t>https://calebasse.com/produits/shi-chang-pu-roseau-des-rochers-3918?product=4686</t>
  </si>
  <si>
    <t>https://res.cloudinary.com/laboratoire-calebasse/image/upload/v1748268562/ROSEAU_DES_ROCHERS_100_g_ASCP_3812d72a71.jpg</t>
  </si>
  <si>
    <t>3665346157411</t>
  </si>
  <si>
    <t>sku-ASCP</t>
  </si>
  <si>
    <t>3918</t>
  </si>
  <si>
    <t>ASCPCP</t>
  </si>
  <si>
    <t>Roseau des rochers - Shi chang pu - 1 flacon de poudre concentrée - 100g</t>
  </si>
  <si>
    <t>https://calebasse.com/produits/shi-chang-pu-roseau-des-rochers-3918?product=4687</t>
  </si>
  <si>
    <t>https://res.cloudinary.com/laboratoire-calebasse/image/upload/v1634201206/A_shichangpucp_bf1bdf0c2d.jpg</t>
  </si>
  <si>
    <t>3665346157435</t>
  </si>
  <si>
    <t>sku-ASCPCP</t>
  </si>
  <si>
    <t>ASCPGL</t>
  </si>
  <si>
    <t>Roseau des rochers - Shi chang pu - 1 flacon de 100 gélules - 50g</t>
  </si>
  <si>
    <t>https://calebasse.com/produits/shi-chang-pu-roseau-des-rochers-3918?product=4691</t>
  </si>
  <si>
    <t>https://res.cloudinary.com/laboratoire-calebasse/image/upload/v1634201206/A_shichangpugl_296320422e.jpg</t>
  </si>
  <si>
    <t>3665346157459</t>
  </si>
  <si>
    <t>sku-ASCPGL</t>
  </si>
  <si>
    <t>ASCPL</t>
  </si>
  <si>
    <t>Roseau des rochers - Shi chang pu - 1 Grand Sachet plante 270g</t>
  </si>
  <si>
    <t>https://calebasse.com/produits/shi-chang-pu-roseau-des-rochers-3918?product=4688</t>
  </si>
  <si>
    <t>https://res.cloudinary.com/laboratoire-calebasse/image/upload/v1748271851/ROSEAU_DES_ROCHERS_270_g_ASCPL_527e433a33.jpg</t>
  </si>
  <si>
    <t>3665346215326</t>
  </si>
  <si>
    <t>sku-ASCPL</t>
  </si>
  <si>
    <t>ASEDH</t>
  </si>
  <si>
    <t>Racine de Rehmannia - Sheng di huang - 1 Petit Sachet plante 100g</t>
  </si>
  <si>
    <t>Pour fortifier l'organisme. Ses principaux bienfaits : donne du tonus à l'organisme, contribue à la santé des séniors, maintien des équilibres circulatoires</t>
  </si>
  <si>
    <t>https://calebasse.com/produits/sheng-di-huang-racine-de-rehmannia-3916?product=4681</t>
  </si>
  <si>
    <t>https://res.cloudinary.com/laboratoire-calebasse/image/upload/v1772803132/RACIN_2_15ad573509.jpg</t>
  </si>
  <si>
    <t>3665346157213</t>
  </si>
  <si>
    <t>sku-ASEDH</t>
  </si>
  <si>
    <t>3916</t>
  </si>
  <si>
    <t>ASEDHCP</t>
  </si>
  <si>
    <t>Racine de Rehmannia - Sheng di huang - 1 flacon de poudre concentrée - 100g</t>
  </si>
  <si>
    <t>https://calebasse.com/produits/sheng-di-huang-racine-de-rehmannia-3916?product=4682</t>
  </si>
  <si>
    <t>https://res.cloudinary.com/laboratoire-calebasse/image/upload/v1634201206/A_shengdihuangcp_33b67307df.jpg</t>
  </si>
  <si>
    <t>3665346157237</t>
  </si>
  <si>
    <t>sku-ASEDHCP</t>
  </si>
  <si>
    <t>ASEDHGL</t>
  </si>
  <si>
    <t>Racine de Rehmannia - Sheng di huang - 1 flacon de 100 gélules - 50g</t>
  </si>
  <si>
    <t>https://calebasse.com/produits/sheng-di-huang-racine-de-rehmannia-3916?product=4684</t>
  </si>
  <si>
    <t>https://res.cloudinary.com/laboratoire-calebasse/image/upload/v1634201206/A_shengdihuanggl_0ce5dea58e.jpg</t>
  </si>
  <si>
    <t>3665346157251</t>
  </si>
  <si>
    <t>sku-ASEDHGL</t>
  </si>
  <si>
    <t>ASEDHL</t>
  </si>
  <si>
    <t>Racine de Rehmannia - Sheng di huang - 1 Grand Sachet plante 300g</t>
  </si>
  <si>
    <t>https://calebasse.com/produits/sheng-di-huang-racine-de-rehmannia-3916?product=4679</t>
  </si>
  <si>
    <t>https://res.cloudinary.com/laboratoire-calebasse/image/upload/v1772803132/RACIN_1_e7557d8525.jpg</t>
  </si>
  <si>
    <t>3665346110027</t>
  </si>
  <si>
    <t>sku-ASEDHL</t>
  </si>
  <si>
    <t>ASFCK</t>
  </si>
  <si>
    <t>Chou Kale - SuperGreen Antioxydante &amp; Nourrissant - 100 % Chou Kale en poudre - 150 g</t>
  </si>
  <si>
    <t>Goût végétal doux et discret - une poudre verte riche en nutriments qui soutient naturellement l’énergie, l’équilibre alimentaire et la vitalité cellulaire. Ses principaux bienfaits : source naturelle de vitamines et minéraux, soutien en cas de fatigue, utile en période de stress, aide à lutter contre le stress oxydatif</t>
  </si>
  <si>
    <t>https://calebasse.com/produits/chou-kale-en-poudre-supergreen-antioxydante-and-nourrissant-5218?product=7593</t>
  </si>
  <si>
    <t>https://res.cloudinary.com/laboratoire-calebasse/image/upload/v1760457611/SG_chou_kale_0781dd737c.jpg</t>
  </si>
  <si>
    <t>3665346229217</t>
  </si>
  <si>
    <t>sku-ASFCK</t>
  </si>
  <si>
    <t>Source naturelle de vitamines et minéraux; Soutien en cas de fatigue; Utile en période de stress; Aide à lutter contre le stress oxydatif</t>
  </si>
  <si>
    <t>https://res.cloudinary.com/laboratoire-calebasse/image/upload/v1760010651/1_f5624aef1f.jpg; https://res.cloudinary.com/laboratoire-calebasse/image/upload/v1760010651/2_66e19a386a.jpg; https://res.cloudinary.com/laboratoire-calebasse/image/upload/v1760010651/3_0499e6106c.jpg; https://res.cloudinary.com/laboratoire-calebasse/image/upload/v1760010649/4_b8fe8dffc7.jpg; https://res.cloudinary.com/laboratoire-calebasse/image/upload/v1760010716/5_3b4203ef63.jpg; https://res.cloudinary.com/laboratoire-calebasse/image/upload/v1760010716/6_578d7dded4.jpg; https://res.cloudinary.com/laboratoire-calebasse/image/upload/v1761035704/3_26df8eea9f.jpg</t>
  </si>
  <si>
    <t>Santé &amp; Bien-être &gt; Fitness et nutrition &gt; Vitamines et compléments alimentaires</t>
  </si>
  <si>
    <t>5218</t>
  </si>
  <si>
    <t>525</t>
  </si>
  <si>
    <t>ASFHO</t>
  </si>
  <si>
    <t>Herbe d’Orge - SuperGreen Détox &amp; Alcalinisant - 100 % herbe d’orge en poudre - 100 g</t>
  </si>
  <si>
    <t>Goût doux et herbacé – une poudre verte facile à intégrer au quotidien, idéale pour les matinées détox, les lendemains de fête ou les moments de surcharge. Ses principaux bienfaits : soulage la sensation de lourdeur digestive, aide en cas de ballonnements ou de transit lent, effet alcalinisant puissant, apporte de l’énergie naturellement</t>
  </si>
  <si>
    <t>https://calebasse.com/produits/herbe-dorge-en-poudre-supergreen-detox-and-alcalinisant-5217?product=7592</t>
  </si>
  <si>
    <t>https://res.cloudinary.com/laboratoire-calebasse/image/upload/v1760457594/SG_orge_eed915c8c0.jpg</t>
  </si>
  <si>
    <t>3665346229118</t>
  </si>
  <si>
    <t>sku-ASFHO</t>
  </si>
  <si>
    <t>Soulage la sensation de lourdeur digestive; Aide en cas de ballonnements ou de transit lent; Effet alcalinisant puissant; Apporte de l’énergie naturellement</t>
  </si>
  <si>
    <t>https://res.cloudinary.com/laboratoire-calebasse/image/upload/v1769168047/orge_bio_265d2bef23.jpg; https://res.cloudinary.com/laboratoire-calebasse/image/upload/v1769168047/orge_bio_Vertus_2d0e141bbc.jpg; https://res.cloudinary.com/laboratoire-calebasse/image/upload/v1760003618/3_57b68f9308.jpg; https://res.cloudinary.com/laboratoire-calebasse/image/upload/v1760003618/4_65570d71d8.jpg; https://res.cloudinary.com/laboratoire-calebasse/image/upload/v1760003674/6_c5faf00393.jpg; https://res.cloudinary.com/laboratoire-calebasse/image/upload/v1760003674/5_6fc420abdb.jpg; https://res.cloudinary.com/laboratoire-calebasse/image/upload/v1761030798/2_11d843bfdb.jpg</t>
  </si>
  <si>
    <t>5217</t>
  </si>
  <si>
    <t>ASFHO-BIO</t>
  </si>
  <si>
    <t>Herbe d’Orge - SuperGreen Détox &amp; Alcalinisant - &lt;span class="text-green"&gt;&lt;b&gt;BIO :&lt;/b&gt;&lt;/span&gt; 100 % herbe d’orge bio en poudre - 100 g</t>
  </si>
  <si>
    <t>https://calebasse.com/produits/herbe-dorge-en-poudre-supergreen-detox-and-alcalinisant-5217?product=7649</t>
  </si>
  <si>
    <t>https://res.cloudinary.com/laboratoire-calebasse/image/upload/v1767706956/Super_Green_Orge_BIO_1071153899.jpg</t>
  </si>
  <si>
    <t>3665346229125</t>
  </si>
  <si>
    <t>sku-ASFHO-BIO</t>
  </si>
  <si>
    <t>ASG</t>
  </si>
  <si>
    <t>Racine d'iris tigré - She gan - 1 Petit Sachet plante 100g</t>
  </si>
  <si>
    <t>Pour soulager la voix. Ses principaux bienfaits : apaise la gorge, détoxifie l'organisme, soulage la voix</t>
  </si>
  <si>
    <t>https://calebasse.com/produits/she-gan-racine-diris-tigre-3914?product=4680</t>
  </si>
  <si>
    <t>https://res.cloudinary.com/laboratoire-calebasse/image/upload/v1746524901/RACINE_D_IRIS_TIGRE_100_g_ASG_9ac27a71f3.jpg</t>
  </si>
  <si>
    <t>3665346156711</t>
  </si>
  <si>
    <t>sku-ASG</t>
  </si>
  <si>
    <t>3914</t>
  </si>
  <si>
    <t>ASGL</t>
  </si>
  <si>
    <t>Racine d'iris tigré - She gan - 1 Grand Sachet plante 300g</t>
  </si>
  <si>
    <t>https://calebasse.com/produits/she-gan-racine-diris-tigre-3914?product=4678</t>
  </si>
  <si>
    <t>https://res.cloudinary.com/laboratoire-calebasse/image/upload/v1748271967/RACINE_D_IRIS_TIGRE_300_g_ASGL_ce0d05601f.jpg</t>
  </si>
  <si>
    <t>3665346156728</t>
  </si>
  <si>
    <t>sku-ASGL</t>
  </si>
  <si>
    <t>ASGSYZ</t>
  </si>
  <si>
    <t>Gruau au trio de champignon - 1 Petit Sachet plante 100g</t>
  </si>
  <si>
    <t xml:space="preserve"> Ses principaux bienfaits : stimule la circulation sanguine, soutient les défenses naturelles, donne du tonus à l'organisme, stimule la mémoire et les capacités intellectuelles Ses principaux bienfaits : stimule la circulation sanguine, soutient les défenses naturelles, donne du tonus à l'organisme, stimule la mémoire et les capacités intellectuelles</t>
  </si>
  <si>
    <t>https://calebasse.com/produits/gruau-au-trio-de-champignon-4532?product=7341</t>
  </si>
  <si>
    <t>https://res.cloudinary.com/laboratoire-calebasse/image/upload/v1746523891/GRUAU_AU_TRIO_DE_CHAMPIGNON_100_g_ASGSYZ_f403d2af68.jpg</t>
  </si>
  <si>
    <t>3665346400715</t>
  </si>
  <si>
    <t>sku-ASGSYZ</t>
  </si>
  <si>
    <t>5103</t>
  </si>
  <si>
    <t>ASJ</t>
  </si>
  <si>
    <t>fruits d’Argousier - Sha ji - 1 Petit Sachet plante 100g</t>
  </si>
  <si>
    <t>Pour un organisme renforcé. Ses principaux bienfaits : contribue à une bonne digestion, soutient les défenses naturelles, stimule le transit intestinal</t>
  </si>
  <si>
    <t>https://calebasse.com/produits/sha-ji-fruits-dargousier-3910?product=4660</t>
  </si>
  <si>
    <t>https://res.cloudinary.com/laboratoire-calebasse/image/upload/v1746526042/FRUITS_D_ARGOUSIER_100_g_ASJ_76fa8a1b3f.jpg</t>
  </si>
  <si>
    <t>3665346155219</t>
  </si>
  <si>
    <t>sku-ASJ</t>
  </si>
  <si>
    <t>3910</t>
  </si>
  <si>
    <t>ASJIE</t>
  </si>
  <si>
    <t>Nœud de pin - Song jie - 1 Petit Sachet plante 100g</t>
  </si>
  <si>
    <t>Pour préserver le confort articulaire. Ses principaux bienfaits : favorise le confort articulaire, apaise les sensibilités articulaires</t>
  </si>
  <si>
    <t>https://calebasse.com/produits/song-jie-noeud-de-pin-3920?product=4699</t>
  </si>
  <si>
    <t>https://res.cloudinary.com/laboratoire-calebasse/image/upload/v1746525475/N_Oe_UD_DE_PIN_100_g_ASJIE_ac4cd82e9f.jpg</t>
  </si>
  <si>
    <t>3665346158913</t>
  </si>
  <si>
    <t>sku-ASJIE</t>
  </si>
  <si>
    <t>3920</t>
  </si>
  <si>
    <t>ASJIEL</t>
  </si>
  <si>
    <t>Nœud de pin - Song jie - 1 Grand Sachet plante 300g</t>
  </si>
  <si>
    <t>https://calebasse.com/produits/song-jie-noeud-de-pin-3920?product=4701</t>
  </si>
  <si>
    <t>https://res.cloudinary.com/laboratoire-calebasse/image/upload/v1748271792/N_Oe_UD_DE_PIN_300_g_ASJIEL_7d1f6cc788.jpg</t>
  </si>
  <si>
    <t>3665346158920</t>
  </si>
  <si>
    <t>sku-ASJIEL</t>
  </si>
  <si>
    <t>ASJL</t>
  </si>
  <si>
    <t>fruits d’Argousier - Sha ji - 1 Grand Sachet plante 300g</t>
  </si>
  <si>
    <t>https://calebasse.com/produits/sha-ji-fruits-dargousier-3910?product=7249</t>
  </si>
  <si>
    <t>https://res.cloudinary.com/laboratoire-calebasse/image/upload/v1748272011/FRUITS_D_ARGOUSIER_300_g_ASJL_6e736d18c3.jpg</t>
  </si>
  <si>
    <t>3665346194126</t>
  </si>
  <si>
    <t>sku-ASJL</t>
  </si>
  <si>
    <t>ASJS</t>
  </si>
  <si>
    <t>Branches de Tasseau - Sang ji sheng - 1 Petit Sachet plante 100g</t>
  </si>
  <si>
    <t>Pour un confort articulaire optimal. Ses principaux bienfaits : favorise le confort articulaire, soutient la souplesse articulaire</t>
  </si>
  <si>
    <t>https://calebasse.com/produits/sang-ji-sheng-branches-de-tasseau-3906?product=4640</t>
  </si>
  <si>
    <t>https://res.cloudinary.com/laboratoire-calebasse/image/upload/v1768466873/BRANCHES_DE_TASSEAU_100_g_ASJS_20056c6422.jpg</t>
  </si>
  <si>
    <t>3665346154618</t>
  </si>
  <si>
    <t>sku-ASJS</t>
  </si>
  <si>
    <t>3906</t>
  </si>
  <si>
    <t>ASJSL</t>
  </si>
  <si>
    <t>Branches de Tasseau - Sang ji sheng - 1 Grand Sachet plante 300g</t>
  </si>
  <si>
    <t>https://calebasse.com/produits/sang-ji-sheng-branches-de-tasseau-3906?product=4641</t>
  </si>
  <si>
    <t>https://res.cloudinary.com/laboratoire-calebasse/image/upload/v1768466860/BRANCHES_DE_TASSEAU_300_g_ASJSL_1f95c5b4ce.jpg</t>
  </si>
  <si>
    <t>3665346191125</t>
  </si>
  <si>
    <t>sku-ASJSL</t>
  </si>
  <si>
    <t>ASM</t>
  </si>
  <si>
    <t>Arbre de Sappan - Su mu - 1 Petit Sachet plante 100g</t>
  </si>
  <si>
    <t>Pour retrouver le confort. Ses principaux bienfaits : stimule la circulation sanguine, favorise la cicatrisation</t>
  </si>
  <si>
    <t>https://calebasse.com/produits/su-mu-arbre-de-sappan-3921?product=4702</t>
  </si>
  <si>
    <t>https://res.cloudinary.com/laboratoire-calebasse/image/upload/v1746528125/ARBRE_DE_SAPPAN_100_g_ASM_9de2de334d.jpg</t>
  </si>
  <si>
    <t>3665346159217</t>
  </si>
  <si>
    <t>sku-ASM</t>
  </si>
  <si>
    <t>3921</t>
  </si>
  <si>
    <t>ASML</t>
  </si>
  <si>
    <t>Arbre de Sappan - Su mu - 1 Grand Sachet plante 300g</t>
  </si>
  <si>
    <t>https://calebasse.com/produits/su-mu-arbre-de-sappan-3921?product=4703</t>
  </si>
  <si>
    <t>https://res.cloudinary.com/laboratoire-calebasse/image/upload/v1748271777/ARBRE_DE_SAPPAN_300_g_ASML_83a0be0cc9.jpg</t>
  </si>
  <si>
    <t>3665346159224</t>
  </si>
  <si>
    <t>sku-ASML</t>
  </si>
  <si>
    <t>ASQ</t>
  </si>
  <si>
    <t>Racine de Notoginseng - San qi - 1 Flacon plante 50g</t>
  </si>
  <si>
    <t>Pour retrouver le bien-être général. Ses principaux bienfaits : stimule la circulation sanguine, atténuer les pertes de sang</t>
  </si>
  <si>
    <t>https://calebasse.com/produits/san-qi-racine-de-notoginseng-3903?product=4626</t>
  </si>
  <si>
    <t>https://res.cloudinary.com/laboratoire-calebasse/image/upload/v1754487709/san_qi_070d721a0d.jpg</t>
  </si>
  <si>
    <t>3665346154212</t>
  </si>
  <si>
    <t>sku-ASQ</t>
  </si>
  <si>
    <t>3903</t>
  </si>
  <si>
    <t>ASQCP</t>
  </si>
  <si>
    <t>Racine de Notoginseng - San qi - 1 flacon de poudre concentrée - 100g</t>
  </si>
  <si>
    <t>https://calebasse.com/produits/san-qi-racine-de-notoginseng-3903?product=4628</t>
  </si>
  <si>
    <t>https://res.cloudinary.com/laboratoire-calebasse/image/upload/v1634201124/A_sanqicp_e3516d0158.jpg</t>
  </si>
  <si>
    <t>3665346154236</t>
  </si>
  <si>
    <t>sku-ASQCP</t>
  </si>
  <si>
    <t>ASQGL</t>
  </si>
  <si>
    <t>Racine de Notoginseng - San qi - 1 flacon de 100 gélules - 50g</t>
  </si>
  <si>
    <t>https://calebasse.com/produits/san-qi-racine-de-notoginseng-3903?product=4631</t>
  </si>
  <si>
    <t>https://res.cloudinary.com/laboratoire-calebasse/image/upload/v1634201123/A_sanqigl_8b4a968fa5.jpg</t>
  </si>
  <si>
    <t>3665346154250</t>
  </si>
  <si>
    <t>sku-ASQGL</t>
  </si>
  <si>
    <t>ASQH</t>
  </si>
  <si>
    <t>Fleurs de Notoginseng - San qi hua - 1 Petit Sachet plante 50g</t>
  </si>
  <si>
    <t>Pour préserver la fonction cardiovasculaire. Ses principaux bienfaits : stimule la circulation sanguine, favorise le confort cardiovasculaire</t>
  </si>
  <si>
    <t>https://calebasse.com/produits/san-qi-hua-fleurs-de-notoginseng-3904?product=4632</t>
  </si>
  <si>
    <t>https://res.cloudinary.com/laboratoire-calebasse/image/upload/v1751624264/FLEURS_DE_NOTOGINSENG_50_g_ASQH_87345e87b0.jpg</t>
  </si>
  <si>
    <t>3665346154519</t>
  </si>
  <si>
    <t>sku-ASQH</t>
  </si>
  <si>
    <t>3904</t>
  </si>
  <si>
    <t>ASRYBZ</t>
  </si>
  <si>
    <t>Gruau au Lotus et Poria - Shui run yang bai zhou - 1 Petit Sachet plante 100g</t>
  </si>
  <si>
    <t>Pour une peau saine et apaisée. Ses principaux bienfaits : clarifie la chaleur, améliore l'apparence de la peau</t>
  </si>
  <si>
    <t>https://calebasse.com/produits/shui-run-yang-bai-zhou-gruau-au-lotus-et-poria-4671?product=6810</t>
  </si>
  <si>
    <t>https://res.cloudinary.com/laboratoire-calebasse/image/upload/v1746526028/GRUAU_AU_LOTUS_ET_PORIA_100_g_ASRYBZ_313256481e.jpg</t>
  </si>
  <si>
    <t>3665346400111</t>
  </si>
  <si>
    <t>sku-ASRYBZ</t>
  </si>
  <si>
    <t>4671</t>
  </si>
  <si>
    <t>ASSZ</t>
  </si>
  <si>
    <t>Mûres séchées - Sang shen zi - 1 Petit Sachet plante 100g</t>
  </si>
  <si>
    <t>Pour retrouver la forme. Ses principaux bienfaits : réduit la fatigue, soutient les défenses naturelles, contribue à la santé des séniors</t>
  </si>
  <si>
    <t>https://calebasse.com/produits/sang-shen-zi-mures-sechees-3907?product=4642</t>
  </si>
  <si>
    <t>https://res.cloudinary.com/laboratoire-calebasse/image/upload/v1746525821/MURES_SECHEES_100_g_ASSZ_f27fa0598d.jpg</t>
  </si>
  <si>
    <t>3665346154717</t>
  </si>
  <si>
    <t>sku-ASSZ</t>
  </si>
  <si>
    <t>https://res.cloudinary.com/laboratoire-calebasse/image/upload/v1770310096/mures_sechees_f50542bd9e.jpg</t>
  </si>
  <si>
    <t>3907</t>
  </si>
  <si>
    <t>ASSZCP</t>
  </si>
  <si>
    <t>Mûres séchées - Sang shen zi - 1 flacon de poudre concentrée - 100g</t>
  </si>
  <si>
    <t>https://calebasse.com/produits/sang-shen-zi-mures-sechees-3907?product=4645</t>
  </si>
  <si>
    <t>https://res.cloudinary.com/laboratoire-calebasse/image/upload/v1704445503/A_sangshenzi_CP_e559b3a9d0.jpg</t>
  </si>
  <si>
    <t>3665346154731</t>
  </si>
  <si>
    <t>sku-ASSZCP</t>
  </si>
  <si>
    <t>ASSZGL</t>
  </si>
  <si>
    <t>Mûres séchées - Sang shen zi - 1 flacon de 100 gélules - 50g</t>
  </si>
  <si>
    <t>https://calebasse.com/produits/sang-shen-zi-mures-sechees-3907?product=4646</t>
  </si>
  <si>
    <t>https://res.cloudinary.com/laboratoire-calebasse/image/upload/v1704445849/A_sangshenzi_GL_f0a5915d25.jpg</t>
  </si>
  <si>
    <t>3665346154755</t>
  </si>
  <si>
    <t>sku-ASSZGL</t>
  </si>
  <si>
    <t>ASSZL</t>
  </si>
  <si>
    <t>Mûres séchées - Sang shen zi - 1 Grand Sachet plante 300g</t>
  </si>
  <si>
    <t>https://calebasse.com/produits/sang-shen-zi-mures-sechees-3907?product=4644</t>
  </si>
  <si>
    <t>https://res.cloudinary.com/laboratoire-calebasse/image/upload/v1748272044/MURES_SECHEES_300_g_ASSZL_a0fcecc3ef.jpg</t>
  </si>
  <si>
    <t>3665346198421</t>
  </si>
  <si>
    <t>sku-ASSZL</t>
  </si>
  <si>
    <t>ASUDH</t>
  </si>
  <si>
    <t>Rehmannia racine préparée - Shu di huang - 1 Petit Sachet plante 100g</t>
  </si>
  <si>
    <t>Pour préserver le bien-être de l’organisme. Ses principaux bienfaits : donne du tonus à l'organisme, contribue à la santé des séniors</t>
  </si>
  <si>
    <t>https://calebasse.com/produits/shu-di-huang-racine-de-rehmannia-preparee-3919?product=4694</t>
  </si>
  <si>
    <t>https://res.cloudinary.com/laboratoire-calebasse/image/upload/v1746526465/REHMANNIA_RACINE_PREPAREE_100_g_ASUDH_cbfa441d75.jpg</t>
  </si>
  <si>
    <t>3665346158517</t>
  </si>
  <si>
    <t>sku-ASUDH</t>
  </si>
  <si>
    <t>3919</t>
  </si>
  <si>
    <t>ASUDHCP</t>
  </si>
  <si>
    <t>Rehmannia racine préparée - Shu di huang - 1 flacon de poudre concentrée - 100g</t>
  </si>
  <si>
    <t>https://calebasse.com/produits/shu-di-huang-racine-de-rehmannia-preparee-3919?product=4696</t>
  </si>
  <si>
    <t>https://res.cloudinary.com/laboratoire-calebasse/image/upload/v1634201206/A_shudihuangcp_b6f7a5db2b.jpg</t>
  </si>
  <si>
    <t>3665346158531</t>
  </si>
  <si>
    <t>sku-ASUDHCP</t>
  </si>
  <si>
    <t>ASUDHGL</t>
  </si>
  <si>
    <t>Rehmannia racine préparée - Shu di huang - 1 flacon de 100 gélules - 50g</t>
  </si>
  <si>
    <t>https://calebasse.com/produits/shu-di-huang-racine-de-rehmannia-preparee-3919?product=4698</t>
  </si>
  <si>
    <t>https://res.cloudinary.com/laboratoire-calebasse/image/upload/v1634201206/A_shudihuanggl_e614ea7d12.jpg</t>
  </si>
  <si>
    <t>3665346158555</t>
  </si>
  <si>
    <t>sku-ASUDHGL</t>
  </si>
  <si>
    <t>ASUDHL</t>
  </si>
  <si>
    <t>Rehmannia racine préparée - Shu di huang - 1 Grand Sachet plante 300g</t>
  </si>
  <si>
    <t>https://calebasse.com/produits/shu-di-huang-racine-de-rehmannia-preparee-3919?product=4695</t>
  </si>
  <si>
    <t>https://res.cloudinary.com/laboratoire-calebasse/image/upload/v1748271819/REHMANNIA_RACINE_PREPAREE_300_g_ASUDHL_4706db3db0.jpg</t>
  </si>
  <si>
    <t>3665346188422</t>
  </si>
  <si>
    <t>sku-ASUDHL</t>
  </si>
  <si>
    <t>ASW</t>
  </si>
  <si>
    <t>Fougère rocheuse - Shi wei - 1 Petit Sachet plante 50g</t>
  </si>
  <si>
    <t>Pour un confort urinaire optimal. Ses principaux bienfaits : détoxifie l'organisme, aide au confort urinaire, stimule les fonctions éliminatrices</t>
  </si>
  <si>
    <t>https://calebasse.com/produits/shi-wei-fougere-rocheuse-3917?product=4692</t>
  </si>
  <si>
    <t>https://res.cloudinary.com/laboratoire-calebasse/image/upload/v1746527040/FOUGERE_ROCHEUSE_50_g_ASW_04c77bced8.jpg</t>
  </si>
  <si>
    <t>3665346193716</t>
  </si>
  <si>
    <t>sku-ASW</t>
  </si>
  <si>
    <t>3917</t>
  </si>
  <si>
    <t>ASWL</t>
  </si>
  <si>
    <t>Fougère rocheuse - Shi wei - 1 Grand Sachet plante 200g</t>
  </si>
  <si>
    <t>https://calebasse.com/produits/shi-wei-fougere-rocheuse-3917?product=4693</t>
  </si>
  <si>
    <t>https://res.cloudinary.com/laboratoire-calebasse/image/upload/v1748271835/FOUGERE_ROCHEUSE_200_g_ASWL_a3fea93b5e.jpg</t>
  </si>
  <si>
    <t>3665346193723</t>
  </si>
  <si>
    <t>sku-ASWL</t>
  </si>
  <si>
    <t>ASY</t>
  </si>
  <si>
    <t>Igname - Shan yao - 1 Petit Sachet plante 100g</t>
  </si>
  <si>
    <t>Pour retrouver la forme. Ses principaux bienfaits : donne du tonus à l'organisme, soutient les défenses naturelles</t>
  </si>
  <si>
    <t>https://calebasse.com/produits/shan-yao-igname-3913?product=4663</t>
  </si>
  <si>
    <t>https://res.cloudinary.com/laboratoire-calebasse/image/upload/v1746524989/IGNAME_100_g_ASY_2576fac93a.jpg</t>
  </si>
  <si>
    <t>3665346156117</t>
  </si>
  <si>
    <t>sku-ASY</t>
  </si>
  <si>
    <t>3913</t>
  </si>
  <si>
    <t>ASYANG</t>
  </si>
  <si>
    <t>Racine de Cynomore - Suo yang - 1 Petit Sachet plante 100g</t>
  </si>
  <si>
    <t>Pour renforcer la sexualité masculine. Ses principaux bienfaits : améliore la vie sexuelle, stimule la vitalité et le tonus sexuel</t>
  </si>
  <si>
    <t>https://calebasse.com/produits/suo-yang-racine-de-cynomore-3923?product=4709</t>
  </si>
  <si>
    <t>https://res.cloudinary.com/laboratoire-calebasse/image/upload/v1746534359/RACINE_DE_CYNOMORE_100_g_ASYANG_e3398156dd.jpg</t>
  </si>
  <si>
    <t>3665346159613</t>
  </si>
  <si>
    <t>sku-ASYANG</t>
  </si>
  <si>
    <t>3923</t>
  </si>
  <si>
    <t>ASYANGL</t>
  </si>
  <si>
    <t>Racine de Cynomore - Suo yang - 1 Grand Sachet plante 300g</t>
  </si>
  <si>
    <t>https://calebasse.com/produits/suo-yang-racine-de-cynomore-3923?product=4711</t>
  </si>
  <si>
    <t>https://res.cloudinary.com/laboratoire-calebasse/image/upload/v1748271760/RACINE_DE_CYNOMORE_300_g_ASYANGL_57babd1cf3.jpg</t>
  </si>
  <si>
    <t>3665346223024</t>
  </si>
  <si>
    <t>sku-ASYANGL</t>
  </si>
  <si>
    <t>ASYECP</t>
  </si>
  <si>
    <t>Feuille de mûrier - Sang ye - 1 flacon de poudre concentrée - 100g</t>
  </si>
  <si>
    <t>Rituel doux pour les yeux à intégrer à votre routine santé Ses principaux bienfaits : vision claire et yeux apaisés, clarifie les poumons et apaise le foie, détox douce et naturelle, contrôle du sucre dans le sang</t>
  </si>
  <si>
    <t>https://calebasse.com/produits/sang-ye-feuille-de-murier-5248?product=4650</t>
  </si>
  <si>
    <t>https://res.cloudinary.com/laboratoire-calebasse/image/upload/v1634201120/A_sangyecp_96926392ee.jpg</t>
  </si>
  <si>
    <t>3665346154830</t>
  </si>
  <si>
    <t>sku-ASYECP</t>
  </si>
  <si>
    <t>https://res.cloudinary.com/laboratoire-calebasse/image/upload/v1753101277/1_610b6af33e.jpg,https://res.cloudinary.com/laboratoire-calebasse/image/upload/v1753101275/2_168f14edf6.jpg,https://res.cloudinary.com/laboratoire-calebasse/image/upload/v1753101277/3_7f0b5fd571.jpg,https://res.cloudinary.com/laboratoire-calebasse/image/upload/v1753101277/4_9f3223c799.jpg,https://res.cloudinary.com/laboratoire-calebasse/image/upload/v1753101277/5_1aa4942733.jpg</t>
  </si>
  <si>
    <t>5248</t>
  </si>
  <si>
    <t>ASYEGL</t>
  </si>
  <si>
    <t>Feuille de mûrier - Sang ye - 1 flacon de 100 gélules - 50g</t>
  </si>
  <si>
    <t>https://calebasse.com/produits/sang-ye-feuille-de-murier-5248?product=4652</t>
  </si>
  <si>
    <t>https://res.cloudinary.com/laboratoire-calebasse/image/upload/v1634201124/A_sangyegl_0be474d9a0.jpg</t>
  </si>
  <si>
    <t>3665346154854</t>
  </si>
  <si>
    <t>sku-ASYEGL</t>
  </si>
  <si>
    <t>ASYGL</t>
  </si>
  <si>
    <t>Igname - Shan yao - 1 flacon de 100 gélules - 50g</t>
  </si>
  <si>
    <t>https://calebasse.com/produits/shan-yao-igname-3913?product=4668</t>
  </si>
  <si>
    <t>https://res.cloudinary.com/laboratoire-calebasse/image/upload/v1704448220/A_shanyao_GL_378a7e32b4.jpg</t>
  </si>
  <si>
    <t>3665346229057</t>
  </si>
  <si>
    <t>sku-ASYGL</t>
  </si>
  <si>
    <t>ASYL</t>
  </si>
  <si>
    <t>Igname - Shan yao - 1 Grand Sachet plante 300g</t>
  </si>
  <si>
    <t>https://calebasse.com/produits/shan-yao-igname-3913?product=4665</t>
  </si>
  <si>
    <t>https://res.cloudinary.com/laboratoire-calebasse/image/upload/v1748271996/IGNAME_300_g_ASYL_c01f363466.jpg</t>
  </si>
  <si>
    <t>3665346197325</t>
  </si>
  <si>
    <t>sku-ASYL</t>
  </si>
  <si>
    <t>ASZ</t>
  </si>
  <si>
    <t>Fruits d’Aubépine - Shan zha - 1 Petit Sachet plante 100g</t>
  </si>
  <si>
    <t>Pour préserver la santé cardiovasculaire. Ses principaux bienfaits : contribue à une bonne digestion, favorise le confort cardiovasculaire, maintien des équilibres circulatoires</t>
  </si>
  <si>
    <t>https://calebasse.com/produits/shan-zha-fruits-daubepine-3912?product=4670</t>
  </si>
  <si>
    <t>https://res.cloudinary.com/laboratoire-calebasse/image/upload/v1746524959/FRUITS_D_AUBEPINE_100_g_ASZ_5fcbed0783.jpg</t>
  </si>
  <si>
    <t>3665346156315</t>
  </si>
  <si>
    <t>sku-ASZ</t>
  </si>
  <si>
    <t>https://res.cloudinary.com/laboratoire-calebasse/image/upload/v1770310143/fruits_d_aubepine_ae86fdf3b9.jpg</t>
  </si>
  <si>
    <t>3912</t>
  </si>
  <si>
    <t>ASZCP</t>
  </si>
  <si>
    <t>Fruits d’Aubépine - Shan zha - 1 flacon de poudre concentrée - 100g</t>
  </si>
  <si>
    <t>https://calebasse.com/produits/shan-zha-fruits-daubepine-3912?product=4673</t>
  </si>
  <si>
    <t>https://res.cloudinary.com/laboratoire-calebasse/image/upload/v1634201206/A_shanzhacp_0f20e04750.jpg</t>
  </si>
  <si>
    <t>3665346156339</t>
  </si>
  <si>
    <t>sku-ASZCP</t>
  </si>
  <si>
    <t>ASZGL</t>
  </si>
  <si>
    <t>Fruits d’Aubépine - Shan zha - 1 flacon de 100 gélules - 50g</t>
  </si>
  <si>
    <t>https://calebasse.com/produits/shan-zha-fruits-daubepine-3912?product=4674</t>
  </si>
  <si>
    <t>https://res.cloudinary.com/laboratoire-calebasse/image/upload/v1634201206/A_shanzhagl_f8618b38ce.jpg</t>
  </si>
  <si>
    <t>3665346156353</t>
  </si>
  <si>
    <t>sku-ASZGL</t>
  </si>
  <si>
    <t>ASZHI</t>
  </si>
  <si>
    <t>Tiges de Mûrier - Sang zhi - 1 Petit Sachet plante 100g</t>
  </si>
  <si>
    <t>Pour retrouver le confort. Ses principaux bienfaits : draine les excès d'eau, favorise le confort articulaire</t>
  </si>
  <si>
    <t>https://calebasse.com/produits/sang-zhi-tiges-de-murier-3909?product=4654</t>
  </si>
  <si>
    <t>https://res.cloudinary.com/laboratoire-calebasse/image/upload/v1746525779/TIGES_DE_MURIER_100_g_ASZHI_29ef95de6c.jpg</t>
  </si>
  <si>
    <t>3665346154915</t>
  </si>
  <si>
    <t>sku-ASZHI</t>
  </si>
  <si>
    <t>3909</t>
  </si>
  <si>
    <t>ASZHICP</t>
  </si>
  <si>
    <t>Tiges de Mûrier - Sang zhi - 1 flacon de poudre concentrée - 100g</t>
  </si>
  <si>
    <t>https://calebasse.com/produits/sang-zhi-tiges-de-murier-3909?product=4656</t>
  </si>
  <si>
    <t>https://res.cloudinary.com/laboratoire-calebasse/image/upload/v1698328489/A_sangzhicp_3d4428b94f.jpg</t>
  </si>
  <si>
    <t>sku-ASZHICP</t>
  </si>
  <si>
    <t>ASZHIGL</t>
  </si>
  <si>
    <t>Tiges de Mûrier - Sang zhi - 1 flacon de 100 gélules - 50g</t>
  </si>
  <si>
    <t>https://calebasse.com/produits/sang-zhi-tiges-de-murier-3909?product=4658</t>
  </si>
  <si>
    <t>https://res.cloudinary.com/laboratoire-calebasse/image/upload/v1698328509/A_sangzhi_aa3acc5b12.jpg</t>
  </si>
  <si>
    <t>sku-ASZHIGL</t>
  </si>
  <si>
    <t>ASZHIL</t>
  </si>
  <si>
    <t>Tiges de Mûrier - Sang zhi - 1 Grand Sachet plante 300g</t>
  </si>
  <si>
    <t>https://calebasse.com/produits/sang-zhi-tiges-de-murier-3909?product=4655</t>
  </si>
  <si>
    <t>https://res.cloudinary.com/laboratoire-calebasse/image/upload/v1748272028/TIGES_DE_MURIER_300_g_ASZHIL_298372b689.jpg</t>
  </si>
  <si>
    <t>3665346216224</t>
  </si>
  <si>
    <t>sku-ASZHIL</t>
  </si>
  <si>
    <t>ASZL</t>
  </si>
  <si>
    <t>Fruits d’Aubépine - Shan zha - 1 Grand Sachet plante 300g</t>
  </si>
  <si>
    <t>https://calebasse.com/produits/shan-zha-fruits-daubepine-3912?product=4672</t>
  </si>
  <si>
    <t>https://res.cloudinary.com/laboratoire-calebasse/image/upload/v1748271982/FRUITS_D_AUBEPINE_300_g_ASZL_b6ae6bc389.jpg</t>
  </si>
  <si>
    <t>3665346178027</t>
  </si>
  <si>
    <t>sku-ASZL</t>
  </si>
  <si>
    <t>ATC</t>
  </si>
  <si>
    <t>Papyrus de Chine - Xiao tong cao - 1 Petit Sachet plante 50g</t>
  </si>
  <si>
    <t>https://calebasse.com/produits/xiao-tong-cao-papyrus-de-chine-3924?product=4714</t>
  </si>
  <si>
    <t>https://res.cloudinary.com/laboratoire-calebasse/image/upload/v1746524936/PAPYRUS_DE_CHINE_50_g_ATC_36757e3ca8.jpg</t>
  </si>
  <si>
    <t>3665346162019</t>
  </si>
  <si>
    <t>sku-ATC</t>
  </si>
  <si>
    <t>3924</t>
  </si>
  <si>
    <t>ATFL</t>
  </si>
  <si>
    <t>Salsepareille de Chine - Tu fu ling - 1 Petit Sachet plante 100g</t>
  </si>
  <si>
    <t>Pour détoxifier la peau. Ses principaux bienfaits : détoxifie l'organisme, améliore l'apparence de la peau, contribue au confort cutané</t>
  </si>
  <si>
    <t>https://calebasse.com/produits/tu-fu-ling-salsepareille-de-chine-3926?product=4716</t>
  </si>
  <si>
    <t>https://res.cloudinary.com/laboratoire-calebasse/image/upload/v1748271701/SALSEPAREILLEDE_CHINE_100_g_ATFL_cf639c529e.jpg</t>
  </si>
  <si>
    <t>3665346162415</t>
  </si>
  <si>
    <t>sku-ATFL</t>
  </si>
  <si>
    <t>3926</t>
  </si>
  <si>
    <t>ATFLCP</t>
  </si>
  <si>
    <t>Salsepareille de Chine - Tu fu ling - 1 flacon de poudre concentrée - 100g</t>
  </si>
  <si>
    <t>https://calebasse.com/produits/tu-fu-ling-salsepareille-de-chine-3926?product=4718</t>
  </si>
  <si>
    <t>https://res.cloudinary.com/laboratoire-calebasse/image/upload/v1634201206/A_tufulingcp_c3065685cc.jpg</t>
  </si>
  <si>
    <t>3665346162439</t>
  </si>
  <si>
    <t>sku-ATFLCP</t>
  </si>
  <si>
    <t>ATFLGL</t>
  </si>
  <si>
    <t>Salsepareille de Chine - Tu fu ling - 1 flacon de 100 gélules - 50g</t>
  </si>
  <si>
    <t>https://calebasse.com/produits/tu-fu-ling-salsepareille-de-chine-3926?product=4720</t>
  </si>
  <si>
    <t>https://res.cloudinary.com/laboratoire-calebasse/image/upload/v1634201124/A_tufulinggl_32562244de.jpg</t>
  </si>
  <si>
    <t>3665346162453</t>
  </si>
  <si>
    <t>sku-ATFLGL</t>
  </si>
  <si>
    <t>ATFLL</t>
  </si>
  <si>
    <t>Salsepareille de Chine - Tu fu ling - 1 Grand Sachet plante 300g</t>
  </si>
  <si>
    <t>https://calebasse.com/produits/tu-fu-ling-salsepareille-de-chine-3926?product=4717</t>
  </si>
  <si>
    <t>https://res.cloudinary.com/laboratoire-calebasse/image/upload/v1746524622/SALSEPAREILLE_DE_CHINE_300_g_ATFLL_3d474ed35b.jpg</t>
  </si>
  <si>
    <t>3665346215425</t>
  </si>
  <si>
    <t>sku-ATFLL</t>
  </si>
  <si>
    <t>ATH</t>
  </si>
  <si>
    <t>Fleurs de Pêcher - Tao hua - 1 Petit Sachet plante 50g</t>
  </si>
  <si>
    <t>Pour une peau plus saine. Ses principaux bienfaits : améliore l'apparence de la peau, contribue au confort cutané</t>
  </si>
  <si>
    <t>https://calebasse.com/produits/tao-hua-fleurs-de-pecher-3925?product=4712</t>
  </si>
  <si>
    <t>https://res.cloudinary.com/laboratoire-calebasse/image/upload/v1746525734/FLEURS_DE_PECHER_50_g_ATH_ecc193f51a.jpg</t>
  </si>
  <si>
    <t>3665346160213</t>
  </si>
  <si>
    <t>sku-ATH</t>
  </si>
  <si>
    <t>3925</t>
  </si>
  <si>
    <t>ATHL</t>
  </si>
  <si>
    <t>Fleurs de Pêcher - Tao hua - 1 Grand Sachet plante 300g</t>
  </si>
  <si>
    <t>https://calebasse.com/produits/tao-hua-fleurs-de-pecher-3925?product=4713</t>
  </si>
  <si>
    <t>https://res.cloudinary.com/laboratoire-calebasse/image/upload/v1748271744/FLEURS_DE_PECHER_300_g_ATHL_1ef6272537.jpg</t>
  </si>
  <si>
    <t>3665346223529</t>
  </si>
  <si>
    <t>sku-ATHL</t>
  </si>
  <si>
    <t>ATJUH</t>
  </si>
  <si>
    <t>Camomille chinoise boutons - Ju hua (tai) - 1 Petit Sachet plante 50g</t>
  </si>
  <si>
    <t>Pour apaiser les yeux. Ses principaux bienfaits : apaiser la fatigue visuelle</t>
  </si>
  <si>
    <t>https://calebasse.com/produits/ju-hua-tai-boutons-de-chrysantheme-boreal-3841?product=4399</t>
  </si>
  <si>
    <t>https://res.cloudinary.com/laboratoire-calebasse/image/upload/v1746528041/CAMOMILLE_CHINOISE_BOUTONS_50_g_ATJUH_473939ebb0.jpg</t>
  </si>
  <si>
    <t>3665346159811</t>
  </si>
  <si>
    <t>sku-ATJUH</t>
  </si>
  <si>
    <t>3841</t>
  </si>
  <si>
    <t>ATSZ</t>
  </si>
  <si>
    <t>Graines de Cuscute - Tu si zi - 1 Petit Sachet plante 100g</t>
  </si>
  <si>
    <t>Pour une sexualité épanouie. Ses principaux bienfaits : améliore la vie sexuelle, stimule la vitalité et le tonus sexuel</t>
  </si>
  <si>
    <t>https://calebasse.com/produits/tu-si-zi-graines-de-cuscute-3927?product=4722</t>
  </si>
  <si>
    <t>https://res.cloudinary.com/laboratoire-calebasse/image/upload/v1746528807/GRAINES_DE_CUSCUTE_100_g_ATSZ_5cf2d547d4.jpg</t>
  </si>
  <si>
    <t>3665346162712</t>
  </si>
  <si>
    <t>sku-ATSZ</t>
  </si>
  <si>
    <t>3927</t>
  </si>
  <si>
    <t>ATSZCP</t>
  </si>
  <si>
    <t>Graines de Cuscute - Tu si zi - 1 flacon de poudre concentrée - 100g</t>
  </si>
  <si>
    <t>https://calebasse.com/produits/tu-si-zi-graines-de-cuscute-3927?product=4724</t>
  </si>
  <si>
    <t>https://res.cloudinary.com/laboratoire-calebasse/image/upload/v1634201206/A_tusizicp_c19c529bad.jpg</t>
  </si>
  <si>
    <t>3665346162736</t>
  </si>
  <si>
    <t>sku-ATSZCP</t>
  </si>
  <si>
    <t>ATSZGL</t>
  </si>
  <si>
    <t>Graines de Cuscute - Tu si zi - 1 flacon de 100 gélules - 50g</t>
  </si>
  <si>
    <t>https://calebasse.com/produits/tu-si-zi-graines-de-cuscute-3927?product=4726</t>
  </si>
  <si>
    <t>https://res.cloudinary.com/laboratoire-calebasse/image/upload/v1634201206/A_tusizigl_d15a9517c1.jpg</t>
  </si>
  <si>
    <t>3665346162750</t>
  </si>
  <si>
    <t>sku-ATSZGL</t>
  </si>
  <si>
    <t>ATSZL</t>
  </si>
  <si>
    <t>Graines de Cuscute - Tu si zi - 1 Grand Sachet plante 300g</t>
  </si>
  <si>
    <t>https://calebasse.com/produits/tu-si-zi-graines-de-cuscute-3927?product=4723</t>
  </si>
  <si>
    <t>https://res.cloudinary.com/laboratoire-calebasse/image/upload/v1748271727/GRAINES_DE_CUSCUTE_300_g_ATSZL_bbedd69cf9.jpg</t>
  </si>
  <si>
    <t>3665346195222</t>
  </si>
  <si>
    <t>sku-ATSZL</t>
  </si>
  <si>
    <t>AWBL</t>
  </si>
  <si>
    <t>Graines de Saponaire - Wang bu liu xing - 1 Petit Sachet plante 100g</t>
  </si>
  <si>
    <t>Pour réguler le débit urinaire. Ses principaux bienfaits : aide au confort urinaire</t>
  </si>
  <si>
    <t>https://calebasse.com/produits/wang-bu-liu-xing-graines-de-saponaire-3928?product=4728</t>
  </si>
  <si>
    <t>https://res.cloudinary.com/laboratoire-calebasse/image/upload/v1746526605/SAPONAIRE_GRAINES_100_g_AWBL_4b16bc435c.jpg</t>
  </si>
  <si>
    <t>3665346163115</t>
  </si>
  <si>
    <t>sku-AWBL</t>
  </si>
  <si>
    <t>3928</t>
  </si>
  <si>
    <t>AWBLL</t>
  </si>
  <si>
    <t>Graines de Saponaire - Wang bu liu xing - 1 Grand Sachet plante 300g</t>
  </si>
  <si>
    <t>https://calebasse.com/produits/wang-bu-liu-xing-graines-de-saponaire-3928?product=4731</t>
  </si>
  <si>
    <t>https://res.cloudinary.com/laboratoire-calebasse/image/upload/v1748271684/SAPONAIRE_GRAINES_300_g_AWBLL_01ff57990f.jpg</t>
  </si>
  <si>
    <t>3665346195727</t>
  </si>
  <si>
    <t>sku-AWBLL</t>
  </si>
  <si>
    <t>AWHYF</t>
  </si>
  <si>
    <t>Gruau aux Sésames et Haricots noirs - Wu hei yang fa zhou - 1 Petit Sachet plante 100g</t>
  </si>
  <si>
    <t>Pour renforcer la santé capillaire. Ses principaux bienfaits : améliore l'apparence de la peau, renforce la santé capillaire, freine l'apparition des cheveux blancs, favorise un taux de cholestérol sain</t>
  </si>
  <si>
    <t>https://calebasse.com/produits/wu-hei-yang-fa-zhou-gruau-aux-sesames-et-haricots-noirs-4693?product=6812</t>
  </si>
  <si>
    <t>https://res.cloudinary.com/laboratoire-calebasse/image/upload/v1751624166/GRUAU_AUX_SESAMES_ET_HARICOTS_NOIRS_100_g_AWHYF_900b0a72d9.jpg</t>
  </si>
  <si>
    <t>3665346400319</t>
  </si>
  <si>
    <t>sku-AWHYF</t>
  </si>
  <si>
    <t>4693</t>
  </si>
  <si>
    <t>AWHYFX10</t>
  </si>
  <si>
    <t>Gruau aux Sésames et Haricots noirs - Wu hei yang fa zhou - 10 Petits Sachets plantes de 100g</t>
  </si>
  <si>
    <t>https://calebasse.com/produits/wu-hei-yang-fa-zhou-gruau-aux-sesames-et-haricots-noirs-4693?product=7359</t>
  </si>
  <si>
    <t>https://res.cloudinary.com/laboratoire-calebasse/image/upload/v1753347865/10_f923f6003a.jpg</t>
  </si>
  <si>
    <t>sku-AWHYFX10</t>
  </si>
  <si>
    <t>AWJP</t>
  </si>
  <si>
    <t>Eleuthérocoque chinois - Wu jia pi - 1 Petit Sachet plante 100g</t>
  </si>
  <si>
    <t>Pour préserver le bien-être du corps. Ses principaux bienfaits : favorise le confort articulaire</t>
  </si>
  <si>
    <t>https://calebasse.com/produits/wu-jia-pi-eleutherocoque-3930?product=4736</t>
  </si>
  <si>
    <t>https://res.cloudinary.com/laboratoire-calebasse/image/upload/v1746523999/ELEUTHEROCOQUE_100_g_AWJP_bbc909ed50.jpg</t>
  </si>
  <si>
    <t>3665346163511</t>
  </si>
  <si>
    <t>sku-AWJP</t>
  </si>
  <si>
    <t>3930</t>
  </si>
  <si>
    <t>AWJPL</t>
  </si>
  <si>
    <t>Eleuthérocoque chinois - Wu jia pi - 1 Grand Sachet plante 300g</t>
  </si>
  <si>
    <t>https://calebasse.com/produits/wu-jia-pi-eleutherocoque-3930?product=4737</t>
  </si>
  <si>
    <t>https://res.cloudinary.com/laboratoire-calebasse/image/upload/v1748271632/ELEUTHEROCOQUE_300_g_AWJPL_73f6473c31.jpg</t>
  </si>
  <si>
    <t>3665346122402</t>
  </si>
  <si>
    <t>sku-AWJPL</t>
  </si>
  <si>
    <t>AWLX</t>
  </si>
  <si>
    <t>Racine de Clématite - Wei ling xian - 1 Petit Sachet plante 50g</t>
  </si>
  <si>
    <t>Pour retrouver le confort articulaire et musculaire. Ses principaux bienfaits : favorise le confort articulaire, décontracte les muscles</t>
  </si>
  <si>
    <t>https://calebasse.com/produits/wei-ling-xian-racine-de-clematite-3929?product=4734</t>
  </si>
  <si>
    <t>https://res.cloudinary.com/laboratoire-calebasse/image/upload/v1746524827/CLEMATITE_50_g_AWLX_fe4aea4416.jpg</t>
  </si>
  <si>
    <t>3665346163313</t>
  </si>
  <si>
    <t>sku-AWLX</t>
  </si>
  <si>
    <t>3929</t>
  </si>
  <si>
    <t>AWLXL</t>
  </si>
  <si>
    <t>Racine de Clématite - Wei ling xian - 1 Grand Sachet plante 260g</t>
  </si>
  <si>
    <t>https://calebasse.com/produits/wei-ling-xian-racine-de-clematite-3929?product=4735</t>
  </si>
  <si>
    <t>https://res.cloudinary.com/laboratoire-calebasse/image/upload/v1752221609/CLEMATITE_260_g_AWLXL_6b99b970a8.jpg</t>
  </si>
  <si>
    <t>3665346199824</t>
  </si>
  <si>
    <t>sku-AWLXL</t>
  </si>
  <si>
    <t>AWM</t>
  </si>
  <si>
    <t>Prune - Wu Mei - 1 Petit Sachet plante 100g</t>
  </si>
  <si>
    <t xml:space="preserve"> Ses principaux bienfaits : contribue à une bonne digestion, libère les voies respiratoires Ses principaux bienfaits : contribue à une bonne digestion, libère les voies respiratoires</t>
  </si>
  <si>
    <t>https://calebasse.com/produits/wu-mei-prune-4525?product=6539</t>
  </si>
  <si>
    <t>https://res.cloudinary.com/laboratoire-calebasse/image/upload/v1746523941/PRUNE_100_g_AWM_eba41b1bff.jpg</t>
  </si>
  <si>
    <t>3665346163610</t>
  </si>
  <si>
    <t>sku-AWM</t>
  </si>
  <si>
    <t>4525</t>
  </si>
  <si>
    <t>AWML</t>
  </si>
  <si>
    <t>Prune - Wu Mei - 1 Grand Sachet plante 300g</t>
  </si>
  <si>
    <t>https://calebasse.com/produits/wu-mei-prune-4525?product=6540</t>
  </si>
  <si>
    <t>https://res.cloudinary.com/laboratoire-calebasse/image/upload/v1748271667/PRUNE_300_g_AWML_248175029c.jpg</t>
  </si>
  <si>
    <t>3665346199626</t>
  </si>
  <si>
    <t>sku-AWML</t>
  </si>
  <si>
    <t>AWWW</t>
  </si>
  <si>
    <t>Fleurs de Myosotis - Wu wang wo - 1 Petit Sachet plante 50g</t>
  </si>
  <si>
    <t>Pour retrouver le calme et la sérénité. Ses principaux bienfaits : facilite l'endormissement, améliore l'apparence de la peau</t>
  </si>
  <si>
    <t>https://calebasse.com/produits/wu-wang-wo-fleurs-de-myosotis-3931?product=4738</t>
  </si>
  <si>
    <t>https://res.cloudinary.com/laboratoire-calebasse/image/upload/v1746524453/FLEURS_DE_MYOSOTIS_50_g_AWWW_603f22d87c.jpg</t>
  </si>
  <si>
    <t>3665346163719</t>
  </si>
  <si>
    <t>sku-AWWW</t>
  </si>
  <si>
    <t>3931</t>
  </si>
  <si>
    <t>AWWZ</t>
  </si>
  <si>
    <t>Baie aux cinq saveurs - Wu wei zi - 1 Petit Sachet plante 50g</t>
  </si>
  <si>
    <t>Pour retrouver le bien-être physique et mental. Ses principaux bienfaits : donne du tonus à l'organisme, veille à l'équilibre énergétique</t>
  </si>
  <si>
    <t>https://calebasse.com/produits/wu-wei-zi-baie-aux-cinq-saveurs-3932?product=4739</t>
  </si>
  <si>
    <t>https://res.cloudinary.com/laboratoire-calebasse/image/upload/v1746524013/BAIE_AUX_CINQ_SAVEURS_50_g_AWWZ_ddb4b7951c.jpg</t>
  </si>
  <si>
    <t>3665346163818</t>
  </si>
  <si>
    <t>sku-AWWZ</t>
  </si>
  <si>
    <t>Santé &amp; Bien-être &gt; Plantes &amp; Herbes &gt; Tisanes &amp; Infusions &gt; EXAD</t>
  </si>
  <si>
    <t>3932</t>
  </si>
  <si>
    <t>AWWZCP</t>
  </si>
  <si>
    <t>Baie aux cinq saveurs - Wu wei zi - 1 flacon de poudre concentrée - 100g</t>
  </si>
  <si>
    <t>https://calebasse.com/produits/wu-wei-zi-baie-aux-cinq-saveurs-3932?product=4742</t>
  </si>
  <si>
    <t>https://res.cloudinary.com/laboratoire-calebasse/image/upload/v1760543582/BAIE_AUX_CINQ_SAVEURS_AWWZCP_b9ff84e7e2.jpg</t>
  </si>
  <si>
    <t>3665346163832</t>
  </si>
  <si>
    <t>sku-AWWZCP</t>
  </si>
  <si>
    <t>AWWZGL</t>
  </si>
  <si>
    <t>Baie aux cinq saveurs - Wu wei zi - 1 flacon de 100 gélules - 50g</t>
  </si>
  <si>
    <t>https://calebasse.com/produits/wu-wei-zi-baie-aux-cinq-saveurs-3932?product=4744</t>
  </si>
  <si>
    <t>https://res.cloudinary.com/laboratoire-calebasse/image/upload/v1760543599/BAIE_AUX_CINQ_SAVEURS_AWWZGL_8a0bfc6c6a.jpg</t>
  </si>
  <si>
    <t>3665346163856</t>
  </si>
  <si>
    <t>sku-AWWZGL</t>
  </si>
  <si>
    <t>AWWZL</t>
  </si>
  <si>
    <t>Baie aux cinq saveurs - Wu wei zi - 1 Grand Sachet plante 280g</t>
  </si>
  <si>
    <t>https://calebasse.com/produits/wu-wei-zi-baie-aux-cinq-saveurs-3932?product=4741</t>
  </si>
  <si>
    <t>https://res.cloudinary.com/laboratoire-calebasse/image/upload/v1748271614/BAIE_AUX_CINQ_SAVEURS_280_g_AWWZL_d25e3ecc69.jpg</t>
  </si>
  <si>
    <t>3665346189726</t>
  </si>
  <si>
    <t>sku-AWWZL</t>
  </si>
  <si>
    <t>AWY</t>
  </si>
  <si>
    <t>Bois épicé - Wu yao - 1 Petit Sachet plante 100g</t>
  </si>
  <si>
    <t>Pour retrouver le confort du ventre. Ses principaux bienfaits : favorise l'équilibre féminin, aide à mieux vivre les règles</t>
  </si>
  <si>
    <t>https://calebasse.com/produits/wu-yao-bois-epice-3933?product=4746</t>
  </si>
  <si>
    <t>https://res.cloudinary.com/laboratoire-calebasse/image/upload/v1746523954/BOIS_EPICE_100_g_AWY_420a7754e7.jpg</t>
  </si>
  <si>
    <t>3665346163917</t>
  </si>
  <si>
    <t>sku-AWY</t>
  </si>
  <si>
    <t>3933</t>
  </si>
  <si>
    <t>AWYCP</t>
  </si>
  <si>
    <t>Bois épicé - Wu yao - 1 flacon de poudre concentrée - 100g</t>
  </si>
  <si>
    <t>https://calebasse.com/produits/wu-yao-bois-epice-3933?product=4747</t>
  </si>
  <si>
    <t>https://res.cloudinary.com/laboratoire-calebasse/image/upload/v1760543657/BOIS_EPICE_AWYCP_3dd5982509.jpg</t>
  </si>
  <si>
    <t>3665346163931</t>
  </si>
  <si>
    <t>sku-AWYCP</t>
  </si>
  <si>
    <t>AWYGL</t>
  </si>
  <si>
    <t>Bois épicé - Wu yao - 1 flacon de 100 gélules - 50g</t>
  </si>
  <si>
    <t>https://calebasse.com/produits/wu-yao-bois-epice-3933?product=4750</t>
  </si>
  <si>
    <t>https://res.cloudinary.com/laboratoire-calebasse/image/upload/v1760543674/BOIS_EPICE_AWYGL_fb30c5735d.jpg</t>
  </si>
  <si>
    <t>3665346163955</t>
  </si>
  <si>
    <t>sku-AWYGL</t>
  </si>
  <si>
    <t>AWYHJ</t>
  </si>
  <si>
    <t>Chrysanthème royal du Wu yuan - Wu yuan huang ju - 1 Petit Sachet plante 50g</t>
  </si>
  <si>
    <t>Pour apaiser la fatigue oculaire. Ses principaux bienfaits : réduit la fatigue, apaiser la fatigue visuelle</t>
  </si>
  <si>
    <t>https://calebasse.com/produits/wu-yuan-huang-ju-chrysantheme-royal-du-wu-yuan-4526?product=6541</t>
  </si>
  <si>
    <t>https://res.cloudinary.com/laboratoire-calebasse/image/upload/v1751624247/CHRYSANTHEME_ROYAL_DU_WU_YUAN_50_g_AWYHJ_2f9ba51a1a.jpg</t>
  </si>
  <si>
    <t>3665346182215</t>
  </si>
  <si>
    <t>sku-AWYHJ</t>
  </si>
  <si>
    <t>4526</t>
  </si>
  <si>
    <t>AWYL</t>
  </si>
  <si>
    <t>Bois épicé - Wu yao - 1 Grand Sachet plante 300g</t>
  </si>
  <si>
    <t>https://calebasse.com/produits/wu-yao-bois-epice-3933?product=4748</t>
  </si>
  <si>
    <t>https://res.cloudinary.com/laboratoire-calebasse/image/upload/v1748271650/BOIS_EPICE_300_g_AWYL_181fa2eca4.jpg</t>
  </si>
  <si>
    <t>3665346163924</t>
  </si>
  <si>
    <t>sku-AWYL</t>
  </si>
  <si>
    <t>AWZMT</t>
  </si>
  <si>
    <t>Racines de Ficus - Wu zhi mao tao - 1 Petit Sachet plante 100g</t>
  </si>
  <si>
    <t>Pour tonifier le Qi. Ses principaux bienfaits : tonifie le qi, soutient les défenses naturelles</t>
  </si>
  <si>
    <t>https://calebasse.com/produits/wu-zhi-mao-tao-racines-de-ficus-4527?product=6543</t>
  </si>
  <si>
    <t>https://res.cloudinary.com/laboratoire-calebasse/image/upload/v1746524071/RACINES_DE_FICUS_100_g_AWZMT_5a2ab242ed.jpg</t>
  </si>
  <si>
    <t>3665346182116</t>
  </si>
  <si>
    <t>sku-AWZMT</t>
  </si>
  <si>
    <t>4527</t>
  </si>
  <si>
    <t>AWZMTL</t>
  </si>
  <si>
    <t>Racines de Ficus - Wu zhi mao tao - 1 Grand Sachet plante 300g</t>
  </si>
  <si>
    <t>https://calebasse.com/produits/wu-zhi-mao-tao-racines-de-ficus-4527?product=6544</t>
  </si>
  <si>
    <t>https://res.cloudinary.com/laboratoire-calebasse/image/upload/v1748271594/RACINES_DE_FICUS_300_g_AWZMTL_a7665106d6.jpg</t>
  </si>
  <si>
    <t>3665346100325</t>
  </si>
  <si>
    <t>sku-AWZMTL</t>
  </si>
  <si>
    <t>AXB</t>
  </si>
  <si>
    <t>Bulbe d'ail - Xie bai - 1 Petit Sachet plante 100g</t>
  </si>
  <si>
    <t>Pour préserver la santé cardiovasculaire. Ses principaux bienfaits : contribue à équilibrer le sucre, favorise le confort cardiovasculaire, contribue à équilibrer les lipides</t>
  </si>
  <si>
    <t>https://calebasse.com/produits/xie-bai-bulbe-dail-3942?product=4783</t>
  </si>
  <si>
    <t>https://res.cloudinary.com/laboratoire-calebasse/image/upload/v1748271450/BULBE_D_AIL_100_g_AXB_59d0616621.jpg</t>
  </si>
  <si>
    <t>3665346166215</t>
  </si>
  <si>
    <t>sku-AXB</t>
  </si>
  <si>
    <t>3942</t>
  </si>
  <si>
    <t>AXBL</t>
  </si>
  <si>
    <t>Bulbe d'ail - Xie bai - 1 Grand Sachet plante 300g</t>
  </si>
  <si>
    <t>https://calebasse.com/produits/xie-bai-bulbe-dail-3942?product=4785</t>
  </si>
  <si>
    <t>https://res.cloudinary.com/laboratoire-calebasse/image/upload/v1746528907/AIL_BULBE_300_g_AXBL_fcab8a647f.jpg</t>
  </si>
  <si>
    <t>3665346191323</t>
  </si>
  <si>
    <t>sku-AXBL</t>
  </si>
  <si>
    <t>AXD</t>
  </si>
  <si>
    <t>Racine de Cardère - Xu duan - 1 Petit Sachet plante 100g</t>
  </si>
  <si>
    <t>Pour préserver la santé articulaire. Ses principaux bienfaits : favorise le confort articulaire, contribue à la santé des séniors, apaise les sensibilités articulaires</t>
  </si>
  <si>
    <t>https://calebasse.com/produits/xu-duan-racine-de-cardere-3943?product=4792</t>
  </si>
  <si>
    <t>https://res.cloudinary.com/laboratoire-calebasse/image/upload/v1746527483/RACINE_DE_CARDERE_100_g_AXD_c26d1d9b50.jpg</t>
  </si>
  <si>
    <t>3665346167113</t>
  </si>
  <si>
    <t>sku-AXD</t>
  </si>
  <si>
    <t>3943</t>
  </si>
  <si>
    <t>AXDCP</t>
  </si>
  <si>
    <t>Racine de Cardère - Xu duan - 1 flacon de poudre concentrée - 100g</t>
  </si>
  <si>
    <t>https://calebasse.com/produits/xu-duan-racine-de-cardere-3943?product=4795</t>
  </si>
  <si>
    <t>https://res.cloudinary.com/laboratoire-calebasse/image/upload/v1634201206/A_xuduancp_8968ba7771.jpg</t>
  </si>
  <si>
    <t>3665346167137</t>
  </si>
  <si>
    <t>sku-AXDCP</t>
  </si>
  <si>
    <t>AXDGL</t>
  </si>
  <si>
    <t>Racine de Cardère - Xu duan - 1 flacon de 100 gélules - 50g</t>
  </si>
  <si>
    <t>https://calebasse.com/produits/xu-duan-racine-de-cardere-3943?product=4796</t>
  </si>
  <si>
    <t>https://res.cloudinary.com/laboratoire-calebasse/image/upload/v1634201206/A_xuduangl_5f681d19c5.jpg</t>
  </si>
  <si>
    <t>3665346167151</t>
  </si>
  <si>
    <t>sku-AXDGL</t>
  </si>
  <si>
    <t>AXDL</t>
  </si>
  <si>
    <t>Racine de Cardère - Xu duan - 1 Grand Sachet plante 300g</t>
  </si>
  <si>
    <t>https://calebasse.com/produits/xu-duan-racine-de-cardere-3943?product=4794</t>
  </si>
  <si>
    <t>https://res.cloudinary.com/laboratoire-calebasse/image/upload/v1748271419/RACINE_DE_CARDERE_300_g_AXDL_d8d2b154a9.jpg</t>
  </si>
  <si>
    <t>3665346118429</t>
  </si>
  <si>
    <t>sku-AXDL</t>
  </si>
  <si>
    <t>AXF</t>
  </si>
  <si>
    <t>Souchet rond - Xiang fu - 1 Petit Sachet plante 100g</t>
  </si>
  <si>
    <t>Pour un cycle menstruel sain et régulier. Ses principaux bienfaits : contribue à réguler le cycle, aide à mieux vivre les règles</t>
  </si>
  <si>
    <t>https://calebasse.com/produits/xiang-fu-souchet-rond-3939?product=4768</t>
  </si>
  <si>
    <t>https://res.cloudinary.com/laboratoire-calebasse/image/upload/v1746534513/SOUCHET_ROND_100_g_AXF_bb7ee67b47.jpg</t>
  </si>
  <si>
    <t>3665346165317</t>
  </si>
  <si>
    <t>sku-AXF</t>
  </si>
  <si>
    <t>3939</t>
  </si>
  <si>
    <t>AXFCP</t>
  </si>
  <si>
    <t>Souchet rond - Xiang fu - 1 flacon de poudre concentrée - 100g</t>
  </si>
  <si>
    <t>https://calebasse.com/produits/xiang-fu-souchet-rond-3939?product=4770</t>
  </si>
  <si>
    <t>https://res.cloudinary.com/laboratoire-calebasse/image/upload/v1634201206/A_xiangfucp_c07f1067b9.jpg</t>
  </si>
  <si>
    <t>3665346165331</t>
  </si>
  <si>
    <t>sku-AXFCP</t>
  </si>
  <si>
    <t>AXFGL</t>
  </si>
  <si>
    <t>Souchet rond - Xiang fu - 1 flacon de 100 gélules - 50g</t>
  </si>
  <si>
    <t>https://calebasse.com/produits/xiang-fu-souchet-rond-3939?product=4771</t>
  </si>
  <si>
    <t>https://res.cloudinary.com/laboratoire-calebasse/image/upload/v1634201206/A_xiangfugl_29334ff7ee.jpg</t>
  </si>
  <si>
    <t>3665346165355</t>
  </si>
  <si>
    <t>sku-AXFGL</t>
  </si>
  <si>
    <t>AXFL</t>
  </si>
  <si>
    <t>Souchet rond - Xiang fu - 1 Grand Sachet plante 300g</t>
  </si>
  <si>
    <t>https://calebasse.com/produits/xiang-fu-souchet-rond-3939?product=4769</t>
  </si>
  <si>
    <t>https://res.cloudinary.com/laboratoire-calebasse/image/upload/v1748271514/SOUCHET_ROND_300_g_AXFL_115aac21d9.jpg</t>
  </si>
  <si>
    <t>3665346215722</t>
  </si>
  <si>
    <t>sku-AXFL</t>
  </si>
  <si>
    <t>AXG</t>
  </si>
  <si>
    <t>Shiitaké - Xiang gu - 1 Petit Sachet plante 100g</t>
  </si>
  <si>
    <t>Champignon nourrissant du quotidien, le Shiitake soutient l’équilibre digestif, le terrain et les défenses naturelles dans une approche alimentaire douce et durable. Ses principaux bienfaits : soutient l’équilibre digestif, contribue aux défenses naturelles, accompagne la vitalité quotidienne, s’inscrit dans une approche alimentaire durable</t>
  </si>
  <si>
    <t>https://calebasse.com/produits/xiang-gu-shiitake-4528?product=6545</t>
  </si>
  <si>
    <t>https://res.cloudinary.com/laboratoire-calebasse/image/upload/v1751623840/SHIITAKE_100_g_AXG_abb400235c.jpg</t>
  </si>
  <si>
    <t>3665346165416</t>
  </si>
  <si>
    <t>sku-AXG</t>
  </si>
  <si>
    <t>4528</t>
  </si>
  <si>
    <t>AXGX3</t>
  </si>
  <si>
    <t>Shiitaké - Xiang gu - 3 Petits Sachets plantes 100g</t>
  </si>
  <si>
    <t>https://calebasse.com/produits/xiang-gu-shiitake-4528?product=7373</t>
  </si>
  <si>
    <t>https://res.cloudinary.com/laboratoire-calebasse/image/upload/v1754640657/_d73e371656.jpg</t>
  </si>
  <si>
    <t>sku-AXGX3</t>
  </si>
  <si>
    <t>AXHC</t>
  </si>
  <si>
    <t>Herbe d’agrimoine - Xian he cao - 1 Petit Sachet plante 50g</t>
  </si>
  <si>
    <t>Pour mieux vivre les règles difficiles. Ses principaux bienfaits : favorise l'équilibre féminin, aide à mieux vivre les règles, atténuer les pertes de sang</t>
  </si>
  <si>
    <t>https://calebasse.com/produits/xian-he-cao-herbe-dagrimoine-3936?product=4760</t>
  </si>
  <si>
    <t>https://res.cloudinary.com/laboratoire-calebasse/image/upload/v1746524146/HERBE_D_AGRIMOINE_50_g_AXHC_295255ec1a.jpg</t>
  </si>
  <si>
    <t>3665346165119</t>
  </si>
  <si>
    <t>sku-AXHC</t>
  </si>
  <si>
    <t>3936</t>
  </si>
  <si>
    <t>AXHCCP</t>
  </si>
  <si>
    <t>Herbe d’agrimoine - Xian he cao - 1 flacon de poudre concentrée - 100g</t>
  </si>
  <si>
    <t>https://calebasse.com/produits/xian-he-cao-herbe-dagrimoine-3936?product=4762</t>
  </si>
  <si>
    <t>https://res.cloudinary.com/laboratoire-calebasse/image/upload/v1634201206/A_xianhecaocp_ad32e49587.jpg</t>
  </si>
  <si>
    <t>3665346165133</t>
  </si>
  <si>
    <t>sku-AXHCCP</t>
  </si>
  <si>
    <t>AXHCGL</t>
  </si>
  <si>
    <t>Herbe d’agrimoine - Xian he cao - 1 flacon de 100 gélules - 50g</t>
  </si>
  <si>
    <t>https://calebasse.com/produits/xian-he-cao-herbe-dagrimoine-3936?product=4764</t>
  </si>
  <si>
    <t>https://res.cloudinary.com/laboratoire-calebasse/image/upload/v1634201206/A_xianhecaogl_fa31740b2b.jpg</t>
  </si>
  <si>
    <t>3665346165157</t>
  </si>
  <si>
    <t>sku-AXHCGL</t>
  </si>
  <si>
    <t>AXHCL</t>
  </si>
  <si>
    <t>Herbe d’agrimoine - Xian he cao - 1 Grand Sachet plante 200g</t>
  </si>
  <si>
    <t>https://calebasse.com/produits/xian-he-cao-herbe-dagrimoine-3936?product=4761</t>
  </si>
  <si>
    <t>https://res.cloudinary.com/laboratoire-calebasse/image/upload/v1748271535/HERBE_D_AGRIMOINE_200_g_AXHCL_71abafa848.jpg</t>
  </si>
  <si>
    <t>3665346196823</t>
  </si>
  <si>
    <t>sku-AXHCL</t>
  </si>
  <si>
    <t>AXHX</t>
  </si>
  <si>
    <t>Graines de Fenouil - Xiao hui xiang - 1 Petit Sachet plante 100g</t>
  </si>
  <si>
    <t>Pour favoriser la santé du tube digestif. Ses principaux bienfaits : contribue à une bonne digestion, soulage les sensibilités de l'estomac</t>
  </si>
  <si>
    <t>https://calebasse.com/produits/xiao-hui-xiang-graines-de-fenouil-3941?product=4778</t>
  </si>
  <si>
    <t>https://res.cloudinary.com/laboratoire-calebasse/image/upload/v1746524918/FENOUIL_GRAINE_100_g_AXHX_a525b7ae51.jpg</t>
  </si>
  <si>
    <t>3665346165911</t>
  </si>
  <si>
    <t>sku-AXHX</t>
  </si>
  <si>
    <t>3941</t>
  </si>
  <si>
    <t>AXHXCP</t>
  </si>
  <si>
    <t>Graines de Fenouil - Xiao hui xiang - 1 flacon de poudre concentrée - 100g</t>
  </si>
  <si>
    <t>https://calebasse.com/produits/xiao-hui-xiang-graines-de-fenouil-3941?product=4780</t>
  </si>
  <si>
    <t>https://res.cloudinary.com/laboratoire-calebasse/image/upload/v1634201206/A_xiaohuixiangcp_4e0cd82162.jpg</t>
  </si>
  <si>
    <t>3665346165935</t>
  </si>
  <si>
    <t>sku-AXHXCP</t>
  </si>
  <si>
    <t>AXHXGL</t>
  </si>
  <si>
    <t>Graines de Fenouil - Xiao hui xiang - 1 flacon de 100 gélules - 50g</t>
  </si>
  <si>
    <t>https://calebasse.com/produits/xiao-hui-xiang-graines-de-fenouil-3941?product=4782</t>
  </si>
  <si>
    <t>https://res.cloudinary.com/laboratoire-calebasse/image/upload/v1634201206/A_xiaohuixianggl_3a090f7677.jpg</t>
  </si>
  <si>
    <t>3665346165959</t>
  </si>
  <si>
    <t>sku-AXHXGL</t>
  </si>
  <si>
    <t>AXHXL</t>
  </si>
  <si>
    <t>Graines de Fenouil - Xiao hui xiang - 1 Grand Sachet plante 300g</t>
  </si>
  <si>
    <t>https://calebasse.com/produits/xiao-hui-xiang-graines-de-fenouil-3941?product=4779</t>
  </si>
  <si>
    <t>https://res.cloudinary.com/laboratoire-calebasse/image/upload/v1752221628/FENOUIL_GRAINE_300_g_AXHXL_c88de8e111.jpg</t>
  </si>
  <si>
    <t>3665346165928</t>
  </si>
  <si>
    <t>sku-AXHXL</t>
  </si>
  <si>
    <t>AXKC</t>
  </si>
  <si>
    <t>Brunelle commune - Xia ku cao - 1 Petit Sachet plante 50g</t>
  </si>
  <si>
    <t>Pour le bien-être des voies respiratoires. Ses principaux bienfaits : détoxifie l'organisme, libère les voies respiratoires, soutient les défenses naturelles</t>
  </si>
  <si>
    <t>https://calebasse.com/produits/xia-ku-cao-brunelle-commune-3935?product=4754</t>
  </si>
  <si>
    <t>https://res.cloudinary.com/laboratoire-calebasse/image/upload/v1746524689/BRUNELLE_COMMUNE_50_g_AXKC_8b8ae173ad.jpg</t>
  </si>
  <si>
    <t>3665346191217</t>
  </si>
  <si>
    <t>sku-AXKC</t>
  </si>
  <si>
    <t>3935</t>
  </si>
  <si>
    <t>AXKCCP</t>
  </si>
  <si>
    <t>Brunelle commune - Xia ku cao - 1 flacon de poudre concentrée - 100g</t>
  </si>
  <si>
    <t>https://calebasse.com/produits/xia-ku-cao-brunelle-commune-3935?product=4756</t>
  </si>
  <si>
    <t>https://res.cloudinary.com/laboratoire-calebasse/image/upload/v1760543697/BRUNELLE_COMMUNE_AXKCCP_5d1a3a1b97.jpg</t>
  </si>
  <si>
    <t>3665346165034</t>
  </si>
  <si>
    <t>sku-AXKCCP</t>
  </si>
  <si>
    <t>AXKCGL</t>
  </si>
  <si>
    <t>Brunelle commune - Xia ku cao - 1 flacon de 100 gélules - 50g</t>
  </si>
  <si>
    <t>https://calebasse.com/produits/xia-ku-cao-brunelle-commune-3935?product=4758</t>
  </si>
  <si>
    <t>https://res.cloudinary.com/laboratoire-calebasse/image/upload/v1760543709/BRUNELLE_COMMUNE_AXKCGL_f0e07ffacb.jpg</t>
  </si>
  <si>
    <t>3665346165058</t>
  </si>
  <si>
    <t>sku-AXKCGL</t>
  </si>
  <si>
    <t>AXKCL</t>
  </si>
  <si>
    <t>Brunelle commune - Xia ku cao - 1 Grand Sachet plante 100g</t>
  </si>
  <si>
    <t>https://calebasse.com/produits/xia-ku-cao-brunelle-commune-3935?product=4755</t>
  </si>
  <si>
    <t>https://res.cloudinary.com/laboratoire-calebasse/image/upload/v1748271558/BRUNELLE_COMMUNE_100_g_AXKCL_5d5d9c9f0a.jpg</t>
  </si>
  <si>
    <t>3665346165010</t>
  </si>
  <si>
    <t>sku-AXKCL</t>
  </si>
  <si>
    <t>AXR</t>
  </si>
  <si>
    <t>Pavot ciliaire - Xiang ru - 1 Petit Sachet plante 100g</t>
  </si>
  <si>
    <t>Pour préserver l'organisme du froid. Ses principaux bienfaits : détoxifie l'organisme, apaise les manifestations du coup de froid</t>
  </si>
  <si>
    <t>https://calebasse.com/produits/xiang-ru-pavot-ciliaire-3938?product=4774</t>
  </si>
  <si>
    <t>https://res.cloudinary.com/laboratoire-calebasse/image/upload/v1746534501/PAVOT_CILIAIRE_100_g_AXR_42a0636557.jpg</t>
  </si>
  <si>
    <t>3665346165713</t>
  </si>
  <si>
    <t>sku-AXR</t>
  </si>
  <si>
    <t>3938</t>
  </si>
  <si>
    <t>AXRL</t>
  </si>
  <si>
    <t>Pavot ciliaire - Xiang ru - 1 Grand Sachet plante 200g</t>
  </si>
  <si>
    <t>https://calebasse.com/produits/xiang-ru-pavot-ciliaire-3938?product=4775</t>
  </si>
  <si>
    <t>https://res.cloudinary.com/laboratoire-calebasse/image/upload/v1748271498/PAVOT_CILIAIRE_200_g_AXRL_b08a5e131e.jpg</t>
  </si>
  <si>
    <t>3665346221426</t>
  </si>
  <si>
    <t>sku-AXRL</t>
  </si>
  <si>
    <t>AXSCP</t>
  </si>
  <si>
    <t>Racine de Figuier de Chine - Xuan shen - 1 flacon de poudre concentrée - 100g</t>
  </si>
  <si>
    <t>Pour améliorer le confort circulatoire. Ses principaux bienfaits : stimule la circulation sanguine, apaise la gorge, soulage la tête, contribue au confort veineux</t>
  </si>
  <si>
    <t>https://calebasse.com/produits/xuan-shen-racine-de-figuier-de-chine-3949?product=4800</t>
  </si>
  <si>
    <t>https://res.cloudinary.com/laboratoire-calebasse/image/upload/v1634201206/A_xuanshencp_49860a05b0.jpg</t>
  </si>
  <si>
    <t>3665346167434</t>
  </si>
  <si>
    <t>sku-AXSCP</t>
  </si>
  <si>
    <t>3949</t>
  </si>
  <si>
    <t>AXSGL</t>
  </si>
  <si>
    <t>Racine de Figuier de Chine - Xuan shen - 1 flacon de 100 gélules - 50g</t>
  </si>
  <si>
    <t>https://calebasse.com/produits/xuan-shen-racine-de-figuier-de-chine-3949?product=4801</t>
  </si>
  <si>
    <t>https://res.cloudinary.com/laboratoire-calebasse/image/upload/v1634201206/A_xuanshengl_5182419ed4.jpg</t>
  </si>
  <si>
    <t>3665346167458</t>
  </si>
  <si>
    <t>sku-AXSGL</t>
  </si>
  <si>
    <t>AXXC</t>
  </si>
  <si>
    <t>Herbe de Saint Paul - Xi xian cao - 1 Petit Sachet plante 50g</t>
  </si>
  <si>
    <t>Pour préserver le confort articulaire. Ses principaux bienfaits : contribue à une bonne mobilité, favorise le confort articulaire</t>
  </si>
  <si>
    <t>https://calebasse.com/produits/xi-xian-cao-herbe-de-saint-paul-3934?product=4752</t>
  </si>
  <si>
    <t>https://res.cloudinary.com/laboratoire-calebasse/image/upload/v1746529098/HERBE_DE_SAINT_PAUL_50_g_AXXC_1afb8ab128.jpg</t>
  </si>
  <si>
    <t>3665346190210</t>
  </si>
  <si>
    <t>sku-AXXC</t>
  </si>
  <si>
    <t>3934</t>
  </si>
  <si>
    <t>AXXCL</t>
  </si>
  <si>
    <t>Herbe de Saint Paul - Xi xian cao - 1 Grand Sachet plante 200g</t>
  </si>
  <si>
    <t>https://calebasse.com/produits/xi-xian-cao-herbe-de-saint-paul-3934?product=4753</t>
  </si>
  <si>
    <t>https://res.cloudinary.com/laboratoire-calebasse/image/upload/v1748271576/HERBE_DE_SAINT_PAUL_200_g_AXXCL_fabc864091.jpg</t>
  </si>
  <si>
    <t>sku-AXXCL</t>
  </si>
  <si>
    <t>AXY</t>
  </si>
  <si>
    <t>Fruit de Cédratier - Xiang yuan - 1 Petit Sachet plante 50g</t>
  </si>
  <si>
    <t>Pour retrouver le confort digestif. Ses principaux bienfaits : aide à la perte de poids, contribue à une bonne digestion, réduire les flatulences et ballonnements</t>
  </si>
  <si>
    <t>https://calebasse.com/produits/xiang-yuan-fruit-de-cedratier-3940?product=4776</t>
  </si>
  <si>
    <t>https://res.cloudinary.com/laboratoire-calebasse/image/upload/v1746534476/FRUIT_DE_CEDRATIER_50_g_AXY_3efd155c29.jpg</t>
  </si>
  <si>
    <t>3665346193815</t>
  </si>
  <si>
    <t>sku-AXY</t>
  </si>
  <si>
    <t>3940</t>
  </si>
  <si>
    <t>AXYC</t>
  </si>
  <si>
    <t>Lavande fleur entière bio - Xun yi cao - 1 Petit Sachet plante 50g</t>
  </si>
  <si>
    <t>Pour favoriser la relaxation. Ses principaux bienfaits : facilite l'endormissement, chasse la nervosité</t>
  </si>
  <si>
    <t>https://calebasse.com/produits/xun-yi-cao-fleurs-de-lavande-4473?product=4804</t>
  </si>
  <si>
    <t>https://res.cloudinary.com/laboratoire-calebasse/image/upload/v1744901580/LAVANDE_FLEUR_ENTIERE_BIO_50_g_AXYC_2025_04_10_bc3a20d059.jpg</t>
  </si>
  <si>
    <t>3665346137611</t>
  </si>
  <si>
    <t>sku-AXYC</t>
  </si>
  <si>
    <t>4473</t>
  </si>
  <si>
    <t>AXYCL</t>
  </si>
  <si>
    <t>Lavande fleur entière bio - Xun yi cao - 1 Grand Sachet plante 200g</t>
  </si>
  <si>
    <t>https://calebasse.com/produits/xun-yi-cao-fleurs-de-lavande-4473?product=4805</t>
  </si>
  <si>
    <t>https://res.cloudinary.com/laboratoire-calebasse/image/upload/v1748270959/LAVANDE_FLEUR_ENTIERE_BIO_200_g_AXYCL_de1e06c570.jpg</t>
  </si>
  <si>
    <t>3665346193327</t>
  </si>
  <si>
    <t>sku-AXYCL</t>
  </si>
  <si>
    <t>AXYH</t>
  </si>
  <si>
    <t>Boutons de Magnolia - Xin yi hua - 1 Petit Sachet plante 100g</t>
  </si>
  <si>
    <t>Pour retrouver le bien-être respiratoire. Ses principaux bienfaits : libère les voies respiratoires</t>
  </si>
  <si>
    <t>https://calebasse.com/produits/xin-yi-hua-boutons-de-magnolia-3945?product=4791</t>
  </si>
  <si>
    <t>https://res.cloudinary.com/laboratoire-calebasse/image/upload/v1746529160/BOUTONS_DE_MAGNOLIA_100_g_AXYH_0cfcb33176.jpg</t>
  </si>
  <si>
    <t>3665346166413</t>
  </si>
  <si>
    <t>sku-AXYH</t>
  </si>
  <si>
    <t>3945</t>
  </si>
  <si>
    <t>AXYHL</t>
  </si>
  <si>
    <t>Boutons de Magnolia - Xin yi hua - 1 Grand Sachet plante 300g</t>
  </si>
  <si>
    <t>https://calebasse.com/produits/xin-yi-hua-boutons-de-magnolia-3945?product=4790</t>
  </si>
  <si>
    <t>https://res.cloudinary.com/laboratoire-calebasse/image/upload/v1748271435/BOUTONS_DE_MAGNOLIA_300_g_AXYHL_d081f1e3dc.jpg</t>
  </si>
  <si>
    <t>3665346190920</t>
  </si>
  <si>
    <t>sku-AXYHL</t>
  </si>
  <si>
    <t>AXYL</t>
  </si>
  <si>
    <t>Fruit de Cédratier - Xiang yuan - 1 Grand Sachet plante 200g</t>
  </si>
  <si>
    <t>https://calebasse.com/produits/xiang-yuan-fruit-de-cedratier-3940?product=4777</t>
  </si>
  <si>
    <t>https://res.cloudinary.com/laboratoire-calebasse/image/upload/v1748271483/FRUIT_DE_CEDRATIER_200_g_AXYL_45d3c81666.jpg</t>
  </si>
  <si>
    <t>3665346193921</t>
  </si>
  <si>
    <t>sku-AXYL</t>
  </si>
  <si>
    <t>AYCH</t>
  </si>
  <si>
    <t>Armoise capillaire - Yin chen hao - 1 Petit Sachet plante 50g</t>
  </si>
  <si>
    <t>Pour stimuler la fonction hépatique. Ses principaux bienfaits : contribue à une bonne digestion, stimule le foie</t>
  </si>
  <si>
    <t>https://calebasse.com/produits/yin-chen-hao-armoise-capillaire-3953?product=4834</t>
  </si>
  <si>
    <t>https://res.cloudinary.com/laboratoire-calebasse/image/upload/v1746528222/ARMOISE_CAPILLAIRE_50_g_AYCH_97ca027afb.jpg</t>
  </si>
  <si>
    <t>3665346169612</t>
  </si>
  <si>
    <t>sku-AYCH</t>
  </si>
  <si>
    <t>3953</t>
  </si>
  <si>
    <t>AYCHGL</t>
  </si>
  <si>
    <t>Armoise capillaire - Yin chen hao - 1 flacon de 100 gélules - 50g</t>
  </si>
  <si>
    <t>https://calebasse.com/produits/yin-chen-hao-armoise-capillaire-3953?product=4839</t>
  </si>
  <si>
    <t>https://res.cloudinary.com/laboratoire-calebasse/image/upload/v1760543499/ARMOISE_CAPILLAIRE_AYCHGL_43dcdc8eb5.jpg</t>
  </si>
  <si>
    <t>3665346169650</t>
  </si>
  <si>
    <t>sku-AYCHGL</t>
  </si>
  <si>
    <t>AYCHL</t>
  </si>
  <si>
    <t>Armoise capillaire - Yin chen hao - 1 Grand Sachet plante 150g</t>
  </si>
  <si>
    <t>https://calebasse.com/produits/yin-chen-hao-armoise-capillaire-3953?product=4835</t>
  </si>
  <si>
    <t>https://res.cloudinary.com/laboratoire-calebasse/image/upload/v1748271264/ARMOISE_CAPILLAIRE_150_g_AYCHL_6d4f9e0038.jpg</t>
  </si>
  <si>
    <t>3665346217122</t>
  </si>
  <si>
    <t>sku-AYCHL</t>
  </si>
  <si>
    <t>AYCHUA</t>
  </si>
  <si>
    <t>Jasmin d'hiver - Fleur de l’éveil et de l’équilibre - Ying chun hua - 1 Petit Sachet plante 50g</t>
  </si>
  <si>
    <t>Symbole du renouveau printemps en Chine, le Jasmin d’hiver accompagne la transition entre l’hiver et le printemps en aidant le corps à se remettre doucement en mouvement. Ses principaux bienfaits : favorise l’élimination et le drainage, détoxifie l'organisme, accompagne les changements de saison</t>
  </si>
  <si>
    <t>https://calebasse.com/produits/ying-chun-hua-jasmin-dhiver-5037?product=6550</t>
  </si>
  <si>
    <t>https://res.cloudinary.com/laboratoire-calebasse/image/upload/v1746529189/JASMIN_D_HIVER_50_g_AYCHUA_f91436e0d8.jpg</t>
  </si>
  <si>
    <t>3665346183113</t>
  </si>
  <si>
    <t>sku-AYCHUA</t>
  </si>
  <si>
    <t>5037</t>
  </si>
  <si>
    <t>AYDJ-D</t>
  </si>
  <si>
    <t>Morille du Yunnan – Reine des champignons – Yang du jun - Format Découverte 12 g</t>
  </si>
  <si>
    <t>Pour une immunité renforcée et une digestion harmonieuse Ses principaux bienfaits : défenses immunitaires, améliore la digestion, calme l’esprit et améliore le sommeil</t>
  </si>
  <si>
    <t>https://calebasse.com/produits/morille-du-yunnan-reine-des-champignons-yang-du-jun-5168?product=7465</t>
  </si>
  <si>
    <t>https://res.cloudinary.com/laboratoire-calebasse/image/upload/v1752221159/Morilles_decouverte_f04c56725c.jpg</t>
  </si>
  <si>
    <t>sku-AYDJ-D</t>
  </si>
  <si>
    <t>5168</t>
  </si>
  <si>
    <t>AYDJ-E</t>
  </si>
  <si>
    <t>Morille du Yunnan – Reine des champignons – Yang du jun - Format Exception 20 g</t>
  </si>
  <si>
    <t>https://calebasse.com/produits/morille-du-yunnan-reine-des-champignons-yang-du-jun-5168?product=7463</t>
  </si>
  <si>
    <t>https://res.cloudinary.com/laboratoire-calebasse/image/upload/v1752221213/Morilles_exception_a98a693632.jpg</t>
  </si>
  <si>
    <t>sku-AYDJ-E</t>
  </si>
  <si>
    <t>AYDJ-R</t>
  </si>
  <si>
    <t>Morille du Yunnan – Reine des champignons – Yang du jun - Format Routine 20 g</t>
  </si>
  <si>
    <t>https://calebasse.com/produits/morille-du-yunnan-reine-des-champignons-yang-du-jun-5168?product=7464</t>
  </si>
  <si>
    <t>https://res.cloudinary.com/laboratoire-calebasse/image/upload/v1752221195/Morilles_routine_6a176e058e.jpg</t>
  </si>
  <si>
    <t>sku-AYDJ-R</t>
  </si>
  <si>
    <t>AYEJH</t>
  </si>
  <si>
    <t>Matricaire chinoise - Ye ju hua - 1 Petit Sachet plante 100g</t>
  </si>
  <si>
    <t>Pour purifier les voies respiratoires. Ses principaux bienfaits : détoxifie l'organisme, libère les voies respiratoires</t>
  </si>
  <si>
    <t>https://calebasse.com/produits/ye-ju-hua-chrysantheme-indien-3948?product=4814</t>
  </si>
  <si>
    <t>https://res.cloudinary.com/laboratoire-calebasse/image/upload/v1746534126/MATRICAIRE_CHINOISE_100_g_AYEJH_4b1c64a855.jpg</t>
  </si>
  <si>
    <t>3665346168615</t>
  </si>
  <si>
    <t>sku-AYEJH</t>
  </si>
  <si>
    <t>3948</t>
  </si>
  <si>
    <t>AYEJHL</t>
  </si>
  <si>
    <t>Matricaire chinoise - Ye ju hua - 1 Grand Sachet plante 300g</t>
  </si>
  <si>
    <t>https://calebasse.com/produits/ye-ju-hua-chrysantheme-indien-3948?product=4815</t>
  </si>
  <si>
    <t>https://res.cloudinary.com/laboratoire-calebasse/image/upload/v1748271352/MATRICAIRE_CHINOISE_300_g_AYEJHL_95d92d1b9f.jpg</t>
  </si>
  <si>
    <t>3665346223321</t>
  </si>
  <si>
    <t>sku-AYEJHL</t>
  </si>
  <si>
    <t>AYHS</t>
  </si>
  <si>
    <t>Corydale de Chine - Yan hu suo - 1 Petit Sachet plante 100g</t>
  </si>
  <si>
    <t>Pour le confort du ventre et de la poitrine. Ses principaux bienfaits : aide à mieux vivre les règles, apaise le ventre, calme l'oppression thoracique</t>
  </si>
  <si>
    <t>https://calebasse.com/produits/yan-hu-suo-corydale-de-chine-3946?product=4806</t>
  </si>
  <si>
    <t>https://res.cloudinary.com/laboratoire-calebasse/image/upload/v1746525145/CORYDALE_DE_CHINE_100_g_AYHS_a38d4404ef.jpg</t>
  </si>
  <si>
    <t>3665346168318</t>
  </si>
  <si>
    <t>sku-AYHS</t>
  </si>
  <si>
    <t>3946</t>
  </si>
  <si>
    <t>AYHSL</t>
  </si>
  <si>
    <t>Corydale de Chine - Yan hu suo - 1 Grand Sachet plante 300g</t>
  </si>
  <si>
    <t>https://calebasse.com/produits/yan-hu-suo-corydale-de-chine-3946?product=4807</t>
  </si>
  <si>
    <t>https://res.cloudinary.com/laboratoire-calebasse/image/upload/v1748271396/CORYDALE_DE_CHINE_300_g_AYHSL_9e385650b9.jpg</t>
  </si>
  <si>
    <t>3665346192122</t>
  </si>
  <si>
    <t>sku-AYHSL</t>
  </si>
  <si>
    <t>AYJ</t>
  </si>
  <si>
    <t>Curcuma parfumé - Yu jin - 1 Petit Sachet plante 100g</t>
  </si>
  <si>
    <t>Pour retrouver le confort digestif. Ses principaux bienfaits : contribue à une bonne digestion, favorise le confort intestinal</t>
  </si>
  <si>
    <t>https://calebasse.com/produits/yu-jin-curcuma-parfume-3956?product=4845</t>
  </si>
  <si>
    <t>https://res.cloudinary.com/laboratoire-calebasse/image/upload/v1746534083/CURCUMA_PARFUME_100_g_AYJ_15b3b32346.jpg</t>
  </si>
  <si>
    <t>3665346170014</t>
  </si>
  <si>
    <t>sku-AYJ</t>
  </si>
  <si>
    <t>3956</t>
  </si>
  <si>
    <t>AYJC</t>
  </si>
  <si>
    <t>Herbe d'Onagre - Yue jian cao - 1 Petit Sachet plante 50g</t>
  </si>
  <si>
    <t>Pour retrouver le confort féminin. Ses principaux bienfaits : favorise l'équilibre féminin</t>
  </si>
  <si>
    <t>https://calebasse.com/produits/yue-jian-cao-herbe-donagre-3959?product=4860</t>
  </si>
  <si>
    <t>https://res.cloudinary.com/laboratoire-calebasse/image/upload/v1746525336/HERBE_D_ONAGRE_50_g_AYJC_d359937255.jpg</t>
  </si>
  <si>
    <t>3665346171110</t>
  </si>
  <si>
    <t>sku-AYJC</t>
  </si>
  <si>
    <t>3959</t>
  </si>
  <si>
    <t>AYJCL</t>
  </si>
  <si>
    <t>Herbe d'Onagre - Yue jian cao - 1 Grand Sachet plante 200g</t>
  </si>
  <si>
    <t>https://calebasse.com/produits/yue-jian-cao-herbe-donagre-3959?product=4861</t>
  </si>
  <si>
    <t>https://res.cloudinary.com/laboratoire-calebasse/image/upload/v1748271162/HERBE_D_ONAGRE_200_g_AYJCL_e007c641dd.jpg</t>
  </si>
  <si>
    <t>3665346122495</t>
  </si>
  <si>
    <t>sku-AYJCL</t>
  </si>
  <si>
    <t>AYJCZ</t>
  </si>
  <si>
    <t>Graines d’Onagre - Yue jian cao zi - 1 Petit Sachet plante 100g</t>
  </si>
  <si>
    <t>Pour mieux vivre les règles. Ses principaux bienfaits : favorise l'équilibre féminin, aide à mieux vivre les règles</t>
  </si>
  <si>
    <t>https://calebasse.com/produits/yue-jian-cao-zi-graines-donagre-3960?product=4862</t>
  </si>
  <si>
    <t>https://res.cloudinary.com/laboratoire-calebasse/image/upload/v1746525351/GRAINES_D_ONAGRE_100_g_AYJCZ_b8aeee24e6.jpg</t>
  </si>
  <si>
    <t>3665346171219</t>
  </si>
  <si>
    <t>sku-AYJCZ</t>
  </si>
  <si>
    <t>3960</t>
  </si>
  <si>
    <t>AYJCZL</t>
  </si>
  <si>
    <t>Graines d’Onagre - Yue jian cao zi - 1 Grand Sachet plante 300g</t>
  </si>
  <si>
    <t>https://calebasse.com/produits/yue-jian-cao-zi-graines-donagre-3960?product=4863</t>
  </si>
  <si>
    <t>https://res.cloudinary.com/laboratoire-calebasse/image/upload/v1748271144/GRAINES_D_ONAGRE_300_g_AYJCZL_3be92a56a7.jpg</t>
  </si>
  <si>
    <t>3665346194928</t>
  </si>
  <si>
    <t>sku-AYJCZL</t>
  </si>
  <si>
    <t>AYJH</t>
  </si>
  <si>
    <t>Roses de Chine - Yue ji hua - 1 Petit Sachet plante 100g</t>
  </si>
  <si>
    <t>Pour faciliter l'endormissement. Ses principaux bienfaits : facilite l'endormissement, tranquillise le shen, chasse la nervosité</t>
  </si>
  <si>
    <t>https://calebasse.com/produits/yue-ji-hua-roses-de-chine-3958?product=4858</t>
  </si>
  <si>
    <t>https://res.cloudinary.com/laboratoire-calebasse/image/upload/v1752221718/ROSES_DE_CHINE_100_g_AYJH_6b633e8d2a.jpg</t>
  </si>
  <si>
    <t>3665346171011</t>
  </si>
  <si>
    <t>sku-AYJH</t>
  </si>
  <si>
    <t>3958</t>
  </si>
  <si>
    <t>AYJHL</t>
  </si>
  <si>
    <t>Roses de Chine - Yue ji hua - 1 Grand Sachet plante 300g</t>
  </si>
  <si>
    <t>https://calebasse.com/produits/yue-ji-hua-roses-de-chine-3958?product=4859</t>
  </si>
  <si>
    <t>https://res.cloudinary.com/laboratoire-calebasse/image/upload/v1752221707/ROSES_DE_CHINE_300_g_AYJHL_f086b14e89.jpg</t>
  </si>
  <si>
    <t>3665346171028</t>
  </si>
  <si>
    <t>sku-AYJHL</t>
  </si>
  <si>
    <t>AYJL</t>
  </si>
  <si>
    <t>Curcuma parfumé - Yu jin - 1 Grand Sachet plante 300g</t>
  </si>
  <si>
    <t>https://calebasse.com/produits/yu-jin-curcuma-parfume-3956?product=4843</t>
  </si>
  <si>
    <t>https://res.cloudinary.com/laboratoire-calebasse/image/upload/v1748271211/CURCUMA_PARFUME_300_g_AYJL_07d4fa4237.jpg</t>
  </si>
  <si>
    <t>sku-AYJL</t>
  </si>
  <si>
    <t>AYJT</t>
  </si>
  <si>
    <t>Liane de renouée - Ye jiao teng - 1 Petit Sachet plante 100g</t>
  </si>
  <si>
    <t>Pour un esprit reposé. Ses principaux bienfaits : améliore la qualité du sommeil, tranquillise le shen, chasse la nervosité</t>
  </si>
  <si>
    <t>https://calebasse.com/produits/ye-jiao-teng-liane-de-renouee-3947?product=4808</t>
  </si>
  <si>
    <t>https://res.cloudinary.com/laboratoire-calebasse/image/upload/v1746524709/LIANE_DE_RENOUEE_100_g_AYJT_84eec56780.jpg</t>
  </si>
  <si>
    <t>3665346168516</t>
  </si>
  <si>
    <t>sku-AYJT</t>
  </si>
  <si>
    <t>3947</t>
  </si>
  <si>
    <t>AYJTCP</t>
  </si>
  <si>
    <t>Liane de renouée - Ye jiao teng - 1 flacon de poudre concentrée - 100g</t>
  </si>
  <si>
    <t>https://calebasse.com/produits/ye-jiao-teng-liane-de-renouee-3947?product=4810</t>
  </si>
  <si>
    <t>https://res.cloudinary.com/laboratoire-calebasse/image/upload/v1634201206/A_yejiaotengcp_e8b6ee2722.jpg</t>
  </si>
  <si>
    <t>3665346168530</t>
  </si>
  <si>
    <t>sku-AYJTCP</t>
  </si>
  <si>
    <t>AYJTGL</t>
  </si>
  <si>
    <t>Liane de renouée - Ye jiao teng - 1 flacon de 100 gélules - 50g</t>
  </si>
  <si>
    <t>https://calebasse.com/produits/ye-jiao-teng-liane-de-renouee-3947?product=4812</t>
  </si>
  <si>
    <t>https://res.cloudinary.com/laboratoire-calebasse/image/upload/v1634201206/A_yejiaotenggl_3e15a45017.jpg</t>
  </si>
  <si>
    <t>3665346168554</t>
  </si>
  <si>
    <t>sku-AYJTGL</t>
  </si>
  <si>
    <t>AYJTL</t>
  </si>
  <si>
    <t>Liane de renouée - Ye jiao teng - 1 Grand Sachet plante 300g</t>
  </si>
  <si>
    <t>https://calebasse.com/produits/ye-jiao-teng-liane-de-renouee-3947?product=4809</t>
  </si>
  <si>
    <t>https://res.cloudinary.com/laboratoire-calebasse/image/upload/v1748271336/LIANE_DE_RENOUEE_300_g_AYJTL_39cb2a6dc8.jpg</t>
  </si>
  <si>
    <t>3665346233221</t>
  </si>
  <si>
    <t>sku-AYJTL</t>
  </si>
  <si>
    <t>AYMC</t>
  </si>
  <si>
    <t>Armoise d'éléonore - Yi mu cao - 1 Petit Sachet plante 100g</t>
  </si>
  <si>
    <t>Pour retrouver le confort menstruel. Ses principaux bienfaits : favorise l'équilibre féminin, contribue à réguler le cycle, aide au confort urinaire</t>
  </si>
  <si>
    <t>https://calebasse.com/produits/yi-mu-cao-armoise-deleonore-3950?product=4816</t>
  </si>
  <si>
    <t>https://res.cloudinary.com/laboratoire-calebasse/image/upload/v1746526970/ARMOISE_D_ELEONORE_100_g_AYMC_2b12225d27.jpg</t>
  </si>
  <si>
    <t>3665346169117</t>
  </si>
  <si>
    <t>sku-AYMC</t>
  </si>
  <si>
    <t>3950</t>
  </si>
  <si>
    <t>AYMCGL</t>
  </si>
  <si>
    <t>Armoise d'éléonore - Yi mu cao - 1 flacon de 100 gélules - 50g</t>
  </si>
  <si>
    <t>https://calebasse.com/produits/yi-mu-cao-armoise-deleonore-3950?product=4820</t>
  </si>
  <si>
    <t>https://res.cloudinary.com/laboratoire-calebasse/image/upload/v1760543536/ARMOISE_D_ELEONORE_AYMCGL_93273758c7.jpg</t>
  </si>
  <si>
    <t>3665346169155</t>
  </si>
  <si>
    <t>sku-AYMCGL</t>
  </si>
  <si>
    <t>AYMCL</t>
  </si>
  <si>
    <t>Armoise d'éléonore - Yi mu cao - 1 Grand Sachet plante 230g</t>
  </si>
  <si>
    <t>https://calebasse.com/produits/yi-mu-cao-armoise-deleonore-3950?product=4817</t>
  </si>
  <si>
    <t>https://res.cloudinary.com/laboratoire-calebasse/image/upload/v1748271320/ARMOISE_D_ELEONORE_230_g_AYMCL_5b1c46984d.jpg</t>
  </si>
  <si>
    <t>3665346218426</t>
  </si>
  <si>
    <t>sku-AYMCL</t>
  </si>
  <si>
    <t>AYXC</t>
  </si>
  <si>
    <t>Herbe au curé - Yu xing cao - 1 Petit Sachet plante 50g</t>
  </si>
  <si>
    <t>Pour apaiser les voies. Ses principaux bienfaits : aide au confort urinaire, libère les voies respiratoires</t>
  </si>
  <si>
    <t>https://calebasse.com/produits/yu-xing-cao-herbe-au-cure-3955?product=4850</t>
  </si>
  <si>
    <t>https://res.cloudinary.com/laboratoire-calebasse/image/upload/v1746534589/HERBE_AU_CURE_50_g_AYXC_0d4608c244.jpg</t>
  </si>
  <si>
    <t>3665346170410</t>
  </si>
  <si>
    <t>sku-AYXC</t>
  </si>
  <si>
    <t>3955</t>
  </si>
  <si>
    <t>AYXCCP</t>
  </si>
  <si>
    <t>Herbe au curé - Yu xing cao - 1 flacon de poudre concentrée - 100g</t>
  </si>
  <si>
    <t>https://calebasse.com/produits/yu-xing-cao-herbe-au-cure-3955?product=4851</t>
  </si>
  <si>
    <t>https://res.cloudinary.com/laboratoire-calebasse/image/upload/v1634201206/A_yuxingcaocp_aa36f300ee.jpg</t>
  </si>
  <si>
    <t>3665346170434</t>
  </si>
  <si>
    <t>sku-AYXCCP</t>
  </si>
  <si>
    <t>AYXCGL</t>
  </si>
  <si>
    <t>Herbe au curé - Yu xing cao - 1 flacon de 100 gélules - 50g</t>
  </si>
  <si>
    <t>https://calebasse.com/produits/yu-xing-cao-herbe-au-cure-3955?product=4853</t>
  </si>
  <si>
    <t>https://res.cloudinary.com/laboratoire-calebasse/image/upload/v1634201206/A_yuxingcaogl_d3a2958839.jpg</t>
  </si>
  <si>
    <t>3665346170458</t>
  </si>
  <si>
    <t>sku-AYXCGL</t>
  </si>
  <si>
    <t>AYXCL</t>
  </si>
  <si>
    <t>Herbe au curé - Yu xing cao - 1 Grand Sachet plante 160g</t>
  </si>
  <si>
    <t>https://calebasse.com/produits/yu-xing-cao-herbe-au-cure-3955?product=4852</t>
  </si>
  <si>
    <t>https://res.cloudinary.com/laboratoire-calebasse/image/upload/v1748271229/HERBE_AU_CURE_160_g_AYXCL_be25a0e7b0.jpg</t>
  </si>
  <si>
    <t>3665346190326</t>
  </si>
  <si>
    <t>sku-AYXCL</t>
  </si>
  <si>
    <t>AYXY</t>
  </si>
  <si>
    <t>Feuilles de Ginkgo - Yin xing ye - 1 Petit Sachet plante 50g</t>
  </si>
  <si>
    <t>Pour une meilleure fonction cérébrale. Ses principaux bienfaits : contribue à la santé des séniors, stimule la mémoire et les capacités intellectuelles, améliore la concentration</t>
  </si>
  <si>
    <t>https://calebasse.com/produits/yin-xing-ye-feuilles-de-ginkgo-3954?product=4840</t>
  </si>
  <si>
    <t>https://res.cloudinary.com/laboratoire-calebasse/image/upload/v1746534347/FEUILLES_DE_GINKGO_50_g_AYXY_3ef47df6f3.jpg</t>
  </si>
  <si>
    <t>3665346169711</t>
  </si>
  <si>
    <t>sku-AYXY</t>
  </si>
  <si>
    <t>3954</t>
  </si>
  <si>
    <t>AYXYCP</t>
  </si>
  <si>
    <t>Feuilles de Ginkgo - Yin xing ye - 1 flacon de poudre concentrée - 100g</t>
  </si>
  <si>
    <t>https://calebasse.com/produits/yin-xing-ye-feuilles-de-ginkgo-3954?product=7254</t>
  </si>
  <si>
    <t>https://res.cloudinary.com/laboratoire-calebasse/image/upload/v1706539836/C_yinxingyecp_6d36ed5067.jpg</t>
  </si>
  <si>
    <t>3665346169834</t>
  </si>
  <si>
    <t>sku-AYXYCP</t>
  </si>
  <si>
    <t>AYXYGL</t>
  </si>
  <si>
    <t>Feuilles de Ginkgo - Yin xing ye - 1 Flacon gélules en poudre concentrée 50g</t>
  </si>
  <si>
    <t>https://calebasse.com/produits/yin-xing-ye-feuilles-de-ginkgo-3954?product=4842</t>
  </si>
  <si>
    <t>https://res.cloudinary.com/laboratoire-calebasse/image/upload/v1634201206/A_yinxingyegl_4380dbb422.jpg</t>
  </si>
  <si>
    <t>3665346169858</t>
  </si>
  <si>
    <t>sku-AYXYGL</t>
  </si>
  <si>
    <t>AYXYL</t>
  </si>
  <si>
    <t>Feuilles de Ginkgo - Yin xing ye - 1 Grand Sachet plante 260g</t>
  </si>
  <si>
    <t>https://calebasse.com/produits/yin-xing-ye-feuilles-de-ginkgo-3954?product=4841</t>
  </si>
  <si>
    <t>https://res.cloudinary.com/laboratoire-calebasse/image/upload/v1748271248/FEUILLES_DE_GINKGO_260_g_AYXYL_c5481a8493.jpg</t>
  </si>
  <si>
    <t>3665346218327</t>
  </si>
  <si>
    <t>sku-AYXYL</t>
  </si>
  <si>
    <t>AYYR</t>
  </si>
  <si>
    <t>Larmes de Job - Yi yi ren - 1 Petit Sachet plante 300g</t>
  </si>
  <si>
    <t>Une graine ancienne au goût doux et subtil, utilisée depuis des siècles en Chine pour ramener de la légèreté au quotidien. Ses principaux bienfaits : contribue à alléger les jambes lourdes, aide au confort urinaire, draine les excès d'eau, stimule les fonctions éliminatrices</t>
  </si>
  <si>
    <t>https://calebasse.com/produits/yi-yi-ren-larmes-de-job-3951?product=4823</t>
  </si>
  <si>
    <t>https://res.cloudinary.com/laboratoire-calebasse/image/upload/v1757335587/LARMES_DE_JOB_300_g_AYYR_5c02b14d83.jpg</t>
  </si>
  <si>
    <t>3665346169216</t>
  </si>
  <si>
    <t>sku-AYYR</t>
  </si>
  <si>
    <t>https://res.cloudinary.com/laboratoire-calebasse/image/upload/v1755594605/1_49ccb864c8.jpg; https://res.cloudinary.com/laboratoire-calebasse/image/upload/v1755594605/2_93bd6a5ee3.jpg; https://res.cloudinary.com/laboratoire-calebasse/image/upload/v1755594605/3_26a9549d2e.jpg; https://res.cloudinary.com/laboratoire-calebasse/image/upload/v1755594604/4_659dbc2a72.jpg; https://res.cloudinary.com/laboratoire-calebasse/image/upload/v1755594604/5_52352d5499.jpg</t>
  </si>
  <si>
    <t>3951</t>
  </si>
  <si>
    <t>AYYRCP</t>
  </si>
  <si>
    <t>Extrait de Larmes de Job - Drainage naturel &amp; équilibre digestif - 1 flacon de poudre concentrée - 100g</t>
  </si>
  <si>
    <t>Goût doux et réconfortant, utilisé depuis des siècles en Chine pour ramener de la légèreté au quotidien. Ses principaux bienfaits : draine les excès d'eau, soutien la digestion, nourrit et tonifie les poumons et la rate, contribue à alléger les jambes lourdes, favorise le confort urinaire</t>
  </si>
  <si>
    <t>https://calebasse.com/produits/extrait-de-larmes-de-job-drainage-naturel-and-equilibre-digestif-5221?product=4824</t>
  </si>
  <si>
    <t>https://res.cloudinary.com/laboratoire-calebasse/image/upload/v1760084237/LARMES_DE_JOB_AYYRCP_7e31662719.jpg</t>
  </si>
  <si>
    <t>3665346178935</t>
  </si>
  <si>
    <t>sku-AYYRCP</t>
  </si>
  <si>
    <t>5221</t>
  </si>
  <si>
    <t>AYYRGL</t>
  </si>
  <si>
    <t>Larmes de Job - Yi yi ren - 1 flacon de 100 gélules - 50g</t>
  </si>
  <si>
    <t>https://calebasse.com/produits/yi-yi-ren-larmes-de-job-3951?product=4826</t>
  </si>
  <si>
    <t>https://res.cloudinary.com/laboratoire-calebasse/image/upload/v1634201206/A_yiyirengl_8b37ce69a1.jpg</t>
  </si>
  <si>
    <t>3665346178959</t>
  </si>
  <si>
    <t>sku-AYYRGL</t>
  </si>
  <si>
    <t>AYYRL</t>
  </si>
  <si>
    <t>Larmes de Job - Yi yi ren - 1 Grand Sachet plante 1000g</t>
  </si>
  <si>
    <t>https://calebasse.com/produits/yi-yi-ren-larmes-de-job-3951?product=4822</t>
  </si>
  <si>
    <t>https://res.cloudinary.com/laboratoire-calebasse/image/upload/v1757335558/LARMES_DE_JOB_1_000_g_AYYRL_3e389c3dce.jpg</t>
  </si>
  <si>
    <t>3665346185728</t>
  </si>
  <si>
    <t>sku-AYYRL</t>
  </si>
  <si>
    <t>AYYRPCP</t>
  </si>
  <si>
    <t>Extrait de Larmes de Job - Drainage naturel &amp; équilibre digestif - 1 flacon de poudre concentrée (PRÉPARÉES) - 100g</t>
  </si>
  <si>
    <t>https://calebasse.com/produits/extrait-de-larmes-de-job-drainage-naturel-and-equilibre-digestif-5221?product=7596</t>
  </si>
  <si>
    <t>https://res.cloudinary.com/laboratoire-calebasse/image/upload/v1760084085/LARMES_DE_JOB_PREPAREES_AYYRPCP_2025_10_02_6f7a051875.jpg</t>
  </si>
  <si>
    <t>3665346185636</t>
  </si>
  <si>
    <t>sku-AYYRPCP</t>
  </si>
  <si>
    <t>Draine les excès d'eau; Soutien la digestion; Nourrit et tonifie les Poumons et la Rate; Contribue à alléger les jambes lourdes; Favorise le confort urinaire</t>
  </si>
  <si>
    <t>AYYYEZ</t>
  </si>
  <si>
    <t>Gruau au Goji et Trémelle - Yang yan yin er zhou - 1 Petit Sachet plante 100g</t>
  </si>
  <si>
    <t>Pour une peau saine et apaisée. Ses principaux bienfaits : améliore l'apparence de la peau, nourrit le yin, chasse la chaleur</t>
  </si>
  <si>
    <t>https://calebasse.com/produits/yang-yan-yin-er-zhou-gruau-au-goji-et-tremelle-4675?product=6814</t>
  </si>
  <si>
    <t>https://res.cloudinary.com/laboratoire-calebasse/image/upload/v1746524272/GRUAU_AU_GOJI_ET_TREMELLE_100_g_AYYYEZ_fc4360e8f9.jpg</t>
  </si>
  <si>
    <t>3665346400517</t>
  </si>
  <si>
    <t>sku-AYYYEZ</t>
  </si>
  <si>
    <t>4675</t>
  </si>
  <si>
    <t>AYZ</t>
  </si>
  <si>
    <t>Polygala de Chine - Yuan zhi (zhi) - 1 Petit Sachet plante 50g</t>
  </si>
  <si>
    <t>Pour un sommeil profond et sans réveils. Ses principaux bienfaits : améliore la qualité du sommeil, tranquillise le shen</t>
  </si>
  <si>
    <t>https://calebasse.com/produits/yuan-zhi-lactee-a-petites-feuilles-3957?product=4856</t>
  </si>
  <si>
    <t>https://res.cloudinary.com/laboratoire-calebasse/image/upload/v1746529201/POLYGALA_DE_CHINE_50_g_AYZ_c8d2223c02.jpg</t>
  </si>
  <si>
    <t>3665346197516</t>
  </si>
  <si>
    <t>sku-AYZ</t>
  </si>
  <si>
    <t>3957</t>
  </si>
  <si>
    <t>AYZL</t>
  </si>
  <si>
    <t>Polygala de Chine - Yuan zhi (zhi) - 1 Grand Sachet plante 200g</t>
  </si>
  <si>
    <t>https://calebasse.com/produits/yuan-zhi-lactee-a-petites-feuilles-3957?product=4857</t>
  </si>
  <si>
    <t>https://res.cloudinary.com/laboratoire-calebasse/image/upload/v1748271196/POLYGALA_DE_CHINE_230_g_AYZL_0c47c4e533.jpg</t>
  </si>
  <si>
    <t>3665346197622</t>
  </si>
  <si>
    <t>sku-AYZL</t>
  </si>
  <si>
    <t>AYZR</t>
  </si>
  <si>
    <t>Graines d'Oxyphylle - Yi zhi ren - 1 Petit Sachet plante 100g</t>
  </si>
  <si>
    <t>Pour préserver la santé masculine. Ses principaux bienfaits : aide au confort urinaire, préserve la fonction de la prostate</t>
  </si>
  <si>
    <t>https://calebasse.com/produits/yi-zhi-ren-graines-doxyphylle-3952?product=4828</t>
  </si>
  <si>
    <t>https://res.cloudinary.com/laboratoire-calebasse/image/upload/v1746526954/GRAINES_D_OXYPHYLLE_100_g_AYZR_070610ef39.jpg</t>
  </si>
  <si>
    <t>3665346169414</t>
  </si>
  <si>
    <t>sku-AYZR</t>
  </si>
  <si>
    <t>3952</t>
  </si>
  <si>
    <t>AYZRCP</t>
  </si>
  <si>
    <t>Graines d'Oxyphylle - Yi zhi ren - 1 flacon de poudre concentrée - 100g</t>
  </si>
  <si>
    <t>https://calebasse.com/produits/yi-zhi-ren-graines-doxyphylle-3952?product=4831</t>
  </si>
  <si>
    <t>https://res.cloudinary.com/laboratoire-calebasse/image/upload/v1634201206/A_yizhirencp_bcf3cab530.jpg</t>
  </si>
  <si>
    <t>3665346169438</t>
  </si>
  <si>
    <t>sku-AYZRCP</t>
  </si>
  <si>
    <t>AYZRGL</t>
  </si>
  <si>
    <t>Graines d'Oxyphylle - Yi zhi ren - 1 flacon de 100 gélules - 50g</t>
  </si>
  <si>
    <t>https://calebasse.com/produits/yi-zhi-ren-graines-doxyphylle-3952?product=4832</t>
  </si>
  <si>
    <t>https://res.cloudinary.com/laboratoire-calebasse/image/upload/v1634201206/A_yizhirengl_2beedc1fda.jpg</t>
  </si>
  <si>
    <t>3665346169452</t>
  </si>
  <si>
    <t>sku-AYZRGL</t>
  </si>
  <si>
    <t>AYZRL</t>
  </si>
  <si>
    <t>Graines d'Oxyphylle - Yi zhi ren - 1 Grand Sachet plante 280g</t>
  </si>
  <si>
    <t>https://calebasse.com/produits/yi-zhi-ren-graines-doxyphylle-3952?product=4829</t>
  </si>
  <si>
    <t>https://res.cloudinary.com/laboratoire-calebasse/image/upload/v1748271299/GRAINES_D_OXYPHYLLE_280_g_AYZRL_428bbd8fdd.jpg</t>
  </si>
  <si>
    <t>3665346220221</t>
  </si>
  <si>
    <t>sku-AYZRL</t>
  </si>
  <si>
    <t>AZC</t>
  </si>
  <si>
    <t>Grémil violet - Zi cao - 1 Petit Sachet plante 50g</t>
  </si>
  <si>
    <t>Pour une peau belle et saine. Ses principaux bienfaits : détoxifie l'organisme, contribue au confort cutané</t>
  </si>
  <si>
    <t>https://calebasse.com/produits/zi-cao-gremil-violet-3965?product=4889</t>
  </si>
  <si>
    <t>https://res.cloudinary.com/laboratoire-calebasse/image/upload/v1746527240/GREMIL_VIOLET_50_g_AZC_239338c4ae.jpg</t>
  </si>
  <si>
    <t>3665346196120</t>
  </si>
  <si>
    <t>sku-AZC</t>
  </si>
  <si>
    <t>3965</t>
  </si>
  <si>
    <t>AZCL</t>
  </si>
  <si>
    <t>Grémil violet - Zi cao - 1 Grand Sachet plante 150g</t>
  </si>
  <si>
    <t>https://calebasse.com/produits/zi-cao-gremil-violet-3965?product=4891</t>
  </si>
  <si>
    <t>https://res.cloudinary.com/laboratoire-calebasse/image/upload/v1748271104/GREMIL_VIOLET_150_g_AZCL_d7ae337171.jpg</t>
  </si>
  <si>
    <t>3665346196021</t>
  </si>
  <si>
    <t>sku-AZCL</t>
  </si>
  <si>
    <t>AZHD</t>
  </si>
  <si>
    <t>Violette de Chine - Zi hua di ding - 1 Petit Sachet plante 50g</t>
  </si>
  <si>
    <t>Pour drainer l’organisme. Ses principaux bienfaits : détoxifie l'organisme, contribue au confort cutané</t>
  </si>
  <si>
    <t>https://calebasse.com/produits/zi-hua-di-ding-violette-de-chine-3967?product=4892</t>
  </si>
  <si>
    <t>https://res.cloudinary.com/laboratoire-calebasse/image/upload/v1746527197/VIOLETTE_DE_CHINE_50_g_AZHD_02f7542d7f.jpg</t>
  </si>
  <si>
    <t>3665346174210</t>
  </si>
  <si>
    <t>sku-AZHD</t>
  </si>
  <si>
    <t>3967</t>
  </si>
  <si>
    <t>AZHDCP</t>
  </si>
  <si>
    <t>Violette de Chine - Zi hua di ding - 1 flacon de poudre concentrée - 100g</t>
  </si>
  <si>
    <t>https://calebasse.com/produits/zi-hua-di-ding-violette-de-chine-3967?product=4895</t>
  </si>
  <si>
    <t>https://res.cloudinary.com/laboratoire-calebasse/image/upload/v1634201125/A_zihuadidingcp_68037c2461.jpg</t>
  </si>
  <si>
    <t>3665346174234</t>
  </si>
  <si>
    <t>sku-AZHDCP</t>
  </si>
  <si>
    <t>AZHDGL</t>
  </si>
  <si>
    <t>Violette de Chine - Zi hua di ding - 1 flacon de 100 gélules - 50g</t>
  </si>
  <si>
    <t>https://calebasse.com/produits/zi-hua-di-ding-violette-de-chine-3967?product=4897</t>
  </si>
  <si>
    <t>https://res.cloudinary.com/laboratoire-calebasse/image/upload/v1634201126/A_zihuadidinggl_8744a12b86.jpg</t>
  </si>
  <si>
    <t>3665346174258</t>
  </si>
  <si>
    <t>sku-AZHDGL</t>
  </si>
  <si>
    <t>AZHDL</t>
  </si>
  <si>
    <t>Violette de Chine - Zi hua di ding - 1 Grand Sachet plante 140g</t>
  </si>
  <si>
    <t>https://calebasse.com/produits/zi-hua-di-ding-violette-de-chine-3967?product=4893</t>
  </si>
  <si>
    <t>https://res.cloudinary.com/laboratoire-calebasse/image/upload/v1748271090/VIOLETTE_DE_CHINE_140_g_AZHDL_9986ac3ac0.jpg</t>
  </si>
  <si>
    <t>3665346216521</t>
  </si>
  <si>
    <t>sku-AZHDL</t>
  </si>
  <si>
    <t>AZHS</t>
  </si>
  <si>
    <t>Dictyophora - Zhu sun - 1 Petit Sachet plante 60g</t>
  </si>
  <si>
    <t xml:space="preserve"> Ses principaux bienfaits : donne du tonus à l'organisme, soutient les défenses naturelles Ses principaux bienfaits : donne du tonus à l'organisme, soutient les défenses naturelles</t>
  </si>
  <si>
    <t>https://calebasse.com/produits/zhu-sun-dictyophora-5035?product=7258</t>
  </si>
  <si>
    <t>https://res.cloudinary.com/laboratoire-calebasse/image/upload/v1746527074/DICTYOPHORA_60_g_AZHS_c097995da3.jpg</t>
  </si>
  <si>
    <t>3665346183618</t>
  </si>
  <si>
    <t>sku-AZHS</t>
  </si>
  <si>
    <t>5035</t>
  </si>
  <si>
    <t>AZLAN</t>
  </si>
  <si>
    <t>Herbe de Lycope - Ze lan - 1 Petit Sachet plante 100g</t>
  </si>
  <si>
    <t>Pour éliminer la Stase. Ses principaux bienfaits : stimule la circulation sanguine, favorise la cicatrisation</t>
  </si>
  <si>
    <t>https://calebasse.com/produits/ze-lan-herbe-de-lycope-3961?product=4867</t>
  </si>
  <si>
    <t>https://res.cloudinary.com/laboratoire-calebasse/image/upload/v1746526056/HERBE_DE_LYCOPE_100_g_AZLAN_fd96e4a2b7.jpg</t>
  </si>
  <si>
    <t>3665346171714</t>
  </si>
  <si>
    <t>sku-AZLAN</t>
  </si>
  <si>
    <t>3961</t>
  </si>
  <si>
    <t>AZLL</t>
  </si>
  <si>
    <t>Fleurs de Violette - Zi luo lan - 1 Petit Sachet plante 50g</t>
  </si>
  <si>
    <t>Pour purifier l’organisme et améliorer la qualité de la peau. Ses principaux bienfaits : détoxifie l'organisme, libère les voies respiratoires, contribue au confort cutané</t>
  </si>
  <si>
    <t>https://calebasse.com/produits/zi-luo-lan-fleurs-de-violette-3968?product=4898</t>
  </si>
  <si>
    <t>https://res.cloudinary.com/laboratoire-calebasse/image/upload/v1746527183/FLEURS_DE_VIOLETTE_50_g_AZLL_605629f11e.jpg</t>
  </si>
  <si>
    <t>3665346174418</t>
  </si>
  <si>
    <t>sku-AZLL</t>
  </si>
  <si>
    <t>3968</t>
  </si>
  <si>
    <t>AZMGH</t>
  </si>
  <si>
    <t>Boutons de rose violette - Zi mei gui hua - 1 Petit Sachet plante 100g</t>
  </si>
  <si>
    <t>Pour une relaxation naturelle. Ses principaux bienfaits : améliore la qualité du sommeil, tranquillise le shen</t>
  </si>
  <si>
    <t>https://calebasse.com/produits/zi-mei-gui-hua-boutons-de-rose-violette-4534?product=6557</t>
  </si>
  <si>
    <t>https://res.cloudinary.com/laboratoire-calebasse/image/upload/v1746527121/BOUTONS_DE_ROSE_VIOLETTE_100_g_AZMGH_2779a78c3c.jpg</t>
  </si>
  <si>
    <t>3665346182918</t>
  </si>
  <si>
    <t>sku-AZMGH</t>
  </si>
  <si>
    <t>4534</t>
  </si>
  <si>
    <t>AZMGHL</t>
  </si>
  <si>
    <t>Boutons de rose violette - Zi mei gui hua - 1 Grand Sachet plante 300g</t>
  </si>
  <si>
    <t>https://calebasse.com/produits/zi-mei-gui-hua-boutons-de-rose-violette-4534?product=6558</t>
  </si>
  <si>
    <t>https://res.cloudinary.com/laboratoire-calebasse/image/upload/v1748271072/BOUTONS_DE_ROSE_VIOLETTE_300_g_AZMGHL_d30c1444ed.jpg</t>
  </si>
  <si>
    <t>3665346191026</t>
  </si>
  <si>
    <t>sku-AZMGHL</t>
  </si>
  <si>
    <t>AZQ</t>
  </si>
  <si>
    <t>Citron à trois feuilles préparé - Zhi qiao (fu chao) - 1 Petit Sachet plante 100g</t>
  </si>
  <si>
    <t>Pour soulager les inconforts intestinaux. Ses principaux bienfaits : favorise le confort intestinal</t>
  </si>
  <si>
    <t>https://calebasse.com/produits/zhi-qiao-fu-chao-citron-a-trois-feuilles-prepare-3963?product=4873</t>
  </si>
  <si>
    <t>https://res.cloudinary.com/laboratoire-calebasse/image/upload/v1746534887/CITRON_A_TROIS_FEUILLES_PREPARE_100_g_AZQ_ef81c332f9.jpg</t>
  </si>
  <si>
    <t>3665346172513</t>
  </si>
  <si>
    <t>sku-AZQ</t>
  </si>
  <si>
    <t>3963</t>
  </si>
  <si>
    <t>AZQCP</t>
  </si>
  <si>
    <t>Citron à trois feuilles préparé - Zhi qiao (fu chao) - 1 flacon de poudre concentrée - 100g</t>
  </si>
  <si>
    <t>https://calebasse.com/produits/zhi-qiao-fu-chao-citron-a-trois-feuilles-prepare-3963?product=4874</t>
  </si>
  <si>
    <t>https://res.cloudinary.com/laboratoire-calebasse/image/upload/v1760543835/CITRON_A_TROIS_FEUILLES_PREPARE_AZQCP_6535467ef5.jpg</t>
  </si>
  <si>
    <t>3665346172537</t>
  </si>
  <si>
    <t>sku-AZQCP</t>
  </si>
  <si>
    <t>AZQGL</t>
  </si>
  <si>
    <t>Citron à trois feuilles préparé - Zhi qiao (fu chao) - 1 flacon de 100 gélules - 50g</t>
  </si>
  <si>
    <t>https://calebasse.com/produits/zhi-qiao-fu-chao-citron-a-trois-feuilles-prepare-3963?product=4876</t>
  </si>
  <si>
    <t>https://res.cloudinary.com/laboratoire-calebasse/image/upload/v1760543853/CITRON_A_TROIS_FEUILLES_PREPARE_AZQGL_e7919d7004.jpg</t>
  </si>
  <si>
    <t>3665346172551</t>
  </si>
  <si>
    <t>sku-AZQGL</t>
  </si>
  <si>
    <t>AZQL</t>
  </si>
  <si>
    <t>Citron à trois feuilles préparé - Zhi qiao (fu chao) - 1 Grand Sachet plante 300g</t>
  </si>
  <si>
    <t>https://calebasse.com/produits/zhi-qiao-fu-chao-citron-a-trois-feuilles-prepare-3963?product=4872</t>
  </si>
  <si>
    <t>https://res.cloudinary.com/laboratoire-calebasse/image/upload/v1747132639/CITRON_A_TROIS_FEUILLES_PREPARE_300_g_AZQL_0c6bdafeaf.jpg</t>
  </si>
  <si>
    <t>3665346216620</t>
  </si>
  <si>
    <t>sku-AZQL</t>
  </si>
  <si>
    <t>AZR</t>
  </si>
  <si>
    <t>Bambou Barbe - Zhu ru (jiang) - 1 Petit Sachet plante 50g</t>
  </si>
  <si>
    <t>Pour favoriser l’élimination des glaires. Ses principaux bienfaits : libère les voies respiratoires</t>
  </si>
  <si>
    <t>https://calebasse.com/produits/zhu-ru-jiang-barbe-de-bambou-3966?product=4884</t>
  </si>
  <si>
    <t>https://res.cloudinary.com/laboratoire-calebasse/image/upload/v1746524775/BAMBOU_BARBE_50_g_AZR_df0d19dcb6.jpg</t>
  </si>
  <si>
    <t>3665346173312</t>
  </si>
  <si>
    <t>sku-AZR</t>
  </si>
  <si>
    <t>3966</t>
  </si>
  <si>
    <t>AZRL</t>
  </si>
  <si>
    <t>Bambou Barbe - Zhu ru (jiang) - 1 Grand Sachet plante 130g</t>
  </si>
  <si>
    <t>https://calebasse.com/produits/zhu-ru-jiang-barbe-de-bambou-3966?product=4886</t>
  </si>
  <si>
    <t>https://res.cloudinary.com/laboratoire-calebasse/image/upload/v1747063915/BAMBOU_BARBE_130_g_AZRL_c5aa2b5443.jpg</t>
  </si>
  <si>
    <t>3665346190821</t>
  </si>
  <si>
    <t>sku-AZRL</t>
  </si>
  <si>
    <t>AZS</t>
  </si>
  <si>
    <t>Citron à trois feuilles immature - Zhi shi (fu chao) - 1 Petit Sachet plante 100g</t>
  </si>
  <si>
    <t>Pour favoriser le passage du bol alimentaire. Ses principaux bienfaits : favorise le transit, contribue à une bonne digestion, stimule l'appétit</t>
  </si>
  <si>
    <t>https://calebasse.com/produits/fu-chao-zhi-shi-citron-a-trois-feuilles-immature-3964?product=4878</t>
  </si>
  <si>
    <t>https://res.cloudinary.com/laboratoire-calebasse/image/upload/v1746534907/CITRON_A_TROIS_FEUILLES_IMMATURE_100_g_AZS_186eab5ade.jpg</t>
  </si>
  <si>
    <t>3665346172612</t>
  </si>
  <si>
    <t>sku-AZS</t>
  </si>
  <si>
    <t>3964</t>
  </si>
  <si>
    <t>AZSL</t>
  </si>
  <si>
    <t>Citron à trois feuilles immature - Zhi shi (fu chao) - 1 Grand Sachet plante 300g</t>
  </si>
  <si>
    <t>https://calebasse.com/produits/fu-chao-zhi-shi-citron-a-trois-feuilles-immature-3964?product=4879</t>
  </si>
  <si>
    <t>https://res.cloudinary.com/laboratoire-calebasse/image/upload/v1747132612/CITRON_A_TROIS_FEUILLES_IMMATURE_300_g_AZSL_ab7806c229.jpg</t>
  </si>
  <si>
    <t>3665346216729</t>
  </si>
  <si>
    <t>sku-AZSL</t>
  </si>
  <si>
    <t>AZSY</t>
  </si>
  <si>
    <t>Feuilles de Pérille - Zi su ye - 1 Petit Sachet plante 50g</t>
  </si>
  <si>
    <t>Pour retrouver une digestion optimale. Ses principaux bienfaits : contribue à une bonne digestion, soulage les sensibilités de l'estomac</t>
  </si>
  <si>
    <t>https://calebasse.com/produits/zi-su-ye-feuilles-de-perille-3969?product=4900</t>
  </si>
  <si>
    <t>https://res.cloudinary.com/laboratoire-calebasse/image/upload/v1746527210/FEUILLES_DE_PERILLE_50_g_AZSY_19fce18bfc.jpg</t>
  </si>
  <si>
    <t>3665346174814</t>
  </si>
  <si>
    <t>sku-AZSY</t>
  </si>
  <si>
    <t>3969</t>
  </si>
  <si>
    <t>AZSYCP</t>
  </si>
  <si>
    <t>Feuilles de Pérille - Zi su ye - 1 flacon de poudre concentrée - 100g</t>
  </si>
  <si>
    <t>https://calebasse.com/produits/zi-su-ye-feuilles-de-perille-3969?product=4902</t>
  </si>
  <si>
    <t>https://res.cloudinary.com/laboratoire-calebasse/image/upload/v1634201126/A_zisuyecp_75fa6166f6.jpg</t>
  </si>
  <si>
    <t>3665346174838</t>
  </si>
  <si>
    <t>sku-AZSYCP</t>
  </si>
  <si>
    <t>AZSYGL</t>
  </si>
  <si>
    <t>Feuilles de Pérille - Zi su ye - 1 flacon de 100 gélules - 50g</t>
  </si>
  <si>
    <t>https://calebasse.com/produits/zi-su-ye-feuilles-de-perille-3969?product=4904</t>
  </si>
  <si>
    <t>https://res.cloudinary.com/laboratoire-calebasse/image/upload/v1634201206/A_zisuyegl_fec371fa7a.jpg</t>
  </si>
  <si>
    <t>3665346174852</t>
  </si>
  <si>
    <t>sku-AZSYGL</t>
  </si>
  <si>
    <t>AZSYL</t>
  </si>
  <si>
    <t>Feuilles de Pérille - Zi su ye - 1 Grand Sachet plante 140g</t>
  </si>
  <si>
    <t>https://calebasse.com/produits/zi-su-ye-feuilles-de-perille-3969?product=4901</t>
  </si>
  <si>
    <t>https://res.cloudinary.com/laboratoire-calebasse/image/upload/v1748271050/FEUILLES_DE_PERILLE_140_g_AZSYL_f6a8b4c621.jpg</t>
  </si>
  <si>
    <t>sku-AZSYL</t>
  </si>
  <si>
    <t>AZSZ</t>
  </si>
  <si>
    <t>Graines de Pérille - Zi su zi - 1 Petit Sachet plante 100g</t>
  </si>
  <si>
    <t>Pour faciliter la respiration. Ses principaux bienfaits : libère les voies respiratoires</t>
  </si>
  <si>
    <t>https://calebasse.com/produits/zi-su-zi-graines-de-perille-3970?product=4906</t>
  </si>
  <si>
    <t>https://res.cloudinary.com/laboratoire-calebasse/image/upload/v1746527224/GRAINES_DE_PERILLE_100_g_AZSZ_f82c0973d7.jpg</t>
  </si>
  <si>
    <t>3665346174913</t>
  </si>
  <si>
    <t>sku-AZSZ</t>
  </si>
  <si>
    <t>3970</t>
  </si>
  <si>
    <t>AZSZCP</t>
  </si>
  <si>
    <t>Graines de Pérille - Zi su zi - 1 flacon de poudre concentrée - 100g</t>
  </si>
  <si>
    <t>https://calebasse.com/produits/zi-su-zi-graines-de-perille-3970?product=4908</t>
  </si>
  <si>
    <t>https://res.cloudinary.com/laboratoire-calebasse/image/upload/v1704444252/A_zisuzi_CP_1530e346c6.jpg</t>
  </si>
  <si>
    <t>3665346174937</t>
  </si>
  <si>
    <t>sku-AZSZCP</t>
  </si>
  <si>
    <t>AZSZGL</t>
  </si>
  <si>
    <t>Graines de Pérille - Zi su zi - 1 flacon de 100 gélules - 50g</t>
  </si>
  <si>
    <t>https://calebasse.com/produits/zi-su-zi-graines-de-perille-3970?product=4910</t>
  </si>
  <si>
    <t>https://res.cloudinary.com/laboratoire-calebasse/image/upload/v1634201125/A_zisuzigl_ca8a285746.jpg</t>
  </si>
  <si>
    <t>3665346174951</t>
  </si>
  <si>
    <t>sku-AZSZGL</t>
  </si>
  <si>
    <t>AZSZL</t>
  </si>
  <si>
    <t>Graines de Pérille - Zi su zi - 1 Grand Sachet plante 300g</t>
  </si>
  <si>
    <t>https://calebasse.com/produits/zi-su-zi-graines-de-perille-3970?product=4907</t>
  </si>
  <si>
    <t>https://res.cloudinary.com/laboratoire-calebasse/image/upload/v1748271033/GRAINES_DE_PERILLE_300_g_AZSZL_ca86444958.jpg</t>
  </si>
  <si>
    <t>3665346221525</t>
  </si>
  <si>
    <t>sku-AZSZL</t>
  </si>
  <si>
    <t>AZX</t>
  </si>
  <si>
    <t>Plantain aquatique sauté au son de blé - Ze xie - 1 Petit Sachet plante 100g</t>
  </si>
  <si>
    <t>Pour drainer les excès d'eau. Ses principaux bienfaits : détoxifie l'organisme, draine les excès d'eau</t>
  </si>
  <si>
    <t>https://calebasse.com/produits/ze-xie-fu-chao-plantain-aquatique-saute-au-son-de-ble-3962?product=4864</t>
  </si>
  <si>
    <t>https://res.cloudinary.com/laboratoire-calebasse/image/upload/v1751623767/PLANTAIN_AQUATIQUE_SAUTE_AU_SON_DE_BLE_100_g_AZX_e0cfdce20f.jpg</t>
  </si>
  <si>
    <t>3665346171813</t>
  </si>
  <si>
    <t>sku-AZX</t>
  </si>
  <si>
    <t>3962</t>
  </si>
  <si>
    <t>AZXCP</t>
  </si>
  <si>
    <t>Plantain aquatique sauté au son de blé - Ze xie - 1 flacon de poudre concentrée - 100g</t>
  </si>
  <si>
    <t>https://calebasse.com/produits/ze-xie-fu-chao-plantain-aquatique-saute-au-son-de-ble-3962?product=4868</t>
  </si>
  <si>
    <t>https://res.cloudinary.com/laboratoire-calebasse/image/upload/v1718615594/A_zexiecp_06134e06b0.jpg</t>
  </si>
  <si>
    <t>3665346171936</t>
  </si>
  <si>
    <t>sku-AZXCP</t>
  </si>
  <si>
    <t>AZXGL</t>
  </si>
  <si>
    <t>Plantain aquatique sauté au son de blé - Ze xie - 1 flacon de 100 gélules - 50g</t>
  </si>
  <si>
    <t>https://calebasse.com/produits/ze-xie-fu-chao-plantain-aquatique-saute-au-son-de-ble-3962?product=4870</t>
  </si>
  <si>
    <t>https://res.cloudinary.com/laboratoire-calebasse/image/upload/v1718615724/A_zexiegl_eeec93b6a8.jpg</t>
  </si>
  <si>
    <t>3665346171950</t>
  </si>
  <si>
    <t>sku-AZXGL</t>
  </si>
  <si>
    <t>AZXL</t>
  </si>
  <si>
    <t>Plantain aquatique sauté au son de blé - Ze xie - 1 Grand Sachet plante 300g</t>
  </si>
  <si>
    <t>https://calebasse.com/produits/ze-xie-fu-chao-plantain-aquatique-saute-au-son-de-ble-3962?product=4866</t>
  </si>
  <si>
    <t>https://res.cloudinary.com/laboratoire-calebasse/image/upload/v1751623641/PLANTAIN_AQUATIQUE_SAUTE_AU_SON_DE_BLE_300_g_AZXL_1d71c6fa55.jpg</t>
  </si>
  <si>
    <t>3665346199121</t>
  </si>
  <si>
    <t>sku-AZXL</t>
  </si>
  <si>
    <t>BASC</t>
  </si>
  <si>
    <t>Tisane Détente et sommeil réparateur - An shen cha - 1 Petit Sachet plante 100g</t>
  </si>
  <si>
    <t>https://calebasse.com/produits/an-shen-cha-tisane-detente-et-sommeil-reparateur-3971?product=4912</t>
  </si>
  <si>
    <t>https://res.cloudinary.com/laboratoire-calebasse/image/upload/v1746524886/DETENTE_SOMMEIL_100_g_BASC_2025_03_26_DETENTE_SOMMEIL_100_g_BASC_7bb95ea915.jpg</t>
  </si>
  <si>
    <t>3665346390016</t>
  </si>
  <si>
    <t>sku-BASC</t>
  </si>
  <si>
    <t>3971</t>
  </si>
  <si>
    <t>BASCX3</t>
  </si>
  <si>
    <t>Tisane Détente et sommeil réparateur - An shen cha - 3 Petits Sachets plantes 100g</t>
  </si>
  <si>
    <t>https://calebasse.com/produits/an-shen-cha-tisane-detente-et-sommeil-reparateur-3971?product=7662</t>
  </si>
  <si>
    <t>https://res.cloudinary.com/laboratoire-calebasse/image/upload/v1762426507/_1e1e81f0ac.jpg</t>
  </si>
  <si>
    <t>sku-BASCX3</t>
  </si>
  <si>
    <t>BAYJJS</t>
  </si>
  <si>
    <t>Tisane réparatrice post nuit-blanche - Vitalité et peau éclatante - 1 Sachet de 100 g</t>
  </si>
  <si>
    <t>Pour se remettre des nuits blanches Ses principaux bienfaits : réduit la fatigue, améliore l'apparence de la peau, renforce les défenses naturelles, apaiser la fatigue visuelle</t>
  </si>
  <si>
    <t>https://calebasse.com/produits/tisane-serenite-nocturne-5106?product=7343</t>
  </si>
  <si>
    <t>https://res.cloudinary.com/laboratoire-calebasse/image/upload/v1752221748/REPARATRICE_POST_NUIT_BLANCHE_100_g_BAYJJS_080980dfe9.jpg</t>
  </si>
  <si>
    <t>3665346400814</t>
  </si>
  <si>
    <t>sku-BAYJJS</t>
  </si>
  <si>
    <t>https://res.cloudinary.com/laboratoire-calebasse/image/upload/v1728552338/_1d3cf6fed6.jpg</t>
  </si>
  <si>
    <t>5106</t>
  </si>
  <si>
    <t>BAYJJSX2</t>
  </si>
  <si>
    <t>Tisane réparatrice post nuit-blanche - Vitalité et peau éclatante - 2 Sachets plantes 100g</t>
  </si>
  <si>
    <t>https://calebasse.com/produits/tisane-serenite-nocturne-5106?product=7424</t>
  </si>
  <si>
    <t>https://res.cloudinary.com/laboratoire-calebasse/image/upload/v1753347247/_6fb9dd7dc9.jpg</t>
  </si>
  <si>
    <t>sku-BAYJJSX2</t>
  </si>
  <si>
    <t>BBQSSB</t>
  </si>
  <si>
    <t>Bain de pieds pour le tonus et la minceur - Bu qi shou shen - 1 Petit Paquet plante 90g</t>
  </si>
  <si>
    <t xml:space="preserve"> Ses principaux bienfaits : tonifie le qi, soutient les défenses naturelles, aide à la perte de poids Ses principaux bienfaits : tonifie le qi, soutient les défenses naturelles, aide à la perte de poids</t>
  </si>
  <si>
    <t>https://calebasse.com/produits/bu-qi-shou-shen-pao-jiao-bao-bain-de-pieds-pour-le-tonus-et-la-minceur-4544?product=6573</t>
  </si>
  <si>
    <t>https://res.cloudinary.com/laboratoire-calebasse/image/upload/v1744105179/bain_de_pieds_small_mockup_MAX_16b37d455d.jpg</t>
  </si>
  <si>
    <t>sku-BBQSSB</t>
  </si>
  <si>
    <t>Santé et beauté &gt; Hygiène personnelle &gt; Produits de bain</t>
  </si>
  <si>
    <t>4544</t>
  </si>
  <si>
    <t>474</t>
  </si>
  <si>
    <t>BBQSSBL</t>
  </si>
  <si>
    <t>Bain de pieds pour le tonus et la minceur - Bu qi shou shen - 1 Grand Paquet plante 300g</t>
  </si>
  <si>
    <t>https://calebasse.com/produits/bu-qi-shou-shen-pao-jiao-bao-bain-de-pieds-pour-le-tonus-et-la-minceur-4544?product=6908</t>
  </si>
  <si>
    <t>https://res.cloudinary.com/laboratoire-calebasse/image/upload/v1744105157/bain_de_pieds_large_mockup_MAX_c48553b719.jpg</t>
  </si>
  <si>
    <t>sku-BBQSSBL</t>
  </si>
  <si>
    <t>BBSZTT</t>
  </si>
  <si>
    <t>Tisane Confort articulaire - Bai shao zhi tong tang - 1 Petit Sachet plante 100g</t>
  </si>
  <si>
    <t>Pour retrouver le confort articulaire. Ses principaux bienfaits : favorise le confort articulaire, décontracte les muscles, apaise les sensibilités articulaires</t>
  </si>
  <si>
    <t>https://calebasse.com/produits/bai-shao-zhi-tong-tang-tisane-confort-articulaire-3972?product=4914</t>
  </si>
  <si>
    <t>https://res.cloudinary.com/laboratoire-calebasse/image/upload/v1746526816/TISANE_CONFORT_ARTICULAIRE_100_g_BBSZTT_b00d3da65f.jpg</t>
  </si>
  <si>
    <t>3665346390115</t>
  </si>
  <si>
    <t>sku-BBSZTT</t>
  </si>
  <si>
    <t>3972</t>
  </si>
  <si>
    <t>BBSZTTX2</t>
  </si>
  <si>
    <t>Tisane Confort articulaire - Bai shao zhi tong tang - 2 Sachets plantes 100g</t>
  </si>
  <si>
    <t>https://calebasse.com/produits/bai-shao-zhi-tong-tang-tisane-confort-articulaire-3972?product=7426</t>
  </si>
  <si>
    <t>https://res.cloudinary.com/laboratoire-calebasse/image/upload/v1754312118/_a7a072b1ff.jpg</t>
  </si>
  <si>
    <t>sku-BBSZTTX2</t>
  </si>
  <si>
    <t>BCHHFB</t>
  </si>
  <si>
    <t>Bain de pieds pour la récupération post-partum - Chan hou hui fu zu yu bao - 1 Petit Paquet plante 90g</t>
  </si>
  <si>
    <t xml:space="preserve"> Ses principaux bienfaits : stimule la circulation sanguine, contribue à la récupération post-partum, favorise la sudation Ses principaux bienfaits : stimule la circulation sanguine, contribue à la récupération post-partum, favorise la sudation</t>
  </si>
  <si>
    <t>https://calebasse.com/produits/chan-hou-hui-fu-pao-jiao-bao-bain-de-pieds-pour-la-recuperation-post-partum-4547?product=6575</t>
  </si>
  <si>
    <t>https://res.cloudinary.com/laboratoire-calebasse/image/upload/v1744105288/bain_de_pieds_small_mockup_MAX_08c4f78d02.jpg</t>
  </si>
  <si>
    <t>sku-BCHHFB</t>
  </si>
  <si>
    <t>4547</t>
  </si>
  <si>
    <t>BCHHFBL</t>
  </si>
  <si>
    <t>Bain de pieds pour la récupération post-partum - Chan hou hui fu zu yu bao - 1 Grand Paquet plante 300g</t>
  </si>
  <si>
    <t>https://calebasse.com/produits/chan-hou-hui-fu-pao-jiao-bao-bain-de-pieds-pour-la-recuperation-post-partum-4547?product=6904</t>
  </si>
  <si>
    <t>https://res.cloudinary.com/laboratoire-calebasse/image/upload/v1744105268/bain_de_pieds_large_mockup_MAX_80abc50a76.jpg</t>
  </si>
  <si>
    <t>sku-BCHHFBL</t>
  </si>
  <si>
    <t>BFZT</t>
  </si>
  <si>
    <t>Tisane Digestion des céréales - Fu zhi tang - 1 Petit Sachet plante 100g</t>
  </si>
  <si>
    <t>Pour faciliter la digestion des céréales. Ses principaux bienfaits : contribue à une bonne digestion, réduire les flatulences et ballonnements, favorise le confort intestinal</t>
  </si>
  <si>
    <t>https://calebasse.com/produits/fu-zhi-tang-tisane-digestion-des-cereales-3977?product=4920</t>
  </si>
  <si>
    <t>https://res.cloudinary.com/laboratoire-calebasse/image/upload/v1746534951/TISANE_DIGESTION_DES_CEREALES_100_g_BFZT_b167c0320f.jpg</t>
  </si>
  <si>
    <t>3665346390313</t>
  </si>
  <si>
    <t>sku-BFZT</t>
  </si>
  <si>
    <t>3977</t>
  </si>
  <si>
    <t>BGMDZT</t>
  </si>
  <si>
    <t>Tisane nuit paisible - Gan mai da zao tang - 1 Petit Sachet plante 100g</t>
  </si>
  <si>
    <t>Pour améliorer l'humeur et le sommeil. Ses principaux bienfaits : tranquillise le shen, permet un sommeil paisible, améliore l'humeur, favorise l'harmonie émotionnelle</t>
  </si>
  <si>
    <t>https://calebasse.com/produits/gan-mai-da-zao-tang-tisane-nuit-paisible-4483?product=4922</t>
  </si>
  <si>
    <t>https://res.cloudinary.com/laboratoire-calebasse/image/upload/v1746526647/TISANE_NUIT_PAISIBLE_100_g_BGMDZT_05bdf53c3f.jpg</t>
  </si>
  <si>
    <t>3665346390412</t>
  </si>
  <si>
    <t>sku-BGMDZT</t>
  </si>
  <si>
    <t>4483</t>
  </si>
  <si>
    <t>BHJF</t>
  </si>
  <si>
    <t>Bain des ongles - Hu jia fang - 1 Sachet plante - 320g (10 infusettes)</t>
  </si>
  <si>
    <t>Pour améliorer l’état des ongles. Ses principaux bienfaits : pour préserver la santé des ongles</t>
  </si>
  <si>
    <t>https://calebasse.com/produits/hu-jia-fang-tisane-sante-des-ongles-4539?product=6568</t>
  </si>
  <si>
    <t>https://res.cloudinary.com/laboratoire-calebasse/image/upload/v1744105625/bain_de_pieds_large_mockup_MAX_878172d518.jpg</t>
  </si>
  <si>
    <t>sku-BHJF</t>
  </si>
  <si>
    <t>4539</t>
  </si>
  <si>
    <t>BHQBNT</t>
  </si>
  <si>
    <t>Tisane Mémoire des Séniors - Huang qi bu nao tang - 1 Petit Sachet plante 100g</t>
  </si>
  <si>
    <t>Pour stimuler la mémoire. Ses principaux bienfaits : contribue à la santé des séniors, stimule la mémoire et les capacités intellectuelles, améliore la concentration</t>
  </si>
  <si>
    <t>https://calebasse.com/produits/huang-qi-bu-nao-tang-tisane-memoire-des-seniors-3976?product=4924</t>
  </si>
  <si>
    <t>https://res.cloudinary.com/laboratoire-calebasse/image/upload/v1746535200/TISANE_MEMOIRE_DES_SENIORS_100_g_BHQBNT_f5481ccdb5.jpg</t>
  </si>
  <si>
    <t>3665346390719</t>
  </si>
  <si>
    <t>sku-BHQBNT</t>
  </si>
  <si>
    <t>3976</t>
  </si>
  <si>
    <t>BHQSMY</t>
  </si>
  <si>
    <t>Décoction pour générer le pouls - Huang qi sheng mai yin - 1 Petit Sachet plante 100g</t>
  </si>
  <si>
    <t>Pour renforcer la santé des plus âgés. Ses principaux bienfaits : soutient les défenses naturelles, favorise le confort cardiovasculaire, contribue à la santé des séniors</t>
  </si>
  <si>
    <t>https://calebasse.com/produits/huang-qi-sheng-mai-yin-decoction-pour-generer-le-pouls-3979?product=4926</t>
  </si>
  <si>
    <t>https://res.cloudinary.com/laboratoire-calebasse/image/upload/v1746535177/DECOCTION_POUR_GENERER_LE_POULS_100_g_BHQSMY_328c8532b4.jpg</t>
  </si>
  <si>
    <t>3665346390610</t>
  </si>
  <si>
    <t>sku-BHQSMY</t>
  </si>
  <si>
    <t>3979</t>
  </si>
  <si>
    <t>BHXZQT</t>
  </si>
  <si>
    <t>Tisane Digestion difficile - Huo xiang zheng qi tang - 1 Petit Sachet plante 100g</t>
  </si>
  <si>
    <t>Pour soulager l'indigestion. Ses principaux bienfaits : tonifie le qi, favorise le confort intestinal, soulage les sensibilités de l'estomac</t>
  </si>
  <si>
    <t>https://calebasse.com/produits/huo-xiang-zheng-qi-tang-tisane-digestion-difficile-3978?product=4927</t>
  </si>
  <si>
    <t>https://res.cloudinary.com/laboratoire-calebasse/image/upload/v1746528952/TISANE_DIGESTION_DIFFICILE_100_g_BHXZQT_bee2a6bde1.jpg</t>
  </si>
  <si>
    <t>3665346390818</t>
  </si>
  <si>
    <t>sku-BHXZQT</t>
  </si>
  <si>
    <t>3978</t>
  </si>
  <si>
    <t>BHXZQTX3</t>
  </si>
  <si>
    <t>Tisane Digestion difficile - Huo xiang zheng qi tang - 3 Petits Sachets plantes 100g</t>
  </si>
  <si>
    <t>https://calebasse.com/produits/huo-xiang-zheng-qi-tang-tisane-digestion-difficile-3978?product=7369</t>
  </si>
  <si>
    <t>https://res.cloudinary.com/laboratoire-calebasse/image/upload/v1753347725/_ceb7dfa6fb.jpg</t>
  </si>
  <si>
    <t>sku-BHXZQTX3</t>
  </si>
  <si>
    <t>BJFBDS</t>
  </si>
  <si>
    <t>Tisane Coup de froid - 1 Petit Sachet plante 100g</t>
  </si>
  <si>
    <t>Pour surmonter les coups de froid. Ses principaux bienfaits : apaise la gorge, apaise les manifestations du coup de froid, aide à la récupération musculaire</t>
  </si>
  <si>
    <t>https://calebasse.com/produits/jing-fang-bai-du-san-tisane-coup-de-froid-3984?product=4938</t>
  </si>
  <si>
    <t>https://res.cloudinary.com/laboratoire-calebasse/image/upload/v1746528704/TISANE_COUP_DE_FROID_100_g_BJFBDS_0afb670589.jpg</t>
  </si>
  <si>
    <t>3665346391310</t>
  </si>
  <si>
    <t>sku-BJFBDS</t>
  </si>
  <si>
    <t>https://res.cloudinary.com/laboratoire-calebasse/image/upload/v1758795108/tisanecoupdefroid_a4075c6b29.jpg</t>
  </si>
  <si>
    <t>3984</t>
  </si>
  <si>
    <t>BJFBDSX2</t>
  </si>
  <si>
    <t>Tisane Coup de froid - 2 Petits Sachets plantes</t>
  </si>
  <si>
    <t>https://calebasse.com/produits/jing-fang-bai-du-san-tisane-coup-de-froid-3984?product=7440</t>
  </si>
  <si>
    <t>https://res.cloudinary.com/laboratoire-calebasse/image/upload/v1753347311/_70fcb07874.jpg</t>
  </si>
  <si>
    <t>sku-BJFBDSX2</t>
  </si>
  <si>
    <t>BJJDLT</t>
  </si>
  <si>
    <t>Jing jie di long tang - 1 Petit Sachet plante 185g</t>
  </si>
  <si>
    <t>Pour soulager les inconforts respiratoires. Ses principaux bienfaits : apaise la gorge, renforce les défenses naturelles, libère les voies respiratoires, chasse la chaleur</t>
  </si>
  <si>
    <t>https://calebasse.com/produits/jing-jie-di-long-tang-4689?product=6824</t>
  </si>
  <si>
    <t>https://res.cloudinary.com/laboratoire-calebasse/image/upload/v1760624157/JING_JIE_DI_LONG_TANG_185_g_BJJDLT_2011f3bd31.jpg</t>
  </si>
  <si>
    <t>3665346396513</t>
  </si>
  <si>
    <t>sku-BJJDLT</t>
  </si>
  <si>
    <t>4689</t>
  </si>
  <si>
    <t>BJQXST</t>
  </si>
  <si>
    <t>Tisane Digestive - Jin qian xiao shi tang - 1 Petit Sachet plante 100g</t>
  </si>
  <si>
    <t>Pour mieux digérer les aliments riches. Ses principaux bienfaits : contribue à une bonne digestion, favorise le fonctionnement du foie, stimule le transit intestinal</t>
  </si>
  <si>
    <t>https://calebasse.com/produits/jin-qian-xiao-shi-tang-tisane-digestive-3983?product=4936</t>
  </si>
  <si>
    <t>https://res.cloudinary.com/laboratoire-calebasse/image/upload/v1746534209/TISANE_DIGESTIVE_100_g_BJQXST_53de98cb5d.jpg</t>
  </si>
  <si>
    <t>3665346391211</t>
  </si>
  <si>
    <t>sku-BJQXST</t>
  </si>
  <si>
    <t>3983</t>
  </si>
  <si>
    <t>BJZT</t>
  </si>
  <si>
    <t>Tisane Équilibre des lipides - Jiang zhi tang - 1 Petit Sachet plante 100g</t>
  </si>
  <si>
    <t>Pour équilibrer les lipides. Ses principaux bienfaits : stimule la circulation sanguine, favorise le confort cardiovasculaire, contribue à équilibrer les lipides</t>
  </si>
  <si>
    <t>https://calebasse.com/produits/jiang-zhi-tang-tisane-equilibre-des-lipides-3982?product=4934</t>
  </si>
  <si>
    <t>https://res.cloudinary.com/laboratoire-calebasse/image/upload/v1746534399/TISANE_EQUILIBRE_DES_LIPIDES_100_g_BJZT_611ddcb6c6.jpg</t>
  </si>
  <si>
    <t>3665346391112</t>
  </si>
  <si>
    <t>sku-BJZT</t>
  </si>
  <si>
    <t>3982</t>
  </si>
  <si>
    <t>BK4114</t>
  </si>
  <si>
    <t>Illustration - Jing Qi Shen - Shen - Jing Qi Shen - Shen - 1 tableau</t>
  </si>
  <si>
    <t>https://calebasse.com/produits/jing-qi-shen-shen-illustration-jing-qi-shen-shen-5024?product=6844</t>
  </si>
  <si>
    <t>https://res.cloudinary.com/laboratoire-calebasse/image/upload/v1674568667/Shen_8c52ac92e3.jpg</t>
  </si>
  <si>
    <t>sku-BK4114</t>
  </si>
  <si>
    <t>Maison &amp; Décoration &gt; Décoration murale &gt; Affiches &amp; Tableaux &gt; EXAD</t>
  </si>
  <si>
    <t>5024</t>
  </si>
  <si>
    <t>500044</t>
  </si>
  <si>
    <t>BK4114-01</t>
  </si>
  <si>
    <t>Illustration"Yang" et "Yin" - 1 peinture - Yin</t>
  </si>
  <si>
    <t>https://calebasse.com/produits/gua-hua-yang-illustrationyang-4997?product=6846</t>
  </si>
  <si>
    <t>https://res.cloudinary.com/laboratoire-calebasse/image/upload/v1674569429/Yin_6803a3a29a.jpg</t>
  </si>
  <si>
    <t>sku-BK4114-01</t>
  </si>
  <si>
    <t>4997</t>
  </si>
  <si>
    <t>BK4114-01+02</t>
  </si>
  <si>
    <t>Illustration"Yang" et "Yin" - 2 peintures : Ying + Yang, &lt;span style="color: rgb(251, 94, 5);"&gt;&lt;b&gt; -10% &lt;/b&gt;&lt;/span&gt;</t>
  </si>
  <si>
    <t>https://calebasse.com/produits/gua-hua-yang-illustrationyang-4997?product=7445</t>
  </si>
  <si>
    <t>https://res.cloudinary.com/laboratoire-calebasse/image/upload/v1739800310/Yin_Yang_efc95f4180.jpg</t>
  </si>
  <si>
    <t>sku-BK4114-01+02</t>
  </si>
  <si>
    <t>BK4114-02</t>
  </si>
  <si>
    <t>Illustration"Yang" et "Yin" - 1 peinture - Yang</t>
  </si>
  <si>
    <t>https://calebasse.com/produits/gua-hua-yang-illustrationyang-4997?product=6845</t>
  </si>
  <si>
    <t>https://res.cloudinary.com/laboratoire-calebasse/image/upload/v1674568830/Yang_cf9b60631c.jpg</t>
  </si>
  <si>
    <t>sku-BK4114-02</t>
  </si>
  <si>
    <t>BK4114-08</t>
  </si>
  <si>
    <t>Illustration - Jing Qi Shen - Jing - 1 tableau</t>
  </si>
  <si>
    <t>https://calebasse.com/produits/illustration-jing-qi-shen-qi-4703?product=6842</t>
  </si>
  <si>
    <t>https://res.cloudinary.com/laboratoire-calebasse/image/upload/v1674568413/Jing_3382c88c4f.jpg</t>
  </si>
  <si>
    <t>sku-BK4114-08</t>
  </si>
  <si>
    <t>4703</t>
  </si>
  <si>
    <t>BK4201</t>
  </si>
  <si>
    <t>Illustration "Li Shizhen" - Gua hua "Li Shizhen" - 1 tableau</t>
  </si>
  <si>
    <t>https://calebasse.com/produits/gua-hua-li-shizhen-illustration-li-shizhen-4708?product=6847</t>
  </si>
  <si>
    <t>https://res.cloudinary.com/laboratoire-calebasse/image/upload/v1674569511/Li_shizhen_c57c1800ba.jpg</t>
  </si>
  <si>
    <t>sku-BK4201</t>
  </si>
  <si>
    <t>4708</t>
  </si>
  <si>
    <t>BK4202</t>
  </si>
  <si>
    <t>Illustration "Sun Simiao" - Gua hua "Sun Simiao" - 1 tableau</t>
  </si>
  <si>
    <t>https://calebasse.com/produits/gua-hua-sun-simiao-illustration-sun-simiao-4709?product=6848</t>
  </si>
  <si>
    <t>https://res.cloudinary.com/laboratoire-calebasse/image/upload/v1674569585/Sun_simiao_0b2da52da4.jpg</t>
  </si>
  <si>
    <t>sku-BK4202</t>
  </si>
  <si>
    <t>4709</t>
  </si>
  <si>
    <t>BK4204</t>
  </si>
  <si>
    <t>Illustration "Zhang Zhongjing" - Gua hua "Zhang Zhongjing" - 1 tableau</t>
  </si>
  <si>
    <t>https://calebasse.com/produits/gua-hua-zhang-zhongjing-illustration-zhang-zhongjing-4710?product=6849</t>
  </si>
  <si>
    <t>https://res.cloudinary.com/laboratoire-calebasse/image/upload/v1674569712/Zhang_zhongjing_bda2c237c4.jpg</t>
  </si>
  <si>
    <t>sku-BK4204</t>
  </si>
  <si>
    <t>4710</t>
  </si>
  <si>
    <t>BK4206</t>
  </si>
  <si>
    <t>Illustration"Hua tuo" - Gua hua "Hua tuo" - 1 tableau</t>
  </si>
  <si>
    <t>https://calebasse.com/produits/gua-hua-hua-tuo-illustrationhua-tuo-4702?product=6841</t>
  </si>
  <si>
    <t>https://res.cloudinary.com/laboratoire-calebasse/image/upload/v1674565907/Hua_tuo_c2647c3326.jpg</t>
  </si>
  <si>
    <t>sku-BK4206</t>
  </si>
  <si>
    <t>4702</t>
  </si>
  <si>
    <t>BMGXST</t>
  </si>
  <si>
    <t>Tisane Digestion des protéines - Mu gua xiao shi tang - 1 Petit Sachet plante 100g</t>
  </si>
  <si>
    <t>Pour mieux digérer les aliments riches. Ses principaux bienfaits : contribue à une bonne digestion, favorise le confort intestinal, favorise le fonctionnement du foie</t>
  </si>
  <si>
    <t>https://calebasse.com/produits/mu-gua-xiao-shi-tang-tisane-digestion-des-proteines-3986?product=4943</t>
  </si>
  <si>
    <t>https://res.cloudinary.com/laboratoire-calebasse/image/upload/v1752829535/TISANE_DIGESTION_DES_PROTEINES_100_g_BMGXST_df75c237bb.jpg</t>
  </si>
  <si>
    <t>3665346391518</t>
  </si>
  <si>
    <t>sku-BMGXST</t>
  </si>
  <si>
    <t>3986</t>
  </si>
  <si>
    <t>BMMC</t>
  </si>
  <si>
    <t>Tisane pour les yeux - Ming mu cha - 1 Petit Sachet plante 100g</t>
  </si>
  <si>
    <t>Pour apaiser la fatigue oculaire. Ses principaux bienfaits : détoxifie l'organisme, stimule le foie, apaiser la fatigue visuelle</t>
  </si>
  <si>
    <t>https://calebasse.com/produits/ming-mu-cha-tisane-pour-les-yeux-3985?product=4939</t>
  </si>
  <si>
    <t>https://res.cloudinary.com/laboratoire-calebasse/image/upload/v1746525261/TISANE_POUR_LES_YEUX_100_g_BMMC_0b03fb60fa.jpg</t>
  </si>
  <si>
    <t>3665346391419</t>
  </si>
  <si>
    <t>sku-BMMC</t>
  </si>
  <si>
    <t>3985</t>
  </si>
  <si>
    <t>BNJXLF</t>
  </si>
  <si>
    <t>Préparation pour vin chaud - 1 Petit Sachet plante 50g</t>
  </si>
  <si>
    <t>Pour réaliser la boisson phare de l'hiver. Ses principaux bienfaits : contribue à une bonne digestion, donne du tonus à l'organisme</t>
  </si>
  <si>
    <t>https://calebasse.com/produits/preparation-pour-vin-chaud-4696?product=6827</t>
  </si>
  <si>
    <t>https://res.cloudinary.com/laboratoire-calebasse/image/upload/v1746525300/PREPARATION_POUR_VIN_CHAUD_50_g_BNJXLF_7c57647599.jpg</t>
  </si>
  <si>
    <t>3665346400616</t>
  </si>
  <si>
    <t>sku-BNJXLF</t>
  </si>
  <si>
    <t>4696</t>
  </si>
  <si>
    <t>BNJXLFX2</t>
  </si>
  <si>
    <t>Préparation pour vin chaud - 2 Petits Sachets plantes 50g</t>
  </si>
  <si>
    <t>https://calebasse.com/produits/preparation-pour-vin-chaud-4696?product=7425</t>
  </si>
  <si>
    <t>https://res.cloudinary.com/laboratoire-calebasse/image/upload/v1753347217/_b236fed7ec.jpg</t>
  </si>
  <si>
    <t>sku-BNJXLFX2</t>
  </si>
  <si>
    <t>BNSQHBA</t>
  </si>
  <si>
    <t>Bain de pieds pour réchauffer le corps - Nuan shen qu han zu yu bao - 1 Petit Paquet plante 90g</t>
  </si>
  <si>
    <t xml:space="preserve"> Ses principaux bienfaits : stimule la circulation sanguine, réchauffe l’organisme Ses principaux bienfaits : stimule la circulation sanguine, réchauffe l’organisme</t>
  </si>
  <si>
    <t>https://calebasse.com/produits/nuan-shen-qu-han-pao-jiao-bao-bain-de-pieds-pour-rechauffer-le-corps-4550?product=6571</t>
  </si>
  <si>
    <t>https://res.cloudinary.com/laboratoire-calebasse/image/upload/v1744105376/bain_de_pieds_small_mockup_MAX_132f0dce11.jpg</t>
  </si>
  <si>
    <t>sku-BNSQHBA</t>
  </si>
  <si>
    <t>4550</t>
  </si>
  <si>
    <t>BNSQHBLA</t>
  </si>
  <si>
    <t>Bain de pieds pour réchauffer le corps - Nuan shen qu han zu yu bao - 1 Grand Paquet plante 300g</t>
  </si>
  <si>
    <t>https://calebasse.com/produits/nuan-shen-qu-han-pao-jiao-bao-bain-de-pieds-pour-rechauffer-le-corps-4550?product=6909</t>
  </si>
  <si>
    <t>https://res.cloudinary.com/laboratoire-calebasse/image/upload/v1744105341/bain_de_pieds_large_mockup_MAX_7529c4b5b0.jpg</t>
  </si>
  <si>
    <t>sku-BNSQHBLA</t>
  </si>
  <si>
    <t>BNSWSB</t>
  </si>
  <si>
    <t>Bain de pieds pour la vitalité de l'homme - Nan shi wen shen zu yu bao - 1 Petit Paquet plante 90g</t>
  </si>
  <si>
    <t xml:space="preserve"> Ses principaux bienfaits : améliore la vie sexuelle, tonifie le yang du rein, tonifie le qi du rein Ses principaux bienfaits : améliore la vie sexuelle, tonifie le yang du rein, tonifie le qi du rein</t>
  </si>
  <si>
    <t>https://calebasse.com/produits/nan-shi-wen-shen-pao-jiao-bao-bain-de-pieds-pour-la-vitalite-de-lhomme-4545?product=6574</t>
  </si>
  <si>
    <t>https://res.cloudinary.com/laboratoire-calebasse/image/upload/v1744105232/bain_de_pieds_small_mockup_MAX_33b885d3a9.jpg</t>
  </si>
  <si>
    <t>sku-BNSWSB</t>
  </si>
  <si>
    <t>4545</t>
  </si>
  <si>
    <t>BNSWSBL</t>
  </si>
  <si>
    <t>Bain de pieds pour la vitalité de l'homme - Nan shi wen shen zu yu bao - 1 Grand Paquet plante 300g</t>
  </si>
  <si>
    <t>https://calebasse.com/produits/nan-shi-wen-shen-pao-jiao-bao-bain-de-pieds-pour-la-vitalite-de-lhomme-4545?product=6905</t>
  </si>
  <si>
    <t>https://res.cloudinary.com/laboratoire-calebasse/image/upload/v1744105211/bain_de_pieds_large_mockup_MAX_4fd23af3d5.jpg</t>
  </si>
  <si>
    <t>sku-BNSWSBL</t>
  </si>
  <si>
    <t>BNWT</t>
  </si>
  <si>
    <t>Tisane Crudités - Nuan wei tang - 1 Petit Sachet plante 100g</t>
  </si>
  <si>
    <t>Pour mieux digérer les aliments lourds. Ses principaux bienfaits : contribue à une bonne digestion, réduire les flatulences et ballonnements, soulage les sensibilités de l'estomac</t>
  </si>
  <si>
    <t>https://calebasse.com/produits/nuan-wei-tang-tisane-crudites-3987?product=4944</t>
  </si>
  <si>
    <t>https://res.cloudinary.com/laboratoire-calebasse/image/upload/v1746525278/TISANE_CRUDITES_100_g_BNWT_a420f6021e.jpg</t>
  </si>
  <si>
    <t>3665346391617</t>
  </si>
  <si>
    <t>sku-BNWT</t>
  </si>
  <si>
    <t>3987</t>
  </si>
  <si>
    <t>BQFPD</t>
  </si>
  <si>
    <t>Qing fei pai du tang - 1 Petit Sachet plante 192g</t>
  </si>
  <si>
    <t>Pour soulager les inconforts respiratoires. Ses principaux bienfaits : apaise la gorge, clarifie la chaleur, libère les voies respiratoires, soutient les défenses naturelles</t>
  </si>
  <si>
    <t>https://calebasse.com/produits/qing-fei-pai-du-tang-4438?product=6293</t>
  </si>
  <si>
    <t>https://res.cloudinary.com/laboratoire-calebasse/image/upload/v1746526261/QING_FEI_PAI_DU_TANG_192_g_BQFPD_435b5db817.jpg</t>
  </si>
  <si>
    <t>3665346189825</t>
  </si>
  <si>
    <t>sku-BQFPD</t>
  </si>
  <si>
    <t>4438</t>
  </si>
  <si>
    <t>BQHNSC</t>
  </si>
  <si>
    <t>Tisane pour réchauffer le corps - Qu han nuan shen cha - 1 Petit Sachet plante 100g</t>
  </si>
  <si>
    <t>Pour réchauffer le corps. Ses principaux bienfaits : réchauffe le corps, tonifie le qi, aide à mieux vivre les règles</t>
  </si>
  <si>
    <t>https://calebasse.com/produits/qu-han-nuan-shen-cha-tisane-pour-rechauffer-le-corps-4540?product=6569</t>
  </si>
  <si>
    <t>https://res.cloudinary.com/laboratoire-calebasse/image/upload/v1759912016/RECHAUFFER_LE_CORPS_100_g_BQHNSC_da73d3f4bf.jpg</t>
  </si>
  <si>
    <t>3665346400913</t>
  </si>
  <si>
    <t>sku-BQHNSC</t>
  </si>
  <si>
    <t>4540</t>
  </si>
  <si>
    <t>BQHNSCX3</t>
  </si>
  <si>
    <t>Tisane pour réchauffer le corps - Qu han nuan shen cha - 3 Petits Sachets plantes 100g</t>
  </si>
  <si>
    <t>https://calebasse.com/produits/qu-han-nuan-shen-cha-tisane-pour-rechauffer-le-corps-4540?product=7361</t>
  </si>
  <si>
    <t>https://res.cloudinary.com/laboratoire-calebasse/image/upload/v1759912031/_3aee166c54.jpg</t>
  </si>
  <si>
    <t>sku-BQHNSCX3</t>
  </si>
  <si>
    <t>BQLTT</t>
  </si>
  <si>
    <t>Tisane Prostate - Qian lie tong tang - 1 Petit Sachet plante 100g</t>
  </si>
  <si>
    <t>Pour un confort urinaire et une prostate en bonne santé. Ses principaux bienfaits : aide au confort urinaire, préserve la fonction de la prostate</t>
  </si>
  <si>
    <t>https://calebasse.com/produits/qian-lie-tong-tang-tisane-prostate-3988?product=4946</t>
  </si>
  <si>
    <t>https://res.cloudinary.com/laboratoire-calebasse/image/upload/v1746524437/TISANE_PROSTATE_100_g_BQLTT_2e67aed6b4.jpg</t>
  </si>
  <si>
    <t>3665346391716</t>
  </si>
  <si>
    <t>sku-BQLTT</t>
  </si>
  <si>
    <t>3988</t>
  </si>
  <si>
    <t>BQMQXC</t>
  </si>
  <si>
    <t>Tisane Confort urinaire - Qu mai qing xia cha - 1 Petit Sachet plante 100g</t>
  </si>
  <si>
    <t>Pour retrouver le bien-être. Ses principaux bienfaits : détoxifie l'organisme, aide au confort urinaire, stimule les fonctions éliminatrices</t>
  </si>
  <si>
    <t>https://calebasse.com/produits/qu-mai-qing-xia-cha-tisane-confort-urinaire-3991?product=4951</t>
  </si>
  <si>
    <t>https://res.cloudinary.com/laboratoire-calebasse/image/upload/v1746527009/TISANE_CONFORT_URINAIRE_100_g_BQMQXC_2696b1fb8e.jpg</t>
  </si>
  <si>
    <t>3665346392010</t>
  </si>
  <si>
    <t>sku-BQMQXC</t>
  </si>
  <si>
    <t>3991</t>
  </si>
  <si>
    <t>BQSZMB</t>
  </si>
  <si>
    <t>Bain de pieds pour le sommeil - 1 Petit Paquet plante 90g</t>
  </si>
  <si>
    <t>Inspiré de la MTC, conçu pour accompagner le retour au calme en fin de journée, aider le corps à se libérer des excès accumulés et favoriser un sommeil plus serein. Ses principaux bienfaits : améliore la qualité du sommeil, clarifie la chaleur-humidité, soutient les fonctions d’élimination., détoxifie l’organisme, aide au confort urinaire</t>
  </si>
  <si>
    <t>https://calebasse.com/produits/qu-shi-zhu-mian-pao-jiao-bao-bain-de-pieds-pour-le-sommeil-4541?product=6906</t>
  </si>
  <si>
    <t>https://res.cloudinary.com/laboratoire-calebasse/image/upload/v1744104795/bain_de_pieds_small_mockup_MAX_792435ad7d.jpg</t>
  </si>
  <si>
    <t>sku-BQSZMB</t>
  </si>
  <si>
    <t>4541</t>
  </si>
  <si>
    <t>BQSZMBL</t>
  </si>
  <si>
    <t>Bain de pieds pour le sommeil - 1 Grand Paquet plante 300g</t>
  </si>
  <si>
    <t>https://calebasse.com/produits/qu-shi-zhu-mian-pao-jiao-bao-bain-de-pieds-pour-le-sommeil-4541?product=6570</t>
  </si>
  <si>
    <t>https://res.cloudinary.com/laboratoire-calebasse/image/upload/v1744104819/bain_de_pieds_large_mockup_MAX_62124a3bc6.jpg</t>
  </si>
  <si>
    <t>sku-BQSZMBL</t>
  </si>
  <si>
    <t>BRHC</t>
  </si>
  <si>
    <t>Tisane du Chanteur - Run hou cha - 1 Petit Sachet plante 100g</t>
  </si>
  <si>
    <t>Pour retrouver la voix. Ses principaux bienfaits : apaise la gorge, soulage la voix</t>
  </si>
  <si>
    <t>https://calebasse.com/produits/run-hou-cha-tisane-du-chanteur-3996?product=4956</t>
  </si>
  <si>
    <t>https://res.cloudinary.com/laboratoire-calebasse/image/upload/v1746526223/TISANE_DU_CHANTEUR_100_g_BRHC_d2037998e6.jpg</t>
  </si>
  <si>
    <t>3665346392218</t>
  </si>
  <si>
    <t>sku-BRHC</t>
  </si>
  <si>
    <t>3996</t>
  </si>
  <si>
    <t>BSBT</t>
  </si>
  <si>
    <t>Tisane Beauté - San bai tang - 1 Petit Sachet plante 100g</t>
  </si>
  <si>
    <t>Pour un teint unifié et éclatant. Ses principaux bienfaits : améliore l'apparence de la peau, retarde le vieillissement cutané</t>
  </si>
  <si>
    <t>https://calebasse.com/produits/san-bai-tang-tisane-beaute-4466?product=6490</t>
  </si>
  <si>
    <t>https://res.cloudinary.com/laboratoire-calebasse/image/upload/v1746523835/TISANE_BEAUTE_100_g_BSBT_a9d44df489.jpg</t>
  </si>
  <si>
    <t>3665346394519</t>
  </si>
  <si>
    <t>sku-BSBT</t>
  </si>
  <si>
    <t>4466</t>
  </si>
  <si>
    <t>BSBT+MA10177</t>
  </si>
  <si>
    <t>Tisane Beauté - San bai tang - Tisane Beauté &amp; Gua sha en corne de buffle</t>
  </si>
  <si>
    <t>https://calebasse.com/produits/san-bai-tang-tisane-beaute-4466?product=7433</t>
  </si>
  <si>
    <t>https://res.cloudinary.com/laboratoire-calebasse/image/upload/v1753350020/Tisane_beaute_gua_sha_4b69e7f6c4.jpg</t>
  </si>
  <si>
    <t>sku-BSBT+MA10177</t>
  </si>
  <si>
    <t>BSFHOAK</t>
  </si>
  <si>
    <t>Combo Herbe d’orge et Ashitaba (Angelica keiskei) - SuperGreen Silhouette &amp; Peau - 1 boîte de poudre - 100 g</t>
  </si>
  <si>
    <t>Goût végétal doux avec une touche tonique – un supergreen ciblé pour alléger la digestion, soutenir le métabolisme et raviver l’éclat de la peau. Ses principaux bienfaits : régule naturellement les graisses, favorise une peau nette et lumineuse, soutient la digestion et allège les ballonnements, effet alcalinisant et détox doux, source d’énergie végétale sans excitant</t>
  </si>
  <si>
    <t>https://calebasse.com/produits/combo-herbe-dorge-et-ashitaba-supergreen-silhouette-and-peau-5220?product=7595</t>
  </si>
  <si>
    <t>https://res.cloudinary.com/laboratoire-calebasse/image/upload/v1760706948/SG_ashitaba_a7a3a20870.jpg</t>
  </si>
  <si>
    <t>3665346229415</t>
  </si>
  <si>
    <t>sku-BSFHOAK</t>
  </si>
  <si>
    <t>Régule naturellement les graisses; Favorise une peau nette et lumineuse; Soutient la digestion et allège les ballonnements; Effet alcalinisant et détox doux; Source d’énergie végétale sans excitant</t>
  </si>
  <si>
    <t>https://res.cloudinary.com/laboratoire-calebasse/image/upload/v1760705805/1_05c7245a20.jpg; https://res.cloudinary.com/laboratoire-calebasse/image/upload/v1760705805/2_41994789d6.jpg; https://res.cloudinary.com/laboratoire-calebasse/image/upload/v1760705804/3_6ac90d2eb1.jpg; https://res.cloudinary.com/laboratoire-calebasse/image/upload/v1760705803/4_52ed392734.jpg; https://res.cloudinary.com/laboratoire-calebasse/image/upload/v1760705830/5_1_05fe141c94.jpg; https://res.cloudinary.com/laboratoire-calebasse/image/upload/v1761030798/4_0a9c78ca61.jpg</t>
  </si>
  <si>
    <t>5220</t>
  </si>
  <si>
    <t>BSFHOFM</t>
  </si>
  <si>
    <t>Combo Herbe d’Orge et extrait de feuilles de Mûrier - SuperGreen Equilibre Sucre - 1 boîte de poudre - 100 g</t>
  </si>
  <si>
    <t>Goût doux et végétal – un supergreen équilibrant, conçu pour soutenir la régulation naturelle du sucre, calmer les fringales et lisser les variations d’énergie au quotidien. Ses principaux bienfaits : aide à réguler naturellement le sucre, énergie stable sans pics ni creux, soutient la digestion et l’équilibre interne, riche en chlorophylle, fibres et antioxydants, alternative douce aux envies sucrées</t>
  </si>
  <si>
    <t>https://calebasse.com/produits/combo-herbe-dorge-et-extrait-de-feuilles-de-murier-supergreen-equilibre-sucre-5219?product=7594</t>
  </si>
  <si>
    <t>https://res.cloudinary.com/laboratoire-calebasse/image/upload/v1760457629/SG_murier_0fbaa087c8.jpg</t>
  </si>
  <si>
    <t>3665346229316</t>
  </si>
  <si>
    <t>sku-BSFHOFM</t>
  </si>
  <si>
    <t>Aide à réguler naturellement le sucre; Énergie stable sans pics ni creux; Soutient la digestion et l’équilibre interne; Riche en chlorophylle, fibres et antioxydants; Alternative douce aux envies sucrées</t>
  </si>
  <si>
    <t>https://res.cloudinary.com/laboratoire-calebasse/image/upload/v1760012694/1_6b216ad9a4.jpg; https://res.cloudinary.com/laboratoire-calebasse/image/upload/v1760012695/2_5fad882613.jpg; https://res.cloudinary.com/laboratoire-calebasse/image/upload/v1760012695/3_e16bd7763b.jpg; https://res.cloudinary.com/laboratoire-calebasse/image/upload/v1760012695/4_6c12697203.jpg; https://res.cloudinary.com/laboratoire-calebasse/image/upload/v1760012740/5_9db50ee6cb.jpg; https://res.cloudinary.com/laboratoire-calebasse/image/upload/v1760012740/6_f4b9463f13.jpg; https://res.cloudinary.com/laboratoire-calebasse/image/upload/v1761030798/1_2f8de76238.jpg</t>
  </si>
  <si>
    <t>5219</t>
  </si>
  <si>
    <t>BSJHLB</t>
  </si>
  <si>
    <t>Bain de pieds pour la circulation et les articulations - Shu jin huo luo zu yu bao - 1 Petit Paquet plante 90g</t>
  </si>
  <si>
    <t xml:space="preserve"> Ses principaux bienfaits : stimule la circulation sanguine Ses principaux bienfaits : stimule la circulation sanguine</t>
  </si>
  <si>
    <t>https://calebasse.com/produits/shu-jin-huo-luo-pao-jiao-bao-bain-de-pieds-pour-la-circulation-et-les-articulations-4552?product=6572</t>
  </si>
  <si>
    <t>https://res.cloudinary.com/laboratoire-calebasse/image/upload/v1744105433/bain_de_pieds_small_mockup_MAX_93e9246b98.jpg</t>
  </si>
  <si>
    <t>sku-BSJHLB</t>
  </si>
  <si>
    <t>4552</t>
  </si>
  <si>
    <t>BSJHLBL</t>
  </si>
  <si>
    <t>Bain de pieds pour la circulation et les articulations - Shu jin huo luo zu yu bao - 1 Grand Paquet plante 300g</t>
  </si>
  <si>
    <t>https://calebasse.com/produits/shu-jin-huo-luo-pao-jiao-bao-bain-de-pieds-pour-la-circulation-et-les-articulations-4552?product=6903</t>
  </si>
  <si>
    <t>https://res.cloudinary.com/laboratoire-calebasse/image/upload/v1744105408/bain_de_pieds_large_mockup_MAX_0dfa58d310.jpg</t>
  </si>
  <si>
    <t>sku-BSJHLBL</t>
  </si>
  <si>
    <t>BSMT</t>
  </si>
  <si>
    <t>Boisson à base de prunes chinoises - Suan mei tang - 1 Petit Sachet plante 50g</t>
  </si>
  <si>
    <t>Pour hydrater votre organisme et prendre soin de votre santé. Ses principaux bienfaits : clarifie la chaleur, contribue à une bonne digestion, apaise la soif</t>
  </si>
  <si>
    <t>https://calebasse.com/produits/suan-mei-tang-boisson-a-base-de-prunes-chinoises-4468?product=6496</t>
  </si>
  <si>
    <t>https://res.cloudinary.com/laboratoire-calebasse/image/upload/v1746534108/BOISSON_A_BASE_DE_PRUNES_CHINOISES_50_g_BSMT_4d419f20e5.jpg</t>
  </si>
  <si>
    <t>3665346394717</t>
  </si>
  <si>
    <t>sku-BSMT</t>
  </si>
  <si>
    <t>https://res.cloudinary.com/laboratoire-calebasse/image/upload/v1751552234/suan_mei_tang_boisson_ete_1_1a4f741d83.jpg; https://res.cloudinary.com/laboratoire-calebasse/image/upload/v1751552233/suan_mei_tang_boisson_ete_2_22bb5d71f7.jpg; https://res.cloudinary.com/laboratoire-calebasse/image/upload/v1751552233/suan_mei_tang_boisson_ete_3_3ac5e5cbea.jpg; https://res.cloudinary.com/laboratoire-calebasse/image/upload/v1751552234/suan_mei_tang_boisson_ete_6_f83772c1ef.jpg; https://res.cloudinary.com/laboratoire-calebasse/image/upload/v1751552234/suan_mei_tang_boisson_ete_4_93f5edb3d2.jpg; https://res.cloudinary.com/laboratoire-calebasse/image/upload/v1751552234/suan_mei_tang_boisson_ete_5_fc04add5c6.jpg</t>
  </si>
  <si>
    <t>4468</t>
  </si>
  <si>
    <t>BSMT3</t>
  </si>
  <si>
    <t>Boisson à base de prunes chinoises - Suan mei tang - 3 Petits Sachets plantes 50g</t>
  </si>
  <si>
    <t>https://calebasse.com/produits/suan-mei-tang-boisson-a-base-de-prunes-chinoises-4468?product=6497</t>
  </si>
  <si>
    <t>https://res.cloudinary.com/laboratoire-calebasse/image/upload/v1750753763/Suan_Mei_Tang_Bundle_3_8131e1feef.png</t>
  </si>
  <si>
    <t>sku-BSMT3</t>
  </si>
  <si>
    <t>BSMY</t>
  </si>
  <si>
    <t>Décoction du pouls et de la vie - Sheng mai yin - 1 Petit Sachet plante 100g</t>
  </si>
  <si>
    <t>Pour la santé du coeur. Ses principaux bienfaits : stimule la circulation sanguine, favorise le confort cardiovasculaire, contribue à la santé des séniors</t>
  </si>
  <si>
    <t>https://calebasse.com/produits/sheng-mai-yin-decoction-du-pouls-et-de-la-vie-3994?product=4962</t>
  </si>
  <si>
    <t>https://res.cloudinary.com/laboratoire-calebasse/image/upload/v1746526719/DECOCTION_DU_POULS_ET_DE_LA_VIE_100_g_BSMY_3f242787ac.jpg</t>
  </si>
  <si>
    <t>3665346392515</t>
  </si>
  <si>
    <t>sku-BSMY</t>
  </si>
  <si>
    <t>3994</t>
  </si>
  <si>
    <t>BSST</t>
  </si>
  <si>
    <t>Si shen tang - 1 Petit Sachet plante 100g</t>
  </si>
  <si>
    <t>Pour éliminer l’Humidité et tonifier la Rate. Ses principaux bienfaits : contribue à une bonne digestion, stimule l'appétit, renforce la rate</t>
  </si>
  <si>
    <t>https://calebasse.com/produits/si-shen-tang-4475?product=6505</t>
  </si>
  <si>
    <t>https://res.cloudinary.com/laboratoire-calebasse/image/upload/v1746524597/SI_SHEN_TANG_100_g_BSST_4a756cc203.jpg</t>
  </si>
  <si>
    <t>3665346394816</t>
  </si>
  <si>
    <t>sku-BSST</t>
  </si>
  <si>
    <t>4475</t>
  </si>
  <si>
    <t>BSZSST</t>
  </si>
  <si>
    <t>Tisane Mobilité des épaules - Sang zhi sheng shi tang - 1 Petit Sachet plante 100g</t>
  </si>
  <si>
    <t>Pour préserver la mobilité des épaules. Ses principaux bienfaits : favorise le confort articulaire, décontracte les muscles, contribue à la santé des séniors</t>
  </si>
  <si>
    <t>https://calebasse.com/produits/sang-zhi-sheng-shi-tang-tisane-mobilite-des-epaules-3995?product=4958</t>
  </si>
  <si>
    <t>https://res.cloudinary.com/laboratoire-calebasse/image/upload/v1746525807/TISANE_MOBILITE_DES_EPAULES_100_g_BSZSST_495ad432ea.jpg</t>
  </si>
  <si>
    <t>3665346392317</t>
  </si>
  <si>
    <t>sku-BSZSST</t>
  </si>
  <si>
    <t>3995</t>
  </si>
  <si>
    <t>BTJZTT</t>
  </si>
  <si>
    <t>Tisane Règles difficiles - Tong jing zhi tong tang - 1 Petit Sachet plante 100g</t>
  </si>
  <si>
    <t>Pour apaiser les crampes et activer la circulation pour un cycle plus fluide et sans douleur Ses principaux bienfaits : diminuer les désagréments pendant les règles, contribue à réguler le cycle, aide à mieux vivre les règles</t>
  </si>
  <si>
    <t>https://calebasse.com/produits/tong-jing-zhi-tong-tang-tisane-regles-difficiles-3999?product=4968</t>
  </si>
  <si>
    <t>https://res.cloudinary.com/laboratoire-calebasse/image/upload/v1746526750/TISANE_REGLES_DIFFICILES_100_g_BTJZTT_cd28adbb6b.jpg</t>
  </si>
  <si>
    <t>3665346392812</t>
  </si>
  <si>
    <t>sku-BTJZTT</t>
  </si>
  <si>
    <t>3999</t>
  </si>
  <si>
    <t>BWGNJB</t>
  </si>
  <si>
    <t>Bain de pieds pour les troubles du cycle - Wen gong nuan jing zu yu bao - 1 Petit Paquet plante 90g</t>
  </si>
  <si>
    <t xml:space="preserve"> Ses principaux bienfaits : stimule la circulation sanguine, aide à mieux vivre les règles, favorise l’équilibre féminin Ses principaux bienfaits : stimule la circulation sanguine, aide à mieux vivre les règles, favorise l’équilibre féminin</t>
  </si>
  <si>
    <t>https://calebasse.com/produits/wen-gong-nuan-jing-pao-jiao-bao-bain-de-pieds-pour-les-troubles-du-cycle-4553?product=6576</t>
  </si>
  <si>
    <t>https://res.cloudinary.com/laboratoire-calebasse/image/upload/v1744105505/bain_de_pieds_small_mockup_MAX_fa0cc0c75b.jpg</t>
  </si>
  <si>
    <t>sku-BWGNJB</t>
  </si>
  <si>
    <t>4553</t>
  </si>
  <si>
    <t>BWGNJBL</t>
  </si>
  <si>
    <t>Bain de pieds pour les troubles du cycle - Wen gong nuan jing zu yu bao - 1 Grand Packet plante 300g</t>
  </si>
  <si>
    <t>https://calebasse.com/produits/wen-gong-nuan-jing-pao-jiao-bao-bain-de-pieds-pour-les-troubles-du-cycle-4553?product=6907</t>
  </si>
  <si>
    <t>https://res.cloudinary.com/laboratoire-calebasse/image/upload/v1744105466/bain_de_pieds_large_mockup_MAX_1d1acefe9c.jpg</t>
  </si>
  <si>
    <t>sku-BWGNJBL</t>
  </si>
  <si>
    <t>BWHT</t>
  </si>
  <si>
    <t>Tisane Beauté des cheveux - Wu hei tang - 1 Petit Sachet plante 100g</t>
  </si>
  <si>
    <t>Pour des cheveux nourris et pleins de vitalité. Ses principaux bienfaits : renforce la santé capillaire, favorise la pousse du cheveu</t>
  </si>
  <si>
    <t>https://calebasse.com/produits/wu-hei-tang-tisane-beaute-des-cheveux-4784?product=6988</t>
  </si>
  <si>
    <t>https://res.cloudinary.com/laboratoire-calebasse/image/upload/v1746524090/TISANE_BEAUTE_DES_CHEVEUX_100_g_BWHT_672deb4736.jpg</t>
  </si>
  <si>
    <t>3665346396711</t>
  </si>
  <si>
    <t>sku-BWHT</t>
  </si>
  <si>
    <t>4784</t>
  </si>
  <si>
    <t>BWWJTT</t>
  </si>
  <si>
    <t>Tisane Équilibre du sucre - Wu wei jiang tang tang - 1 Petit Sachet plante 100g</t>
  </si>
  <si>
    <t>Pour équilibrer le sucre. Ses principaux bienfaits : stimule la circulation sanguine, contribue à équilibrer le sucre</t>
  </si>
  <si>
    <t>https://calebasse.com/produits/wu-wei-jiang-tang-tang-tisane-equilibre-du-sucre-4001?product=4972</t>
  </si>
  <si>
    <t>https://res.cloudinary.com/laboratoire-calebasse/image/upload/v1746524056/TISANE_EQUILIBRE_DU_SUCRE_100_g_BWWJTT_b97fe0905a.jpg</t>
  </si>
  <si>
    <t>3665346392911</t>
  </si>
  <si>
    <t>sku-BWWJTT</t>
  </si>
  <si>
    <t>4001</t>
  </si>
  <si>
    <t>BXSC</t>
  </si>
  <si>
    <t>Tisane digestive détox - Xiao shi cha - 1 Petit Sachet plante 100g</t>
  </si>
  <si>
    <t>Confort digestif Ses principaux bienfaits : calme la chaleur et élimine les toxines, stimule les fonctions digestives, apaise le stress</t>
  </si>
  <si>
    <t>https://calebasse.com/produits/xiao-shi-cha-tisane-digestive-detox-5091?product=7327</t>
  </si>
  <si>
    <t>https://res.cloudinary.com/laboratoire-calebasse/image/upload/v1746526201/TISANE_DIGESTIVE_DETOX_100_g_BXSC_ebc35cef3d.jpg</t>
  </si>
  <si>
    <t>3665346396919</t>
  </si>
  <si>
    <t>sku-BXSC</t>
  </si>
  <si>
    <t>5091</t>
  </si>
  <si>
    <t>BXST</t>
  </si>
  <si>
    <t>Tisane Post - prandiale - Xiao shi tang - 1 Petit Sachet plante 100g</t>
  </si>
  <si>
    <t>Pour apaiser les lourdeurs d’estomac. Ses principaux bienfaits : contribue à une bonne digestion, apaise les nausées, soulage les sensibilités de l'estomac, favorise le fonctionnement du foie</t>
  </si>
  <si>
    <t>https://calebasse.com/produits/xiao-shi-tang-tisane-post-prandiale-4003?product=4976</t>
  </si>
  <si>
    <t>https://res.cloudinary.com/laboratoire-calebasse/image/upload/v1759305366/TISANE_POST_PRANDIALE_100_g_BXST_77039619ef.jpg</t>
  </si>
  <si>
    <t>3665346393116</t>
  </si>
  <si>
    <t>sku-BXST</t>
  </si>
  <si>
    <t>4003</t>
  </si>
  <si>
    <t>BXXF</t>
  </si>
  <si>
    <t>Tisane pour toilette intime - Xun xi fang - 1 Petit Sachet plante 150g</t>
  </si>
  <si>
    <t>Pour préserver le confort intime. Ses principaux bienfaits : favorise l'équilibre féminin</t>
  </si>
  <si>
    <t>https://calebasse.com/produits/xun-xi-fang-tisane-pour-toilette-intime-4435?product=6433</t>
  </si>
  <si>
    <t>https://res.cloudinary.com/laboratoire-calebasse/image/upload/v1746526442/TISANE_POUR_TOILETTE_INTIME_150_g_BXXF_39ec5647fd.jpg</t>
  </si>
  <si>
    <t>3665346395615</t>
  </si>
  <si>
    <t>sku-BXXF</t>
  </si>
  <si>
    <t>4435</t>
  </si>
  <si>
    <t>BYPFT</t>
  </si>
  <si>
    <t>Yu Ping Feng Tang - Tisane défenses immunitaires - Yu ping feng tang - Format &lt;b&gt;Tisane&lt;/b&gt; : 100g de plantes concassées - savoureuses</t>
  </si>
  <si>
    <t>Pour booster l'immunité. Ses principaux bienfaits : tonifie le qi, donne du tonus à l'organisme, soutient les défenses naturelles</t>
  </si>
  <si>
    <t>https://calebasse.com/produits/yu-ping-feng-tang-tisane-defenses-immunitaires-4004?product=4978</t>
  </si>
  <si>
    <t>https://res.cloudinary.com/laboratoire-calebasse/image/upload/v1746526588/YU_PING_FENG_TANG_100_g_BYPFT_4997cf68b0.jpg</t>
  </si>
  <si>
    <t>3665346393215</t>
  </si>
  <si>
    <t>sku-BYPFT</t>
  </si>
  <si>
    <t>4004</t>
  </si>
  <si>
    <t>BYZCPS</t>
  </si>
  <si>
    <t>Tisane Mémoire et concentration - Yuan zhi chang pu san - 1 Petit Sachet plante 100g</t>
  </si>
  <si>
    <t>Pour améliorer les capacités intellectuelles. Ses principaux bienfaits : chasse la nervosité, stimule la mémoire et les capacités intellectuelles, améliore la concentration</t>
  </si>
  <si>
    <t>https://calebasse.com/produits/yuan-zhi-chang-pu-san-tisane-memoire-et-concentration-4005?product=4979</t>
  </si>
  <si>
    <t>https://res.cloudinary.com/laboratoire-calebasse/image/upload/v1746529225/TISANE_MEMOIRE_ET_CONCENTRATION_100_g_BYZCPS_77241b1d1d.jpg</t>
  </si>
  <si>
    <t>3665346393413</t>
  </si>
  <si>
    <t>sku-BYZCPS</t>
  </si>
  <si>
    <t>4005</t>
  </si>
  <si>
    <t>BZQT</t>
  </si>
  <si>
    <t>Tisane Ballonnements - Zhang qi tang - 1 Petit Sachet plante 100g</t>
  </si>
  <si>
    <t>Pour soulager les ballonnements. Ses principaux bienfaits : contribue à une bonne digestion, réduire les flatulences et ballonnements</t>
  </si>
  <si>
    <t>https://calebasse.com/produits/zhang-qi-tang-tisane-ballonnements-4006?product=4982</t>
  </si>
  <si>
    <t>https://res.cloudinary.com/laboratoire-calebasse/image/upload/v1746528016/TISANE_BALLONNEMENTS_100_g_BZQT_03d3a9f568.jpg</t>
  </si>
  <si>
    <t>3665346393314</t>
  </si>
  <si>
    <t>sku-BZQT</t>
  </si>
  <si>
    <t>4006</t>
  </si>
  <si>
    <t>BZQTX3</t>
  </si>
  <si>
    <t>Tisane Ballonnements - Zhang qi tang - 3 Petits Sachets plantes 100g</t>
  </si>
  <si>
    <t>https://calebasse.com/produits/zhang-qi-tang-tisane-ballonnements-4006?product=7368</t>
  </si>
  <si>
    <t>https://res.cloudinary.com/laboratoire-calebasse/image/upload/v1753347703/_462f7d5c9c.jpg</t>
  </si>
  <si>
    <t>sku-BZQTX3</t>
  </si>
  <si>
    <t>CAMP</t>
  </si>
  <si>
    <t>An mian pian - 1 flacon de 100 gélules - 50g</t>
  </si>
  <si>
    <t>Pour un esprit serein et reposé. Ses principaux bienfaits : facilite l'endormissement, améliore la qualité du sommeil, calme le stress passagère</t>
  </si>
  <si>
    <t>https://calebasse.com/produits/an-mian-pian-4008?product=4984</t>
  </si>
  <si>
    <t>https://res.cloudinary.com/laboratoire-calebasse/image/upload/v1753350957/AN_MIAN_PIAN_CAMP_498898c071.jpg</t>
  </si>
  <si>
    <t>3665346319857</t>
  </si>
  <si>
    <t>sku-CAMP</t>
  </si>
  <si>
    <t>Santé &amp; Bien-être &gt; Compléments alimentaires &gt; Formules traditionnelles &gt; EXAD</t>
  </si>
  <si>
    <t>4008</t>
  </si>
  <si>
    <t>2890</t>
  </si>
  <si>
    <t>CAMPCP</t>
  </si>
  <si>
    <t>An mian pian - 1 flacon de poudre concentrée - 100g</t>
  </si>
  <si>
    <t>https://calebasse.com/produits/an-mian-pian-4008?product=4986</t>
  </si>
  <si>
    <t>https://res.cloudinary.com/laboratoire-calebasse/image/upload/v1753350976/AN_MIAN_PIAN_CAMPCP_f710b666c5.jpg</t>
  </si>
  <si>
    <t>3665346319833</t>
  </si>
  <si>
    <t>sku-CAMPCP</t>
  </si>
  <si>
    <t>CASBX</t>
  </si>
  <si>
    <t>An shen bu xin wan - 1 flacon de 100 gélules - 50g</t>
  </si>
  <si>
    <t>Pour retrouver la tranquillité. Ses principaux bienfaits : tranquillise le shen, tonifie le qi du coeur</t>
  </si>
  <si>
    <t>https://calebasse.com/produits/an-shen-bu-xin-wan-4007?product=4988</t>
  </si>
  <si>
    <t>https://res.cloudinary.com/laboratoire-calebasse/image/upload/v1753785730/AN_SHEN_BU_XIN_WAN_CASBX_Gelule_428213a3d6.jpg</t>
  </si>
  <si>
    <t>3665346300152</t>
  </si>
  <si>
    <t>sku-CASBX</t>
  </si>
  <si>
    <t>4007</t>
  </si>
  <si>
    <t>CASBXCP</t>
  </si>
  <si>
    <t>An shen bu xin wan - 1 flacon de poudre concentrée - 100g</t>
  </si>
  <si>
    <t>https://calebasse.com/produits/an-shen-bu-xin-wan-4007?product=4990</t>
  </si>
  <si>
    <t>https://res.cloudinary.com/laboratoire-calebasse/image/upload/v1753102323/AN_SHEN_BU_XIN_WAN_CASBXCP_Poudre_26be43f829.jpg</t>
  </si>
  <si>
    <t>3665346300138</t>
  </si>
  <si>
    <t>sku-CASBXCP</t>
  </si>
  <si>
    <t>CASDZW</t>
  </si>
  <si>
    <t>An shen ding zhi wan - 1 Flacon gélules en poudre concentrée 50g</t>
  </si>
  <si>
    <t>https://calebasse.com/produits/an-shen-ding-zhi-wan-4901?product=7108</t>
  </si>
  <si>
    <t>https://res.cloudinary.com/laboratoire-calebasse/image/upload/v1753350996/AN_SHEN_DING_ZHI_WAN_CASDZW_215b7991ec.jpg</t>
  </si>
  <si>
    <t>3665346321454</t>
  </si>
  <si>
    <t>sku-CASDZW</t>
  </si>
  <si>
    <t>4901</t>
  </si>
  <si>
    <t>CBFT</t>
  </si>
  <si>
    <t>Bu fei tang - 1 flacon de 100 gélules - 50g</t>
  </si>
  <si>
    <t>Pour le vide de Qi du Poumon. Ses principaux bienfaits : libère les voies respiratoires</t>
  </si>
  <si>
    <t>https://calebasse.com/produits/bu-fei-tang-4386?product=6313</t>
  </si>
  <si>
    <t>https://res.cloudinary.com/laboratoire-calebasse/image/upload/v1634201188/bu_fei_tang_d2255eb51b.jpg</t>
  </si>
  <si>
    <t>3665346321553</t>
  </si>
  <si>
    <t>sku-CBFT</t>
  </si>
  <si>
    <t>4386</t>
  </si>
  <si>
    <t>CBFTCP</t>
  </si>
  <si>
    <t>Bu fei tang - 1 flacon de poudre concentrée - 100g</t>
  </si>
  <si>
    <t>https://calebasse.com/produits/bu-fei-tang-4386?product=6315</t>
  </si>
  <si>
    <t>https://res.cloudinary.com/laboratoire-calebasse/image/upload/v1753103789/BU_FEI_TANG_CBFTCP_Poudre_26be6dec7f.jpg</t>
  </si>
  <si>
    <t>3665346321539</t>
  </si>
  <si>
    <t>sku-CBFTCP</t>
  </si>
  <si>
    <t>CBHGJW</t>
  </si>
  <si>
    <t>Bai he gu jin wan - 1 flacon de 100 gélules - 50g</t>
  </si>
  <si>
    <t>https://calebasse.com/produits/bai-he-gu-jin-wan-4012?product=5004</t>
  </si>
  <si>
    <t>https://res.cloudinary.com/laboratoire-calebasse/image/upload/v1759401855/BAI_HE_GU_JIN_WAN_CBHGJW_Gelule_5d97d0b356.jpg</t>
  </si>
  <si>
    <t>3665346300459</t>
  </si>
  <si>
    <t>sku-CBHGJW</t>
  </si>
  <si>
    <t>4012</t>
  </si>
  <si>
    <t>CBHGJWCP</t>
  </si>
  <si>
    <t>Bai he gu jin wan - 1 flacon de poudre concentrée - 100g</t>
  </si>
  <si>
    <t>https://calebasse.com/produits/bai-he-gu-jin-wan-4012?product=5006</t>
  </si>
  <si>
    <t>https://res.cloudinary.com/laboratoire-calebasse/image/upload/v1753102429/BAI_HE_GU_JIN_WAN_CBHGJWCP_Poudre_64ff1f32e0.jpg</t>
  </si>
  <si>
    <t>3665346300435</t>
  </si>
  <si>
    <t>sku-CBHGJWCP</t>
  </si>
  <si>
    <t>CBHW</t>
  </si>
  <si>
    <t>Bao he wan - 1 flacon de 100 gélules - 50g</t>
  </si>
  <si>
    <t>Pour harmoniser l'Estomac. Ses principaux bienfaits : harmonise l'estomac</t>
  </si>
  <si>
    <t>https://calebasse.com/produits/bao-he-wan-4018?product=5028</t>
  </si>
  <si>
    <t>https://res.cloudinary.com/laboratoire-calebasse/image/upload/v1753785752/BAO_HE_WAN_CBHW_5464099371.jpg</t>
  </si>
  <si>
    <t>3665346301050</t>
  </si>
  <si>
    <t>sku-CBHW</t>
  </si>
  <si>
    <t>4018</t>
  </si>
  <si>
    <t>CBHWCP</t>
  </si>
  <si>
    <t>Bao he wan - 1 flacon de poudre concentrée - 100g</t>
  </si>
  <si>
    <t>https://calebasse.com/produits/bao-he-wan-4018?product=5030</t>
  </si>
  <si>
    <t>https://res.cloudinary.com/laboratoire-calebasse/image/upload/v1753102507/BAO_HE_WAN_CBHWCP_7c66577f11.jpg</t>
  </si>
  <si>
    <t>3665346301036</t>
  </si>
  <si>
    <t>sku-CBHWCP</t>
  </si>
  <si>
    <t>CBJW</t>
  </si>
  <si>
    <t>Po chaï pills - Bao ji wan - 1 flacon de 100 gélules - 50g</t>
  </si>
  <si>
    <t>Pour soulager les inconforts digestifs. Ses principaux bienfaits : contribue à une bonne digestion, favorise le confort intestinal</t>
  </si>
  <si>
    <t>https://calebasse.com/produits/bao-ji-wan-po-chai-pills-4019?product=5031</t>
  </si>
  <si>
    <t>https://res.cloudinary.com/laboratoire-calebasse/image/upload/v1753104717/PO_CHAI_PILLS_CBJW_efc6382e74.jpg</t>
  </si>
  <si>
    <t>3665346301159</t>
  </si>
  <si>
    <t>sku-CBJW</t>
  </si>
  <si>
    <t>4019</t>
  </si>
  <si>
    <t>CBJWCP</t>
  </si>
  <si>
    <t>Po chaï pills - Bao ji wan - 1 flacon de poudre concentrée - 100g</t>
  </si>
  <si>
    <t>https://calebasse.com/produits/bao-ji-wan-po-chai-pills-4019?product=5034</t>
  </si>
  <si>
    <t>https://res.cloudinary.com/laboratoire-calebasse/image/upload/v1753104728/PO_CHAI_PILLS_CBJWCP_4e1f8107f0.jpg</t>
  </si>
  <si>
    <t>3665346301135</t>
  </si>
  <si>
    <t>sku-CBJWCP</t>
  </si>
  <si>
    <t>CBNASW</t>
  </si>
  <si>
    <t>Bu nao an shen wan - 1 flacon de 100 gélules - 50g</t>
  </si>
  <si>
    <t>Pour nourrir le Qi et rafraîchir le Shen. Ses principaux bienfaits : tranquillise le shen, nourrit le sang et le qi</t>
  </si>
  <si>
    <t>https://calebasse.com/produits/bu-nao-an-shen-wan-4021?product=5044</t>
  </si>
  <si>
    <t>https://res.cloudinary.com/laboratoire-calebasse/image/upload/v1753103806/BU_NAO_AN_SHEN_WAN_CBNASW_b2c91b6a5a.jpg</t>
  </si>
  <si>
    <t>3665346301357</t>
  </si>
  <si>
    <t>sku-CBNASW</t>
  </si>
  <si>
    <t>4021</t>
  </si>
  <si>
    <t>CBNASWCP</t>
  </si>
  <si>
    <t>Bu nao an shen wan - 1 flacon de poudre concentrée - 100g</t>
  </si>
  <si>
    <t>https://calebasse.com/produits/bu-nao-an-shen-wan-4021?product=5046</t>
  </si>
  <si>
    <t>https://res.cloudinary.com/laboratoire-calebasse/image/upload/v1753103822/BU_NAO_AN_SHEN_WAN_CBNASWCP_c4f8a98b43.jpg</t>
  </si>
  <si>
    <t>3665346301333</t>
  </si>
  <si>
    <t>sku-CBNASWCP</t>
  </si>
  <si>
    <t>CBNW</t>
  </si>
  <si>
    <t>Bu nao wan - 1 flacon de 100 gélules - 50g</t>
  </si>
  <si>
    <t>Pour recouvrer le bien-être physique et mental. Ses principaux bienfaits : tonifie le qi, recommandée aux étudiants</t>
  </si>
  <si>
    <t>https://calebasse.com/produits/bu-nao-wan-4387?product=6317</t>
  </si>
  <si>
    <t>https://res.cloudinary.com/laboratoire-calebasse/image/upload/v1753351253/BU_NAO_WAN_CBNW_4f16c931d3.jpg</t>
  </si>
  <si>
    <t>3665346320051</t>
  </si>
  <si>
    <t>sku-CBNW</t>
  </si>
  <si>
    <t>4387</t>
  </si>
  <si>
    <t>CBNWCP</t>
  </si>
  <si>
    <t>Bu nao wan - 1 flacon de poudre concentrée - 100g</t>
  </si>
  <si>
    <t>https://calebasse.com/produits/bu-nao-wan-4387?product=6319</t>
  </si>
  <si>
    <t>https://res.cloudinary.com/laboratoire-calebasse/image/upload/v1753351265/BU_NAO_WAN_CBNWCP_21d14b61d9.jpg</t>
  </si>
  <si>
    <t>3665346320037</t>
  </si>
  <si>
    <t>sku-CBNWCP</t>
  </si>
  <si>
    <t>CBPYCW</t>
  </si>
  <si>
    <t>Bu pi yi chang wan - 1 flacon de 100 gélules - 50g</t>
  </si>
  <si>
    <t>Pour retrouver le confort. Ses principaux bienfaits : favorise le confort de l’estomac</t>
  </si>
  <si>
    <t>https://calebasse.com/produits/bu-pi-yi-chang-wan-4024?product=5048</t>
  </si>
  <si>
    <t>https://res.cloudinary.com/laboratoire-calebasse/image/upload/v1753351283/BU_PI_YI_CHANG_WAN_CBPYCW_019174f9a6.jpg</t>
  </si>
  <si>
    <t>3665346301456</t>
  </si>
  <si>
    <t>sku-CBPYCW</t>
  </si>
  <si>
    <t>4024</t>
  </si>
  <si>
    <t>CBPYCWCP</t>
  </si>
  <si>
    <t>Bu pi yi chang wan - 1 flacon de poudre concentrée - 100g</t>
  </si>
  <si>
    <t>https://calebasse.com/produits/bu-pi-yi-chang-wan-4024?product=5051</t>
  </si>
  <si>
    <t>https://res.cloudinary.com/laboratoire-calebasse/image/upload/v1753351295/BU_PI_YI_CHANG_WAN_CBPYCWCP_6c9d697e1f.jpg</t>
  </si>
  <si>
    <t>3665346301432</t>
  </si>
  <si>
    <t>sku-CBPYCWCP</t>
  </si>
  <si>
    <t>CBWDHW</t>
  </si>
  <si>
    <t>Ba wei di huang wan - 1 flacon de 100 gélules - 50g</t>
  </si>
  <si>
    <t>Pour réchauffer et tonifier le Yang des Reins. Ses principaux bienfaits : tonifie le yang du rein</t>
  </si>
  <si>
    <t>https://calebasse.com/produits/ba-wei-di-huang-wan-4009?product=4992</t>
  </si>
  <si>
    <t>https://res.cloudinary.com/laboratoire-calebasse/image/upload/v1753102364/BA_WEI_DI_HUANG_WAN_CBWDHW_Gelule_9ee677ee34.jpg</t>
  </si>
  <si>
    <t>3665346319956</t>
  </si>
  <si>
    <t>sku-CBWDHW</t>
  </si>
  <si>
    <t>4009</t>
  </si>
  <si>
    <t>CBWDHWCP</t>
  </si>
  <si>
    <t>Ba wei di huang wan - 1 flacon de poudre concentrée - 100g</t>
  </si>
  <si>
    <t>https://calebasse.com/produits/ba-wei-di-huang-wan-4009?product=4994</t>
  </si>
  <si>
    <t>https://res.cloudinary.com/laboratoire-calebasse/image/upload/v1753102354/BA_WEI_DI_HUANG_WAN_6909f3ce55.jpg</t>
  </si>
  <si>
    <t>3665346319932</t>
  </si>
  <si>
    <t>sku-CBWDHWCP</t>
  </si>
  <si>
    <t>CBXQST</t>
  </si>
  <si>
    <t>Bi xie qu shi tang - 1 flacon de 100 gélules - 50g</t>
  </si>
  <si>
    <t>Pour éliminer la Chaleur-Humidité. Ses principaux bienfaits : clarifie la chaleur</t>
  </si>
  <si>
    <t>https://calebasse.com/produits/bi-xie-qu-shi-tang-4420?product=6400</t>
  </si>
  <si>
    <t>https://res.cloudinary.com/laboratoire-calebasse/image/upload/v1753351200/BI_XIE_QU_SHI_TANG_CBXQST_a0cf267eb5.jpg</t>
  </si>
  <si>
    <t>3665346321355</t>
  </si>
  <si>
    <t>sku-CBXQST</t>
  </si>
  <si>
    <t>4420</t>
  </si>
  <si>
    <t>CBXQSTCP</t>
  </si>
  <si>
    <t>Bi xie qu shi tang - 1 flacon de poudre concentrée - 100g</t>
  </si>
  <si>
    <t>https://calebasse.com/produits/bi-xie-qu-shi-tang-4420?product=6402</t>
  </si>
  <si>
    <t>https://res.cloudinary.com/laboratoire-calebasse/image/upload/v1753351212/BI_XIE_QU_SHI_TANG_CBXQSTCP_41e3c59956.jpg</t>
  </si>
  <si>
    <t>3665346321331</t>
  </si>
  <si>
    <t>sku-CBXQSTCP</t>
  </si>
  <si>
    <t>CBXSST</t>
  </si>
  <si>
    <t>Bi xie shen shi tang - 1 flacon de 100 gélules - 50g</t>
  </si>
  <si>
    <t>Pour clarifier la Chaleur. Ses principaux bienfaits : clarifie la chaleur, détoxifie l'organisme</t>
  </si>
  <si>
    <t>https://calebasse.com/produits/bi-xie-shen-shi-tang-4385?product=6309</t>
  </si>
  <si>
    <t>https://res.cloudinary.com/laboratoire-calebasse/image/upload/v1753351229/BI_XIE_SHEN_SHI_TANG_CBXSST_c4e13396a2.jpg</t>
  </si>
  <si>
    <t>3665346320952</t>
  </si>
  <si>
    <t>sku-CBXSST</t>
  </si>
  <si>
    <t>4385</t>
  </si>
  <si>
    <t>CBXSSTCP</t>
  </si>
  <si>
    <t>Bi xie shen shi tang - 1 flacon de poudre concentrée - 100g</t>
  </si>
  <si>
    <t>https://calebasse.com/produits/bi-xie-shen-shi-tang-4385?product=6312</t>
  </si>
  <si>
    <t>https://res.cloudinary.com/laboratoire-calebasse/image/upload/v1753351239/BI_XIE_SHEN_SHI_TANG_CBXSSTCP_b0079613dd.jpg</t>
  </si>
  <si>
    <t>3665346320938</t>
  </si>
  <si>
    <t>sku-CBXSSTCP</t>
  </si>
  <si>
    <t>CBYHWT</t>
  </si>
  <si>
    <t>Bu yang huan wu tang - 1 flacon de 100 gélules - 50g</t>
  </si>
  <si>
    <t>Pour un système vasculaire sain. Ses principaux bienfaits : stimule la circulation sanguine, tonifie le qi</t>
  </si>
  <si>
    <t>https://calebasse.com/produits/bu-yang-huan-wu-tang-4023?product=5053</t>
  </si>
  <si>
    <t>https://res.cloudinary.com/laboratoire-calebasse/image/upload/v1753351321/BU_YANG_HUAN_WU_TANG_CBYHWT_5263f463ae.jpg</t>
  </si>
  <si>
    <t>3665346301555</t>
  </si>
  <si>
    <t>sku-CBYHWT</t>
  </si>
  <si>
    <t>4023</t>
  </si>
  <si>
    <t>CBYHWTCP</t>
  </si>
  <si>
    <t>Bu yang huan wu tang - 1 flacon de poudre concentrée - 100g</t>
  </si>
  <si>
    <t>https://calebasse.com/produits/bu-yang-huan-wu-tang-4023?product=5054</t>
  </si>
  <si>
    <t>https://res.cloudinary.com/laboratoire-calebasse/image/upload/v1753351579/BU_YANG_HUAN_WU_TANG_CBYHWTCP_c65c8db896.jpg</t>
  </si>
  <si>
    <t>3665346301531</t>
  </si>
  <si>
    <t>sku-CBYHWTCP</t>
  </si>
  <si>
    <t>CBYP</t>
  </si>
  <si>
    <t>Formule Respiration - Bi yan pian - Format &lt;b&gt;Gélule&lt;/b&gt; : 100 gélules de poudre concentrée naturelle - pratique</t>
  </si>
  <si>
    <t>Pour retrouver et préserver un confort respiratoire durable. Ses principaux bienfaits : renforce les défenses naturelles, soulage les voies respiratoires, détoxifie l'organisme, libère les voies respiratoires</t>
  </si>
  <si>
    <t>https://calebasse.com/produits/bi-yan-pian-4022?product=5040</t>
  </si>
  <si>
    <t>https://res.cloudinary.com/laboratoire-calebasse/image/upload/v1745504249/RESPIRATION_gl_c16ab0dcf1.jpg</t>
  </si>
  <si>
    <t>3665346301258</t>
  </si>
  <si>
    <t>sku-CBYP</t>
  </si>
  <si>
    <t>https://res.cloudinary.com/laboratoire-calebasse/image/upload/v1741106025/1_Respiration_62673f5ee5.jpg; https://res.cloudinary.com/laboratoire-calebasse/image/upload/v1741106025/2_Lutte_contre_4608b8252b.jpg; https://res.cloudinary.com/laboratoire-calebasse/image/upload/v1741106025/3_Bienfaits_3b2ae7ff39.jpg; https://res.cloudinary.com/laboratoire-calebasse/image/upload/v1741106025/6_Ingredients_bienfaits_9c73bb7d98.jpg; https://res.cloudinary.com/laboratoire-calebasse/image/upload/v1741106023/15_Reanimation_e9cba271c8.jpg</t>
  </si>
  <si>
    <t>Santé &amp; Bien-être &gt; Compléments alimentaires &gt; Formules traditionnelles</t>
  </si>
  <si>
    <t>4022</t>
  </si>
  <si>
    <t>CBYPCP</t>
  </si>
  <si>
    <t>Formule Respiration - Bi yan pian - Format &lt;b&gt;Poudre Concentrée&lt;/b&gt; : 100 g - accompagné d'eau chaude</t>
  </si>
  <si>
    <t>https://calebasse.com/produits/bi-yan-pian-4022?product=5043</t>
  </si>
  <si>
    <t>https://res.cloudinary.com/laboratoire-calebasse/image/upload/v1740588297/RESPIRATION_cp_20a188ea9b.jpg</t>
  </si>
  <si>
    <t>3665346301234</t>
  </si>
  <si>
    <t>sku-CBYPCP</t>
  </si>
  <si>
    <t>CBZS</t>
  </si>
  <si>
    <t>Ba zheng san - 1 flacon de 100 gélules - 50g</t>
  </si>
  <si>
    <t>Pour favoriser la miction. Ses principaux bienfaits : détoxifie l'organisme, aide au confort urinaire</t>
  </si>
  <si>
    <t>https://calebasse.com/produits/ba-zheng-san-4489?product=5000</t>
  </si>
  <si>
    <t>https://res.cloudinary.com/laboratoire-calebasse/image/upload/v1753351013/BA_ZHENG_SAN_CBZS_64b4b2bed7.jpg</t>
  </si>
  <si>
    <t>3665346300350</t>
  </si>
  <si>
    <t>sku-CBZS</t>
  </si>
  <si>
    <t>4489</t>
  </si>
  <si>
    <t>CBZSCP</t>
  </si>
  <si>
    <t>Ba zheng san - 1 flacon de poudre concentrée - 100g</t>
  </si>
  <si>
    <t>https://calebasse.com/produits/ba-zheng-san-4489?product=5002</t>
  </si>
  <si>
    <t>https://res.cloudinary.com/laboratoire-calebasse/image/upload/v1753351023/BA_ZHENG_SAN_CBZSCP_a106f43e2c.jpg</t>
  </si>
  <si>
    <t>3665346300336</t>
  </si>
  <si>
    <t>sku-CBZSCP</t>
  </si>
  <si>
    <t>CBZSYS</t>
  </si>
  <si>
    <t>Bai zhu shao yao san - 1 Flacon gélules en poudre concentrée 50g</t>
  </si>
  <si>
    <t>https://calebasse.com/produits/bai-zhu-shao-yao-san-4900?product=7105</t>
  </si>
  <si>
    <t>https://res.cloudinary.com/laboratoire-calebasse/image/upload/v1753351052/BAI_ZHU_SHAO_YAO_SAN_CBZSYS_456cc0e783.jpg</t>
  </si>
  <si>
    <t>3665346322550</t>
  </si>
  <si>
    <t>sku-CBZSYS</t>
  </si>
  <si>
    <t>4900</t>
  </si>
  <si>
    <t>CBZSYSCP</t>
  </si>
  <si>
    <t>Bai zhu shao yao san - 1 flacon de poudre concentrée - 100g</t>
  </si>
  <si>
    <t>https://calebasse.com/produits/bai-zhu-shao-yao-san-4900?product=7106</t>
  </si>
  <si>
    <t>https://res.cloudinary.com/laboratoire-calebasse/image/upload/v1753351063/BAI_ZHU_SHAO_YAO_SAN_CBZSYSCP_a1b893de30.jpg</t>
  </si>
  <si>
    <t>3665346322536</t>
  </si>
  <si>
    <t>sku-CBZSYSCP</t>
  </si>
  <si>
    <t>CBZW</t>
  </si>
  <si>
    <t>Ba zhen tang - 1 flacon de 100 gélules - 50g</t>
  </si>
  <si>
    <t>Pour tonifier le Qi. Ses principaux bienfaits : tonifie le qi et le sang</t>
  </si>
  <si>
    <t>https://calebasse.com/produits/ba-zhen-tang-4010?product=4996</t>
  </si>
  <si>
    <t>https://res.cloudinary.com/laboratoire-calebasse/image/upload/v1753102402/BA_ZHEN_TANG_CBZW_Gelule_5a97b75691.jpg</t>
  </si>
  <si>
    <t>3665346300251</t>
  </si>
  <si>
    <t>sku-CBZW</t>
  </si>
  <si>
    <t>4010</t>
  </si>
  <si>
    <t>CBZWCP</t>
  </si>
  <si>
    <t>Ba zhen tang - 1 flacon de poudre concentrée - 100g</t>
  </si>
  <si>
    <t>https://calebasse.com/produits/ba-zhen-tang-4010?product=4998</t>
  </si>
  <si>
    <t>https://res.cloudinary.com/laboratoire-calebasse/image/upload/v1753102387/BA_ZHEN_TANG_CBZWCP_Poudre_ad5569b937.jpg</t>
  </si>
  <si>
    <t>3665346329436</t>
  </si>
  <si>
    <t>sku-CBZWCP</t>
  </si>
  <si>
    <t>CBZYQW</t>
  </si>
  <si>
    <t>Bu zhong yi qi tang - 1 flacon de 100 gélules - 50g</t>
  </si>
  <si>
    <t>Une formule traditionnelle de la MTC, elle est conçue pour relever et stabiliser l’énergie lorsque la vitalité s’affaisse et accompagne les périodes de fatigue persistante, de récupération incomplète ou de baisse d’élan. Ses principaux bienfaits : tonifie l’énergie vitale, tonifie le qi, réduit la fatigue, soutient les défenses naturelles</t>
  </si>
  <si>
    <t>https://calebasse.com/produits/bu-zhong-yi-qi-tang-4025?product=5055</t>
  </si>
  <si>
    <t>https://res.cloudinary.com/laboratoire-calebasse/image/upload/v1753351597/BU_ZHONG_YI_QI_TANG_CBZYQW_1b45bb737c.jpg</t>
  </si>
  <si>
    <t>3665346301654</t>
  </si>
  <si>
    <t>sku-CBZYQW</t>
  </si>
  <si>
    <t>4025</t>
  </si>
  <si>
    <t>CBZYQWCP</t>
  </si>
  <si>
    <t>Bu zhong yi qi tang - 1 flacon de poudre concentrée - 100g</t>
  </si>
  <si>
    <t>https://calebasse.com/produits/bu-zhong-yi-qi-tang-4025?product=5058</t>
  </si>
  <si>
    <t>https://res.cloudinary.com/laboratoire-calebasse/image/upload/v1753351610/BU_ZHONG_YI_QI_TANG_CBZYQWCP_0bdd51898a.jpg</t>
  </si>
  <si>
    <t>3665346301630</t>
  </si>
  <si>
    <t>sku-CBZYQWCP</t>
  </si>
  <si>
    <t>CBZYXW</t>
  </si>
  <si>
    <t>Bai zi yang xin wan - 1 flacon de 100 gélules - 50g</t>
  </si>
  <si>
    <t>Pour retrouver le calme. Ses principaux bienfaits : tranquillise le shen</t>
  </si>
  <si>
    <t>https://calebasse.com/produits/bai-zi-yang-xin-wan-4013?product=5008</t>
  </si>
  <si>
    <t>https://res.cloudinary.com/laboratoire-calebasse/image/upload/v1753351082/BAI_ZI_YANG_XIN_WAN_CBZYXW_f297697224.jpg</t>
  </si>
  <si>
    <t>3665346300558</t>
  </si>
  <si>
    <t>sku-CBZYXW</t>
  </si>
  <si>
    <t>4013</t>
  </si>
  <si>
    <t>CBZYXWCP</t>
  </si>
  <si>
    <t>Bai zi yang xin wan - 1 flacon de poudre concentrée - 100g</t>
  </si>
  <si>
    <t>https://calebasse.com/produits/bai-zi-yang-xin-wan-4013?product=5010</t>
  </si>
  <si>
    <t>https://res.cloudinary.com/laboratoire-calebasse/image/upload/v1753351103/BAI_ZI_YANG_XIN_WAN_CBZYXWCP_42ff15f56c.jpg</t>
  </si>
  <si>
    <t>3665346300534</t>
  </si>
  <si>
    <t>sku-CBZYXWCP</t>
  </si>
  <si>
    <t>CBZZXW</t>
  </si>
  <si>
    <t>Bai zi zi xin wan - 1 flacon de 100 gélules - 50g</t>
  </si>
  <si>
    <t>Pour retrouver des nuits apaisées. Ses principaux bienfaits : tranquillise le shen, permet un sommeil paisible</t>
  </si>
  <si>
    <t>https://calebasse.com/produits/bai-zi-zi-xin-wan-4014?product=5011</t>
  </si>
  <si>
    <t>https://res.cloudinary.com/laboratoire-calebasse/image/upload/v1753351121/BAI_ZI_ZI_XIN_WAN_CBZZXW_12ef9f17e9.jpg</t>
  </si>
  <si>
    <t>3665346300657</t>
  </si>
  <si>
    <t>sku-CBZZXW</t>
  </si>
  <si>
    <t>4014</t>
  </si>
  <si>
    <t>CBZZXWCP</t>
  </si>
  <si>
    <t>Bai zi zi xin wan - 1 flacon de poudre concentrée - 100g</t>
  </si>
  <si>
    <t>https://calebasse.com/produits/bai-zi-zi-xin-wan-4014?product=5014</t>
  </si>
  <si>
    <t>https://res.cloudinary.com/laboratoire-calebasse/image/upload/v1753351133/BAI_ZI_ZI_XIN_WAN_CBZZXWCP_52bac3bcb1.jpg</t>
  </si>
  <si>
    <t>3665346300633</t>
  </si>
  <si>
    <t>sku-CBZZXWCP</t>
  </si>
  <si>
    <t>CCHGZGJT</t>
  </si>
  <si>
    <t>Chai hu gui zhi gan jiang tang - 1 flacon de 100 gélules - 50g</t>
  </si>
  <si>
    <t>Pour apaiser les manifestations du Shao Yang. Ses principaux bienfaits : lutte contre les manifestations du shao yang</t>
  </si>
  <si>
    <t>https://calebasse.com/produits/chai-hu-gui-zhi-gan-jiang-tang-4488?product=5068</t>
  </si>
  <si>
    <t>https://res.cloudinary.com/laboratoire-calebasse/image/upload/v1753351716/CHAI_HU_GUI_ZHI_GAN_JIANG_TANG_CCHGZGJT_5a82a5f96a.jpg</t>
  </si>
  <si>
    <t>3665346319659</t>
  </si>
  <si>
    <t>sku-CCHGZGJT</t>
  </si>
  <si>
    <t>4488</t>
  </si>
  <si>
    <t>CCHGZGJTCP</t>
  </si>
  <si>
    <t>Chai hu gui zhi gan jiang tang - 1 flacon de poudre concentrée - 100g</t>
  </si>
  <si>
    <t>https://calebasse.com/produits/chai-hu-gui-zhi-gan-jiang-tang-4488?product=5070</t>
  </si>
  <si>
    <t>https://res.cloudinary.com/laboratoire-calebasse/image/upload/v1753351728/CHAI_HU_GUI_ZHI_GAN_JIANG_TANG_CCHGZGJTCP_df03c8820f.jpg</t>
  </si>
  <si>
    <t>3665346319635</t>
  </si>
  <si>
    <t>sku-CCHGZGJTCP</t>
  </si>
  <si>
    <t>CCHGZT</t>
  </si>
  <si>
    <t>Chai hu gui zhi tang - 1 flacon de 100 gélules - 50g</t>
  </si>
  <si>
    <t>https://calebasse.com/produits/chai-hu-gui-zhi-tang-4487?product=5072</t>
  </si>
  <si>
    <t>https://res.cloudinary.com/laboratoire-calebasse/image/upload/v1753351690/CHAI_HU_GUI_ZHI_TANG_CCHGZT_18c2d44079.jpg</t>
  </si>
  <si>
    <t>3665346329559</t>
  </si>
  <si>
    <t>sku-CCHGZT</t>
  </si>
  <si>
    <t>4487</t>
  </si>
  <si>
    <t>CCHGZTCP</t>
  </si>
  <si>
    <t>Chai hu gui zhi tang - 1 flacon de poudre concentrée - 100g</t>
  </si>
  <si>
    <t>https://calebasse.com/produits/chai-hu-gui-zhi-tang-4487?product=5074</t>
  </si>
  <si>
    <t>https://res.cloudinary.com/laboratoire-calebasse/image/upload/v1753351699/CHAI_HU_GUI_ZHI_TANG_CCHGZTCP_2e6bb78339.jpg</t>
  </si>
  <si>
    <t>3665346329535</t>
  </si>
  <si>
    <t>sku-CCHGZTCP</t>
  </si>
  <si>
    <t>CCHHPT</t>
  </si>
  <si>
    <t>Chai hu hu po tang - 1 flacon de 100 gélules - 50g</t>
  </si>
  <si>
    <t>Pour retrouver le calme. Ses principaux bienfaits : tranquillise le shen, induit la relaxation</t>
  </si>
  <si>
    <t>https://calebasse.com/produits/chai-hu-hu-po-tang-4786?product=5076</t>
  </si>
  <si>
    <t>https://res.cloudinary.com/laboratoire-calebasse/image/upload/v1753351742/CHAI_HU_HU_PO_TANG_CCHHPT_9f92109bef.jpg</t>
  </si>
  <si>
    <t>3665346301951</t>
  </si>
  <si>
    <t>sku-CCHHPT</t>
  </si>
  <si>
    <t>4786</t>
  </si>
  <si>
    <t>CCHHPTCP</t>
  </si>
  <si>
    <t>Chai hu hu po tang - 1 flacon de poudre concentrée - 100g</t>
  </si>
  <si>
    <t>https://calebasse.com/produits/chai-hu-hu-po-tang-4786?product=5077</t>
  </si>
  <si>
    <t>https://res.cloudinary.com/laboratoire-calebasse/image/upload/v1753351752/CHAI_HU_HU_PO_TANG_CCHHPTCP_bc0b5b2844.jpg</t>
  </si>
  <si>
    <t>3665346301937</t>
  </si>
  <si>
    <t>sku-CCHHPTCP</t>
  </si>
  <si>
    <t>CCHLGMLW</t>
  </si>
  <si>
    <t>Chai hu long gu mu li wan - 1 flacon de 100 gélules - 50g</t>
  </si>
  <si>
    <t>Pour soulager le stress et retrouver le sommeil. Ses principaux bienfaits : améliore la qualité du sommeil, tranquillise le shen, améliore l'humeur, favorise l'harmonie émotionnelle</t>
  </si>
  <si>
    <t>https://calebasse.com/produits/chai-hu-long-gu-mu-li-wan-4032?product=5084</t>
  </si>
  <si>
    <t>https://res.cloudinary.com/laboratoire-calebasse/image/upload/v1753351631/CHAI_HU_LONG_GU_MU_LI_WAN_CCHLGMLW_1693167c76.jpg</t>
  </si>
  <si>
    <t>3665346302156</t>
  </si>
  <si>
    <t>sku-CCHLGMLW</t>
  </si>
  <si>
    <t>4032</t>
  </si>
  <si>
    <t>CCHLGMLWCP</t>
  </si>
  <si>
    <t>Chai hu long gu mu li wan - 1 flacon de poudre concentrée - 100g</t>
  </si>
  <si>
    <t>https://calebasse.com/produits/chai-hu-long-gu-mu-li-wan-4032?product=5086</t>
  </si>
  <si>
    <t>https://res.cloudinary.com/laboratoire-calebasse/image/upload/v1753351641/CHAI_HU_LONG_GU_MU_LI_WAN_CCHLGMLWCP_447c91436c.jpg</t>
  </si>
  <si>
    <t>3665346302132</t>
  </si>
  <si>
    <t>sku-CCHLGMLWCP</t>
  </si>
  <si>
    <t>CCHSGW</t>
  </si>
  <si>
    <t>Chai hu shu gan wan - 1 flacon de 100 gélules - 50g</t>
  </si>
  <si>
    <t>Pour retrouver le calme. Ses principaux bienfaits : favorise l'harmonie émotionnelle</t>
  </si>
  <si>
    <t>https://calebasse.com/produits/chai-hu-shu-gan-wan-4035?product=5092</t>
  </si>
  <si>
    <t>https://res.cloudinary.com/laboratoire-calebasse/image/upload/v1753103880/CHAI_HU_SHU_GAN_WAN_CCHSGW_Gelule_4cb4c4fc98.jpg</t>
  </si>
  <si>
    <t>3665346302354</t>
  </si>
  <si>
    <t>sku-CCHSGW</t>
  </si>
  <si>
    <t>4035</t>
  </si>
  <si>
    <t>CCHSGWCP</t>
  </si>
  <si>
    <t>Chai hu shu gan wan - 1 flacon de poudre concentrée - 100g</t>
  </si>
  <si>
    <t>https://calebasse.com/produits/chai-hu-shu-gan-wan-4035?product=5094</t>
  </si>
  <si>
    <t>https://res.cloudinary.com/laboratoire-calebasse/image/upload/v1753103864/CHAI_HU_SHU_GAN_WAN_CCHSGWCP_Poudre_09f6ee9d18.jpg</t>
  </si>
  <si>
    <t>3665346302330</t>
  </si>
  <si>
    <t>sku-CCHSGWCP</t>
  </si>
  <si>
    <t>CCHXSW</t>
  </si>
  <si>
    <t>Chai hu xiao shi wan - 1 flacon de 100 gélules - 50g</t>
  </si>
  <si>
    <t>https://calebasse.com/produits/chai-hu-xiao-shi-wan-4034?product=5096</t>
  </si>
  <si>
    <t>https://res.cloudinary.com/laboratoire-calebasse/image/upload/v1753351663/CHAI_HU_XIAO_SHI_WAN_CCHXSW_9387b8e7aa.jpg</t>
  </si>
  <si>
    <t>3665346302453</t>
  </si>
  <si>
    <t>sku-CCHXSW</t>
  </si>
  <si>
    <t>4034</t>
  </si>
  <si>
    <t>CCHXSWCP</t>
  </si>
  <si>
    <t>Chai hu xiao shi wan - 1 flacon de poudre concentrée - 100g</t>
  </si>
  <si>
    <t>https://calebasse.com/produits/chai-hu-xiao-shi-wan-4034?product=5097</t>
  </si>
  <si>
    <t>https://res.cloudinary.com/laboratoire-calebasse/image/upload/v1753351674/CHAI_HU_XIAO_SHI_WAN_CCHXSWCP_6fcea884ac.jpg</t>
  </si>
  <si>
    <t>3665346302439</t>
  </si>
  <si>
    <t>sku-CCHXSWCP</t>
  </si>
  <si>
    <t>CCT</t>
  </si>
  <si>
    <t>Lierre grimpant - Chang chun teng - 1 Petit Sachet plante 100g</t>
  </si>
  <si>
    <t>https://calebasse.com/produits/chang-chun-teng-lierre-grimpant-4670?product=6807</t>
  </si>
  <si>
    <t>https://res.cloudinary.com/laboratoire-calebasse/image/upload/v1746525046/LIERRE_GRIMPANT_100_g_CCT_34b23d4a61.jpg</t>
  </si>
  <si>
    <t>3665346182819</t>
  </si>
  <si>
    <t>sku-CCT</t>
  </si>
  <si>
    <t>4670</t>
  </si>
  <si>
    <t>CCTL</t>
  </si>
  <si>
    <t>Lierre grimpant - Chang chun teng - 1 Grand Sachet plante 300g</t>
  </si>
  <si>
    <t>https://calebasse.com/produits/chang-chun-teng-lierre-grimpant-4670?product=6809</t>
  </si>
  <si>
    <t>https://res.cloudinary.com/laboratoire-calebasse/image/upload/v1747133067/LIERRE_GRIMPANT_300_g_CCTL_8e5a2dd238.jpg</t>
  </si>
  <si>
    <t>3665346122501</t>
  </si>
  <si>
    <t>sku-CCTL</t>
  </si>
  <si>
    <t>CCXCTW</t>
  </si>
  <si>
    <t>Chuan xiong cha tiao wan - 1 flacon de 100 gélules - 50g</t>
  </si>
  <si>
    <t>Pour une tête apaisée.</t>
  </si>
  <si>
    <t>https://calebasse.com/produits/chuan-xiong-cha-tiao-wan-4037?product=5104</t>
  </si>
  <si>
    <t>https://res.cloudinary.com/laboratoire-calebasse/image/upload/v1753351769/CHUAN_XIONG_CHA_TIAO_WAN_CCXCTW_956ac2d4f9.jpg</t>
  </si>
  <si>
    <t>3665346302651</t>
  </si>
  <si>
    <t>sku-CCXCTW</t>
  </si>
  <si>
    <t>4037</t>
  </si>
  <si>
    <t>CCXCTWCP</t>
  </si>
  <si>
    <t>Chuan xiong cha tiao wan - 1 flacon de poudre concentrée - 100g</t>
  </si>
  <si>
    <t>https://calebasse.com/produits/chuan-xiong-cha-tiao-wan-4037?product=5106</t>
  </si>
  <si>
    <t>https://res.cloudinary.com/laboratoire-calebasse/image/upload/v1753351780/CHUAN_XIONG_CHA_TIAO_WAN_CCXCTWCP_445e4e2f12.jpg</t>
  </si>
  <si>
    <t>3665346302637</t>
  </si>
  <si>
    <t>sku-CCXCTWCP</t>
  </si>
  <si>
    <t>CDBYW</t>
  </si>
  <si>
    <t>Da bu yin wan - 1 flacon de 100 gélules - 50g</t>
  </si>
  <si>
    <t>Pour rétablir l'équilibre entre le Yin et le Yang. Ses principaux bienfaits : rétablit l'équilibre yin-yang</t>
  </si>
  <si>
    <t>https://calebasse.com/produits/da-bu-yin-wan-4038?product=5108</t>
  </si>
  <si>
    <t>https://res.cloudinary.com/laboratoire-calebasse/image/upload/v1759401903/DA_BU_YIN_WAN_CDBYW_d9f22800cb.jpg</t>
  </si>
  <si>
    <t>3665346302750</t>
  </si>
  <si>
    <t>sku-CDBYW</t>
  </si>
  <si>
    <t>4038</t>
  </si>
  <si>
    <t>CDBYWCP</t>
  </si>
  <si>
    <t>Da bu yin wan - 1 flacon de poudre concentrée - 100g</t>
  </si>
  <si>
    <t>https://calebasse.com/produits/da-bu-yin-wan-4038?product=5110</t>
  </si>
  <si>
    <t>https://res.cloudinary.com/laboratoire-calebasse/image/upload/v1753104030/DA_BU_YIN_WAN_CDBYWCP_ff38659900.jpg</t>
  </si>
  <si>
    <t>3665346302736</t>
  </si>
  <si>
    <t>sku-CDBYWCP</t>
  </si>
  <si>
    <t>CDGSNT</t>
  </si>
  <si>
    <t>Dang gui si ni tang - 1 flacon de 100 gélules - 50g</t>
  </si>
  <si>
    <t>Pour réchauffer les extrémités froides.</t>
  </si>
  <si>
    <t>https://calebasse.com/produits/dang-gui-si-ni-tang-4501?product=5120</t>
  </si>
  <si>
    <t>https://res.cloudinary.com/laboratoire-calebasse/image/upload/v1753351825/DANG_GUI_SI_NI_TANG_CDGSNT_090f1506e8.jpg</t>
  </si>
  <si>
    <t>3665346303054</t>
  </si>
  <si>
    <t>sku-CDGSNT</t>
  </si>
  <si>
    <t>4501</t>
  </si>
  <si>
    <t>CDGSNTCP</t>
  </si>
  <si>
    <t>Dang gui si ni tang - 1 flacon de poudre concentrée - 100g</t>
  </si>
  <si>
    <t>https://calebasse.com/produits/dang-gui-si-ni-tang-4501?product=5123</t>
  </si>
  <si>
    <t>https://res.cloudinary.com/laboratoire-calebasse/image/upload/v1753351838/DANG_GUI_SI_NI_TANG_CDGSNTCP_7de7d3d2df.jpg</t>
  </si>
  <si>
    <t>3665346303030</t>
  </si>
  <si>
    <t>sku-CDGSNTCP</t>
  </si>
  <si>
    <t>CDHJSW</t>
  </si>
  <si>
    <t>Du huo ji sheng tang - 1 flacon de 100 gélules - 50g</t>
  </si>
  <si>
    <t>Pour retrouver le confort. Ses principaux bienfaits : favorise le confort articulaire</t>
  </si>
  <si>
    <t>https://calebasse.com/produits/du-huo-ji-sheng-tang-4043?product=5128</t>
  </si>
  <si>
    <t>https://res.cloudinary.com/laboratoire-calebasse/image/upload/v1753785773/DU_HUO_JI_SHENG_TANG_CDHJSW_805461dc44.jpg</t>
  </si>
  <si>
    <t>3665346303252</t>
  </si>
  <si>
    <t>sku-CDHJSW</t>
  </si>
  <si>
    <t>4043</t>
  </si>
  <si>
    <t>CDHJSWCP</t>
  </si>
  <si>
    <t>Du huo ji sheng tang - 1 flacon de poudre concentrée - 100g</t>
  </si>
  <si>
    <t>https://calebasse.com/produits/du-huo-ji-sheng-tang-4043?product=5130</t>
  </si>
  <si>
    <t>https://res.cloudinary.com/laboratoire-calebasse/image/upload/v1753104129/DU_HUO_JI_SHENG_TANG_CDHJSWCP_18488870de.jpg</t>
  </si>
  <si>
    <t>3665346303238</t>
  </si>
  <si>
    <t>sku-CDHJSWCP</t>
  </si>
  <si>
    <t>CDSP</t>
  </si>
  <si>
    <t>Dan shen pian - 1 flacon de 100 gélules - 50g</t>
  </si>
  <si>
    <t>Pour le maintien du système vasculaire. Ses principaux bienfaits : maintien des équilibres circulatoires</t>
  </si>
  <si>
    <t>https://calebasse.com/produits/dan-shen-pian-4039?product=5112</t>
  </si>
  <si>
    <t>https://res.cloudinary.com/laboratoire-calebasse/image/upload/v1753351795/DAN_SHEN_PIAN_CDSP_f6a5f9e0f9.jpg</t>
  </si>
  <si>
    <t>3665346302859</t>
  </si>
  <si>
    <t>sku-CDSP</t>
  </si>
  <si>
    <t>4039</t>
  </si>
  <si>
    <t>CDSPCP</t>
  </si>
  <si>
    <t>Dan shen pian - 1 flacon de poudre concentrée - 100g</t>
  </si>
  <si>
    <t>https://calebasse.com/produits/dan-shen-pian-4039?product=5114</t>
  </si>
  <si>
    <t>https://res.cloudinary.com/laboratoire-calebasse/image/upload/v1753351806/DAN_SHEN_PIAN_CDSPCP_4ea63e5382.jpg</t>
  </si>
  <si>
    <t>3665346302835</t>
  </si>
  <si>
    <t>sku-CDSPCP</t>
  </si>
  <si>
    <t>CDZXYS</t>
  </si>
  <si>
    <t>Dan zhi xiao yao san - 1 flacon de 100 gélules - 50g</t>
  </si>
  <si>
    <t>Pour chasser la Chaleur. Ses principaux bienfaits : revigore le sang et fait circuler le qi, chasse la chaleur</t>
  </si>
  <si>
    <t>https://calebasse.com/produits/dan-zhi-xiao-yao-san-4040?product=5116</t>
  </si>
  <si>
    <t>https://res.cloudinary.com/laboratoire-calebasse/image/upload/v1753104049/DAN_ZHI_XIAO_YAO_SAN_CDZXYS_01ca0de468.jpg</t>
  </si>
  <si>
    <t>3665346302958</t>
  </si>
  <si>
    <t>sku-CDZXYS</t>
  </si>
  <si>
    <t>4040</t>
  </si>
  <si>
    <t>CDZXYSCP</t>
  </si>
  <si>
    <t>Dan zhi xiao yao san - 1 flacon de poudre concentrée - 100g</t>
  </si>
  <si>
    <t>https://calebasse.com/produits/dan-zhi-xiao-yao-san-4040?product=5118</t>
  </si>
  <si>
    <t>https://res.cloudinary.com/laboratoire-calebasse/image/upload/v1753104061/DAN_ZHI_XIAO_YAO_SAN_CDZXYSCP_9c902643c1.jpg</t>
  </si>
  <si>
    <t>3665346328835</t>
  </si>
  <si>
    <t>sku-CDZXYSCP</t>
  </si>
  <si>
    <t>CECHSZYQT</t>
  </si>
  <si>
    <t>Er chen he san zi yang qin tang - 1 flacon de 100 gélules - 50g</t>
  </si>
  <si>
    <t>Pour favoriser l'évacuation du flegme Ses principaux bienfaits : évacue le flegme et harmonise l'énergie du milieu, régule le qi et l'énergie du milieu</t>
  </si>
  <si>
    <t>https://calebasse.com/produits/er-chen-he-san-zi-yang-qin-tang-4044?product=5131</t>
  </si>
  <si>
    <t>https://res.cloudinary.com/laboratoire-calebasse/image/upload/v1753351857/ER_CHEN_HE_SAN_ZI_YANG_QIN_TANG_CECHSZYQT_3cbb0a1f13.jpg</t>
  </si>
  <si>
    <t>3665346303351</t>
  </si>
  <si>
    <t>sku-CECHSZYQT</t>
  </si>
  <si>
    <t>4044</t>
  </si>
  <si>
    <t>CECHSZYQTCP</t>
  </si>
  <si>
    <t>Er chen he san zi yang qin tang - 1 flacon de poudre concentrée - 100g</t>
  </si>
  <si>
    <t>https://calebasse.com/produits/er-chen-he-san-zi-yang-qin-tang-4044?product=5134</t>
  </si>
  <si>
    <t>https://res.cloudinary.com/laboratoire-calebasse/image/upload/v1753351868/ER_CHEN_HE_SAN_ZI_YANG_QIN_TANG_CECHSZYQTCP_3ccec88c11.jpg</t>
  </si>
  <si>
    <t>3665346303337</t>
  </si>
  <si>
    <t>sku-CECHSZYQTCP</t>
  </si>
  <si>
    <t>CECW</t>
  </si>
  <si>
    <t>Er chen tang - 1 flacon de 100 gélules - 50g</t>
  </si>
  <si>
    <t>Pour assécher le Tan. Ses principaux bienfaits : détoxifie l'organisme, libère les voies respiratoires</t>
  </si>
  <si>
    <t>https://calebasse.com/produits/er-chen-tang-4047?product=5135</t>
  </si>
  <si>
    <t>https://res.cloudinary.com/laboratoire-calebasse/image/upload/v1753104179/ER_CHEN_TANG_CECW_Gelule_34d74ce2c8.jpg</t>
  </si>
  <si>
    <t>3665346303450</t>
  </si>
  <si>
    <t>sku-CECW</t>
  </si>
  <si>
    <t>4047</t>
  </si>
  <si>
    <t>CECWCP</t>
  </si>
  <si>
    <t>Er chen tang - 1 flacon de poudre concentrée - 100g</t>
  </si>
  <si>
    <t>https://calebasse.com/produits/er-chen-tang-4047?product=5138</t>
  </si>
  <si>
    <t>https://res.cloudinary.com/laboratoire-calebasse/image/upload/v1753104169/ER_CHEN_TANG_CECWCP_Poudre_7362adcead.jpg</t>
  </si>
  <si>
    <t>3665346303436</t>
  </si>
  <si>
    <t>sku-CECWCP</t>
  </si>
  <si>
    <t>CELZCW</t>
  </si>
  <si>
    <t>Er long zuo ci wan - 1 flacon de 100 gélules - 50g</t>
  </si>
  <si>
    <t>Nourrit le Yin du Rein et du Foie Ses principaux bienfaits : tonifie le yin</t>
  </si>
  <si>
    <t>https://calebasse.com/produits/er-long-zuo-ci-wan-4045?product=5140</t>
  </si>
  <si>
    <t>https://res.cloudinary.com/laboratoire-calebasse/image/upload/v1753104196/ER_LONG_ZUO_CI_WAN_CELZCW_cce03c5ac6.jpg</t>
  </si>
  <si>
    <t>3665346303559</t>
  </si>
  <si>
    <t>sku-CELZCW</t>
  </si>
  <si>
    <t>4045</t>
  </si>
  <si>
    <t>CELZCWCP</t>
  </si>
  <si>
    <t>Er long zuo ci wan - 1 flacon de poudre concentrée - 100g</t>
  </si>
  <si>
    <t>https://calebasse.com/produits/er-long-zuo-ci-wan-4045?product=5141</t>
  </si>
  <si>
    <t>https://res.cloudinary.com/laboratoire-calebasse/image/upload/v1753104206/ER_LONG_ZUO_CI_WAN_CELZCWCP_0d78bb40d4.jpg</t>
  </si>
  <si>
    <t>3665346303535</t>
  </si>
  <si>
    <t>sku-CELZCWCP</t>
  </si>
  <si>
    <t>CEXTCP</t>
  </si>
  <si>
    <t>Er xian tang - 1 flacon de poudre concentrée - 100g</t>
  </si>
  <si>
    <t>Pour harmoniser le Yin et le Yang des Reins et purger le Feu. Ses principaux bienfaits : favorise l'équilibre féminin, rétablit l'équilibre yin-yang, renforce le jing</t>
  </si>
  <si>
    <t>https://calebasse.com/produits/er-xian-tang-4046?product=5146</t>
  </si>
  <si>
    <t>https://res.cloudinary.com/laboratoire-calebasse/image/upload/v1753104229/ER_XIAN_TANG_CEXTCP_a58af45d8c.jpg</t>
  </si>
  <si>
    <t>3665346303634</t>
  </si>
  <si>
    <t>sku-CEXTCP</t>
  </si>
  <si>
    <t>4046</t>
  </si>
  <si>
    <t>CEXTGL</t>
  </si>
  <si>
    <t>Er xian tang - 1 flacon de 100 gélules - 50g</t>
  </si>
  <si>
    <t>https://calebasse.com/produits/er-xian-tang-4046?product=5144</t>
  </si>
  <si>
    <t>https://res.cloudinary.com/laboratoire-calebasse/image/upload/v1753785793/ER_XIAN_TANG_CEXTGL_a2b4b50eb7.jpg</t>
  </si>
  <si>
    <t>3665346303658</t>
  </si>
  <si>
    <t>sku-CEXTGL</t>
  </si>
  <si>
    <t>CFFDSP</t>
  </si>
  <si>
    <t>Fu fang dan shen pian - 1 flacon de 100 gélules - 50g</t>
  </si>
  <si>
    <t>Pour préserver la santé.</t>
  </si>
  <si>
    <t>https://calebasse.com/produits/fu-fang-dan-shen-pian-4051?product=5156</t>
  </si>
  <si>
    <t>https://res.cloudinary.com/laboratoire-calebasse/image/upload/v1753351887/FU_FANG_DAN_SHEN_PIAN_d14a92f719.jpg</t>
  </si>
  <si>
    <t>3665346303955</t>
  </si>
  <si>
    <t>sku-CFFDSP</t>
  </si>
  <si>
    <t>4051</t>
  </si>
  <si>
    <t>CFFDSPCP</t>
  </si>
  <si>
    <t>Fu fang dan shen pian - 1 flacon de poudre concentrée - 100g</t>
  </si>
  <si>
    <t>https://calebasse.com/produits/fu-fang-dan-shen-pian-4051?product=5157</t>
  </si>
  <si>
    <t>https://res.cloudinary.com/laboratoire-calebasse/image/upload/v1753351897/FU_FANG_DAN_SHEN_PIAN_CFFDSPCP_48e75a0eac.jpg</t>
  </si>
  <si>
    <t>3665346303931</t>
  </si>
  <si>
    <t>sku-CFFDSPCP</t>
  </si>
  <si>
    <t>CFFJGP</t>
  </si>
  <si>
    <t>Fu fang jie geng pian - 1 flacon de 100 gélules - 50g</t>
  </si>
  <si>
    <t>Pour clarifier la Chaleur.</t>
  </si>
  <si>
    <t>https://calebasse.com/produits/fu-fang-jie-geng-pian-4050?product=5160</t>
  </si>
  <si>
    <t>https://res.cloudinary.com/laboratoire-calebasse/image/upload/v1753351912/FU_FANG_JIE_GENG_PIAN_CFFJGP_d4dd2771ab.jpg</t>
  </si>
  <si>
    <t>3665346304051</t>
  </si>
  <si>
    <t>sku-CFFJGP</t>
  </si>
  <si>
    <t>4050</t>
  </si>
  <si>
    <t>CFFJGPCP</t>
  </si>
  <si>
    <t>Fu fang jie geng pian - 1 flacon de poudre concentrée - 100g</t>
  </si>
  <si>
    <t>https://calebasse.com/produits/fu-fang-jie-geng-pian-4050?product=5162</t>
  </si>
  <si>
    <t>https://res.cloudinary.com/laboratoire-calebasse/image/upload/v1753351922/FU_FANG_JIE_GENG_PIAN_CFFJGPCP_9b8c2ca31c.jpg</t>
  </si>
  <si>
    <t>3665346304037</t>
  </si>
  <si>
    <t>sku-CFFJGPCP</t>
  </si>
  <si>
    <t>CFKZZW</t>
  </si>
  <si>
    <t>Fu ke zhong zi wan - 1 Flacon gélules en poudre concentrée 50g</t>
  </si>
  <si>
    <t>Pour nourrir le qi et tonifier le sang Ses principaux bienfaits : confort féminin</t>
  </si>
  <si>
    <t>https://calebasse.com/produits/fu-ke-zhong-zi-wan-5028?product=7247</t>
  </si>
  <si>
    <t>https://res.cloudinary.com/laboratoire-calebasse/image/upload/v1753351942/FU_KE_ZHONG_ZI_WAN_CFKZZW_2735d4fecc.jpg</t>
  </si>
  <si>
    <t>3665346321751</t>
  </si>
  <si>
    <t>sku-CFKZZW</t>
  </si>
  <si>
    <t>5028</t>
  </si>
  <si>
    <t>CFKZZWCP</t>
  </si>
  <si>
    <t>Fu ke zhong zi wan - 1 flacon de poudre concentrée - 100g</t>
  </si>
  <si>
    <t>https://calebasse.com/produits/fu-ke-zhong-zi-wan-5028?product=7248</t>
  </si>
  <si>
    <t>https://res.cloudinary.com/laboratoire-calebasse/image/upload/v1753351956/FU_KE_ZHONG_ZI_WAN_CFKZZWCP_a202ceae37.jpg</t>
  </si>
  <si>
    <t>3665346321737</t>
  </si>
  <si>
    <t>sku-CFKZZWCP</t>
  </si>
  <si>
    <t>CFPPP</t>
  </si>
  <si>
    <t>FPPP - 1 flacon de 100 gélules - 50g</t>
  </si>
  <si>
    <t>Pour favoriser la perte de poids. Ses principaux bienfaits : aide à la perte de poids, draine les excès d'eau</t>
  </si>
  <si>
    <t>https://calebasse.com/produits/fppp-4700?product=6836</t>
  </si>
  <si>
    <t>https://res.cloudinary.com/laboratoire-calebasse/image/upload/v1753104246/FPPP_CFPPP_a75001c114.jpg</t>
  </si>
  <si>
    <t>3665346368558</t>
  </si>
  <si>
    <t>sku-CFPPP</t>
  </si>
  <si>
    <t>4700</t>
  </si>
  <si>
    <t>CFPPPCP</t>
  </si>
  <si>
    <t>FPPP - 1 flacon de poudre concentrée - 100g</t>
  </si>
  <si>
    <t>https://calebasse.com/produits/fppp-4700?product=6837</t>
  </si>
  <si>
    <t>https://res.cloudinary.com/laboratoire-calebasse/image/upload/v1753104263/FPPP_CFPPPCP_dfc38282f8.jpg</t>
  </si>
  <si>
    <t>3665346368534</t>
  </si>
  <si>
    <t>sku-CFPPPCP</t>
  </si>
  <si>
    <t>CFYHXT</t>
  </si>
  <si>
    <t>Fu yuan huo xue tang - 1 flacon de 100 gélules - 50g</t>
  </si>
  <si>
    <t>Pour favoriser la récupération. Ses principaux bienfaits : nourrit le sang et le qi</t>
  </si>
  <si>
    <t>https://calebasse.com/produits/fu-yuan-huo-xue-tang-4495?product=5172</t>
  </si>
  <si>
    <t>https://res.cloudinary.com/laboratoire-calebasse/image/upload/v1753351976/FU_YUAN_HUO_XUE_TANG_CFYHXT_7b2d676709.jpg</t>
  </si>
  <si>
    <t>3665346304358</t>
  </si>
  <si>
    <t>sku-CFYHXT</t>
  </si>
  <si>
    <t>4495</t>
  </si>
  <si>
    <t>CFYHXTCP</t>
  </si>
  <si>
    <t>Fu yuan huo xue tang - 1 flacon de poudre concentrée - 100g</t>
  </si>
  <si>
    <t>https://calebasse.com/produits/fu-yuan-huo-xue-tang-4495?product=5174</t>
  </si>
  <si>
    <t>https://res.cloudinary.com/laboratoire-calebasse/image/upload/v1753351985/FU_YUAN_HUO_XUE_TANG_CFYHXTCP_9296e16615.jpg</t>
  </si>
  <si>
    <t>3665346304334</t>
  </si>
  <si>
    <t>sku-CFYHXTCP</t>
  </si>
  <si>
    <t>CGMDZT</t>
  </si>
  <si>
    <t>Gan mai da zao tang - 1 flacon de 100 gélules - 50g</t>
  </si>
  <si>
    <t>Pour calmer le Shen et nourrir le Coeur. Ses principaux bienfaits : tranquillise le shen, tonifie le qi du coeur</t>
  </si>
  <si>
    <t>https://calebasse.com/produits/gan-mai-da-zao-tang-4484?product=5176</t>
  </si>
  <si>
    <t>https://res.cloudinary.com/laboratoire-calebasse/image/upload/v1753104301/GAN_MAI_DA_ZAO_TANG_CGMDZT_Gelule_519b29c069.jpg</t>
  </si>
  <si>
    <t>3665346304457</t>
  </si>
  <si>
    <t>sku-CGMDZT</t>
  </si>
  <si>
    <t>4484</t>
  </si>
  <si>
    <t>CGMDZTCP</t>
  </si>
  <si>
    <t>Gan mai da zao tang - 1 flacon de poudre concentrée - 100g</t>
  </si>
  <si>
    <t>https://calebasse.com/produits/gan-mai-da-zao-tang-4484?product=5177</t>
  </si>
  <si>
    <t>https://res.cloudinary.com/laboratoire-calebasse/image/upload/v1753104286/GAN_MAI_DA_ZAO_TANG_CGMDZTCP_Poudre_0787d28a5c.jpg</t>
  </si>
  <si>
    <t>3665346304433</t>
  </si>
  <si>
    <t>sku-CGMDZTCP</t>
  </si>
  <si>
    <t>CGMQRCJ</t>
  </si>
  <si>
    <t>Gan mao qing re chong ji - 1 flacon de 100 gélules - 50g</t>
  </si>
  <si>
    <t>Pour chasser le Vent. Ses principaux bienfaits : expulse le vent</t>
  </si>
  <si>
    <t>https://calebasse.com/produits/gan-mao-qing-re-chong-ji-4056?product=5180</t>
  </si>
  <si>
    <t>https://res.cloudinary.com/laboratoire-calebasse/image/upload/v1753352004/GAN_MAO_QING_RE_CHONG_JI_CGMQRCJ_a78b730600.jpg</t>
  </si>
  <si>
    <t>3665346304556</t>
  </si>
  <si>
    <t>sku-CGMQRCJ</t>
  </si>
  <si>
    <t>4056</t>
  </si>
  <si>
    <t>CGMQRCJCP</t>
  </si>
  <si>
    <t>Gan mao qing re chong ji - 1 flacon de poudre concentrée - 100g</t>
  </si>
  <si>
    <t>https://calebasse.com/produits/gan-mao-qing-re-chong-ji-4056?product=5181</t>
  </si>
  <si>
    <t>https://res.cloudinary.com/laboratoire-calebasse/image/upload/v1753352015/GAN_MAO_QING_RE_CHONG_JI_CGMQRCJCP_7bfe08ee9e.jpg</t>
  </si>
  <si>
    <t>3665346304532</t>
  </si>
  <si>
    <t>sku-CGMQRCJCP</t>
  </si>
  <si>
    <t>CGMTRCJ</t>
  </si>
  <si>
    <t>Gan mao tui re chong ji - 1 flacon de 100 gélules - 50g</t>
  </si>
  <si>
    <t>Pour chasser le Vent-Chaleur. Ses principaux bienfaits : clarifie la chaleur, soulage la tête, apaise les manifestations du coup de froid</t>
  </si>
  <si>
    <t>https://calebasse.com/produits/gan-mao-tui-re-chong-ji-4058?product=5184</t>
  </si>
  <si>
    <t>https://res.cloudinary.com/laboratoire-calebasse/image/upload/v1753352033/GAN_MAO_TUI_RE_CHONG_JI_CGMTRCJ_44cbca9013.jpg</t>
  </si>
  <si>
    <t>3665346304655</t>
  </si>
  <si>
    <t>sku-CGMTRCJ</t>
  </si>
  <si>
    <t>4058</t>
  </si>
  <si>
    <t>CGMTRCJCP</t>
  </si>
  <si>
    <t>Gan mao tui re chong ji - 1 flacon de poudre concentrée - 100g</t>
  </si>
  <si>
    <t>https://calebasse.com/produits/gan-mao-tui-re-chong-ji-4058?product=5186</t>
  </si>
  <si>
    <t>https://res.cloudinary.com/laboratoire-calebasse/image/upload/v1753352044/GAN_MAO_TUI_RE_CHONG_JI_CGMTRCJCP_27018f0c5f.jpg</t>
  </si>
  <si>
    <t>3665346304631</t>
  </si>
  <si>
    <t>sku-CGMTRCJCP</t>
  </si>
  <si>
    <t>CGPW</t>
  </si>
  <si>
    <t>Gui pi tang - 1 flacon de 100 gélules - 50g</t>
  </si>
  <si>
    <t>Pour l'énergie de la Rate. Ses principaux bienfaits : renforce la rate</t>
  </si>
  <si>
    <t>https://calebasse.com/produits/gui-pi-tang-4667?product=5200</t>
  </si>
  <si>
    <t>https://res.cloudinary.com/laboratoire-calebasse/image/upload/v1753104327/GUI_PI_TANG_CGPW_Gelule_ffdf916b7f.jpg</t>
  </si>
  <si>
    <t>3665346304952</t>
  </si>
  <si>
    <t>sku-CGPW</t>
  </si>
  <si>
    <t>4667</t>
  </si>
  <si>
    <t>CGPWCP</t>
  </si>
  <si>
    <t>Gui pi tang - 1 flacon de poudre concentrée - 100g</t>
  </si>
  <si>
    <t>https://calebasse.com/produits/gui-pi-tang-4667?product=5202</t>
  </si>
  <si>
    <t>https://res.cloudinary.com/laboratoire-calebasse/image/upload/v1753104316/GUI_PI_TANG_CGPWCP_Poudre_8a767b7264.jpg</t>
  </si>
  <si>
    <t>3665346304938</t>
  </si>
  <si>
    <t>sku-CGPWCP</t>
  </si>
  <si>
    <t>CGZFLW</t>
  </si>
  <si>
    <t>Gui zhi fu ling wan - 1 flacon de 100 gélules - 50g</t>
  </si>
  <si>
    <t>Optimise la circulation sanguine en dispersant les stases, pour un bien-être corporel amélioré. Ses principaux bienfaits : favorise la circulation sanguine, diminuer les désagréments pendant les règles, disperse la stase</t>
  </si>
  <si>
    <t>https://calebasse.com/produits/gui-zhi-fu-ling-wan-4062?product=5204</t>
  </si>
  <si>
    <t>https://res.cloudinary.com/laboratoire-calebasse/image/upload/v1753104356/GUI_ZHI_FU_LING_WAN_CGZFLW_Gelule_fc15cca86d.jpg</t>
  </si>
  <si>
    <t>3665346305058</t>
  </si>
  <si>
    <t>sku-CGZFLW</t>
  </si>
  <si>
    <t>4062</t>
  </si>
  <si>
    <t>CGZFLWCP</t>
  </si>
  <si>
    <t>Gui zhi fu ling wan - 1 flacon de poudre concentrée - 100g</t>
  </si>
  <si>
    <t>https://calebasse.com/produits/gui-zhi-fu-ling-wan-4062?product=5205</t>
  </si>
  <si>
    <t>https://res.cloudinary.com/laboratoire-calebasse/image/upload/v1753104344/GUI_ZHI_FU_LING_WAN_CGZFLWCP_Poudre_e007e337a4.jpg</t>
  </si>
  <si>
    <t>3665346305034</t>
  </si>
  <si>
    <t>sku-CGZFLWCP</t>
  </si>
  <si>
    <t>CGZT</t>
  </si>
  <si>
    <t>Gui zhi tang - 1 flacon de 100 gélules - 50g</t>
  </si>
  <si>
    <t>Pour retrouver le bien-être. Ses principaux bienfaits : élimine l'humidité, le vent et le froid, nourrit le yin</t>
  </si>
  <si>
    <t>https://calebasse.com/produits/gui-zhi-tang-4486?product=5208</t>
  </si>
  <si>
    <t>https://res.cloudinary.com/laboratoire-calebasse/image/upload/v1753785810/GUI_ZHI_TANG_CGZT_f8f4063b6d.jpg</t>
  </si>
  <si>
    <t>3665346305157</t>
  </si>
  <si>
    <t>sku-CGZT</t>
  </si>
  <si>
    <t>4486</t>
  </si>
  <si>
    <t>CGZTCP</t>
  </si>
  <si>
    <t>Gui zhi tang - 1 flacon de poudre concentrée - 100g</t>
  </si>
  <si>
    <t>https://calebasse.com/produits/gui-zhi-tang-4486?product=5210</t>
  </si>
  <si>
    <t>https://res.cloudinary.com/laboratoire-calebasse/image/upload/v1753104372/GUI_ZHI_TANG_CGZTCP_1c0bd241ed.jpg</t>
  </si>
  <si>
    <t>3665346305133</t>
  </si>
  <si>
    <t>sku-CGZTCP</t>
  </si>
  <si>
    <t>CHJW</t>
  </si>
  <si>
    <t>Huai jiao wan - 1 flacon de 100 gélules - 50g</t>
  </si>
  <si>
    <t>Pour nourrir le Sang et clarifier la Chaleur. Ses principaux bienfaits : nourrit le sang et le qi</t>
  </si>
  <si>
    <t>https://calebasse.com/produits/huai-jiao-wan-4065?product=5216</t>
  </si>
  <si>
    <t>https://res.cloudinary.com/laboratoire-calebasse/image/upload/v1753352060/HUAI_JIAO_WAN_CHJW_12c434ebb8.jpg</t>
  </si>
  <si>
    <t>3665346305355</t>
  </si>
  <si>
    <t>sku-CHJW</t>
  </si>
  <si>
    <t>4065</t>
  </si>
  <si>
    <t>CHJWCP</t>
  </si>
  <si>
    <t>Huai jiao wan - 1 flacon de poudre concentrée - 100g</t>
  </si>
  <si>
    <t>https://calebasse.com/produits/huai-jiao-wan-4065?product=5218</t>
  </si>
  <si>
    <t>https://res.cloudinary.com/laboratoire-calebasse/image/upload/v1753352072/HUAI_JIAO_WAN_CHJWCP_e4ee1a4e34.jpg</t>
  </si>
  <si>
    <t>3665346305331</t>
  </si>
  <si>
    <t>sku-CHJWCP</t>
  </si>
  <si>
    <t>CHLEJW</t>
  </si>
  <si>
    <t>Huang lian e jiao wan - 1 flacon de 100 gélules - 50g</t>
  </si>
  <si>
    <t>Pour calmer le Shen. Ses principaux bienfaits : purge le feu du coeur, tonifie le yin</t>
  </si>
  <si>
    <t>https://calebasse.com/produits/huang-lian-e-jiao-wan-4066?product=5220</t>
  </si>
  <si>
    <t>https://res.cloudinary.com/laboratoire-calebasse/image/upload/v1753104433/HUANG_LIAN_E_JIAO_WAN_CHLEJW_c9041f6d4a.jpg</t>
  </si>
  <si>
    <t>3665346305454</t>
  </si>
  <si>
    <t>sku-CHLEJW</t>
  </si>
  <si>
    <t>4066</t>
  </si>
  <si>
    <t>CHLEJWCP</t>
  </si>
  <si>
    <t>Huang lian e jiao wan - 1 flacon de poudre concentrée - 100g</t>
  </si>
  <si>
    <t>https://calebasse.com/produits/huang-lian-e-jiao-wan-4066?product=5222</t>
  </si>
  <si>
    <t>https://res.cloudinary.com/laboratoire-calebasse/image/upload/v1753104443/HUANG_LIAN_E_JIAO_WAN_CHLEJWCP_a7008e2a66.jpg</t>
  </si>
  <si>
    <t>3665346305430</t>
  </si>
  <si>
    <t>sku-CHLEJWCP</t>
  </si>
  <si>
    <t>CHQSGT</t>
  </si>
  <si>
    <t>Huang qin shi gao tang - 1 Flacon poudre fine 80g</t>
  </si>
  <si>
    <t>Pour prendre soin de sa santé dentaire. Ses principaux bienfaits : calme les gencives, renforce la santé des dents, apaise le parodonte</t>
  </si>
  <si>
    <t>https://calebasse.com/produits/huang-qin-shi-gao-tang-4443?product=6441</t>
  </si>
  <si>
    <t>https://res.cloudinary.com/laboratoire-calebasse/image/upload/v1754485516/HUANG_QIN_SHI_GAO_TANG_CHQSGT_ef6d24433b.jpg</t>
  </si>
  <si>
    <t>3665346326237</t>
  </si>
  <si>
    <t>sku-CHQSGT</t>
  </si>
  <si>
    <t>4443</t>
  </si>
  <si>
    <t>CHSW</t>
  </si>
  <si>
    <t>He shou wu - 1 flacon de 100 gélules - 50g</t>
  </si>
  <si>
    <t>Pour tonifier le Qi des Reins et du Foie. Ses principaux bienfaits : régénère l'énergie des reins et du foie, favorise un taux de cholestérol sain</t>
  </si>
  <si>
    <t>https://calebasse.com/produits/he-shou-wu-wan-4064?product=5212</t>
  </si>
  <si>
    <t>https://res.cloudinary.com/laboratoire-calebasse/image/upload/v1753104412/HE_SHOU_WU_CHSW_Gelule_8e1f21a3c7.jpg</t>
  </si>
  <si>
    <t>3665346305256</t>
  </si>
  <si>
    <t>sku-CHSW</t>
  </si>
  <si>
    <t>4064</t>
  </si>
  <si>
    <t>CHSWCP</t>
  </si>
  <si>
    <t>He shou wu - 1 flacon de poudre concentrée - 100g</t>
  </si>
  <si>
    <t>https://calebasse.com/produits/he-shou-wu-wan-4064?product=5213</t>
  </si>
  <si>
    <t>https://res.cloudinary.com/laboratoire-calebasse/image/upload/v1753104400/HE_SHOU_WU_CHSWCP_Poudre_15f178fac2.jpg</t>
  </si>
  <si>
    <t>3665346326039</t>
  </si>
  <si>
    <t>sku-CHSWCP</t>
  </si>
  <si>
    <t>CHXZQW</t>
  </si>
  <si>
    <t>Huo xiang zheng qi wan - 1 flacon de 100 gélules - 50g</t>
  </si>
  <si>
    <t>Pour chasser l'Humidité et harmoniser le Centre. Ses principaux bienfaits : elimine l'humidité, tonifie le qi</t>
  </si>
  <si>
    <t>https://calebasse.com/produits/huo-xiang-zheng-qi-wan-4067?product=5232</t>
  </si>
  <si>
    <t>https://res.cloudinary.com/laboratoire-calebasse/image/upload/v1753352089/HUO_XIANG_ZHENG_QI_WAN_CHXZQW_1f13c11ae5.jpg</t>
  </si>
  <si>
    <t>3665346305751</t>
  </si>
  <si>
    <t>sku-CHXZQW</t>
  </si>
  <si>
    <t>4067</t>
  </si>
  <si>
    <t>CHXZQWCP</t>
  </si>
  <si>
    <t>Huo xiang zheng qi wan - 1 flacon de poudre concentrée - 100g</t>
  </si>
  <si>
    <t>https://calebasse.com/produits/huo-xiang-zheng-qi-wan-4067?product=5233</t>
  </si>
  <si>
    <t>https://res.cloudinary.com/laboratoire-calebasse/image/upload/v1753352099/HUO_XIANG_ZHENG_QI_WAN_CHXZQWCP_c6ba800fde.jpg</t>
  </si>
  <si>
    <t>3665346305737</t>
  </si>
  <si>
    <t>sku-CHXZQWCP</t>
  </si>
  <si>
    <t>CHZYHT</t>
  </si>
  <si>
    <t>Hai zao yu hu tang - 1 flacon de 100 gélules - 50g</t>
  </si>
  <si>
    <t>https://calebasse.com/produits/hai-zao-yu-hu-tang-4715?product=6851</t>
  </si>
  <si>
    <t>https://res.cloudinary.com/laboratoire-calebasse/image/upload/v1753104385/HAI_ZAO_YU_HU_TANG_CHZYHT_25842c94ff.jpg</t>
  </si>
  <si>
    <t>3665346323953</t>
  </si>
  <si>
    <t>sku-CHZYHT</t>
  </si>
  <si>
    <t>4715</t>
  </si>
  <si>
    <t>CJAZTW</t>
  </si>
  <si>
    <t>Jian zhou tong wan - 1 flacon de 100 gélules - 50g</t>
  </si>
  <si>
    <t>Confort des épaules et des bras Ses principaux bienfaits : décontracte les muscles, contribue à la santé des séniors, apaise les sensibilités articulaires</t>
  </si>
  <si>
    <t>https://calebasse.com/produits/jian-zhou-tong-wan-4081?product=5280</t>
  </si>
  <si>
    <t>https://res.cloudinary.com/laboratoire-calebasse/image/upload/v1753352220/JIAN_ZHOU_TONG_WAN_CJAZTW_1f0233dab6.jpg</t>
  </si>
  <si>
    <t>3665346306956</t>
  </si>
  <si>
    <t>sku-CJAZTW</t>
  </si>
  <si>
    <t>4081</t>
  </si>
  <si>
    <t>CJAZTWCP</t>
  </si>
  <si>
    <t>Jian zhou tong wan - 1 flacon de poudre concentrée - 100g</t>
  </si>
  <si>
    <t>https://calebasse.com/produits/jian-zhou-tong-wan-4081?product=5282</t>
  </si>
  <si>
    <t>https://res.cloudinary.com/laboratoire-calebasse/image/upload/v1753352230/JIAN_ZHOU_TONG_WAN_CJAZTWCP_eec4f562d6.jpg</t>
  </si>
  <si>
    <t>3665346306932</t>
  </si>
  <si>
    <t>sku-CJAZTWCP</t>
  </si>
  <si>
    <t>CJBW</t>
  </si>
  <si>
    <t>Jian bu wan - 1 flacon de 100 gélules - 50g</t>
  </si>
  <si>
    <t>Pour chasser le Vent-Humidité. Ses principaux bienfaits : contribue à la santé des séniors</t>
  </si>
  <si>
    <t>https://calebasse.com/produits/jian-bu-wan-4535?product=5264</t>
  </si>
  <si>
    <t>https://res.cloudinary.com/laboratoire-calebasse/image/upload/v1753352194/JIAN_BU_WAN_CJBW_8cae58e459.jpg</t>
  </si>
  <si>
    <t>3665346306550</t>
  </si>
  <si>
    <t>sku-CJBW</t>
  </si>
  <si>
    <t>4535</t>
  </si>
  <si>
    <t>CJBWCP</t>
  </si>
  <si>
    <t>Jian bu wan - 1 flacon de poudre concentrée - 100g</t>
  </si>
  <si>
    <t>https://calebasse.com/produits/jian-bu-wan-4535?product=5266</t>
  </si>
  <si>
    <t>https://res.cloudinary.com/laboratoire-calebasse/image/upload/v1753352205/JIAN_BU_WAN_CJBWCP_ee054000d2.jpg</t>
  </si>
  <si>
    <t>3665346306536</t>
  </si>
  <si>
    <t>sku-CJBWCP</t>
  </si>
  <si>
    <t>CJDGCW</t>
  </si>
  <si>
    <t>Jiang dan gu chun wan - 1 flacon de 100 gélules - 50g</t>
  </si>
  <si>
    <t>Pour retrouver un taux de cholestérol sain. Ses principaux bienfaits : favorise le confort cardiovasculaire, contribue à équilibrer les lipides</t>
  </si>
  <si>
    <t>https://calebasse.com/produits/jiang-dan-gu-chun-wan-4082?product=5284</t>
  </si>
  <si>
    <t>https://res.cloudinary.com/laboratoire-calebasse/image/upload/v1759401981/JIANG_DAN_GU_CHUN_WAN_CJDGCW_c1cd5073e4.jpg</t>
  </si>
  <si>
    <t>3665346307052</t>
  </si>
  <si>
    <t>sku-CJDGCW</t>
  </si>
  <si>
    <t>4082</t>
  </si>
  <si>
    <t>CJDGCWCP</t>
  </si>
  <si>
    <t>Jiang dan gu chun wan - 1 flacon de poudre concentrée - 100g</t>
  </si>
  <si>
    <t>https://calebasse.com/produits/jiang-dan-gu-chun-wan-4082?product=5286</t>
  </si>
  <si>
    <t>https://res.cloudinary.com/laboratoire-calebasse/image/upload/v1759402128/JIANG_DAN_GU_CHUN_WAN_CJDGCWCP_04bf03b996.jpg</t>
  </si>
  <si>
    <t>3665346307038</t>
  </si>
  <si>
    <t>sku-CJDGCWCP</t>
  </si>
  <si>
    <t>CJFBDS</t>
  </si>
  <si>
    <t>Jing fang bai du san - 1 flacon de 100 gélules - 50g</t>
  </si>
  <si>
    <t>Pour chasser le Vent-Froid-Humidité. Ses principaux bienfaits : élimine l'humidité, le vent et le froid</t>
  </si>
  <si>
    <t>https://calebasse.com/produits/jing-fang-bai-du-san-4091?product=5316</t>
  </si>
  <si>
    <t>https://res.cloudinary.com/laboratoire-calebasse/image/upload/v1753352297/JING_FANG_BAI_DU_SAN_CJFBDS_1397a34fb4.jpg</t>
  </si>
  <si>
    <t>3665346307854</t>
  </si>
  <si>
    <t>sku-CJFBDS</t>
  </si>
  <si>
    <t>4091</t>
  </si>
  <si>
    <t>CJFBDSCP</t>
  </si>
  <si>
    <t>Jing fang bai du san - 1 flacon de poudre concentrée - 100g</t>
  </si>
  <si>
    <t>https://calebasse.com/produits/jing-fang-bai-du-san-4091?product=5318</t>
  </si>
  <si>
    <t>https://res.cloudinary.com/laboratoire-calebasse/image/upload/v1753352312/JING_FANG_BAI_DU_SAN_CJFBDSCP_0993a7e7d1.jpg</t>
  </si>
  <si>
    <t>3665346307830</t>
  </si>
  <si>
    <t>sku-CJFBDSCP</t>
  </si>
  <si>
    <t>CJKSQW</t>
  </si>
  <si>
    <t>Jin gui shen qi wan - 1 flacon de 100 gélules - 50g</t>
  </si>
  <si>
    <t>https://calebasse.com/produits/jin-gui-shen-qi-wan-4086?product=5300</t>
  </si>
  <si>
    <t>https://res.cloudinary.com/laboratoire-calebasse/image/upload/v1753104501/JIN_GUI_SHEN_QI_WAN_CJKSQW_db3692d86d.jpg</t>
  </si>
  <si>
    <t>3665346307458</t>
  </si>
  <si>
    <t>sku-CJKSQW</t>
  </si>
  <si>
    <t>4086</t>
  </si>
  <si>
    <t>CJKSQWCP</t>
  </si>
  <si>
    <t>Jin gui shen qi wan - 1 flacon de poudre concentrée - 100g</t>
  </si>
  <si>
    <t>https://calebasse.com/produits/jin-gui-shen-qi-wan-4086?product=5302</t>
  </si>
  <si>
    <t>https://res.cloudinary.com/laboratoire-calebasse/image/upload/v1753104511/JIN_GUI_SHEN_QI_WAN_CJKSQWCP_Poudre_1aa37d97c0.jpg</t>
  </si>
  <si>
    <t>3665346307434</t>
  </si>
  <si>
    <t>sku-CJKSQWCP</t>
  </si>
  <si>
    <t>CJSGJW</t>
  </si>
  <si>
    <t>Jin suo gu jing wan - 1 flacon de 100 gélules - 50g</t>
  </si>
  <si>
    <t>Pour tonifier le Qi du Rein. Ses principaux bienfaits : tonifie le qi du rein</t>
  </si>
  <si>
    <t>https://calebasse.com/produits/jin-suo-gu-jing-wan-4089?product=5312</t>
  </si>
  <si>
    <t>https://res.cloudinary.com/laboratoire-calebasse/image/upload/v1753352270/JIN_SUO_GU_JING_WAN_CJSGJW_71742aee4b.jpg</t>
  </si>
  <si>
    <t>3665346307755</t>
  </si>
  <si>
    <t>sku-CJSGJW</t>
  </si>
  <si>
    <t>4089</t>
  </si>
  <si>
    <t>CJSGJWCP</t>
  </si>
  <si>
    <t>Jin suo gu jing wan - 1 flacon de poudre concentrée - 100g</t>
  </si>
  <si>
    <t>https://calebasse.com/produits/jin-suo-gu-jing-wan-4089?product=5314</t>
  </si>
  <si>
    <t>https://res.cloudinary.com/laboratoire-calebasse/image/upload/v1753352279/JIN_SUO_GU_JING_WAN_CJSGJWCP_4169c18f9e.jpg</t>
  </si>
  <si>
    <t>3665346307731</t>
  </si>
  <si>
    <t>sku-CJSGJWCP</t>
  </si>
  <si>
    <t>CJWBHW</t>
  </si>
  <si>
    <t>Jia wei bao he wan - 1 flacon de 100 gélules - 50g</t>
  </si>
  <si>
    <t>Pour tonifier le Qi de l'Estomac.</t>
  </si>
  <si>
    <t>https://calebasse.com/produits/jia-wei-bao-he-wan-4071?product=5240</t>
  </si>
  <si>
    <t>https://res.cloudinary.com/laboratoire-calebasse/image/upload/v1753352143/JIA_WEI_BAO_HE_WAN_CJWBHW_ab2dac2acf.jpg</t>
  </si>
  <si>
    <t>3665346305959</t>
  </si>
  <si>
    <t>sku-CJWBHW</t>
  </si>
  <si>
    <t>4071</t>
  </si>
  <si>
    <t>CJWBHWCP</t>
  </si>
  <si>
    <t>Jia wei bao he wan - 1 flacon de poudre concentrée - 100g</t>
  </si>
  <si>
    <t>https://calebasse.com/produits/jia-wei-bao-he-wan-4071?product=5243</t>
  </si>
  <si>
    <t>https://res.cloudinary.com/laboratoire-calebasse/image/upload/v1753352152/JIA_WEI_BAO_HE_WAN_CJWBHWCP_afa5679d7e.jpg</t>
  </si>
  <si>
    <t>3665346305935</t>
  </si>
  <si>
    <t>sku-CJWBHWCP</t>
  </si>
  <si>
    <t>CJWXYS</t>
  </si>
  <si>
    <t>Jia wei xiao yao san - 1 flacon de 100 gélules - 50g</t>
  </si>
  <si>
    <t>Pour calmer l'irritabilité avant les règles. Ses principaux bienfaits : contribue à réguler le cycle, aide à mieux vivre les règles, améliore l'humeur, favorise l'harmonie émotionnelle</t>
  </si>
  <si>
    <t>https://calebasse.com/produits/jia-wei-xiao-yao-san-4074?product=5252</t>
  </si>
  <si>
    <t>https://res.cloudinary.com/laboratoire-calebasse/image/upload/v1753273887/jia_wei_xiao_yao_san_cjwxys_ge_lule_720_cc6d9c770c.jpg</t>
  </si>
  <si>
    <t>3665346306253</t>
  </si>
  <si>
    <t>sku-CJWXYS</t>
  </si>
  <si>
    <t>4074</t>
  </si>
  <si>
    <t>CJWXYSCP</t>
  </si>
  <si>
    <t>Jia wei xiao yao san - 1 flacon de poudre concentrée - 100g</t>
  </si>
  <si>
    <t>https://calebasse.com/produits/jia-wei-xiao-yao-san-4074?product=5254</t>
  </si>
  <si>
    <t>https://res.cloudinary.com/laboratoire-calebasse/image/upload/v1753104485/JIA_WEI_XIAO_YAO_SAN_CJWXYSCP_Poudre_316eda0869.jpg</t>
  </si>
  <si>
    <t>3665346306239</t>
  </si>
  <si>
    <t>sku-CJWXYSCP</t>
  </si>
  <si>
    <t>CJWZJW</t>
  </si>
  <si>
    <t>Jia wei zuo jin wan - 1 flacon de 100 gélules - 50g</t>
  </si>
  <si>
    <t>Pour retrouver le bien-être. Ses principaux bienfaits : débloque l'énergie du foie</t>
  </si>
  <si>
    <t>https://calebasse.com/produits/jia-wei-zuo-jin-wan-4077?product=5260</t>
  </si>
  <si>
    <t>https://res.cloudinary.com/laboratoire-calebasse/image/upload/v1753352170/JIA_WEI_ZUO_JIN_WAN_CJWZJW_e24105b5b3.jpg</t>
  </si>
  <si>
    <t>3665346306451</t>
  </si>
  <si>
    <t>sku-CJWZJW</t>
  </si>
  <si>
    <t>4077</t>
  </si>
  <si>
    <t>CJWZJWCP</t>
  </si>
  <si>
    <t>Jia wei zuo jin wan - 1 flacon de poudre concentrée - 100g</t>
  </si>
  <si>
    <t>https://calebasse.com/produits/jia-wei-zuo-jin-wan-4077?product=5262</t>
  </si>
  <si>
    <t>https://res.cloudinary.com/laboratoire-calebasse/image/upload/v1753352180/JIA_WEI_ZUO_JIN_WAN_CJWZJWCP_4eb1efd9cc.jpg</t>
  </si>
  <si>
    <t>3665346306437</t>
  </si>
  <si>
    <t>sku-CJWZJWCP</t>
  </si>
  <si>
    <t>CJYPP</t>
  </si>
  <si>
    <t>Jiang ya ping pian - 1 flacon de 100 gélules - 50g</t>
  </si>
  <si>
    <t>https://calebasse.com/produits/jiang-ya-ping-pian-4838?product=6855</t>
  </si>
  <si>
    <t>https://res.cloudinary.com/laboratoire-calebasse/image/upload/v1753352243/JIANG_YA_PING_PIAN_CJYPP_38bcdb9cc0.jpg</t>
  </si>
  <si>
    <t>3665346323854</t>
  </si>
  <si>
    <t>sku-CJYPP</t>
  </si>
  <si>
    <t>4838</t>
  </si>
  <si>
    <t>CJYPPCP</t>
  </si>
  <si>
    <t>Jiang ya ping pian - 1 flacon de poudre concentrée - 100g</t>
  </si>
  <si>
    <t>https://calebasse.com/produits/jiang-ya-ping-pian-4838?product=6856</t>
  </si>
  <si>
    <t>https://res.cloudinary.com/laboratoire-calebasse/image/upload/v1753352252/JIANG_YA_PING_PIAN_CJYPPCP_dcec6c8e74.jpg</t>
  </si>
  <si>
    <t>3665346323830</t>
  </si>
  <si>
    <t>sku-CJYPPCP</t>
  </si>
  <si>
    <t>CJYW</t>
  </si>
  <si>
    <t>Jiang ya wan - 1 flacon de 100 gélules - 50g</t>
  </si>
  <si>
    <t>Equilibre de la tension Ses principaux bienfaits : equilibre de la tension, equilibre métabolique, nourrit le yin et le qi</t>
  </si>
  <si>
    <t>https://calebasse.com/produits/jiang-ya-wan-4084?product=5292</t>
  </si>
  <si>
    <t>https://res.cloudinary.com/laboratoire-calebasse/image/upload/v1634201137/C_jiangyawan_748bbe1ae5.jpg</t>
  </si>
  <si>
    <t>3665346307250</t>
  </si>
  <si>
    <t>sku-CJYW</t>
  </si>
  <si>
    <t>4084</t>
  </si>
  <si>
    <t>CJYWCP</t>
  </si>
  <si>
    <t>Jiang ya wan - 1 flacon de poudre concentrée - 100g</t>
  </si>
  <si>
    <t>https://calebasse.com/produits/jiang-ya-wan-4084?product=5294</t>
  </si>
  <si>
    <t>https://res.cloudinary.com/laboratoire-calebasse/image/upload/v1634201136/C_jiangyawancp_a548774d0f.jpg</t>
  </si>
  <si>
    <t>3665346307236</t>
  </si>
  <si>
    <t>sku-CJYWCP</t>
  </si>
  <si>
    <t>CJZTW</t>
  </si>
  <si>
    <t>Jing zhui tong wan - 1 flacon de 100 gélules - 50g</t>
  </si>
  <si>
    <t>Pour décontracter les muscles du cou. Ses principaux bienfaits : décontracte les muscles, apaise les sensibilités articulaires</t>
  </si>
  <si>
    <t>https://calebasse.com/produits/jing-zhui-tong-wan-4090?product=5319</t>
  </si>
  <si>
    <t>https://res.cloudinary.com/laboratoire-calebasse/image/upload/v1753352333/JING_ZHUI_TONG_WAN_CJZTW_ca14923804.jpg</t>
  </si>
  <si>
    <t>3665346307953</t>
  </si>
  <si>
    <t>sku-CJZTW</t>
  </si>
  <si>
    <t>4090</t>
  </si>
  <si>
    <t>CJZTWCP</t>
  </si>
  <si>
    <t>Jing zhui tong wan - 1 flacon de poudre concentrée - 100g</t>
  </si>
  <si>
    <t>https://calebasse.com/produits/jing-zhui-tong-wan-4090?product=5322</t>
  </si>
  <si>
    <t>https://res.cloudinary.com/laboratoire-calebasse/image/upload/v1753352350/JING_ZHUI_TONG_WAN_CJZTWCP_6641f21d38.jpg</t>
  </si>
  <si>
    <t>3665346307939</t>
  </si>
  <si>
    <t>sku-CJZTWCP</t>
  </si>
  <si>
    <t>CKCW</t>
  </si>
  <si>
    <t>Ke chuan wan - 1 flacon de 100 gélules - 50g</t>
  </si>
  <si>
    <t>Pour éliminer le Phlegm. Ses principaux bienfaits : expulse le vent</t>
  </si>
  <si>
    <t>https://calebasse.com/produits/ke-chuan-wan-4093?product=5324</t>
  </si>
  <si>
    <t>https://res.cloudinary.com/laboratoire-calebasse/image/upload/v1753352365/KE_CHUAN_WAN_CKCW_12fe87078d.jpg</t>
  </si>
  <si>
    <t>3665346308059</t>
  </si>
  <si>
    <t>sku-CKCW</t>
  </si>
  <si>
    <t>4093</t>
  </si>
  <si>
    <t>CKCWCP</t>
  </si>
  <si>
    <t>Ke chuan wan - 1 flacon de poudre concentrée - 100g</t>
  </si>
  <si>
    <t>https://calebasse.com/produits/ke-chuan-wan-4093?product=5326</t>
  </si>
  <si>
    <t>https://res.cloudinary.com/laboratoire-calebasse/image/upload/v1753352382/KE_CHUAN_WAN_CKCWCP_b713d629d7.jpg</t>
  </si>
  <si>
    <t>3665346308035</t>
  </si>
  <si>
    <t>sku-CKCWCP</t>
  </si>
  <si>
    <t>CKXWCP</t>
  </si>
  <si>
    <t>Kou xiang wan - 1 flacon de poudre concentrée - 100g</t>
  </si>
  <si>
    <t>Clarifier la chaleur de l'estomac pour une haleine fraiche Ses principaux bienfaits : rafraichit l'haleine</t>
  </si>
  <si>
    <t>https://calebasse.com/produits/kou-xiang-wan-4092?product=5330</t>
  </si>
  <si>
    <t>https://res.cloudinary.com/laboratoire-calebasse/image/upload/v1634201139/C_kouxiangwancp_9c564ae273.jpg</t>
  </si>
  <si>
    <t>3665346330036</t>
  </si>
  <si>
    <t>sku-CKXWCP</t>
  </si>
  <si>
    <t>4092</t>
  </si>
  <si>
    <t>CLDXGT</t>
  </si>
  <si>
    <t>Long dan xie gan tang - 1 flacon de 100 gélules - 50g</t>
  </si>
  <si>
    <t>Pour détoxifier le Foie et l’organisme. Ses principaux bienfaits : clarifie la chaleur, détoxifie l'organisme, protège la fonction hépatique, améliore l'humeur</t>
  </si>
  <si>
    <t>https://calebasse.com/produits/long-dan-xie-gan-tang-4103?product=5368</t>
  </si>
  <si>
    <t>https://res.cloudinary.com/laboratoire-calebasse/image/upload/v1753104620/LONG_DAN_XIE_GAN_TANG_CLDXGT_Gelule_a54f416235.jpg</t>
  </si>
  <si>
    <t>3665346308950</t>
  </si>
  <si>
    <t>sku-CLDXGT</t>
  </si>
  <si>
    <t>4103</t>
  </si>
  <si>
    <t>CLDXGTCP</t>
  </si>
  <si>
    <t>Long dan xie gan tang - 1 flacon de poudre concentrée - 100g</t>
  </si>
  <si>
    <t>https://calebasse.com/produits/long-dan-xie-gan-tang-4103?product=5369</t>
  </si>
  <si>
    <t>https://res.cloudinary.com/laboratoire-calebasse/image/upload/v1753104610/LONG_DAN_XIE_GAN_TANG_CLDXGTCP_Poudre_93d3fe604f.jpg</t>
  </si>
  <si>
    <t>3665346308936</t>
  </si>
  <si>
    <t>sku-CLDXGTCP</t>
  </si>
  <si>
    <t>CLGZGT</t>
  </si>
  <si>
    <t>Ling gui zhu gan tang - 1 flacon de 100 gélules - 50g</t>
  </si>
  <si>
    <t>Pour assécher l’Humidité. Ses principaux bienfaits : assèche l’humidité</t>
  </si>
  <si>
    <t>https://calebasse.com/produits/ling-gui-zhu-gan-tang-4476?product=5352</t>
  </si>
  <si>
    <t>https://res.cloudinary.com/laboratoire-calebasse/image/upload/v1753352456/LING_GUI_ZHU_GAN_TANG_CLGZGT_1ea576ab65.jpg</t>
  </si>
  <si>
    <t>3665346319352</t>
  </si>
  <si>
    <t>sku-CLGZGT</t>
  </si>
  <si>
    <t>4476</t>
  </si>
  <si>
    <t>CLGZGTCP</t>
  </si>
  <si>
    <t>Ling gui zhu gan tang - 1 flacon de poudre concentrée - 100g</t>
  </si>
  <si>
    <t>https://calebasse.com/produits/ling-gui-zhu-gan-tang-4476?product=5354</t>
  </si>
  <si>
    <t>https://res.cloudinary.com/laboratoire-calebasse/image/upload/v1753352467/LING_GUI_ZHU_GAN_TANG_CLGZGTCP_ebb09e6502.jpg</t>
  </si>
  <si>
    <t>3665346319338</t>
  </si>
  <si>
    <t>sku-CLGZGTCP</t>
  </si>
  <si>
    <t>CLHQWJN</t>
  </si>
  <si>
    <t>Lian hua qing wen jiao nang - 1 flacon de 100 gélules - 50g</t>
  </si>
  <si>
    <t>Pour chasser le Chaleur du Poumon. Ses principaux bienfaits : libère les voies respiratoires</t>
  </si>
  <si>
    <t>https://calebasse.com/produits/lian-hua-qing-wen-jiao-nang-4382?product=6289</t>
  </si>
  <si>
    <t>https://res.cloudinary.com/laboratoire-calebasse/image/upload/v1753352426/LIAN_HUA_QING_WEN_JIAO_NANG_CLHQWJN_9f588dc59b.jpg</t>
  </si>
  <si>
    <t>3665346000052</t>
  </si>
  <si>
    <t>sku-CLHQWJN</t>
  </si>
  <si>
    <t>4382</t>
  </si>
  <si>
    <t>CLHQWJNCP</t>
  </si>
  <si>
    <t>Lian hua qing wen jiao nang - 1 flacon de poudre concentrée - 100g</t>
  </si>
  <si>
    <t>https://calebasse.com/produits/lian-hua-qing-wen-jiao-nang-4382?product=6291</t>
  </si>
  <si>
    <t>https://res.cloudinary.com/laboratoire-calebasse/image/upload/v1753352440/LIAN_HUA_QING_WEN_JIAO_NANG_CLHQWJNCP_3e4173a978.jpg</t>
  </si>
  <si>
    <t>3665346000038</t>
  </si>
  <si>
    <t>sku-CLHQWJNCP</t>
  </si>
  <si>
    <t>CLJZW</t>
  </si>
  <si>
    <t>Liu jun zi tang - 1 flacon de 100 gélules - 50g</t>
  </si>
  <si>
    <t>Pour tonifier la Rate. Ses principaux bienfaits : fortifie la rate</t>
  </si>
  <si>
    <t>https://calebasse.com/produits/liu-jun-zi-tang-4101?product=5358</t>
  </si>
  <si>
    <t>https://res.cloudinary.com/laboratoire-calebasse/image/upload/v1753104552/LIU_JUN_ZI_TANG_CLJZW_dc0f6b3ff0.jpg</t>
  </si>
  <si>
    <t>3665346308752</t>
  </si>
  <si>
    <t>sku-CLJZW</t>
  </si>
  <si>
    <t>4101</t>
  </si>
  <si>
    <t>CLJZWCP</t>
  </si>
  <si>
    <t>Liu jun zi tang - 1 flacon de poudre concentrée - 100g</t>
  </si>
  <si>
    <t>https://calebasse.com/produits/liu-jun-zi-tang-4101?product=5362</t>
  </si>
  <si>
    <t>https://res.cloudinary.com/laboratoire-calebasse/image/upload/v1753104566/LIU_JUN_ZI_TANG_CLJZWCP_21793fbd70.jpg</t>
  </si>
  <si>
    <t>3665346308738</t>
  </si>
  <si>
    <t>sku-CLJZWCP</t>
  </si>
  <si>
    <t>CLMZGKL</t>
  </si>
  <si>
    <t>Long mu zhuang gu ke li - 1 flacon de 100 gélules - 50g</t>
  </si>
  <si>
    <t>Pour tonifier la Rate et apaiser le Shen. Ses principaux bienfaits : calme l’esprit, tonifie la rate</t>
  </si>
  <si>
    <t>https://calebasse.com/produits/long-mu-zhuang-gu-ke-li-4105?product=5372</t>
  </si>
  <si>
    <t>https://res.cloudinary.com/laboratoire-calebasse/image/upload/v1753352484/LONG_MU_ZHUANG_GU_KE_LI_CLMZGKL_9c3eb5ba39.jpg</t>
  </si>
  <si>
    <t>3665346309056</t>
  </si>
  <si>
    <t>sku-CLMZGKL</t>
  </si>
  <si>
    <t>4105</t>
  </si>
  <si>
    <t>CLMZGKLCP</t>
  </si>
  <si>
    <t>Long mu zhuang gu ke li - 1 flacon de poudre concentrée - 100g</t>
  </si>
  <si>
    <t>https://calebasse.com/produits/long-mu-zhuang-gu-ke-li-4105?product=5374</t>
  </si>
  <si>
    <t>https://res.cloudinary.com/laboratoire-calebasse/image/upload/v1753352495/LONG_MU_ZHUANG_GU_KE_LI_CLMZGKLCP_ff47d38375.jpg</t>
  </si>
  <si>
    <t>3665346309032</t>
  </si>
  <si>
    <t>sku-CLMZGKLCP</t>
  </si>
  <si>
    <t>CLQBDW</t>
  </si>
  <si>
    <t>Lian qiao bai du wan - 1 flacon de 100 gélules - 50g</t>
  </si>
  <si>
    <t>Pour clarifier la Chaleur. Ses principaux bienfaits : clarifie la chaleur</t>
  </si>
  <si>
    <t>https://calebasse.com/produits/lian-qiao-bai-du-wan-4490?product=5344</t>
  </si>
  <si>
    <t>https://res.cloudinary.com/laboratoire-calebasse/image/upload/v1759402158/LIAN_QIAO_BAI_DU_WAN_CLQBDW_fb6f087568.jpg</t>
  </si>
  <si>
    <t>3665346308455</t>
  </si>
  <si>
    <t>sku-CLQBDW</t>
  </si>
  <si>
    <t>4490</t>
  </si>
  <si>
    <t>CLQBDWCP</t>
  </si>
  <si>
    <t>Lian qiao bai du wan - 1 flacon de poudre concentrée - 100g</t>
  </si>
  <si>
    <t>https://calebasse.com/produits/lian-qiao-bai-du-wan-4490?product=5346</t>
  </si>
  <si>
    <t>https://res.cloudinary.com/laboratoire-calebasse/image/upload/v1759402175/LIAN_QIAO_BAI_DU_WAN_CLQBDWCP_2c1aa6f710.jpg</t>
  </si>
  <si>
    <t>3665346308431</t>
  </si>
  <si>
    <t>sku-CLQBDWCP</t>
  </si>
  <si>
    <t>CLWDHW</t>
  </si>
  <si>
    <t>Liu wei di huang wan - 1 flacon de 100 gélules - 50g</t>
  </si>
  <si>
    <t>Pour tonifier et régénérer le Yin. Ses principaux bienfaits : tonifie le qi, tonifie le yin</t>
  </si>
  <si>
    <t>https://calebasse.com/produits/liu-wei-di-huang-wan-4102?product=5363</t>
  </si>
  <si>
    <t>https://res.cloudinary.com/laboratoire-calebasse/image/upload/v1753104594/LIU_WEI_DI_HUANG_WAN_CLWDHW_Gelule_b85cd0119e.jpg</t>
  </si>
  <si>
    <t>3665346308851</t>
  </si>
  <si>
    <t>sku-CLWDHW</t>
  </si>
  <si>
    <t>4102</t>
  </si>
  <si>
    <t>CLWDHWCP</t>
  </si>
  <si>
    <t>Liu wei di huang wan - 1 flacon de poudre concentrée - 100g</t>
  </si>
  <si>
    <t>https://calebasse.com/produits/liu-wei-di-huang-wan-4102?product=5366</t>
  </si>
  <si>
    <t>https://res.cloudinary.com/laboratoire-calebasse/image/upload/v1753104584/LIU_WEI_DI_HUANG_WAN_CLWDHWCP_Poudre_bd53a8d2d8.jpg</t>
  </si>
  <si>
    <t>3665346308837</t>
  </si>
  <si>
    <t>sku-CLWDHWCP</t>
  </si>
  <si>
    <t>CLZW</t>
  </si>
  <si>
    <t>Li zhong wan - 1 flacon de 100 gélules - 50g</t>
  </si>
  <si>
    <t>Pour renforcer la Rate et l’Estomac. Ses principaux bienfaits : tonifie le qi</t>
  </si>
  <si>
    <t>https://calebasse.com/produits/li-zhong-wan-4095?product=5340</t>
  </si>
  <si>
    <t>https://res.cloudinary.com/laboratoire-calebasse/image/upload/v1753104525/LI_ZHONG_WAN_CLZW_5a1959b777.jpg</t>
  </si>
  <si>
    <t>3665346319451</t>
  </si>
  <si>
    <t>sku-CLZW</t>
  </si>
  <si>
    <t>4095</t>
  </si>
  <si>
    <t>CLZWCP</t>
  </si>
  <si>
    <t>Li zhong wan - 1 flacon de poudre concentrée - 100g</t>
  </si>
  <si>
    <t>https://calebasse.com/produits/li-zhong-wan-4095?product=5342</t>
  </si>
  <si>
    <t>https://res.cloudinary.com/laboratoire-calebasse/image/upload/v1753104536/LI_ZHONG_WAN_CLZWCP_086aa74f36.jpg</t>
  </si>
  <si>
    <t>3665346319437</t>
  </si>
  <si>
    <t>sku-CLZWCP</t>
  </si>
  <si>
    <t>CMGW</t>
  </si>
  <si>
    <t>Mu gua wan - 1 flacon de 100 gélules - 50g</t>
  </si>
  <si>
    <t>Pour aider à la mobilité des articulations. Ses principaux bienfaits : favorise le confort articulaire</t>
  </si>
  <si>
    <t>https://calebasse.com/produits/mu-gua-wan-4107?product=5384</t>
  </si>
  <si>
    <t>https://res.cloudinary.com/laboratoire-calebasse/image/upload/v1753352508/MU_GUA_WAN_CMGW_71b7476586.jpg</t>
  </si>
  <si>
    <t>3665346309353</t>
  </si>
  <si>
    <t>sku-CMGW</t>
  </si>
  <si>
    <t>4107</t>
  </si>
  <si>
    <t>CMGWCP</t>
  </si>
  <si>
    <t>Mu gua wan - 1 flacon de poudre concentrée - 100g</t>
  </si>
  <si>
    <t>https://calebasse.com/produits/mu-gua-wan-4107?product=5385</t>
  </si>
  <si>
    <t>https://res.cloudinary.com/laboratoire-calebasse/image/upload/v1753352518/MU_GUA_WAN_CMGWCP_1c77c042d9.jpg</t>
  </si>
  <si>
    <t>3665346309339</t>
  </si>
  <si>
    <t>sku-CMGWCP</t>
  </si>
  <si>
    <t>CMMDHW</t>
  </si>
  <si>
    <t>Ming mu di huang wan - 1 flacon de 100 gélules - 50g</t>
  </si>
  <si>
    <t>Pour nourrir le Yin du Foie et du Rein. Ses principaux bienfaits : tonifie le yin</t>
  </si>
  <si>
    <t>https://calebasse.com/produits/ming-mu-di-huang-wan-4106?product=5380</t>
  </si>
  <si>
    <t>https://res.cloudinary.com/laboratoire-calebasse/image/upload/v1760600261/MING_MU_DI_HUANG_WAN_CMMDHW_Gelule_44b7e3f53d.jpg</t>
  </si>
  <si>
    <t>3665346309254</t>
  </si>
  <si>
    <t>sku-CMMDHW</t>
  </si>
  <si>
    <t>4106</t>
  </si>
  <si>
    <t>CMMDHWCP</t>
  </si>
  <si>
    <t>Ming mu di huang wan - 1 flacon de poudre concentrée - 100g</t>
  </si>
  <si>
    <t>https://calebasse.com/produits/ming-mu-di-huang-wan-4106?product=5382</t>
  </si>
  <si>
    <t>https://res.cloudinary.com/laboratoire-calebasse/image/upload/v1753104644/MING_MU_DI_HUANG_WAN_CMMDHWCP_Poudre_cb72c93cd0.jpg</t>
  </si>
  <si>
    <t>3665346309230</t>
  </si>
  <si>
    <t>sku-CMMDHWCP</t>
  </si>
  <si>
    <t>CN001</t>
  </si>
  <si>
    <t>Table de massage pliable en bois, avec oreiller et taie, housse incluse - Mousse de 8 cm d'épaisseur - Zhe Die An Mo Chuang - M - 60 cm x 185 cm</t>
  </si>
  <si>
    <t>https://calebasse.com/produits/zhe-die-an-mo-chuang-table-de-massage-pliable-en-bois-avec-oreiller-et-taie-housse-incluse-mousse-de-8-cm-depaisseur-4980?product=7188</t>
  </si>
  <si>
    <t>https://res.cloudinary.com/laboratoire-calebasse/image/upload/v1753870747/60_48935673d7.jpg</t>
  </si>
  <si>
    <t>sku-CN001</t>
  </si>
  <si>
    <t>https://res.cloudinary.com/laboratoire-calebasse/image/upload/v1753870784/Web_1920_36_0cbc60a245.jpg</t>
  </si>
  <si>
    <t>Santé &amp; Bien-être &gt; Outils de médecine traditionnelle chinoise  &gt; EXAD</t>
  </si>
  <si>
    <t>4980</t>
  </si>
  <si>
    <t>543597</t>
  </si>
  <si>
    <t>CN002</t>
  </si>
  <si>
    <t>Table de massage pliable en bois, avec oreiller et taie, housse incluse - Mousse de 8 cm d'épaisseur - Zhe Die An Mo Chuang - L - 70 cm x 185 cm</t>
  </si>
  <si>
    <t>https://calebasse.com/produits/zhe-die-an-mo-chuang-table-de-massage-pliable-en-bois-avec-oreiller-et-taie-housse-incluse-mousse-de-8-cm-depaisseur-4980?product=7189</t>
  </si>
  <si>
    <t>https://res.cloudinary.com/laboratoire-calebasse/image/upload/v1753870758/70_6394a39efe.jpg</t>
  </si>
  <si>
    <t>sku-CN002</t>
  </si>
  <si>
    <t>CN002＋CN003</t>
  </si>
  <si>
    <t>Kit Espace Sérénité - Kit</t>
  </si>
  <si>
    <t>https://calebasse.com/produits/kit-espace-serenite-5021?product=7239</t>
  </si>
  <si>
    <t>https://res.cloudinary.com/laboratoire-calebasse/image/upload/v1733750133/kit_serenite_43a6918917.jpg</t>
  </si>
  <si>
    <t>sku-CN002＋CN003</t>
  </si>
  <si>
    <t>5021</t>
  </si>
  <si>
    <t>CN003</t>
  </si>
  <si>
    <t>Lampe infrarouge à une tête - Hong Wai Xian Deng - 1 Lampe - Modèle Essentiel</t>
  </si>
  <si>
    <t>Usage réservé aux professionnels uniquement.</t>
  </si>
  <si>
    <t>https://calebasse.com/produits/hong-wai-xian-deng-lampe-infrarouge-a-une-tete-4990?product=7200</t>
  </si>
  <si>
    <t>https://res.cloudinary.com/laboratoire-calebasse/image/upload/v1755011338/CN_003_Modele_essentiel_03de2eac42.jpg</t>
  </si>
  <si>
    <t>sku-CN003</t>
  </si>
  <si>
    <t>https://res.cloudinary.com/laboratoire-calebasse/image/upload/v1755011041/Modele_essentiel_VS_modele_avance_bbd29a9de7.jpg; https://res.cloudinary.com/laboratoire-calebasse/image/upload/v1763629260/Dcrpt_13f48e3f5f.jpg; https://res.cloudinary.com/laboratoire-calebasse/image/upload/v1763629260/Dcrpt_1afe5a2601.jpg</t>
  </si>
  <si>
    <t>4990</t>
  </si>
  <si>
    <t>CN004</t>
  </si>
  <si>
    <t>Lampe infrarouge à une tête - Hong Wai Xian Deng - 1 Lampe - Modèle Bureau</t>
  </si>
  <si>
    <t>https://calebasse.com/produits/hong-wai-xian-deng-lampe-infrarouge-a-une-tete-4990?product=7377</t>
  </si>
  <si>
    <t>https://res.cloudinary.com/laboratoire-calebasse/image/upload/v1732201053/2_dcefa76f57.jpg</t>
  </si>
  <si>
    <t>sku-CN004</t>
  </si>
  <si>
    <t>CN005</t>
  </si>
  <si>
    <t>Lampe infrarouge à une tête - Hong Wai Xian Deng - 1 Lampe - Modèle Avancé</t>
  </si>
  <si>
    <t>https://calebasse.com/produits/hong-wai-xian-deng-lampe-infrarouge-a-une-tete-4990?product=7378</t>
  </si>
  <si>
    <t>https://res.cloudinary.com/laboratoire-calebasse/image/upload/v1755011364/CN_005_Modele_avance_75cbcbc3f5.jpg</t>
  </si>
  <si>
    <t>sku-CN005</t>
  </si>
  <si>
    <t>CN006-1.8L</t>
  </si>
  <si>
    <t>Multicuiseur électrique en porcelaine - Taille M Autocuiseur - 1.8L</t>
  </si>
  <si>
    <t>Ses principaux bienfaits : 8 modes de cuisson, idéal pour soupes et gruaux, possibilité maintien au chaud jusqu'à 24h, simplicité et cuisson douce</t>
  </si>
  <si>
    <t>https://calebasse.com/produits/multicuiseur-electrique-en-porcelaine-5030?product=7252</t>
  </si>
  <si>
    <t>https://res.cloudinary.com/laboratoire-calebasse/image/upload/v1722249961/guo_1_8_L_f1e9f345fd.jpg</t>
  </si>
  <si>
    <t>sku-CN006-1.8L</t>
  </si>
  <si>
    <t>Électroménager &gt; Autocuiseur &gt; EXAD</t>
  </si>
  <si>
    <t>5030</t>
  </si>
  <si>
    <t>CN006-3.8L</t>
  </si>
  <si>
    <t>Multicuiseur électrique en porcelaine - Taille L Autocuiseur - 3.8L</t>
  </si>
  <si>
    <t>https://calebasse.com/produits/multicuiseur-electrique-en-porcelaine-5030?product=7253</t>
  </si>
  <si>
    <t>https://res.cloudinary.com/laboratoire-calebasse/image/upload/v1722250015/guo_3_8_L_d0b6035007.jpg</t>
  </si>
  <si>
    <t>sku-CN006-3.8L</t>
  </si>
  <si>
    <t>CNLBW</t>
  </si>
  <si>
    <t>Nao li bao wan - 1 flacon de 100 gélules - 50g</t>
  </si>
  <si>
    <t>Pour rétablir l'harmonie Coeur-Esprit. Ses principaux bienfaits : débloque l'énergie du foie, tonifie le qi du rein</t>
  </si>
  <si>
    <t>https://calebasse.com/produits/nao-li-bao-wan-4109?product=5392</t>
  </si>
  <si>
    <t>https://res.cloudinary.com/laboratoire-calebasse/image/upload/v1753352533/NAO_LI_BAO_WAN_CNLBW_427ee39006.jpg</t>
  </si>
  <si>
    <t>3665346309551</t>
  </si>
  <si>
    <t>sku-CNLBW</t>
  </si>
  <si>
    <t>4109</t>
  </si>
  <si>
    <t>CNLBWCP</t>
  </si>
  <si>
    <t>Nao li bao wan - 1 flacon de poudre concentrée - 100g</t>
  </si>
  <si>
    <t>https://calebasse.com/produits/nao-li-bao-wan-4109?product=5394</t>
  </si>
  <si>
    <t>https://res.cloudinary.com/laboratoire-calebasse/image/upload/v1753352544/NAO_LI_BAO_WAN_CNLBWCP_86c181a161.jpg</t>
  </si>
  <si>
    <t>3665346309537</t>
  </si>
  <si>
    <t>sku-CNLBWCP</t>
  </si>
  <si>
    <t>CNSYRW</t>
  </si>
  <si>
    <t>Nong suo yang rong wan - 1 flacon de 100 gélules - 50g</t>
  </si>
  <si>
    <t>Pour calmer l’Esprit.</t>
  </si>
  <si>
    <t>https://calebasse.com/produits/nong-suo-yang-rong-wan-4111?product=5400</t>
  </si>
  <si>
    <t>https://res.cloudinary.com/laboratoire-calebasse/image/upload/v1753352561/NONG_SUO_YANG_RONG_WAN_CNSYRW_5d72338ed0.jpg</t>
  </si>
  <si>
    <t>3665346309759</t>
  </si>
  <si>
    <t>sku-CNSYRW</t>
  </si>
  <si>
    <t>4111</t>
  </si>
  <si>
    <t>CNSYRWCP</t>
  </si>
  <si>
    <t>Nong suo yang rong wan - 1 flacon de poudre concentrée - 100g</t>
  </si>
  <si>
    <t>https://calebasse.com/produits/nong-suo-yang-rong-wan-4111?product=5401</t>
  </si>
  <si>
    <t>https://res.cloudinary.com/laboratoire-calebasse/image/upload/v1753352572/NONG_SUO_YANG_RONG_WAN_CNSYRWCP_4c7bb5633e.jpg</t>
  </si>
  <si>
    <t>3665346309735</t>
  </si>
  <si>
    <t>sku-CNSYRWCP</t>
  </si>
  <si>
    <t>COF-GRAND</t>
  </si>
  <si>
    <t>Coffret Cadeau Calebasse - 1 Coffret Grand</t>
  </si>
  <si>
    <t>Coffret Cadeau Calebasse</t>
  </si>
  <si>
    <t>https://calebasse.com/produits/coffret-cadeau-calebasse-5027?product=7536</t>
  </si>
  <si>
    <t>https://res.cloudinary.com/laboratoire-calebasse/image/upload/v1755003751/box_428ec10a39.jpg</t>
  </si>
  <si>
    <t>sku-COF-GRAND</t>
  </si>
  <si>
    <t>5207</t>
  </si>
  <si>
    <t>COF-KITSG</t>
  </si>
  <si>
    <t>Pack Découverte Supergreens - Trouvez votre allié vert idéal - 1 coffret de 75g – 4 formules</t>
  </si>
  <si>
    <t>4 formules concentrées, 4 façons de retrouver vitalité et équilibre naturellement. Testez l'ensemble de notre gamme pour découvrir celle qui vous correspond le mieux, sans engagement. Ses principaux bienfaits : boost d'énergie et vitalité au quotidien, digestion légère et équilibrée, reminéralise et comble les carences, défenses immunitaires</t>
  </si>
  <si>
    <t>https://calebasse.com/produits/pack-decouverte-supergreens-trouvez-votre-allie-vert-ideal-5226?product=7609</t>
  </si>
  <si>
    <t>https://res.cloudinary.com/laboratoire-calebasse/image/upload/v1761031682/_94cf35bb61.jpg</t>
  </si>
  <si>
    <t>sku-COF-KITSG</t>
  </si>
  <si>
    <t>Boost d'énergie et vitalité au quotidien; Digestion légère et équilibrée; Reminéralise et comble les carences; Défenses immunitaires</t>
  </si>
  <si>
    <t>https://res.cloudinary.com/laboratoire-calebasse/image/upload/v1761230127/_74e128d4b7.jpg; https://res.cloudinary.com/laboratoire-calebasse/image/upload/v1761230127/1_3d64496a67.jpg; https://res.cloudinary.com/laboratoire-calebasse/image/upload/v1761230126/2_4233bc5351.jpg; https://res.cloudinary.com/laboratoire-calebasse/image/upload/v1761230126/3_444162c2e1.jpg; https://res.cloudinary.com/laboratoire-calebasse/image/upload/v1761230125/4_4783c05b66.jpg</t>
  </si>
  <si>
    <t>5226</t>
  </si>
  <si>
    <t>COF-VEC</t>
  </si>
  <si>
    <t>Coffret Voyage en Chine - Rituel &amp; Tradition - 1 Coffret Voyage en Chine</t>
  </si>
  <si>
    <t>Un voyage à travers la Chine, tasse après tasse pour accompagner le passage vers la nouvelle année 2026 avec équilibre, douceur et chaleur intérieure. Ses principaux bienfaits : apporte de l’énergie naturellement, stimule les fonctions digestives, contribue à l’éclat et au confort de la peau, faciliter l'infusion</t>
  </si>
  <si>
    <t>https://calebasse.com/produits/coffret-de-noel-voyage-en-chine?product=7645</t>
  </si>
  <si>
    <t>https://res.cloudinary.com/laboratoire-calebasse/image/upload/v1769091645/Nouvel_An_Chinoise_2026_porte_1080_X1080_px_2_ca782b6be2.jpg</t>
  </si>
  <si>
    <t>3665346401026</t>
  </si>
  <si>
    <t>sku-COF-VEC</t>
  </si>
  <si>
    <t>Le cadeau de Noël que personne n’attend… et que tout le monde adorera</t>
  </si>
  <si>
    <t>https://res.cloudinary.com/laboratoire-calebasse/image/upload/v1769091346/Nouvel_An_Chinoise_2026_interieur_1080_X1080_px_3_b261935698.jpg; https://res.cloudinary.com/laboratoire-calebasse/image/upload/v1769090868/_c9c4c4ec30.jpg; https://res.cloudinary.com/laboratoire-calebasse/image/upload/v1769090869/_2632c471a7.jpg; https://res.cloudinary.com/laboratoire-calebasse/image/upload/v1769090869/_38c7259b2a.jpg; https://res.cloudinary.com/laboratoire-calebasse/image/upload/v1765211056/6_2cfc65d23b.jpg; https://res.cloudinary.com/laboratoire-calebasse/image/upload/v1765211057/7_25916372b9.jpg</t>
  </si>
  <si>
    <t>5235</t>
  </si>
  <si>
    <t>COF2</t>
  </si>
  <si>
    <t>Coffret de fleurs à infuser - Yang sheng hua he - 1 Coffret</t>
  </si>
  <si>
    <t>Un coffret pensé pour les amateurs de fleurs à infuser : un voyage délicat au cœur des saveurs florales chinoises, idéal pour offrir douceur, sérénité et beauté naturelle à ceux que vous aimez. Ses principaux bienfaits : calme l’esprit, permet un sommeil paisible, détoxifie l'organisme, améliore l'apparence de la peau, apaiser la fatigue visuelle</t>
  </si>
  <si>
    <t>https://calebasse.com/produits/yang-sheng-hua-he-coffret-de-fleurs-a-infuser-4742?product=6440</t>
  </si>
  <si>
    <t>https://res.cloudinary.com/laboratoire-calebasse/image/upload/v1763137619/Coffret_de_fleurs_a_infuser_7d5e5991f1.jpg</t>
  </si>
  <si>
    <t>sku-COF2</t>
  </si>
  <si>
    <t>4742</t>
  </si>
  <si>
    <t>COFBEAUTE</t>
  </si>
  <si>
    <t>Coffret Beauté à la Chinoise – Éclat &amp; Détente - 1 coffret beauté + 2 ventouses offertes</t>
  </si>
  <si>
    <t>L’essentiel beauté à offrir (ou à s’offrir) pour révéler l’éclat intérieur et traverser l’hiver avec sérénité et beauté. Ses principaux bienfaits : illumine et adoucit la peau, harmonise digestion et équilibre intérieur, transforme la beauté en rituel d’âme et de saison, nourrit le qi, apaise le shen</t>
  </si>
  <si>
    <t>https://calebasse.com/produits/coffret-beaute-de-noel-eclat-and-detente-5231?product=7630</t>
  </si>
  <si>
    <t>https://res.cloudinary.com/laboratoire-calebasse/image/upload/v1764773993/Coffret_A_sac_1080_X1080_px_1_30c0e91137.jpg</t>
  </si>
  <si>
    <t>3665346401019</t>
  </si>
  <si>
    <t>sku-COFBEAUTE</t>
  </si>
  <si>
    <t>L’essentiel beauté à offrir (ou à s’offrir) pour révéler l’éclat intérieur et traverser l’hiver avec sérénité et beauté.</t>
  </si>
  <si>
    <t>https://res.cloudinary.com/laboratoire-calebasse/image/upload/v1763977121/4_31bedfa0fa.jpg; https://res.cloudinary.com/laboratoire-calebasse/image/upload/v1763977120/2_80f48cabcb.jpg; https://res.cloudinary.com/laboratoire-calebasse/image/upload/v1763977120/3_9b9c9be094.jpg; https://res.cloudinary.com/laboratoire-calebasse/image/upload/v1764168429/ventouses_offertes_a8ee5bc75c.jpg</t>
  </si>
  <si>
    <t>5231</t>
  </si>
  <si>
    <t>COFDUORQ</t>
  </si>
  <si>
    <t>Roller Rose Quartz et Duo - 1 Coffret Duo Rose Quartz</t>
  </si>
  <si>
    <t>Pour une peau éclatante et apaisée Ses principaux bienfaits : stimule la circulation sanguine, décontracte les muscles, améliore l'apparence de la peau, réduit la fatigue, apaise le stress</t>
  </si>
  <si>
    <t>https://calebasse.com/produits/duo-rose-quartz-5158?product=7443</t>
  </si>
  <si>
    <t>https://res.cloudinary.com/laboratoire-calebasse/image/upload/v1739186082/5_W0_A1762_99288103aa.jpg</t>
  </si>
  <si>
    <t>sku-COFDUORQ</t>
  </si>
  <si>
    <t>https://res.cloudinary.com/laboratoire-calebasse/image/upload/v1739186056/4_259774ad14.jpg; https://res.cloudinary.com/laboratoire-calebasse/image/upload/v1739186083/5_W0_A1832_16304f4e8b.jpg; https://res.cloudinary.com/laboratoire-calebasse/image/upload/v1739186671/5_W0_A1759_9fc806b69d.jpg; https://res.cloudinary.com/laboratoire-calebasse/image/upload/v1739186082/5_W0_A1767_8396fca16b.jpg</t>
  </si>
  <si>
    <t>5158</t>
  </si>
  <si>
    <t>CPPQFY</t>
  </si>
  <si>
    <t>Pi pa qing fei yin - 1 flacon de 100 gélules - 50g</t>
  </si>
  <si>
    <t>Pour clarifier la Chaleur du Poumon. Ses principaux bienfaits : assèche l’humidité</t>
  </si>
  <si>
    <t>https://calebasse.com/produits/pi-pa-qing-fei-yin-4389?product=6323</t>
  </si>
  <si>
    <t>https://res.cloudinary.com/laboratoire-calebasse/image/upload/v1753352586/PI_PA_QING_FEI_YIN_CPPQFY_d0625ae74b.jpg</t>
  </si>
  <si>
    <t>3665346320853</t>
  </si>
  <si>
    <t>sku-CPPQFY</t>
  </si>
  <si>
    <t>4389</t>
  </si>
  <si>
    <t>CPPQFYCP</t>
  </si>
  <si>
    <t>Pi pa qing fei yin - 1 flacon de poudre concentrée - 100g</t>
  </si>
  <si>
    <t>https://calebasse.com/produits/pi-pa-qing-fei-yin-4389?product=6325</t>
  </si>
  <si>
    <t>https://res.cloudinary.com/laboratoire-calebasse/image/upload/v1753352597/PI_PA_QING_FEI_YIN_CPPQFYCP_817d56de4b.jpg</t>
  </si>
  <si>
    <t>3665346320839</t>
  </si>
  <si>
    <t>sku-CPPQFYCP</t>
  </si>
  <si>
    <t>CPTTW</t>
  </si>
  <si>
    <t>Pian tou tong wan - 1 flacon de 100 gélules - 50g</t>
  </si>
  <si>
    <t>Pour réguler le Yang du Foie. Ses principaux bienfaits : régule le yang du foie</t>
  </si>
  <si>
    <t>https://calebasse.com/produits/pian-tou-tong-wan-4113?product=5407</t>
  </si>
  <si>
    <t>https://res.cloudinary.com/laboratoire-calebasse/image/upload/v1753352611/PIAN_TOU_TONG_WAN_CPTTW_42076e0edf.jpg</t>
  </si>
  <si>
    <t>3665346309957</t>
  </si>
  <si>
    <t>sku-CPTTW</t>
  </si>
  <si>
    <t>4113</t>
  </si>
  <si>
    <t>CPTTWCP</t>
  </si>
  <si>
    <t>Pian tou tong wan - 1 flacon de poudre concentrée - 100g</t>
  </si>
  <si>
    <t>https://calebasse.com/produits/pian-tou-tong-wan-4113?product=5410</t>
  </si>
  <si>
    <t>https://res.cloudinary.com/laboratoire-calebasse/image/upload/v1753352622/PIAN_TOU_TONG_WAN_CPTTWCP_2e13fecae2.jpg</t>
  </si>
  <si>
    <t>3665346309933</t>
  </si>
  <si>
    <t>sku-CPTTWCP</t>
  </si>
  <si>
    <t>CPWS</t>
  </si>
  <si>
    <t>Ping wei san - 1 flacon de 100 gélules - 50g</t>
  </si>
  <si>
    <t>Pour réduire l’Humidité du corps. Ses principaux bienfaits : assèche l’humidité</t>
  </si>
  <si>
    <t>https://calebasse.com/produits/ping-wei-san-4114?product=5412</t>
  </si>
  <si>
    <t>https://res.cloudinary.com/laboratoire-calebasse/image/upload/v1753352636/PING_WEI_SAN_CPWS_c545ae052b.jpg</t>
  </si>
  <si>
    <t>3665346310052</t>
  </si>
  <si>
    <t>sku-CPWS</t>
  </si>
  <si>
    <t>4114</t>
  </si>
  <si>
    <t>CPWSCP</t>
  </si>
  <si>
    <t>Ping wei san - 1 flacon de poudre concentrée - 100g</t>
  </si>
  <si>
    <t>https://calebasse.com/produits/ping-wei-san-4114?product=5413</t>
  </si>
  <si>
    <t>https://res.cloudinary.com/laboratoire-calebasse/image/upload/v1753352648/PING_WEI_SAN_CPWSCP_0fe3c3d43f.jpg</t>
  </si>
  <si>
    <t>3665346310038</t>
  </si>
  <si>
    <t>sku-CPWSCP</t>
  </si>
  <si>
    <t>CQDHSW</t>
  </si>
  <si>
    <t>Qing dan hua shi wan - 1 flacon de 100 gélules - 50g</t>
  </si>
  <si>
    <t>Pour soutenir la fonction hépatique et biliaire. Ses principaux bienfaits : contribue à une bonne digestion, favorise le fonctionnement du foie</t>
  </si>
  <si>
    <t>https://calebasse.com/produits/qing-dan-hua-shi-wan-4122?product=5445</t>
  </si>
  <si>
    <t>https://res.cloudinary.com/laboratoire-calebasse/image/upload/v1753352800/QING_DAN_HUA_SHI_WAN_CQDHSW_e6fb3df078.jpg</t>
  </si>
  <si>
    <t>3665346310854</t>
  </si>
  <si>
    <t>sku-CQDHSW</t>
  </si>
  <si>
    <t>4122</t>
  </si>
  <si>
    <t>CQDHSWCP</t>
  </si>
  <si>
    <t>Qing dan hua shi wan - 1 flacon de poudre concentrée - 100g</t>
  </si>
  <si>
    <t>https://calebasse.com/produits/qing-dan-hua-shi-wan-4122?product=5446</t>
  </si>
  <si>
    <t>https://res.cloudinary.com/laboratoire-calebasse/image/upload/v1753352812/QING_DAN_HUA_SHI_WAN_CQDHSWCP_ca9aa5854f.jpg</t>
  </si>
  <si>
    <t>3665346310830</t>
  </si>
  <si>
    <t>sku-CQDHSWCP</t>
  </si>
  <si>
    <t>CQFZKW</t>
  </si>
  <si>
    <t>Qing fei zhi ke wan - 1 flacon de 100 gélules - 50g</t>
  </si>
  <si>
    <t>Pour soulager les sensibilités de la gorge. Ses principaux bienfaits : expulse le vent, soulage les voies respiratoires</t>
  </si>
  <si>
    <t>https://calebasse.com/produits/qing-fei-zhi-ke-wan-4491?product=5456</t>
  </si>
  <si>
    <t>https://res.cloudinary.com/laboratoire-calebasse/image/upload/v1753352863/QING_FEI_ZHI_KE_WAN_CQFZKW_da48780946.jpg</t>
  </si>
  <si>
    <t>3665346311158</t>
  </si>
  <si>
    <t>sku-CQFZKW</t>
  </si>
  <si>
    <t>4491</t>
  </si>
  <si>
    <t>CQFZKWCP</t>
  </si>
  <si>
    <t>Qing fei zhi ke wan - 1 flacon de poudre concentrée - 100g</t>
  </si>
  <si>
    <t>https://calebasse.com/produits/qing-fei-zhi-ke-wan-4491?product=5457</t>
  </si>
  <si>
    <t>https://res.cloudinary.com/laboratoire-calebasse/image/upload/v1753352882/QING_FEI_ZHI_KE_WAN_CQFZKWCP_cd729a2b79.jpg</t>
  </si>
  <si>
    <t>3665346311134</t>
  </si>
  <si>
    <t>sku-CQFZKWCP</t>
  </si>
  <si>
    <t>CQJDHW</t>
  </si>
  <si>
    <t>Qi ju di huang wan - 1 flacon de 100 gélules - 50g</t>
  </si>
  <si>
    <t>Pour nourrir les Reins et les yeux.</t>
  </si>
  <si>
    <t>https://calebasse.com/produits/qi-ju-di-huang-wan-4115?product=5416</t>
  </si>
  <si>
    <t>https://res.cloudinary.com/laboratoire-calebasse/image/upload/v1753104742/QI_JU_DI_HUANG_WAN_CQJDHW_35302ea04a.jpg</t>
  </si>
  <si>
    <t>3665346310151</t>
  </si>
  <si>
    <t>sku-CQJDHW</t>
  </si>
  <si>
    <t>4115</t>
  </si>
  <si>
    <t>CQJDHWCP</t>
  </si>
  <si>
    <t>Qi ju di huang wan - 1 flacon de poudre concentrée - 100g</t>
  </si>
  <si>
    <t>https://calebasse.com/produits/qi-ju-di-huang-wan-4115?product=5418</t>
  </si>
  <si>
    <t>https://res.cloudinary.com/laboratoire-calebasse/image/upload/v1753104752/QI_JU_DI_HUANG_WAN_CQJDHWCP_da930a48ee.jpg</t>
  </si>
  <si>
    <t>3665346310137</t>
  </si>
  <si>
    <t>sku-CQJDHWCP</t>
  </si>
  <si>
    <t>CQKT</t>
  </si>
  <si>
    <t>Qing kong tang - 1 flacon de 100 gélules - 50g</t>
  </si>
  <si>
    <t>Pour clarifier la Chaleur et nourrir le Yin. Ses principaux bienfaits : tonifie le qi, nourrit le yin</t>
  </si>
  <si>
    <t>https://calebasse.com/produits/qing-kong-tang-4126?product=5460</t>
  </si>
  <si>
    <t>https://res.cloudinary.com/laboratoire-calebasse/image/upload/v1753352896/QING_KONG_TANG_CQKT_3c8e30b3e2.jpg</t>
  </si>
  <si>
    <t>3665346311257</t>
  </si>
  <si>
    <t>sku-CQKT</t>
  </si>
  <si>
    <t>4126</t>
  </si>
  <si>
    <t>CQKTCP</t>
  </si>
  <si>
    <t>Qing kong tang - 1 flacon de poudre concentrée - 100g</t>
  </si>
  <si>
    <t>https://calebasse.com/produits/qing-kong-tang-4126?product=5461</t>
  </si>
  <si>
    <t>https://res.cloudinary.com/laboratoire-calebasse/image/upload/v1753352907/QING_KONG_TANG_CQKTCP_9a8267ba00.jpg</t>
  </si>
  <si>
    <t>3665346311233</t>
  </si>
  <si>
    <t>sku-CQKTCP</t>
  </si>
  <si>
    <t>CQLXW</t>
  </si>
  <si>
    <t>Qian lie xian wan - 1 flacon de 100 gélules - 50g</t>
  </si>
  <si>
    <t>Pour venir à bout des inconforts liés à la prostate. Ses principaux bienfaits : aide au confort urinaire, stimule les fonctions éliminatrices, préserve la fonction de la prostate</t>
  </si>
  <si>
    <t>https://calebasse.com/produits/qian-lie-xian-wan-4121?product=5436</t>
  </si>
  <si>
    <t>https://res.cloudinary.com/laboratoire-calebasse/image/upload/v1753352664/QIAN_LIE_XIAN_WAN_CQLXW_b483b79ea5.jpg</t>
  </si>
  <si>
    <t>3665346310656</t>
  </si>
  <si>
    <t>sku-CQLXW</t>
  </si>
  <si>
    <t>4121</t>
  </si>
  <si>
    <t>CQLXWCP</t>
  </si>
  <si>
    <t>Qian lie xian wan - 1 flacon de poudre concentrée - 100g</t>
  </si>
  <si>
    <t>https://calebasse.com/produits/qian-lie-xian-wan-4121?product=5438</t>
  </si>
  <si>
    <t>https://res.cloudinary.com/laboratoire-calebasse/image/upload/v1753352781/QIAN_LIE_XIAN_WAN_CQLXWCP_0e95517593.jpg</t>
  </si>
  <si>
    <t>3665346310632</t>
  </si>
  <si>
    <t>sku-CQLXWCP</t>
  </si>
  <si>
    <t>CQQHTW</t>
  </si>
  <si>
    <t>Qing qi hua tan wan - 1 flacon de 100 gélules - 50g</t>
  </si>
  <si>
    <t>Pour chasser les excès de Chaleur. Ses principaux bienfaits : chasse la chaleur</t>
  </si>
  <si>
    <t>https://calebasse.com/produits/qing-qi-hua-tan-wan-4127?product=5464</t>
  </si>
  <si>
    <t>https://res.cloudinary.com/laboratoire-calebasse/image/upload/v1753352924/QING_QI_HUA_TAN_WAN_CQQHTW_0965b39a70.jpg</t>
  </si>
  <si>
    <t>3665346311356</t>
  </si>
  <si>
    <t>sku-CQQHTW</t>
  </si>
  <si>
    <t>4127</t>
  </si>
  <si>
    <t>CQQHTWCP</t>
  </si>
  <si>
    <t>Qing qi hua tan wan - 1 flacon de poudre concentrée - 100g</t>
  </si>
  <si>
    <t>https://calebasse.com/produits/qing-qi-hua-tan-wan-4127?product=5466</t>
  </si>
  <si>
    <t>https://res.cloudinary.com/laboratoire-calebasse/image/upload/v1753352935/QING_QI_HUA_TAN_WAN_CQQHTWCP_461ee5e028.jpg</t>
  </si>
  <si>
    <t>3665346311332</t>
  </si>
  <si>
    <t>sku-CQQHTWCP</t>
  </si>
  <si>
    <t>CQYT</t>
  </si>
  <si>
    <t>Qin yin tang - 1 flacon de 100 gélules - 50g</t>
  </si>
  <si>
    <t>https://calebasse.com/produits/qin-yin-tang-4716?product=6861</t>
  </si>
  <si>
    <t>https://res.cloudinary.com/laboratoire-calebasse/image/upload/v1675075324/C_qinyintang_27ab0c5718.jpg</t>
  </si>
  <si>
    <t>3665346323656</t>
  </si>
  <si>
    <t>sku-CQYT</t>
  </si>
  <si>
    <t>4716</t>
  </si>
  <si>
    <t>CRCW</t>
  </si>
  <si>
    <t>Run chang wan - 1 flacon de 100 gélules - 50g</t>
  </si>
  <si>
    <t>Pour retrouver le confort.</t>
  </si>
  <si>
    <t>https://calebasse.com/produits/run-chang-wan-4492?product=5480</t>
  </si>
  <si>
    <t>https://res.cloudinary.com/laboratoire-calebasse/image/upload/v1759402331/RUN_CHANG_WAN_CRCW_affd8414b0.jpg</t>
  </si>
  <si>
    <t>3665346311752</t>
  </si>
  <si>
    <t>sku-CRCW</t>
  </si>
  <si>
    <t>4492</t>
  </si>
  <si>
    <t>CRCWCP</t>
  </si>
  <si>
    <t>Run chang wan - 1 flacon de poudre concentrée - 100g</t>
  </si>
  <si>
    <t>https://calebasse.com/produits/run-chang-wan-4492?product=5482</t>
  </si>
  <si>
    <t>https://res.cloudinary.com/laboratoire-calebasse/image/upload/v1759402350/RUN_CHANG_WAN_CRCWCP_116b08ef5a.jpg</t>
  </si>
  <si>
    <t>3665346311738</t>
  </si>
  <si>
    <t>sku-CRCWCP</t>
  </si>
  <si>
    <t>CSDQJN</t>
  </si>
  <si>
    <t>Shi du qing jiao nang - 1 flacon de 100 gélules - 50g</t>
  </si>
  <si>
    <t>Pour chasser l'Humidité. Ses principaux bienfaits : assèche l’humidité</t>
  </si>
  <si>
    <t>https://calebasse.com/produits/shi-du-qing-jiao-nang-4144?product=5532</t>
  </si>
  <si>
    <t>https://res.cloudinary.com/laboratoire-calebasse/image/upload/v1753353125/SHI_DU_QING_JIAO_NANG_CSDQJN_30a63a8eb1.jpg</t>
  </si>
  <si>
    <t>3665346313053</t>
  </si>
  <si>
    <t>sku-CSDQJN</t>
  </si>
  <si>
    <t>4144</t>
  </si>
  <si>
    <t>CSDQJNCP</t>
  </si>
  <si>
    <t>Shi du qing jiao nang - 1 flacon de poudre concentrée - 100g</t>
  </si>
  <si>
    <t>https://calebasse.com/produits/shi-du-qing-jiao-nang-4144?product=5535</t>
  </si>
  <si>
    <t>https://res.cloudinary.com/laboratoire-calebasse/image/upload/v1753353137/SHI_DU_QING_JIAO_NANG_CSDQJNCP_b0234ddb4d.jpg</t>
  </si>
  <si>
    <t>3665346313039</t>
  </si>
  <si>
    <t>sku-CSDQJNCP</t>
  </si>
  <si>
    <t>CSFJZJFW</t>
  </si>
  <si>
    <t>Shou fu jiang zhi jian fei wan - 1 flacon de 100 gélules - 50g</t>
  </si>
  <si>
    <t>Pour défaire la stagnation. Ses principaux bienfaits : élimine la stase, élimine la chaleur et l'humidité, tonifie le qi</t>
  </si>
  <si>
    <t>https://calebasse.com/produits/shou-fu-jiang-zhi-jian-fei-wan-4145?product=5540</t>
  </si>
  <si>
    <t>https://res.cloudinary.com/laboratoire-calebasse/image/upload/v1753105691/SHOU_FU_JIANG_ZHI_JIAN_FEI_WAN_CSFJZJFW_Gelule_62a01f7061.jpg</t>
  </si>
  <si>
    <t>3665346313251</t>
  </si>
  <si>
    <t>sku-CSFJZJFW</t>
  </si>
  <si>
    <t>4145</t>
  </si>
  <si>
    <t>CSFJZJFWCP</t>
  </si>
  <si>
    <t>Shou fu jiang zhi jian fei wan - 1 flacon de poudre concentrée - 100g</t>
  </si>
  <si>
    <t>https://calebasse.com/produits/shou-fu-jiang-zhi-jian-fei-wan-4145?product=5542</t>
  </si>
  <si>
    <t>https://res.cloudinary.com/laboratoire-calebasse/image/upload/v1753105677/SHOU_FU_JIANG_ZHI_JIAN_FEI_WAN_CSFJZJFWCP_Poudre_745fae6a72.jpg</t>
  </si>
  <si>
    <t>3665346313237</t>
  </si>
  <si>
    <t>sku-CSFJZJFWCP</t>
  </si>
  <si>
    <t>CSFZYT</t>
  </si>
  <si>
    <t>Shao fu zhu yu tang - 1 flacon de 100 gélules - 50g</t>
  </si>
  <si>
    <t>Pour disperser la Stase. Ses principaux bienfaits : élimine la stase</t>
  </si>
  <si>
    <t>https://calebasse.com/produits/shao-fu-zhu-yu-tang-4479?product=5508</t>
  </si>
  <si>
    <t>https://res.cloudinary.com/laboratoire-calebasse/image/upload/v1753353025/SHAO_FU_ZHU_YU_TANG_CSFZYT_351803302b.jpg</t>
  </si>
  <si>
    <t>3665346312452</t>
  </si>
  <si>
    <t>sku-CSFZYT</t>
  </si>
  <si>
    <t>4479</t>
  </si>
  <si>
    <t>CSFZYTCP</t>
  </si>
  <si>
    <t>Shao fu zhu yu tang - 1 flacon de poudre concentrée - 100g</t>
  </si>
  <si>
    <t>https://calebasse.com/produits/shao-fu-zhu-yu-tang-4479?product=5510</t>
  </si>
  <si>
    <t>https://res.cloudinary.com/laboratoire-calebasse/image/upload/v1753353035/SHAO_FU_ZHU_YU_TANG_CSFZYTCP_fd4a80640c.jpg</t>
  </si>
  <si>
    <t>3665346312438</t>
  </si>
  <si>
    <t>sku-CSFZYTCP</t>
  </si>
  <si>
    <t>CSGHWW</t>
  </si>
  <si>
    <t>Shu gan he wei wan - 1 flacon de 100 gélules - 50g</t>
  </si>
  <si>
    <t>Pour rétablir l'harmonie entre le Foie et l'Estomac. Ses principaux bienfaits : contribue à une bonne digestion, favorise le fonctionnement du foie</t>
  </si>
  <si>
    <t>https://calebasse.com/produits/shu-gan-he-wei-wan-4148?product=5545</t>
  </si>
  <si>
    <t>https://res.cloudinary.com/laboratoire-calebasse/image/upload/v1634201224/C_shuganheweiwan_e05f299f92.jpg</t>
  </si>
  <si>
    <t>3665346313350</t>
  </si>
  <si>
    <t>sku-CSGHWW</t>
  </si>
  <si>
    <t>4148</t>
  </si>
  <si>
    <t>CSGHWWCP</t>
  </si>
  <si>
    <t>Shu gan he wei wan - 1 flacon de poudre concentrée - 100g</t>
  </si>
  <si>
    <t>https://calebasse.com/produits/shu-gan-he-wei-wan-4148?product=5546</t>
  </si>
  <si>
    <t>https://res.cloudinary.com/laboratoire-calebasse/image/upload/v1753105733/SHU_GAN_HE_WEI_WAN_CSGHWWCP_Poudre_14335011d5.jpg</t>
  </si>
  <si>
    <t>3665346313336</t>
  </si>
  <si>
    <t>sku-CSGHWWCP</t>
  </si>
  <si>
    <t>CSGW</t>
  </si>
  <si>
    <t>Shu gan wan - 1 flacon de 100 gélules - 50g</t>
  </si>
  <si>
    <t>Pour réguler le Qi du Foie. Ses principaux bienfaits : débloque l'énergie du foie</t>
  </si>
  <si>
    <t>https://calebasse.com/produits/shu-gan-wan-4147?product=5548</t>
  </si>
  <si>
    <t>https://res.cloudinary.com/laboratoire-calebasse/image/upload/v1753105704/SHU_GAN_WAN_CSGW_197ee2448e.jpg</t>
  </si>
  <si>
    <t>3665346313459</t>
  </si>
  <si>
    <t>sku-CSGW</t>
  </si>
  <si>
    <t>4147</t>
  </si>
  <si>
    <t>CSGWCP</t>
  </si>
  <si>
    <t>Shu gan wan - 1 flacon de poudre concentrée - 100g</t>
  </si>
  <si>
    <t>https://calebasse.com/produits/shu-gan-wan-4147?product=5549</t>
  </si>
  <si>
    <t>https://res.cloudinary.com/laboratoire-calebasse/image/upload/v1753105715/SHU_GAN_WAN_CSGWCP_f8af830576.jpg</t>
  </si>
  <si>
    <t>3665346313435</t>
  </si>
  <si>
    <t>sku-CSGWCP</t>
  </si>
  <si>
    <t>CSGZTW</t>
  </si>
  <si>
    <t>Shu gan zhi tong wan - 1 flacon de 100 gélules - 50g</t>
  </si>
  <si>
    <t>Pour rétablir l'harmonie entre le Foie et l'Estomac. Ses principaux bienfaits : débloque l'énergie du foie</t>
  </si>
  <si>
    <t>https://calebasse.com/produits/shu-gan-zhi-tong-wan-4149?product=5552</t>
  </si>
  <si>
    <t>https://res.cloudinary.com/laboratoire-calebasse/image/upload/v1753353482/SHU_GAN_ZHI_TONG_WAN_CSGZTW_1a51de342c.jpg</t>
  </si>
  <si>
    <t>3665346313558</t>
  </si>
  <si>
    <t>sku-CSGZTW</t>
  </si>
  <si>
    <t>4149</t>
  </si>
  <si>
    <t>CSGZTWCP</t>
  </si>
  <si>
    <t>Shu gan zhi tong wan - 1 flacon de poudre concentrée - 100g</t>
  </si>
  <si>
    <t>https://calebasse.com/produits/shu-gan-zhi-tong-wan-4149?product=5553</t>
  </si>
  <si>
    <t>https://res.cloudinary.com/laboratoire-calebasse/image/upload/v1753353491/SHU_GAN_ZHI_TONG_WAN_CSGZTWCP_258058d1d9.jpg</t>
  </si>
  <si>
    <t>3665346313534</t>
  </si>
  <si>
    <t>sku-CSGZTWCP</t>
  </si>
  <si>
    <t>CSJHXP</t>
  </si>
  <si>
    <t>Shu jin huo xue pian - 1 flacon de 100 gélules - 50g</t>
  </si>
  <si>
    <t>Pour agir sur le Bi. Ses principaux bienfaits : agit sur le bi</t>
  </si>
  <si>
    <t>https://calebasse.com/produits/shu-jin-huo-xue-pian-4150?product=5556</t>
  </si>
  <si>
    <t>https://res.cloudinary.com/laboratoire-calebasse/image/upload/v1753353507/SHU_JIN_HUO_XUE_PIAN_CSJHXP_895c3fcb2d.jpg</t>
  </si>
  <si>
    <t>3665346313657</t>
  </si>
  <si>
    <t>sku-CSJHXP</t>
  </si>
  <si>
    <t>4150</t>
  </si>
  <si>
    <t>CSJHXPCP</t>
  </si>
  <si>
    <t>Shu jin huo xue pian - 1 flacon de poudre concentrée - 100g</t>
  </si>
  <si>
    <t>https://calebasse.com/produits/shu-jin-huo-xue-pian-4150?product=5558</t>
  </si>
  <si>
    <t>https://res.cloudinary.com/laboratoire-calebasse/image/upload/v1753353518/SHU_JIN_HUO_XUE_PIAN_CSJHXPCP_3ccee794ba.jpg</t>
  </si>
  <si>
    <t>3665346313633</t>
  </si>
  <si>
    <t>sku-CSJHXPCP</t>
  </si>
  <si>
    <t>CSJLNT</t>
  </si>
  <si>
    <t>San jin li niao tang - 1 flacon de 100 gélules - 50g</t>
  </si>
  <si>
    <t>Pour chasser la Chaleur toxique. Ses principaux bienfaits : clarifie la chaleur</t>
  </si>
  <si>
    <t>https://calebasse.com/produits/san-jin-li-niao-tang-4132?product=5484</t>
  </si>
  <si>
    <t>https://res.cloudinary.com/laboratoire-calebasse/image/upload/v1753352953/SAN_JIN_LI_NIAO_TANG_CSJLNT_087922d288.jpg</t>
  </si>
  <si>
    <t>3665346311851</t>
  </si>
  <si>
    <t>sku-CSJLNT</t>
  </si>
  <si>
    <t>4132</t>
  </si>
  <si>
    <t>CSJLNTCP</t>
  </si>
  <si>
    <t>San jin li niao tang - 1 flacon de poudre concentrée - 100g</t>
  </si>
  <si>
    <t>https://calebasse.com/produits/san-jin-li-niao-tang-4132?product=5485</t>
  </si>
  <si>
    <t>https://res.cloudinary.com/laboratoire-calebasse/image/upload/v1753352976/SAN_JIN_LI_NIAO_TANG_CSJLNTCP_0501a167a6.jpg</t>
  </si>
  <si>
    <t>3665346311837</t>
  </si>
  <si>
    <t>sku-CSJLNTCP</t>
  </si>
  <si>
    <t>CSJZW</t>
  </si>
  <si>
    <t>Si jun zi tang - 1 flacon de 100 gélules - 50g</t>
  </si>
  <si>
    <t>Pour harmoniser la Rate et l'Estomac. Ses principaux bienfaits : assèche l’humidité, tonifie le qi</t>
  </si>
  <si>
    <t>https://calebasse.com/produits/si-jun-zi-tang-4153?product=5563</t>
  </si>
  <si>
    <t>https://res.cloudinary.com/laboratoire-calebasse/image/upload/v1753105760/SI_JUN_ZI_TANG_CSJZW_Gelule_e1e2162d59.jpg</t>
  </si>
  <si>
    <t>3665346313855</t>
  </si>
  <si>
    <t>sku-CSJZW</t>
  </si>
  <si>
    <t>4153</t>
  </si>
  <si>
    <t>CSJZWCP</t>
  </si>
  <si>
    <t>Si jun zi tang - 1 flacon de poudre concentrée - 100g</t>
  </si>
  <si>
    <t>https://calebasse.com/produits/si-jun-zi-tang-4153?product=5566</t>
  </si>
  <si>
    <t>https://res.cloudinary.com/laboratoire-calebasse/image/upload/v1753105749/SI_JUN_ZI_TANG_CSJZWCP_Poudre_349299116e.jpg</t>
  </si>
  <si>
    <t>3665346313831</t>
  </si>
  <si>
    <t>sku-CSJZWCP</t>
  </si>
  <si>
    <t>CSLBZW</t>
  </si>
  <si>
    <t>Shen ling bai zhu san - 1 flacon de 100 gélules - 50g</t>
  </si>
  <si>
    <t>Une formule emblématique de la MTC, elle soutient la Rate, renforce l’énergie digestive et aide l’organisme à se libérer en douceur des excès d’Humidité. Ses principaux bienfaits : favorise l’assimilation digestive, aide à transformer l’humidité, tonifie l’énergie de la rate, soutient la vitalité</t>
  </si>
  <si>
    <t>https://calebasse.com/produits/shen-ling-bai-zhu-san-4139?product=5512</t>
  </si>
  <si>
    <t>https://res.cloudinary.com/laboratoire-calebasse/image/upload/v1753105108/SHEN_LING_BAI_ZHU_SAN_CSLBZW_06418e3aab.jpg</t>
  </si>
  <si>
    <t>3665346312551</t>
  </si>
  <si>
    <t>sku-CSLBZW</t>
  </si>
  <si>
    <t>4139</t>
  </si>
  <si>
    <t>CSLBZWCP</t>
  </si>
  <si>
    <t>Shen ling bai zhu san - 1 flacon de poudre concentrée - 100g</t>
  </si>
  <si>
    <t>https://calebasse.com/produits/shen-ling-bai-zhu-san-4139?product=5514</t>
  </si>
  <si>
    <t>https://res.cloudinary.com/laboratoire-calebasse/image/upload/v1753105119/SHEN_LING_BAI_ZHU_SAN_CSLBZWCP_91be8ebe6b.jpg</t>
  </si>
  <si>
    <t>3665346312537</t>
  </si>
  <si>
    <t>sku-CSLBZWCP</t>
  </si>
  <si>
    <t>CSMS</t>
  </si>
  <si>
    <t>Si miao san - 1 flacon de 100 gélules - 50g</t>
  </si>
  <si>
    <t>Pour chasser la Chaleur-Humidité. Ses principaux bienfaits : élimine la chaleur et l'humidité</t>
  </si>
  <si>
    <t>https://calebasse.com/produits/si-miao-san-4152?product=5568</t>
  </si>
  <si>
    <t>https://res.cloudinary.com/laboratoire-calebasse/image/upload/v1753785827/SI_MIAO_SAN_CSMS_Gelule_08885f9e17.jpg</t>
  </si>
  <si>
    <t>3665346313954</t>
  </si>
  <si>
    <t>sku-CSMS</t>
  </si>
  <si>
    <t>4152</t>
  </si>
  <si>
    <t>CSMSCP</t>
  </si>
  <si>
    <t>Si miao san - 1 flacon de poudre concentrée - 100g</t>
  </si>
  <si>
    <t>https://calebasse.com/produits/si-miao-san-4152?product=5570</t>
  </si>
  <si>
    <t>https://res.cloudinary.com/laboratoire-calebasse/image/upload/v1753105774/SI_MIAO_SAN_CSMSCP_Poudre_09e0f560cd.jpg</t>
  </si>
  <si>
    <t>3665346313930</t>
  </si>
  <si>
    <t>sku-CSMSCP</t>
  </si>
  <si>
    <t>CSMY</t>
  </si>
  <si>
    <t>Sheng mai yin - 1 flacon de 100 gélules - 50g</t>
  </si>
  <si>
    <t>Pour tonifier le Qi et le Yin du Coeur. Ses principaux bienfaits : nourrit le yin et le qi</t>
  </si>
  <si>
    <t>https://calebasse.com/produits/sheng-mai-yin-4143?product=5528</t>
  </si>
  <si>
    <t>https://res.cloudinary.com/laboratoire-calebasse/image/upload/v1753353098/SHENG_MAI_YIN_CSMY_c092c43bfb.jpg</t>
  </si>
  <si>
    <t>3665346312957</t>
  </si>
  <si>
    <t>sku-CSMY</t>
  </si>
  <si>
    <t>4143</t>
  </si>
  <si>
    <t>CSMYCP</t>
  </si>
  <si>
    <t>Sheng mai yin - 1 flacon de poudre concentrée - 100g</t>
  </si>
  <si>
    <t>https://calebasse.com/produits/sheng-mai-yin-4143?product=5530</t>
  </si>
  <si>
    <t>https://res.cloudinary.com/laboratoire-calebasse/image/upload/v1753353108/SHENG_MAI_YIN_CSMYCP_8abde35c91.jpg</t>
  </si>
  <si>
    <t>3665346312933</t>
  </si>
  <si>
    <t>sku-CSMYCP</t>
  </si>
  <si>
    <t>CSNS</t>
  </si>
  <si>
    <t>Si ni san - 1 flacon de 100 gélules - 50g</t>
  </si>
  <si>
    <t>Pour rééquilibrer le duo Rate-Foie. Ses principaux bienfaits : clarifie la chaleur, détoxifie l'organisme</t>
  </si>
  <si>
    <t>https://calebasse.com/produits/si-ni-san-4391?product=6331</t>
  </si>
  <si>
    <t>https://res.cloudinary.com/laboratoire-calebasse/image/upload/v1753353535/SI_NI_SAN_CSNS_ff118079d5.jpg</t>
  </si>
  <si>
    <t>3665346320259</t>
  </si>
  <si>
    <t>sku-CSNS</t>
  </si>
  <si>
    <t>4391</t>
  </si>
  <si>
    <t>CSNSCP</t>
  </si>
  <si>
    <t>Si ni san - 1 flacon de poudre concentrée - 100g</t>
  </si>
  <si>
    <t>https://calebasse.com/produits/si-ni-san-4391?product=6333</t>
  </si>
  <si>
    <t>https://res.cloudinary.com/laboratoire-calebasse/image/upload/v1753353545/SI_NI_SAN_CSNSCP_fa9a5cfc7d.jpg</t>
  </si>
  <si>
    <t>3665346320235</t>
  </si>
  <si>
    <t>sku-CSNSCP</t>
  </si>
  <si>
    <t>CSNTCP</t>
  </si>
  <si>
    <t>Si ni tang - 1 flacon de poudre concentrée - 100g</t>
  </si>
  <si>
    <t>Pour tonifier le Yang du Rein et de la Rate. Ses principaux bienfaits : tonifie le yang du rein</t>
  </si>
  <si>
    <t>https://calebasse.com/produits/si-ni-tang-4392?product=6337</t>
  </si>
  <si>
    <t>https://res.cloudinary.com/laboratoire-calebasse/image/upload/v1753353562/SI_NI_TANG_CSNTCP_a407c582fe.jpg</t>
  </si>
  <si>
    <t>3665346320136</t>
  </si>
  <si>
    <t>sku-CSNTCP</t>
  </si>
  <si>
    <t>4392</t>
  </si>
  <si>
    <t>CSNTGL</t>
  </si>
  <si>
    <t>Si ni tang - 1 flacon de 100 gélules - 50g</t>
  </si>
  <si>
    <t>https://calebasse.com/produits/si-ni-tang-4392?product=6335</t>
  </si>
  <si>
    <t>https://res.cloudinary.com/laboratoire-calebasse/image/upload/v1753353574/SI_NI_TANG_CSNTGL_dadb4a2065.jpg</t>
  </si>
  <si>
    <t>3665346320150</t>
  </si>
  <si>
    <t>sku-CSNTGL</t>
  </si>
  <si>
    <t>CSQDBT</t>
  </si>
  <si>
    <t>Shi quan da bu tang - 1 flacon de 100 gélules - 50g</t>
  </si>
  <si>
    <t>Pour tonifier le Qi et le Sang. Ses principaux bienfaits : tonifie le qi, veille à l'équilibre énergétique</t>
  </si>
  <si>
    <t>https://calebasse.com/produits/shi-quan-da-bu-tang-4146?product=5536</t>
  </si>
  <si>
    <t>https://res.cloudinary.com/laboratoire-calebasse/image/upload/v1753105642/SHI_QUAN_DA_BU_TANG_CSQDBT_3f14a75ba0.jpg</t>
  </si>
  <si>
    <t>3665346313152</t>
  </si>
  <si>
    <t>sku-CSQDBT</t>
  </si>
  <si>
    <t>4146</t>
  </si>
  <si>
    <t>CSQDBTCP</t>
  </si>
  <si>
    <t>Shi quan da bu tang - 1 flacon de poudre concentrée - 100g</t>
  </si>
  <si>
    <t>https://calebasse.com/produits/shi-quan-da-bu-tang-4146?product=5538</t>
  </si>
  <si>
    <t>https://res.cloudinary.com/laboratoire-calebasse/image/upload/v1753105651/SHI_QUAN_DA_BU_TANG_CSQDBTCP_ec689ba93d.jpg</t>
  </si>
  <si>
    <t>3665346313138</t>
  </si>
  <si>
    <t>sku-CSQDBTCP</t>
  </si>
  <si>
    <t>CSQSYP</t>
  </si>
  <si>
    <t>San qi shang yao pian - 1 flacon de 100 gélules - 50g</t>
  </si>
  <si>
    <t>Pour défaire la Stase. Ses principaux bienfaits : élimine la stase</t>
  </si>
  <si>
    <t>https://calebasse.com/produits/san-qi-shang-yao-pian-4134?product=5495</t>
  </si>
  <si>
    <t>https://res.cloudinary.com/laboratoire-calebasse/image/upload/v1760600299/SAN_QI_SHANG_YAO_PIAN_CSQSYP_Gelule_8d03e16e37.jpg</t>
  </si>
  <si>
    <t>3665346312155</t>
  </si>
  <si>
    <t>sku-CSQSYP</t>
  </si>
  <si>
    <t>4134</t>
  </si>
  <si>
    <t>CSQSYPCP</t>
  </si>
  <si>
    <t>San qi shang yao pian - 1 flacon de poudre concentrée - 100g</t>
  </si>
  <si>
    <t>https://calebasse.com/produits/san-qi-shang-yao-pian-4134?product=5498</t>
  </si>
  <si>
    <t>https://res.cloudinary.com/laboratoire-calebasse/image/upload/v1753104785/SAN_QI_SHANG_YAO_PIAN_CSQSYPCP_Poudre_7383d743e8.jpg</t>
  </si>
  <si>
    <t>3665346312131</t>
  </si>
  <si>
    <t>sku-CSQSYPCP</t>
  </si>
  <si>
    <t>CSQW</t>
  </si>
  <si>
    <t>Shen qi wan - 1 flacon de 100 gélules - 50g</t>
  </si>
  <si>
    <t>Pour retrouver le confort urinaire. Ses principaux bienfaits : aide au confort urinaire</t>
  </si>
  <si>
    <t>https://calebasse.com/produits/shen-qi-wan-4140?product=5516</t>
  </si>
  <si>
    <t>https://res.cloudinary.com/laboratoire-calebasse/image/upload/v1753353049/SHEN_QI_WAN_CSQW_10d2ea2868.jpg</t>
  </si>
  <si>
    <t>3665346312650</t>
  </si>
  <si>
    <t>sku-CSQW</t>
  </si>
  <si>
    <t>4140</t>
  </si>
  <si>
    <t>CSQWCP</t>
  </si>
  <si>
    <t>Shen qi wan - 1 flacon de poudre concentrée - 100g</t>
  </si>
  <si>
    <t>https://calebasse.com/produits/shen-qi-wan-4140?product=5518</t>
  </si>
  <si>
    <t>https://res.cloudinary.com/laboratoire-calebasse/image/upload/v1753353059/SHEN_QI_WAN_CSQWCP_33cabef4af.jpg</t>
  </si>
  <si>
    <t>3665346312636</t>
  </si>
  <si>
    <t>sku-CSQWCP</t>
  </si>
  <si>
    <t>CSTZYT</t>
  </si>
  <si>
    <t>Shen tong zhu yu tang - 1 flacon de 100 gélules - 50g</t>
  </si>
  <si>
    <t>Pour éliminer la stase et défaire l'obstruction du Qi. Ses principaux bienfaits : revigore le sang et fait circuler le qi, élimine la stase</t>
  </si>
  <si>
    <t>https://calebasse.com/produits/shen-tong-zhu-yu-tang-4141?product=5520</t>
  </si>
  <si>
    <t>https://res.cloudinary.com/laboratoire-calebasse/image/upload/v1753105612/SHEN_TONG_ZHU_YU_TANG_CSTZYT_4107470557.jpg</t>
  </si>
  <si>
    <t>3665346312759</t>
  </si>
  <si>
    <t>sku-CSTZYT</t>
  </si>
  <si>
    <t>4141</t>
  </si>
  <si>
    <t>CSTZYTCP</t>
  </si>
  <si>
    <t>Shen tong zhu yu tang - 1 flacon de poudre concentrée - 100g</t>
  </si>
  <si>
    <t>https://calebasse.com/produits/shen-tong-zhu-yu-tang-4141?product=5522</t>
  </si>
  <si>
    <t>https://res.cloudinary.com/laboratoire-calebasse/image/upload/v1753105622/SHEN_TONG_ZHU_YU_TANG_CSTZYTCP_b6539cd8b2.jpg</t>
  </si>
  <si>
    <t>3665346312735</t>
  </si>
  <si>
    <t>sku-CSTZYTCP</t>
  </si>
  <si>
    <t>CSYGCT</t>
  </si>
  <si>
    <t>Shao yao gan cao tang - 1 flacon de 100 gélules - 50g</t>
  </si>
  <si>
    <t>Pour harmoniser le Foie et la Rate. Ses principaux bienfaits : rétablit l'équilibre yin-yang</t>
  </si>
  <si>
    <t>https://calebasse.com/produits/shao-yao-gan-cao-tang-4390?product=6327</t>
  </si>
  <si>
    <t>https://res.cloudinary.com/laboratoire-calebasse/image/upload/v1753105079/SHAO_YAO_GAN_CAO_TANG_CSYGCT_66414dc33c.jpg</t>
  </si>
  <si>
    <t>3665346321256</t>
  </si>
  <si>
    <t>sku-CSYGCT</t>
  </si>
  <si>
    <t>4390</t>
  </si>
  <si>
    <t>CSYGCTCP</t>
  </si>
  <si>
    <t>Shao yao gan cao tang - 1 flacon de poudre concentrée - 100g</t>
  </si>
  <si>
    <t>https://calebasse.com/produits/shao-yao-gan-cao-tang-4390?product=6329</t>
  </si>
  <si>
    <t>https://res.cloudinary.com/laboratoire-calebasse/image/upload/v1753105090/SHAO_YAO_GAN_CAO_TANG_CSYGCTCP_2685a61572.jpg</t>
  </si>
  <si>
    <t>3665346321232</t>
  </si>
  <si>
    <t>sku-CSYGCTCP</t>
  </si>
  <si>
    <t>CSZRT</t>
  </si>
  <si>
    <t>Suan zao ren wan - 1 flacon de 100 gélules - 50g</t>
  </si>
  <si>
    <t>Pour calmer le Shen et clarifier la Chaleur. Ses principaux bienfaits : clarifie la chaleur, tranquillise le shen</t>
  </si>
  <si>
    <t>https://calebasse.com/produits/suan-zao-ren-wan-4155?product=5576</t>
  </si>
  <si>
    <t>https://res.cloudinary.com/laboratoire-calebasse/image/upload/v1753105990/SUAN_ZAO_REN_WAN_CSZRT_22b1161222.jpg</t>
  </si>
  <si>
    <t>3665346314159</t>
  </si>
  <si>
    <t>sku-CSZRT</t>
  </si>
  <si>
    <t>4155</t>
  </si>
  <si>
    <t>CSZRTCP</t>
  </si>
  <si>
    <t>Suan zao ren wan - 1 flacon de poudre concentrée - 100g</t>
  </si>
  <si>
    <t>https://calebasse.com/produits/suan-zao-ren-wan-4155?product=5578</t>
  </si>
  <si>
    <t>https://res.cloudinary.com/laboratoire-calebasse/image/upload/v1753106006/SUAN_ZAO_REN_WAN_CSZRTCP_6ea0077838.jpg</t>
  </si>
  <si>
    <t>3665346314135</t>
  </si>
  <si>
    <t>sku-CSZRTCP</t>
  </si>
  <si>
    <t>CSZYQT</t>
  </si>
  <si>
    <t>San zi yang qin tang - 1 flacon de 100 gélules - 50g</t>
  </si>
  <si>
    <t>Pour expulser le Tan. Ses principaux bienfaits : fluidifie les mucosités</t>
  </si>
  <si>
    <t>https://calebasse.com/produits/san-zi-yang-qin-tang-4137?product=5500</t>
  </si>
  <si>
    <t>https://res.cloudinary.com/laboratoire-calebasse/image/upload/v1753352996/SAN_ZI_YANG_QIN_TANG_CSZYQT_b265d68cd7.jpg</t>
  </si>
  <si>
    <t>3665346312254</t>
  </si>
  <si>
    <t>sku-CSZYQT</t>
  </si>
  <si>
    <t>4137</t>
  </si>
  <si>
    <t>CSZYQTCP</t>
  </si>
  <si>
    <t>San zi yang qin tang - 1 flacon de poudre concentrée - 100g</t>
  </si>
  <si>
    <t>https://calebasse.com/produits/san-zi-yang-qin-tang-4137?product=5502</t>
  </si>
  <si>
    <t>https://res.cloudinary.com/laboratoire-calebasse/image/upload/v1753353008/SAN_ZI_YANG_QIN_TANG_CSZYQTCP_48be730b03.jpg</t>
  </si>
  <si>
    <t>3665346312230</t>
  </si>
  <si>
    <t>sku-CSZYQTCP</t>
  </si>
  <si>
    <t>CTCW</t>
  </si>
  <si>
    <t>Tong chang wan - 1 flacon de 100 gélules - 50g</t>
  </si>
  <si>
    <t>Pour chasser la Chaleur excessive des Intestins. Ses principaux bienfaits : clarifie la chaleur</t>
  </si>
  <si>
    <t>https://calebasse.com/produits/tong-chang-wan-4494?product=5604</t>
  </si>
  <si>
    <t>https://res.cloudinary.com/laboratoire-calebasse/image/upload/v1753353640/TONG_CHANG_WAN_CTCW_d8d4a2096a.jpg</t>
  </si>
  <si>
    <t>3665346314852</t>
  </si>
  <si>
    <t>sku-CTCW</t>
  </si>
  <si>
    <t>4494</t>
  </si>
  <si>
    <t>CTCWCP</t>
  </si>
  <si>
    <t>Tong chang wan - 1 flacon de poudre concentrée - 100g</t>
  </si>
  <si>
    <t>https://calebasse.com/produits/tong-chang-wan-4494?product=5606</t>
  </si>
  <si>
    <t>https://res.cloudinary.com/laboratoire-calebasse/image/upload/v1753353650/TONG_CHANG_WAN_CTCWCP_52cc4db60c.jpg</t>
  </si>
  <si>
    <t>3665346314838</t>
  </si>
  <si>
    <t>sku-CTCWCP</t>
  </si>
  <si>
    <t>CTHSWT</t>
  </si>
  <si>
    <t>Tao hong si wu tang - 1 flacon de 100 gélules - 50g</t>
  </si>
  <si>
    <t>https://calebasse.com/produits/tao-hong-si-wu-tang-4156?product=5580</t>
  </si>
  <si>
    <t>https://res.cloudinary.com/laboratoire-calebasse/image/upload/v1634201219/C_taohongsiwutang_508268b5c1.jpg</t>
  </si>
  <si>
    <t>3665346314258</t>
  </si>
  <si>
    <t>sku-CTHSWT</t>
  </si>
  <si>
    <t>4156</t>
  </si>
  <si>
    <t>CTHSWTCP</t>
  </si>
  <si>
    <t>Tao hong si wu tang - 1 flacon de poudre concentrée - 100g</t>
  </si>
  <si>
    <t>https://calebasse.com/produits/tao-hong-si-wu-tang-4156?product=5582</t>
  </si>
  <si>
    <t>https://res.cloudinary.com/laboratoire-calebasse/image/upload/v1753106052/TAO_HONG_SI_WU_TANG_CTHSWTCP_Poudre_a8d8b3253f.jpg</t>
  </si>
  <si>
    <t>3665346314234</t>
  </si>
  <si>
    <t>sku-CTHSWTCP</t>
  </si>
  <si>
    <t>CTJZYW</t>
  </si>
  <si>
    <t>Tiao jing zhu yun wan - 1 flacon de 100 gélules - 50g</t>
  </si>
  <si>
    <t>Pour renforcer le Qi des Reins et de la Rate. Ses principaux bienfaits : tonifie le sang et la rate</t>
  </si>
  <si>
    <t>https://calebasse.com/produits/tiao-jing-zhu-yun-wan-4159?product=5596</t>
  </si>
  <si>
    <t>https://res.cloudinary.com/laboratoire-calebasse/image/upload/v1753353594/TIAO_JING_ZHU_YUN_WAN_CTJZYW_bd75159e86.jpg</t>
  </si>
  <si>
    <t>3665346314654</t>
  </si>
  <si>
    <t>sku-CTJZYW</t>
  </si>
  <si>
    <t>4159</t>
  </si>
  <si>
    <t>CTJZYWCP</t>
  </si>
  <si>
    <t>Tiao jing zhu yun wan - 1 flacon de poudre concentrée - 100g</t>
  </si>
  <si>
    <t>https://calebasse.com/produits/tiao-jing-zhu-yun-wan-4159?product=5598</t>
  </si>
  <si>
    <t>https://res.cloudinary.com/laboratoire-calebasse/image/upload/v1753353603/TIAO_JING_ZHU_YUN_WAN_CTJZYWCP_2113ed64f7.jpg</t>
  </si>
  <si>
    <t>3665346314630</t>
  </si>
  <si>
    <t>sku-CTJZYWCP</t>
  </si>
  <si>
    <t>CTLS</t>
  </si>
  <si>
    <t>Tong lin san - 1 flacon de 100 gélules - 50g</t>
  </si>
  <si>
    <t>Pour favoriser l'élimination de l'eau. Ses principaux bienfaits : détoxifie l'organisme, stimule les fonctions éliminatrices</t>
  </si>
  <si>
    <t>https://calebasse.com/produits/tong-lin-san-4536?product=5624</t>
  </si>
  <si>
    <t>https://res.cloudinary.com/laboratoire-calebasse/image/upload/v1753353710/TONG_LIN_SAN_CTLS_e30e8cf67e.jpg</t>
  </si>
  <si>
    <t>3665346315354</t>
  </si>
  <si>
    <t>sku-CTLS</t>
  </si>
  <si>
    <t>4536</t>
  </si>
  <si>
    <t>CTLSCP</t>
  </si>
  <si>
    <t>Tong lin san - 1 flacon de poudre concentrée - 100g</t>
  </si>
  <si>
    <t>https://calebasse.com/produits/tong-lin-san-4536?product=5625</t>
  </si>
  <si>
    <t>https://res.cloudinary.com/laboratoire-calebasse/image/upload/v1753353719/TONG_LIN_SAN_CTLSCP_9b1ef532e1.jpg</t>
  </si>
  <si>
    <t>3665346315330</t>
  </si>
  <si>
    <t>sku-CTLSCP</t>
  </si>
  <si>
    <t>CTMGTW</t>
  </si>
  <si>
    <t>Tian ma gou teng wan - 1 flacon de 100 gélules - 50g</t>
  </si>
  <si>
    <t>Pour calmer le Foie et le Vent. Ses principaux bienfaits : débloque l'énergie du foie, clarifie la chaleur</t>
  </si>
  <si>
    <t>https://calebasse.com/produits/tian-ma-gou-teng-wan-4160?product=5588</t>
  </si>
  <si>
    <t>https://res.cloudinary.com/laboratoire-calebasse/image/upload/v1753106110/TIAN_MA_GOU_TENG_WAN_CTMGTW_Gelule_66c2cde176.jpg</t>
  </si>
  <si>
    <t>3665346314456</t>
  </si>
  <si>
    <t>sku-CTMGTW</t>
  </si>
  <si>
    <t>4160</t>
  </si>
  <si>
    <t>CTMGTWCP</t>
  </si>
  <si>
    <t>Tian ma gou teng wan - 1 flacon de poudre concentrée - 100g</t>
  </si>
  <si>
    <t>https://calebasse.com/produits/tian-ma-gou-teng-wan-4160?product=5590</t>
  </si>
  <si>
    <t>https://res.cloudinary.com/laboratoire-calebasse/image/upload/v1753106099/TIAN_MA_GOU_TENG_WAN_CTMGTWCP_Poudre_341ad97152.jpg</t>
  </si>
  <si>
    <t>3665346314432</t>
  </si>
  <si>
    <t>sku-CTMGTWCP</t>
  </si>
  <si>
    <t>CTQXYS</t>
  </si>
  <si>
    <t>Tong qiao xiao yao san - 1 flacon de 100 gélules - 50g</t>
  </si>
  <si>
    <t>Pour dissiper le Vent et le Froid et évacuer la Chaleur. Ses principaux bienfaits : dissipe le vent et le froid</t>
  </si>
  <si>
    <t>https://calebasse.com/produits/tong-qiao-xiao-yao-san-4401?product=6360</t>
  </si>
  <si>
    <t>https://res.cloudinary.com/laboratoire-calebasse/image/upload/v1753353733/TONG_QIAO_XIAO_YAO_SAN_CTQXYS_703dd11753.jpg</t>
  </si>
  <si>
    <t>3665346321157</t>
  </si>
  <si>
    <t>sku-CTQXYS</t>
  </si>
  <si>
    <t>4401</t>
  </si>
  <si>
    <t>CTQXYSCP</t>
  </si>
  <si>
    <t>Tong qiao xiao yao san - 1 flacon de poudre concentrée - 100g</t>
  </si>
  <si>
    <t>https://calebasse.com/produits/tong-qiao-xiao-yao-san-4401?product=6362</t>
  </si>
  <si>
    <t>https://res.cloudinary.com/laboratoire-calebasse/image/upload/v1753353743/TONG_QIAO_XIAO_YAO_SAN_CTQXYSCP_80271c73f4.jpg</t>
  </si>
  <si>
    <t>3665346321133</t>
  </si>
  <si>
    <t>sku-CTQXYSCP</t>
  </si>
  <si>
    <t>CTWBXD</t>
  </si>
  <si>
    <t>Tian wang bu xin dan - 1 flacon de 100 gélules - 50g</t>
  </si>
  <si>
    <t>Pour nourrir le Yin et le Sang et calmer le Shen. Ses principaux bienfaits : apaise l’agitation intérieure, soutient la stabilité émotionnelle, nourrit les ressources profondes (yin &amp; sang), favorise un repos plus profond et plus régulier</t>
  </si>
  <si>
    <t>https://calebasse.com/produits/tian-wang-bu-xin-dan-4158?product=5592</t>
  </si>
  <si>
    <t>https://res.cloudinary.com/laboratoire-calebasse/image/upload/v1753785847/TIAN_WANG_BU_XIN_DAN_CTWBXD_Gelule_bf5e290f41.jpg</t>
  </si>
  <si>
    <t>3665346314555</t>
  </si>
  <si>
    <t>sku-CTWBXD</t>
  </si>
  <si>
    <t>4158</t>
  </si>
  <si>
    <t>CTWBXDCP</t>
  </si>
  <si>
    <t>Tian wang bu xin dan - 1 flacon de poudre concentrée - 100g</t>
  </si>
  <si>
    <t>https://calebasse.com/produits/tian-wang-bu-xin-dan-4158?product=5593</t>
  </si>
  <si>
    <t>https://res.cloudinary.com/laboratoire-calebasse/image/upload/v1753106131/TIAN_WANG_BU_XIN_DAN_CTWBXDCP_Poudre_86c2d3348b.jpg</t>
  </si>
  <si>
    <t>3665346314531</t>
  </si>
  <si>
    <t>sku-CTWBXDCP</t>
  </si>
  <si>
    <t>CTWD</t>
  </si>
  <si>
    <t>Tiao wei dan - 1 flacon de 100 gélules - 50g</t>
  </si>
  <si>
    <t>Pour venir à bout du Vide de Yang dans la Rate. Ses principaux bienfaits : tonifie la rate, nourrit le yang</t>
  </si>
  <si>
    <t>https://calebasse.com/produits/tiao-wei-dan-4510?product=5600</t>
  </si>
  <si>
    <t>https://res.cloudinary.com/laboratoire-calebasse/image/upload/v1753353618/TIAO_WEI_DAN_CTWD_9f9ab46481.jpg</t>
  </si>
  <si>
    <t>3665346314753</t>
  </si>
  <si>
    <t>sku-CTWD</t>
  </si>
  <si>
    <t>4510</t>
  </si>
  <si>
    <t>CTWDCP</t>
  </si>
  <si>
    <t>Tiao wei dan - 1 flacon de poudre concentrée - 100g</t>
  </si>
  <si>
    <t>https://calebasse.com/produits/tiao-wei-dan-4510?product=5602</t>
  </si>
  <si>
    <t>https://res.cloudinary.com/laboratoire-calebasse/image/upload/v1753353627/TIAO_WEI_DAN_CTWDCP_4fa5d3d1f4.jpg</t>
  </si>
  <si>
    <t>3665346314739</t>
  </si>
  <si>
    <t>sku-CTWDCP</t>
  </si>
  <si>
    <t>CTXLFW</t>
  </si>
  <si>
    <t>Tong xuan li fei wan - 1 flacon de 100 gélules - 50g</t>
  </si>
  <si>
    <t>Pour chasser le Vent et rétablir le Qi du Poumon. Ses principaux bienfaits : expulse le vent</t>
  </si>
  <si>
    <t>https://calebasse.com/produits/tong-xuan-li-fei-wan-4168?product=5628</t>
  </si>
  <si>
    <t>https://res.cloudinary.com/laboratoire-calebasse/image/upload/v1753353757/TONG_XUAN_LI_FEI_WAN_CTXLFW_044830fd11.jpg</t>
  </si>
  <si>
    <t>3665346315453</t>
  </si>
  <si>
    <t>sku-CTXLFW</t>
  </si>
  <si>
    <t>4168</t>
  </si>
  <si>
    <t>CTXLFWCP</t>
  </si>
  <si>
    <t>Tong xuan li fei wan - 1 flacon de poudre concentrée - 100g</t>
  </si>
  <si>
    <t>https://calebasse.com/produits/tong-xuan-li-fei-wan-4168?product=5629</t>
  </si>
  <si>
    <t>https://res.cloudinary.com/laboratoire-calebasse/image/upload/v1753353767/TONG_XUAN_LI_FEI_WAN_CTXLFWCP_6782900760.jpg</t>
  </si>
  <si>
    <t>3665346315439</t>
  </si>
  <si>
    <t>sku-CTXLFWCP</t>
  </si>
  <si>
    <t>CWDW</t>
  </si>
  <si>
    <t>Wen dan wan - 1 flacon de 100 gélules - 50g</t>
  </si>
  <si>
    <t>Pour dissoudre les Mucosités et calmer le Shen. Ses principaux bienfaits : tonifie le qi, tranquillise le shen</t>
  </si>
  <si>
    <t>https://calebasse.com/produits/wen-dan-wan-4169?product=5630</t>
  </si>
  <si>
    <t>https://res.cloudinary.com/laboratoire-calebasse/image/upload/v1753353783/WEN_DAN_WAN_CWDW_8284b70aa3.jpg</t>
  </si>
  <si>
    <t>3665346315552</t>
  </si>
  <si>
    <t>sku-CWDW</t>
  </si>
  <si>
    <t>4169</t>
  </si>
  <si>
    <t>CWDWCP</t>
  </si>
  <si>
    <t>Wen dan wan - 1 flacon de poudre concentrée - 100g</t>
  </si>
  <si>
    <t>https://calebasse.com/produits/wen-dan-wan-4169?product=5634</t>
  </si>
  <si>
    <t>https://res.cloudinary.com/laboratoire-calebasse/image/upload/v1753353792/WEN_DAN_WAN_CWDWCP_fb56a86589.jpg</t>
  </si>
  <si>
    <t>3665346315538</t>
  </si>
  <si>
    <t>sku-CWDWCP</t>
  </si>
  <si>
    <t>CWHT</t>
  </si>
  <si>
    <t>Wu hei tang - 1 flacon de 100 gélules - 50g</t>
  </si>
  <si>
    <t>Pour des cheveux nourris et pleins de vitalité. Ses principaux bienfaits : renforce la santé capillaire</t>
  </si>
  <si>
    <t>https://calebasse.com/produits/wu-hei-tang-4783?product=6986</t>
  </si>
  <si>
    <t>https://res.cloudinary.com/laboratoire-calebasse/image/upload/v1753353807/WU_HEI_TANG_CWHT_c5effac3c2.jpg</t>
  </si>
  <si>
    <t>3665346325056</t>
  </si>
  <si>
    <t>sku-CWHT</t>
  </si>
  <si>
    <t>4783</t>
  </si>
  <si>
    <t>CWHTCP</t>
  </si>
  <si>
    <t>Wu hei tang - 1 flacon de poudre concentrée - 100g</t>
  </si>
  <si>
    <t>https://calebasse.com/produits/wu-hei-tang-4783?product=7107</t>
  </si>
  <si>
    <t>https://res.cloudinary.com/laboratoire-calebasse/image/upload/v1753353818/WU_HEI_TANG_CWHTCP_47303c8f77.jpg</t>
  </si>
  <si>
    <t>3665346325032</t>
  </si>
  <si>
    <t>sku-CWHTCP</t>
  </si>
  <si>
    <t>CWLS</t>
  </si>
  <si>
    <t>Wu ling san - 1 flacon de 100 gélules - 50g</t>
  </si>
  <si>
    <t>Pour soulager la rétention d’eau. Ses principaux bienfaits : détoxifie l'organisme, draine les excès d'eau, stimule les fonctions éliminatrices, soulage les jambes lourdes</t>
  </si>
  <si>
    <t>https://calebasse.com/produits/wu-ling-san-4170?product=5642</t>
  </si>
  <si>
    <t>https://res.cloudinary.com/laboratoire-calebasse/image/upload/v1760600317/WU_LING_SAN_CWLS_Gelule_ad01f22036.jpg</t>
  </si>
  <si>
    <t>3665346315750</t>
  </si>
  <si>
    <t>sku-CWLS</t>
  </si>
  <si>
    <t>4170</t>
  </si>
  <si>
    <t>CWLSCP</t>
  </si>
  <si>
    <t>Wu ling san - 1 flacon de poudre concentrée - 100g</t>
  </si>
  <si>
    <t>https://calebasse.com/produits/wu-ling-san-4170?product=5641</t>
  </si>
  <si>
    <t>https://res.cloudinary.com/laboratoire-calebasse/image/upload/v1753106658/WU_LING_SAN_CWLSCP_Poudre_5a5a7751e4.jpg</t>
  </si>
  <si>
    <t>3665346315736</t>
  </si>
  <si>
    <t>sku-CWLSCP</t>
  </si>
  <si>
    <t>CWPYW</t>
  </si>
  <si>
    <t>Wu pi yin - 1 flacon de 100 gélules - 50g</t>
  </si>
  <si>
    <t>Pour chasser l'Humidité et réguler le Qi. Ses principaux bienfaits : assèche l’humidité, tonifie le qi, tonifie le qi du rein</t>
  </si>
  <si>
    <t>https://calebasse.com/produits/wu-pi-yin-4172?product=5644</t>
  </si>
  <si>
    <t>https://res.cloudinary.com/laboratoire-calebasse/image/upload/v1753785875/WU_PI_YIN_CWPYW_Gelule_95cbeb6ce2.jpg</t>
  </si>
  <si>
    <t>3665346315859</t>
  </si>
  <si>
    <t>sku-CWPYW</t>
  </si>
  <si>
    <t>4172</t>
  </si>
  <si>
    <t>CWPYWCP</t>
  </si>
  <si>
    <t>Wu pi yin - 1 flacon de poudre concentrée - 100g</t>
  </si>
  <si>
    <t>https://calebasse.com/produits/wu-pi-yin-4172?product=5646</t>
  </si>
  <si>
    <t>https://res.cloudinary.com/laboratoire-calebasse/image/upload/v1753353841/WU_PI_YIN_CWPYWCP_f1f18777df.jpg</t>
  </si>
  <si>
    <t>3665346315835</t>
  </si>
  <si>
    <t>sku-CWPYWCP</t>
  </si>
  <si>
    <t>CWSCKL</t>
  </si>
  <si>
    <t>Wu shi cha ke li - 1 flacon de 100 gélules - 50g</t>
  </si>
  <si>
    <t>Pour dissiper le Vent. Ses principaux bienfaits : expulse le vent et l'humidité</t>
  </si>
  <si>
    <t>https://calebasse.com/produits/wu-shi-cha-ke-li-4173?product=5648</t>
  </si>
  <si>
    <t>https://res.cloudinary.com/laboratoire-calebasse/image/upload/v1753353855/WU_SHI_CHA_KE_LI_CWSCKL_f9d3a42162.jpg</t>
  </si>
  <si>
    <t>3665346315958</t>
  </si>
  <si>
    <t>sku-CWSCKL</t>
  </si>
  <si>
    <t>4173</t>
  </si>
  <si>
    <t>CWZYZW</t>
  </si>
  <si>
    <t>Wu zi yan zong wan - 1 flacon de 100 gélules - 50g</t>
  </si>
  <si>
    <t>Pour tonifier l'Essence. Ses principaux bienfaits : tonifie le yang du rein, renforce le jing</t>
  </si>
  <si>
    <t>https://calebasse.com/produits/wu-zi-yan-zong-wan-4176?product=5660</t>
  </si>
  <si>
    <t>https://res.cloudinary.com/laboratoire-calebasse/image/upload/v1753353897/WU_ZI_YAN_ZONG_WAN_CWZYZW_fc44a0506a.jpg</t>
  </si>
  <si>
    <t>3665346316252</t>
  </si>
  <si>
    <t>sku-CWZYZW</t>
  </si>
  <si>
    <t>4176</t>
  </si>
  <si>
    <t>CWZYZWCP</t>
  </si>
  <si>
    <t>Wu zi yan zong wan - 1 flacon de poudre concentrée - 100g</t>
  </si>
  <si>
    <t>https://calebasse.com/produits/wu-zi-yan-zong-wan-4176?product=5662</t>
  </si>
  <si>
    <t>https://res.cloudinary.com/laboratoire-calebasse/image/upload/v1753353908/WU_ZI_YAN_ZONG_WAN_CWZYZWCP_d80ff2868c.jpg</t>
  </si>
  <si>
    <t>3665346316238</t>
  </si>
  <si>
    <t>sku-CWZYZWCP</t>
  </si>
  <si>
    <t>CXCHT</t>
  </si>
  <si>
    <t>Xiao chai hu tang - 1 flacon de 100 gélules - 50g</t>
  </si>
  <si>
    <t>Pour harmoniser le Shao yang. Ses principaux bienfaits : veille à l'équilibre énergétique, harmonise le shao yang</t>
  </si>
  <si>
    <t>https://calebasse.com/produits/xiao-chai-hu-tang-4183?product=5684</t>
  </si>
  <si>
    <t>https://res.cloudinary.com/laboratoire-calebasse/image/upload/v1753106758/XIAO_CHAI_HU_TANG_CXCHT_Gelule_1f82659dbd.jpg</t>
  </si>
  <si>
    <t>3665346316856</t>
  </si>
  <si>
    <t>sku-CXCHT</t>
  </si>
  <si>
    <t>4183</t>
  </si>
  <si>
    <t>CXCHTCP</t>
  </si>
  <si>
    <t>Xiao chai hu tang - 1 flacon de poudre concentrée - 100g</t>
  </si>
  <si>
    <t>https://calebasse.com/produits/xiao-chai-hu-tang-4183?product=5686</t>
  </si>
  <si>
    <t>https://res.cloudinary.com/laboratoire-calebasse/image/upload/v1753106748/XIAO_CHAI_HU_TANG_CXCHTCP_0044bb12fc.jpg</t>
  </si>
  <si>
    <t>3665346316832</t>
  </si>
  <si>
    <t>sku-CXCHTCP</t>
  </si>
  <si>
    <t>CXFZYT</t>
  </si>
  <si>
    <t>Xue fu zhu yu tang - 1 flacon de 100 gélules - 50g</t>
  </si>
  <si>
    <t>Pour disperser les Stases et détendre le Qi du Foie. Ses principaux bienfaits : débloque l'énergie du foie, disperse la stase</t>
  </si>
  <si>
    <t>https://calebasse.com/produits/xue-fu-zhu-yu-tang-4184?product=5696</t>
  </si>
  <si>
    <t>https://res.cloudinary.com/laboratoire-calebasse/image/upload/v1753106805/XUE_FU_ZHU_YU_TANG_CXFZYT_2f8268b96e.jpg</t>
  </si>
  <si>
    <t>3665346317150</t>
  </si>
  <si>
    <t>sku-CXFZYT</t>
  </si>
  <si>
    <t>4184</t>
  </si>
  <si>
    <t>CXFZYTCP</t>
  </si>
  <si>
    <t>Xue fu zhu yu tang - 1 flacon de poudre concentrée - 100g</t>
  </si>
  <si>
    <t>https://calebasse.com/produits/xue-fu-zhu-yu-tang-4184?product=5698</t>
  </si>
  <si>
    <t>https://res.cloudinary.com/laboratoire-calebasse/image/upload/v1753106816/XUE_FU_ZHU_YU_TANG_CXFZYTCP_382c7eb201.jpg</t>
  </si>
  <si>
    <t>3665346317136</t>
  </si>
  <si>
    <t>sku-CXFZYTCP</t>
  </si>
  <si>
    <t>CXLW</t>
  </si>
  <si>
    <t>Xiang lian wan - 1 flacon de 100 gélules - 50g</t>
  </si>
  <si>
    <t>Pour clarifier la Chaleur et rétablir le Qi de l'Estomac. Ses principaux bienfaits : clarifie la chaleur-humidité</t>
  </si>
  <si>
    <t>https://calebasse.com/produits/xiang-lian-wan-4178?product=5668</t>
  </si>
  <si>
    <t>https://res.cloudinary.com/laboratoire-calebasse/image/upload/v1753353921/XIANG_LIAN_WAN_CXLW_6ad6f81e36.jpg</t>
  </si>
  <si>
    <t>3665346316450</t>
  </si>
  <si>
    <t>sku-CXLW</t>
  </si>
  <si>
    <t>4178</t>
  </si>
  <si>
    <t>CXLWCP</t>
  </si>
  <si>
    <t>Xiang lian wan - 1 flacon de poudre concentrée - 100g</t>
  </si>
  <si>
    <t>https://calebasse.com/produits/xiang-lian-wan-4178?product=5670</t>
  </si>
  <si>
    <t>https://res.cloudinary.com/laboratoire-calebasse/image/upload/v1753353931/XIANG_LIAN_WAN_CXLWCP_699d798c00.jpg</t>
  </si>
  <si>
    <t>3665346316436</t>
  </si>
  <si>
    <t>sku-CXLWCP</t>
  </si>
  <si>
    <t>CXSLJZW</t>
  </si>
  <si>
    <t>Xiang sha liu jun zi wan - 1 flacon de 100 gélules - 50g</t>
  </si>
  <si>
    <t>Pour fortifier le Qi de la Rate et harmoniser l'Estomac. Ses principaux bienfaits : assèche l’humidité, tonifie la rate, tonifie le qi</t>
  </si>
  <si>
    <t>https://calebasse.com/produits/xiang-sha-liu-jun-zi-wan-4179?product=5672</t>
  </si>
  <si>
    <t>https://res.cloudinary.com/laboratoire-calebasse/image/upload/v1753106716/XIANG_SHA_LIU_JUN_ZI_WAN_CXSLJZW_4db0f6ecfd.jpg</t>
  </si>
  <si>
    <t>3665346316559</t>
  </si>
  <si>
    <t>sku-CXSLJZW</t>
  </si>
  <si>
    <t>4179</t>
  </si>
  <si>
    <t>CXSLJZWCP</t>
  </si>
  <si>
    <t>Xiang sha liu jun zi wan - 1 flacon de poudre concentrée - 100g</t>
  </si>
  <si>
    <t>https://calebasse.com/produits/xiang-sha-liu-jun-zi-wan-4179?product=5674</t>
  </si>
  <si>
    <t>https://res.cloudinary.com/laboratoire-calebasse/image/upload/v1753106725/XIANG_SHA_LIU_JUN_ZI_WAN_CXSLJZWCP_2025_05_05_ee8125d874.jpg</t>
  </si>
  <si>
    <t>3665346316535</t>
  </si>
  <si>
    <t>sku-CXSLJZWCP</t>
  </si>
  <si>
    <t>CXSYWW</t>
  </si>
  <si>
    <t>Xiang sha yang wei wan - 1 flacon de 100 gélules - 50g</t>
  </si>
  <si>
    <t>Pour réchauffer le Foyer Médian. Ses principaux bienfaits : harmonise l'estomac</t>
  </si>
  <si>
    <t>https://calebasse.com/produits/xiang-sha-yang-wei-wan-4180?product=5676</t>
  </si>
  <si>
    <t>https://res.cloudinary.com/laboratoire-calebasse/image/upload/v1753353944/XIANG_SHA_YANG_WEI_WAN_CXSYWW_6c10521070.jpg</t>
  </si>
  <si>
    <t>3665346316658</t>
  </si>
  <si>
    <t>sku-CXSYWW</t>
  </si>
  <si>
    <t>4180</t>
  </si>
  <si>
    <t>CXSYWWCP</t>
  </si>
  <si>
    <t>Xiang sha yang wei wan - 1 flacon de poudre concentrée - 100g</t>
  </si>
  <si>
    <t>https://calebasse.com/produits/xiang-sha-yang-wei-wan-4180?product=5679</t>
  </si>
  <si>
    <t>https://res.cloudinary.com/laboratoire-calebasse/image/upload/v1753353954/XIANG_SHA_YANG_WEI_WAN_CXSYWWCP_17382bfe65.jpg</t>
  </si>
  <si>
    <t>3665346316634</t>
  </si>
  <si>
    <t>sku-CXSYWWCP</t>
  </si>
  <si>
    <t>CXSZJW</t>
  </si>
  <si>
    <t>Xiang sha zuo jin wan - 1 flacon de 100 gélules - 50g</t>
  </si>
  <si>
    <t>https://calebasse.com/produits/xiang-sha-zuo-jin-wan-4393?product=6339</t>
  </si>
  <si>
    <t>https://res.cloudinary.com/laboratoire-calebasse/image/upload/v1753353970/XIANG_SHA_ZUO_JIN_WAN_CXSZJW_6e743bf073.jpg</t>
  </si>
  <si>
    <t>3665346320556</t>
  </si>
  <si>
    <t>sku-CXSZJW</t>
  </si>
  <si>
    <t>4393</t>
  </si>
  <si>
    <t>CXSZJWCP</t>
  </si>
  <si>
    <t>Xiang sha zuo jin wan - 1 flacon de poudre concentrée - 100g</t>
  </si>
  <si>
    <t>https://calebasse.com/produits/xiang-sha-zuo-jin-wan-4393?product=6342</t>
  </si>
  <si>
    <t>https://res.cloudinary.com/laboratoire-calebasse/image/upload/v1753353980/XIANG_SHA_ZUO_JIN_WAN_CXSZJWCP_93ac910e33.jpg</t>
  </si>
  <si>
    <t>sku-CXSZJWCP</t>
  </si>
  <si>
    <t>CXYING</t>
  </si>
  <si>
    <t>Xiang yin wan - 1 flacon de 100 gélules - 50g</t>
  </si>
  <si>
    <t>Pour tonifier le Yin et le Qi du Poumon. Ses principaux bienfaits : tonifie le yin</t>
  </si>
  <si>
    <t>https://calebasse.com/produits/xiang-yin-wan-4182?product=5680</t>
  </si>
  <si>
    <t>https://res.cloudinary.com/laboratoire-calebasse/image/upload/v1753353993/XIANG_YIN_WAN_CXYING_7e0de98972.jpg</t>
  </si>
  <si>
    <t>3665346316757</t>
  </si>
  <si>
    <t>sku-CXYING</t>
  </si>
  <si>
    <t>4182</t>
  </si>
  <si>
    <t>CXYINGCP</t>
  </si>
  <si>
    <t>Xiang yin wan - 1 flacon de poudre concentrée - 100g</t>
  </si>
  <si>
    <t>https://calebasse.com/produits/xiang-yin-wan-4182?product=5682</t>
  </si>
  <si>
    <t>https://res.cloudinary.com/laboratoire-calebasse/image/upload/v1753354003/XIANG_YIN_WAN_CXYINGCP_bd2a438037.jpg</t>
  </si>
  <si>
    <t>3665346316733</t>
  </si>
  <si>
    <t>sku-CXYINGCP</t>
  </si>
  <si>
    <t>CXYS</t>
  </si>
  <si>
    <t>Xiao yao san - 1 flacon de 100 gélules - 50g</t>
  </si>
  <si>
    <t>Harmonise le Qi, tonifie la Rate et calme l'esprit pour un bien-être renforcé. Ses principaux bienfaits : apaise le stress, favorise l'harmonie émotionnelle, stimule la circulation sanguine, débloque l'énergie du foie, tonifie la rate</t>
  </si>
  <si>
    <t>https://calebasse.com/produits/xiao-yao-san-4185?product=5692</t>
  </si>
  <si>
    <t>https://res.cloudinary.com/laboratoire-calebasse/image/upload/v1753106788/XIAO_YAO_SAN_CXYS_Gelule_b3410f2eb8.jpg</t>
  </si>
  <si>
    <t>3665346317051</t>
  </si>
  <si>
    <t>sku-CXYS</t>
  </si>
  <si>
    <t>4185</t>
  </si>
  <si>
    <t>CXYSCP</t>
  </si>
  <si>
    <t>Xiao yao san - 1 flacon de poudre concentrée - 100g</t>
  </si>
  <si>
    <t>https://calebasse.com/produits/xiao-yao-san-4185?product=5694</t>
  </si>
  <si>
    <t>https://res.cloudinary.com/laboratoire-calebasse/image/upload/v1753106774/XIAO_YAO_SAN_CXYSCP_Poudre_aa96181a9b.jpg</t>
  </si>
  <si>
    <t>3665346317037</t>
  </si>
  <si>
    <t>sku-CXYSCP</t>
  </si>
  <si>
    <t>CYaS</t>
  </si>
  <si>
    <t>Yang source - 1 flacon de 100 gélules - 50g</t>
  </si>
  <si>
    <t>Pour renforcer le Wei qi. Ses principaux bienfaits : renforce le jing</t>
  </si>
  <si>
    <t>https://calebasse.com/produits/yang-source-4718?product=6869</t>
  </si>
  <si>
    <t>https://res.cloudinary.com/laboratoire-calebasse/image/upload/v1770721944/YANG_SOURCE_C_Ya_S_Gelule_960baf193b.jpg</t>
  </si>
  <si>
    <t>sku-CYaS</t>
  </si>
  <si>
    <t>4718</t>
  </si>
  <si>
    <t>CYDW</t>
  </si>
  <si>
    <t>Yu dai wan - 1 flacon de 100 gélules - 50g</t>
  </si>
  <si>
    <t>Pour chasser l'Humidité et clarifier la Chaleur. Ses principaux bienfaits : élimine la chaleur et l'humidité</t>
  </si>
  <si>
    <t>https://calebasse.com/produits/yu-dai-wan-4193?product=5727</t>
  </si>
  <si>
    <t>https://res.cloudinary.com/laboratoire-calebasse/image/upload/v1753354116/YU_DAI_WAN_CYDW_710b002112.jpg</t>
  </si>
  <si>
    <t>3665346317853</t>
  </si>
  <si>
    <t>sku-CYDW</t>
  </si>
  <si>
    <t>4193</t>
  </si>
  <si>
    <t>CYDWCP</t>
  </si>
  <si>
    <t>Yu dai wan - 1 flacon de poudre concentrée - 100g</t>
  </si>
  <si>
    <t>https://calebasse.com/produits/yu-dai-wan-4193?product=5730</t>
  </si>
  <si>
    <t>https://res.cloudinary.com/laboratoire-calebasse/image/upload/v1753354126/YU_DAI_WAN_CYDWCP_1532dab971.jpg</t>
  </si>
  <si>
    <t>3665346317839</t>
  </si>
  <si>
    <t>sku-CYDWCP</t>
  </si>
  <si>
    <t>CYE</t>
  </si>
  <si>
    <t>Formule Yang Eau - 1 flacon de 100 gélules - 50g</t>
  </si>
  <si>
    <t>Pour tonifier le Yin et le Yang des Reins. Ses principaux bienfaits : tonifie le yin et le yang des reins, chasse la chaleur</t>
  </si>
  <si>
    <t>https://calebasse.com/produits/formule-yang-eau-4699?product=6832</t>
  </si>
  <si>
    <t>https://res.cloudinary.com/laboratoire-calebasse/image/upload/v1770721920/FORMULE_YANG_EAU_CYE_Gelule_dc62bc78fa.jpg</t>
  </si>
  <si>
    <t>3665346368459</t>
  </si>
  <si>
    <t>sku-CYE</t>
  </si>
  <si>
    <t>4699</t>
  </si>
  <si>
    <t>CYECP</t>
  </si>
  <si>
    <t>Formule Yang Eau - 1 flacon de poudre concentrée - 100g</t>
  </si>
  <si>
    <t>https://calebasse.com/produits/formule-yang-eau-4699?product=6833</t>
  </si>
  <si>
    <t>https://res.cloudinary.com/laboratoire-calebasse/image/upload/v1770721902/FORMULE_YANG_EAU_CYECP_Poudre_3f383a4f27.jpg</t>
  </si>
  <si>
    <t>3665346368435</t>
  </si>
  <si>
    <t>sku-CYECP</t>
  </si>
  <si>
    <t>CYGW</t>
  </si>
  <si>
    <t>You gui wan - 1 flacon de 100 gélules - 50g</t>
  </si>
  <si>
    <t>Pour tonifier le Yang des Reins. Ses principaux bienfaits : tonifie le yang du rein, renforce le jing</t>
  </si>
  <si>
    <t>https://calebasse.com/produits/you-gui-wan-4192?product=5724</t>
  </si>
  <si>
    <t>https://res.cloudinary.com/laboratoire-calebasse/image/upload/v1753106196/YOU_GUI_WAN_CYGW_Gelule_729cd0397d.jpg</t>
  </si>
  <si>
    <t>3665346317754</t>
  </si>
  <si>
    <t>sku-CYGW</t>
  </si>
  <si>
    <t>4192</t>
  </si>
  <si>
    <t>CYGWCP</t>
  </si>
  <si>
    <t>You gui wan - 1 flacon de poudre concentrée - 100g</t>
  </si>
  <si>
    <t>https://calebasse.com/produits/you-gui-wan-4192?product=5726</t>
  </si>
  <si>
    <t>https://res.cloudinary.com/laboratoire-calebasse/image/upload/v1753106183/YOU_GUI_WAN_CYGWCP_Poudre_1e3c333df3.jpg</t>
  </si>
  <si>
    <t>3665346317730</t>
  </si>
  <si>
    <t>sku-CYGWCP</t>
  </si>
  <si>
    <t>CYiS</t>
  </si>
  <si>
    <t>Yin source - 1 flacon de 100 gélules - 50g</t>
  </si>
  <si>
    <t>Pour tonifier le Yin. Ses principaux bienfaits : tonifie le yin</t>
  </si>
  <si>
    <t>https://calebasse.com/produits/yin-source-4717?product=6865</t>
  </si>
  <si>
    <t>https://res.cloudinary.com/laboratoire-calebasse/image/upload/v1675087444/C_yinsource_55980934b2.jpg</t>
  </si>
  <si>
    <t>sku-CYiS</t>
  </si>
  <si>
    <t>4717</t>
  </si>
  <si>
    <t>CYPFS</t>
  </si>
  <si>
    <t>Yu Ping Feng San - immunité, préventif allergies &amp; anti-fatigue - Format Gélule : 100 gélules de poudre concentrée naturelle</t>
  </si>
  <si>
    <t>Formule éprouvée depuis 700 ans en Chine pour son efficacité à renforcer les défenses naturelles, prévenir les allergies, augmenter la vitalité, offrir des propriétés antioxydantes et améliorer le bien-être général. Ses principaux bienfaits : préventif et contre les allergies, soutient les défenses naturelles, réduit la fatigue, apaise le rhume des foins</t>
  </si>
  <si>
    <t>https://calebasse.com/produits/yu-ping-feng-san-4194?product=5732</t>
  </si>
  <si>
    <t>https://res.cloudinary.com/laboratoire-calebasse/image/upload/v1745504176/YU_PING_FENG_SAN_gl_1bb4917d31.jpg</t>
  </si>
  <si>
    <t>3665346317952</t>
  </si>
  <si>
    <t>sku-CYPFS</t>
  </si>
  <si>
    <t>https://res.cloudinary.com/laboratoire-calebasse/image/upload/v1741165514/1_Presentation_generale_67cbd00e92.jpg; https://res.cloudinary.com/laboratoire-calebasse/image/upload/v1741165514/9_Pour_Qui_92e04aafbc.jpg; https://res.cloudinary.com/laboratoire-calebasse/image/upload/v1741165514/3_Ingredients_dc35255a39.jpg; https://res.cloudinary.com/laboratoire-calebasse/image/upload/v1741165514/11_Efficacite_b51f42f004.jpg; https://res.cloudinary.com/laboratoire-calebasse/image/upload/v1741165514/8_JCZS_2deb42093e.jpg</t>
  </si>
  <si>
    <t>4194</t>
  </si>
  <si>
    <t>CYPFS+BYPFT</t>
  </si>
  <si>
    <t>Yu Ping Feng San - immunité, préventif allergies &amp; anti-fatigue - Format découverte : Flacon de 100 gélules + Tisane 100 g</t>
  </si>
  <si>
    <t>https://calebasse.com/produits/yu-ping-feng-san-4194?product=7342</t>
  </si>
  <si>
    <t>https://res.cloudinary.com/laboratoire-calebasse/image/upload/v1741165644/12_Duo_49bb612195.jpg</t>
  </si>
  <si>
    <t>sku-CYPFS+BYPFT</t>
  </si>
  <si>
    <t>CYPFSCP</t>
  </si>
  <si>
    <t>Yu Ping Feng San - immunité, préventif allergies &amp; anti-fatigue - Format Poudre Concentrée : 100 g - accompagné d'eau chaude</t>
  </si>
  <si>
    <t>https://calebasse.com/produits/yu-ping-feng-san-4194?product=5734</t>
  </si>
  <si>
    <t>https://res.cloudinary.com/laboratoire-calebasse/image/upload/v1740588308/YU_PING_FENG_SAN_cp_4d1262a0d9.jpg</t>
  </si>
  <si>
    <t>3665346317938</t>
  </si>
  <si>
    <t>sku-CYPFSCP</t>
  </si>
  <si>
    <t>CYPFSX4</t>
  </si>
  <si>
    <t>Yu Ping Feng San - immunité, préventif allergies &amp; anti-fatigue - &lt;strong&gt;Cure de 3 mois :&lt;/strong&gt; 4 Flacons de 100 gélules</t>
  </si>
  <si>
    <t>https://calebasse.com/produits/yu-ping-feng-san-4194?product=7493</t>
  </si>
  <si>
    <t>https://res.cloudinary.com/laboratoire-calebasse/image/upload/v1763024563/Yu_Ping_Feng_San_95aade1dfa.jpg</t>
  </si>
  <si>
    <t>sku-CYPFSX4</t>
  </si>
  <si>
    <t>CYQJDP</t>
  </si>
  <si>
    <t>Yin qiao jie du pian - 1 flacon de 100 gélules - 50g</t>
  </si>
  <si>
    <t>Pour éliminer la Chaleur interne. Ses principaux bienfaits : clarifie la chaleur, expulse le vent</t>
  </si>
  <si>
    <t>https://calebasse.com/produits/yin-qiao-jie-du-pian-4189?product=5713</t>
  </si>
  <si>
    <t>https://res.cloudinary.com/laboratoire-calebasse/image/upload/v1753354093/YIN_QIAO_JIE_DU_PIAN_CYQJDP_ed2af2db16.jpg</t>
  </si>
  <si>
    <t>3665346317457</t>
  </si>
  <si>
    <t>sku-CYQJDP</t>
  </si>
  <si>
    <t>4189</t>
  </si>
  <si>
    <t>CYQJDPCP</t>
  </si>
  <si>
    <t>Yin qiao jie du pian - 1 flacon de poudre concentrée - 100g</t>
  </si>
  <si>
    <t>https://calebasse.com/produits/yin-qiao-jie-du-pian-4189?product=5714</t>
  </si>
  <si>
    <t>https://res.cloudinary.com/laboratoire-calebasse/image/upload/v1753354102/YIN_QIAO_JIE_DU_PIAN_CYQJDPCP_79f791d05b.jpg</t>
  </si>
  <si>
    <t>3665346317433</t>
  </si>
  <si>
    <t>sku-CYQJDPCP</t>
  </si>
  <si>
    <t>CYQP</t>
  </si>
  <si>
    <t>Yin qiao pian - 1 flacon de 100 gélules - 50g</t>
  </si>
  <si>
    <t>Pour éliminer le Vent-Chaleur. Ses principaux bienfaits : dissiper le vent-chaleur</t>
  </si>
  <si>
    <t>https://calebasse.com/produits/yin-qiao-pian-4190?product=5716</t>
  </si>
  <si>
    <t>https://res.cloudinary.com/laboratoire-calebasse/image/upload/v1753106168/YIN_QIAO_PIAN_CYQP_Gelule_b6f1a8f3d2.jpg</t>
  </si>
  <si>
    <t>3665346317556</t>
  </si>
  <si>
    <t>sku-CYQP</t>
  </si>
  <si>
    <t>4190</t>
  </si>
  <si>
    <t>CYQPCP</t>
  </si>
  <si>
    <t>Yin qiao pian - 1 flacon de poudre concentrée - 100g</t>
  </si>
  <si>
    <t>https://calebasse.com/produits/yin-qiao-pian-4190?product=5718</t>
  </si>
  <si>
    <t>https://res.cloudinary.com/laboratoire-calebasse/image/upload/v1753106833/YIN_QIAO_PIAN_CYQPCP_Poudre_dd1dce1f6d.jpg</t>
  </si>
  <si>
    <t>3665346317532</t>
  </si>
  <si>
    <t>sku-CYQPCP</t>
  </si>
  <si>
    <t>CYRW</t>
  </si>
  <si>
    <t>Yang rong wan - 1 flacon de 100 gélules - 50g</t>
  </si>
  <si>
    <t>Pour tonifier le Sang, le Qi et les Reins Ses principaux bienfaits : tonifie les reins, tonifie le qi et le sang</t>
  </si>
  <si>
    <t>https://calebasse.com/produits/yang-rong-wan-4847?product=7045</t>
  </si>
  <si>
    <t>https://res.cloudinary.com/laboratoire-calebasse/image/upload/v1753354021/YANG_RONG_WAN_CYRW_90ae879ca5.jpg</t>
  </si>
  <si>
    <t>3665346325353</t>
  </si>
  <si>
    <t>sku-CYRW</t>
  </si>
  <si>
    <t>4847</t>
  </si>
  <si>
    <t>CYRWCP</t>
  </si>
  <si>
    <t>Yang rong wan - 1 flacon de poudre concentrée - 100g</t>
  </si>
  <si>
    <t>https://calebasse.com/produits/yang-rong-wan-4847?product=7047</t>
  </si>
  <si>
    <t>https://res.cloudinary.com/laboratoire-calebasse/image/upload/v1753354031/YANG_RONG_WAN_CYRWCP_e02751af76.jpg</t>
  </si>
  <si>
    <t>3665346325438</t>
  </si>
  <si>
    <t>sku-CYRWCP</t>
  </si>
  <si>
    <t>CYXASW</t>
  </si>
  <si>
    <t>Yang xue an shen wan - 1 flacon de 100 gélules - 50g</t>
  </si>
  <si>
    <t>Pour dissiper le Vent et calmer le Shen. Ses principaux bienfaits : expulse le vent, tranquillise le shen</t>
  </si>
  <si>
    <t>https://calebasse.com/produits/yang-xue-an-shen-wan-4186?product=5700</t>
  </si>
  <si>
    <t>https://res.cloudinary.com/laboratoire-calebasse/image/upload/v1753354045/YANG_XUE_AN_SHEN_WAN_CYXASW_cd634a0057.jpg</t>
  </si>
  <si>
    <t>3665346317259</t>
  </si>
  <si>
    <t>sku-CYXASW</t>
  </si>
  <si>
    <t>4186</t>
  </si>
  <si>
    <t>CYXASWCP</t>
  </si>
  <si>
    <t>Yang xue an shen wan - 1 flacon de poudre concentrée - 100g</t>
  </si>
  <si>
    <t>https://calebasse.com/produits/yang-xue-an-shen-wan-4186?product=5702</t>
  </si>
  <si>
    <t>https://res.cloudinary.com/laboratoire-calebasse/image/upload/v1753354057/YANG_XUE_AN_SHEN_WAN_CYXASWCP_2b17f7fe04.jpg</t>
  </si>
  <si>
    <t>sku-CYXASWCP</t>
  </si>
  <si>
    <t>CYYRT</t>
  </si>
  <si>
    <t>Yi yi ren tang - 1 flacon de 100 gélules - 50g</t>
  </si>
  <si>
    <t>Pour retrouver le confort articulaire. Ses principaux bienfaits : contribue à une bonne mobilité, favorise le confort articulaire, apaise les sensibilités articulaires</t>
  </si>
  <si>
    <t>https://calebasse.com/produits/yi-yi-ren-tang-4188?product=5708</t>
  </si>
  <si>
    <t>https://res.cloudinary.com/laboratoire-calebasse/image/upload/v1753354069/YI_YI_REN_TANG_CYYRT_327ebd6a54.jpg</t>
  </si>
  <si>
    <t>3665346319055</t>
  </si>
  <si>
    <t>sku-CYYRT</t>
  </si>
  <si>
    <t>4188</t>
  </si>
  <si>
    <t>CYYRTCP</t>
  </si>
  <si>
    <t>Yi yi ren tang - 1 flacon de poudre concentrée - 100g</t>
  </si>
  <si>
    <t>https://calebasse.com/produits/yi-yi-ren-tang-4188?product=5710</t>
  </si>
  <si>
    <t>https://res.cloudinary.com/laboratoire-calebasse/image/upload/v1753354079/YI_YI_REN_TANG_CYYRTCP_b3fd668a50.jpg</t>
  </si>
  <si>
    <t>3665346319031</t>
  </si>
  <si>
    <t>sku-CYYRTCP</t>
  </si>
  <si>
    <t>CYZCPS</t>
  </si>
  <si>
    <t>Yuan zhi chang pu san - 1 flacon de 100 gélules - 50g</t>
  </si>
  <si>
    <t>Pour améliorer le Shen et éliminer les Mucosités. Ses principaux bienfaits : tranquillise le shen</t>
  </si>
  <si>
    <t>https://calebasse.com/produits/yuan-zhi-chang-pu-san-4195?product=5736</t>
  </si>
  <si>
    <t>https://res.cloudinary.com/laboratoire-calebasse/image/upload/v1634201208/C_yuanzhichangpusan_eb86c8dd29.jpg</t>
  </si>
  <si>
    <t>3665346318058</t>
  </si>
  <si>
    <t>sku-CYZCPS</t>
  </si>
  <si>
    <t>4195</t>
  </si>
  <si>
    <t>CYZCPSCP</t>
  </si>
  <si>
    <t>Yuan zhi chang pu san - 1 flacon de poudre concentrée - 100g</t>
  </si>
  <si>
    <t>https://calebasse.com/produits/yuan-zhi-chang-pu-san-4195?product=5738</t>
  </si>
  <si>
    <t>https://res.cloudinary.com/laboratoire-calebasse/image/upload/v1634201208/C_yuanzhichangpusancp_bd6e8ded76.jpg</t>
  </si>
  <si>
    <t>3665346318034</t>
  </si>
  <si>
    <t>sku-CYZCPSCP</t>
  </si>
  <si>
    <t>CZBDHW</t>
  </si>
  <si>
    <t>Zhi bai di huang wan - 1 flacon de 100 gélules - 50g</t>
  </si>
  <si>
    <t>Pour nourrir le Yin et clarifier la Chaleur Vide.</t>
  </si>
  <si>
    <t>https://calebasse.com/produits/zhi-bai-di-huang-wan-4199?product=5752</t>
  </si>
  <si>
    <t>https://res.cloudinary.com/laboratoire-calebasse/image/upload/v1753106239/ZHI_BAI_DI_HUANG_WAN_CZBDHW_22fb3748ad.jpg</t>
  </si>
  <si>
    <t>3665346318454</t>
  </si>
  <si>
    <t>sku-CZBDHW</t>
  </si>
  <si>
    <t>4199</t>
  </si>
  <si>
    <t>CZBDHWCP</t>
  </si>
  <si>
    <t>Zhi bai di huang wan - 1 flacon de poudre concentrée - 100g</t>
  </si>
  <si>
    <t>https://calebasse.com/produits/zhi-bai-di-huang-wan-4199?product=5754</t>
  </si>
  <si>
    <t>https://res.cloudinary.com/laboratoire-calebasse/image/upload/v1753106321/ZHI_BAI_DI_HUANG_WAN_CZBDHWCP_8382a6dd60.jpg</t>
  </si>
  <si>
    <t>3665346318430</t>
  </si>
  <si>
    <t>sku-CZBDHWCP</t>
  </si>
  <si>
    <t>CZGCT</t>
  </si>
  <si>
    <t>Zhi gan cao tang - 1 flacon de 100 gélules - 50g</t>
  </si>
  <si>
    <t>Pour tonifier le Cœur. Ses principaux bienfaits : tonifie le qi, favorise le confort cardiovasculaire, veille à l'équilibre énergétique</t>
  </si>
  <si>
    <t>https://calebasse.com/produits/zhi-gan-cao-tang-4394?product=6344</t>
  </si>
  <si>
    <t>https://res.cloudinary.com/laboratoire-calebasse/image/upload/v1753354166/ZHI_GAN_CAO_TANG_CZGCT_df764b1e79.jpg</t>
  </si>
  <si>
    <t>3665346320457</t>
  </si>
  <si>
    <t>sku-CZGCT</t>
  </si>
  <si>
    <t>4394</t>
  </si>
  <si>
    <t>CZGCTCP</t>
  </si>
  <si>
    <t>Zhi gan cao tang - 1 flacon de poudre concentrée - 100g</t>
  </si>
  <si>
    <t>https://calebasse.com/produits/zhi-gan-cao-tang-4394?product=6346</t>
  </si>
  <si>
    <t>https://res.cloudinary.com/laboratoire-calebasse/image/upload/v1753354175/ZHI_GAN_CAO_TANG_CZGCTCP_39c6023b9d.jpg</t>
  </si>
  <si>
    <t>3665346320433</t>
  </si>
  <si>
    <t>sku-CZGCTCP</t>
  </si>
  <si>
    <t>CZGW</t>
  </si>
  <si>
    <t>Zuo gui wan - 1 flacon de 100 gélules - 50g</t>
  </si>
  <si>
    <t>Pour tonifier le Yin des Reins et rétablir l'harmonie Yin-Yang. Ses principaux bienfaits : nourrit le yin des reins, veille à l'équilibre énergétique, renforce le jing</t>
  </si>
  <si>
    <t>https://calebasse.com/produits/zuo-gui-wan-4204?product=5772</t>
  </si>
  <si>
    <t>https://res.cloudinary.com/laboratoire-calebasse/image/upload/v1753106336/ZUO_GUI_WAN_CZGW_923b35da1a.jpg</t>
  </si>
  <si>
    <t>3665346318959</t>
  </si>
  <si>
    <t>sku-CZGW</t>
  </si>
  <si>
    <t>4204</t>
  </si>
  <si>
    <t>CZGWCP</t>
  </si>
  <si>
    <t>Zuo gui wan - 1 flacon de poudre concentrée - 100g</t>
  </si>
  <si>
    <t>https://calebasse.com/produits/zuo-gui-wan-4204?product=5774</t>
  </si>
  <si>
    <t>https://res.cloudinary.com/laboratoire-calebasse/image/upload/v1753106347/ZUO_GUI_WAN_CZGWCP_af3fceff0d.jpg</t>
  </si>
  <si>
    <t>3665346318935</t>
  </si>
  <si>
    <t>sku-CZGWCP</t>
  </si>
  <si>
    <t>CZGXCW</t>
  </si>
  <si>
    <t>Zhuang gu xiao ci wan - 1 flacon de 100 gélules - 50g</t>
  </si>
  <si>
    <t>Pour nourrir le Qi du Foie et des Reins. Ses principaux bienfaits : expulse le vent, régénère l'énergie des reins et du foie</t>
  </si>
  <si>
    <t>https://calebasse.com/produits/zhuang-gu-xiao-ci-wan-4200?product=5756</t>
  </si>
  <si>
    <t>https://res.cloudinary.com/laboratoire-calebasse/image/upload/v1753354222/ZHUANG_GU_XIAO_CI_WAN_CZGXCW_76f01f8b84.jpg</t>
  </si>
  <si>
    <t>3665346318553</t>
  </si>
  <si>
    <t>sku-CZGXCW</t>
  </si>
  <si>
    <t>4200</t>
  </si>
  <si>
    <t>CZGXCWCP</t>
  </si>
  <si>
    <t>Zhuang gu xiao ci wan - 1 flacon de poudre concentrée - 100g</t>
  </si>
  <si>
    <t>https://calebasse.com/produits/zhuang-gu-xiao-ci-wan-4200?product=5757</t>
  </si>
  <si>
    <t>https://res.cloudinary.com/laboratoire-calebasse/image/upload/v1753354232/ZHUANG_GU_XIAO_CI_WAN_CZGXCWCP_31ec33ffde.jpg</t>
  </si>
  <si>
    <t>3665346318539</t>
  </si>
  <si>
    <t>sku-CZGXCWCP</t>
  </si>
  <si>
    <t>CZRAMW</t>
  </si>
  <si>
    <t>Zao ren an mian wan - 1 flacon de 100 gélules - 50g</t>
  </si>
  <si>
    <t>Pour nourrir le Yin et calmer le Shen. Ses principaux bienfaits : tranquillise le shen, nourrit le yin</t>
  </si>
  <si>
    <t>https://calebasse.com/produits/zao-ren-an-mian-wan-4197?product=5740</t>
  </si>
  <si>
    <t>https://res.cloudinary.com/laboratoire-calebasse/image/upload/v1753106210/ZAO_REN_AN_MIAN_WAN_CZRAMW_3c2cecb374.jpg</t>
  </si>
  <si>
    <t>3665346318157</t>
  </si>
  <si>
    <t>sku-CZRAMW</t>
  </si>
  <si>
    <t>4197</t>
  </si>
  <si>
    <t>CZRAMWCP</t>
  </si>
  <si>
    <t>Zao ren an mian wan - 1 flacon de poudre concentrée - 100g</t>
  </si>
  <si>
    <t>https://calebasse.com/produits/zao-ren-an-mian-wan-4197?product=5742</t>
  </si>
  <si>
    <t>https://res.cloudinary.com/laboratoire-calebasse/image/upload/v1753106222/ZAO_REN_AN_MIAN_WAN_CZRAMWCP_477212b5bb.jpg</t>
  </si>
  <si>
    <t>3665346318133</t>
  </si>
  <si>
    <t>sku-CZRAMWCP</t>
  </si>
  <si>
    <t>CZSW</t>
  </si>
  <si>
    <t>Zi sheng wan - 1 flacon de 100 gélules - 50g</t>
  </si>
  <si>
    <t>Pour tonifier le Qi et la Rate. Ses principaux bienfaits : tonifie la rate, tonifie le qi</t>
  </si>
  <si>
    <t>https://calebasse.com/produits/zi-sheng-wan-4203?product=5760</t>
  </si>
  <si>
    <t>https://res.cloudinary.com/laboratoire-calebasse/image/upload/v1753354244/ZI_SHENG_WAN_CZSW_791704333a.jpg</t>
  </si>
  <si>
    <t>3665346318652</t>
  </si>
  <si>
    <t>sku-CZSW</t>
  </si>
  <si>
    <t>4203</t>
  </si>
  <si>
    <t>CZSWCP</t>
  </si>
  <si>
    <t>Zi sheng wan - 1 flacon de poudre concentrée - 100g</t>
  </si>
  <si>
    <t>https://calebasse.com/produits/zi-sheng-wan-4203?product=5762</t>
  </si>
  <si>
    <t>https://res.cloudinary.com/laboratoire-calebasse/image/upload/v1753354254/ZI_SHENG_WAN_CZSWCP_67ddb45c05.jpg</t>
  </si>
  <si>
    <t>3665346318638</t>
  </si>
  <si>
    <t>sku-CZSWCP</t>
  </si>
  <si>
    <t>CZYHXT</t>
  </si>
  <si>
    <t>Zi yin huo xue tang - 1 flacon de 100 gélules - 50g</t>
  </si>
  <si>
    <t>Pour calmer le Feu et éliminer la Stase. Ses principaux bienfaits : élimine la stase, tonifie le qi, nourrit le yin</t>
  </si>
  <si>
    <t>https://calebasse.com/produits/zi-yin-huo-xue-tang-4201?product=5764</t>
  </si>
  <si>
    <t>https://res.cloudinary.com/laboratoire-calebasse/image/upload/v1753354270/ZI_YIN_HUO_XUE_TANG_CZYHXT_a0ed11eeb8.jpg</t>
  </si>
  <si>
    <t>3665346318751</t>
  </si>
  <si>
    <t>sku-CZYHXT</t>
  </si>
  <si>
    <t>4201</t>
  </si>
  <si>
    <t>CZYHXTCP</t>
  </si>
  <si>
    <t>Zi yin huo xue tang - 1 flacon de poudre concentrée - 100g</t>
  </si>
  <si>
    <t>https://calebasse.com/produits/zi-yin-huo-xue-tang-4201?product=5766</t>
  </si>
  <si>
    <t>https://res.cloudinary.com/laboratoire-calebasse/image/upload/v1753354279/ZI_YIN_HUO_XUE_TANG_CZYHXTCP_5e9e5f3a38.jpg</t>
  </si>
  <si>
    <t>3665346318737</t>
  </si>
  <si>
    <t>sku-CZYHXTCP</t>
  </si>
  <si>
    <t>CZZACW</t>
  </si>
  <si>
    <t>Zhen zhu an chuang wan - 1 flacon de 100 gélules - 50g</t>
  </si>
  <si>
    <t>Pour chasser la Chaleur et l'Humidité. Ses principaux bienfaits : assèche l’humidité, chasse la chaleur</t>
  </si>
  <si>
    <t>https://calebasse.com/produits/zhen-zhu-an-chuang-wan-4196?product=5743</t>
  </si>
  <si>
    <t>https://res.cloudinary.com/laboratoire-calebasse/image/upload/v1753354140/ZHEN_ZHU_AN_CHUANG_WAN_CZZACW_c1fc81bdce.jpg</t>
  </si>
  <si>
    <t>3665346318256</t>
  </si>
  <si>
    <t>sku-CZZACW</t>
  </si>
  <si>
    <t>4196</t>
  </si>
  <si>
    <t>CZZACWCP</t>
  </si>
  <si>
    <t>Zhen zhu an chuang wan - 1 flacon de poudre concentrée - 100g</t>
  </si>
  <si>
    <t>https://calebasse.com/produits/zhen-zhu-an-chuang-wan-4196?product=5745</t>
  </si>
  <si>
    <t>https://res.cloudinary.com/laboratoire-calebasse/image/upload/v1753354150/ZHEN_ZHU_AN_CHUANG_WAN_CZZACWCP_5dd72920dc.jpg</t>
  </si>
  <si>
    <t>3665346318232</t>
  </si>
  <si>
    <t>sku-CZZACWCP</t>
  </si>
  <si>
    <t>D002</t>
  </si>
  <si>
    <t>Formule Confort gastrique - Chai hu qu suan wan - 1 flacon de 100 gélules - 50g</t>
  </si>
  <si>
    <t>Pour maintenir une digestion saine et éviter les troubles gastriques. Ses principaux bienfaits : contribue à une bonne digestion, soulage les troubles digestifs provoqués par le stress</t>
  </si>
  <si>
    <t>https://calebasse.com/produits/chai-hu-qu-suan-wan-formule-confort-gastrique-4695?product=5780</t>
  </si>
  <si>
    <t>https://res.cloudinary.com/laboratoire-calebasse/image/upload/v1753103947/CONFORT_GASTRIQUE_D002_da9fc3e5e2.jpg</t>
  </si>
  <si>
    <t>3665346360156</t>
  </si>
  <si>
    <t>sku-D002</t>
  </si>
  <si>
    <t>Santé &amp; Bien-être &gt; Compléments alimentaires &gt; Formules traditionnelles et modernes</t>
  </si>
  <si>
    <t>4695</t>
  </si>
  <si>
    <t>D007</t>
  </si>
  <si>
    <t>Formule Cholestérol - Jiang zhi wan - 1 flacon de 100 gélules - 50g</t>
  </si>
  <si>
    <t>Favorise le maintien d’un taux de cholestérol sain. Ses principaux bienfaits : favorise le confort cardiovasculaire, contribue à équilibrer les lipides</t>
  </si>
  <si>
    <t>https://calebasse.com/produits/jiang-zhi-wan-formule-cholesterol-4211?product=5800</t>
  </si>
  <si>
    <t>https://res.cloudinary.com/laboratoire-calebasse/image/upload/v1753103894/CHOLESTEROL_D007_3218ad91a6.jpg</t>
  </si>
  <si>
    <t>3665346360651</t>
  </si>
  <si>
    <t>sku-D007</t>
  </si>
  <si>
    <t>4211</t>
  </si>
  <si>
    <t>D010</t>
  </si>
  <si>
    <t>Formule Défenses naturelles - Jin feng san - 1 flacon de 100 gélules - 50g</t>
  </si>
  <si>
    <t>Pour soutenir les défenses naturelles. Ses principaux bienfaits : aide à stimuler la mémoire et les capacités intellectuelles, donne du tonus à l'organisme, soutient les défenses naturelles</t>
  </si>
  <si>
    <t>https://calebasse.com/produits/jin-feng-san-formule-defenses-naturelles-4216?product=5820</t>
  </si>
  <si>
    <t>https://res.cloudinary.com/laboratoire-calebasse/image/upload/v1753104075/DEFENSES_NATURELLES_D010_9b57c5334e.jpg</t>
  </si>
  <si>
    <t>3665346361054</t>
  </si>
  <si>
    <t>sku-D010</t>
  </si>
  <si>
    <t>4216</t>
  </si>
  <si>
    <t>D011</t>
  </si>
  <si>
    <t>Trésor de la femme - Nü bao - 1 flacon de 100 gélules - 50g</t>
  </si>
  <si>
    <t>Revitalisez votre bien-être hormonal grâce à ce complément alimentaire pour la libido et l’équilibre de la femme. Ses principaux bienfaits : favorise l'équilibre féminin, favorise la circulation sanguine, stimule la vitalité et le tonus sexuel</t>
  </si>
  <si>
    <t>https://calebasse.com/produits/nu-bao-tresor-de-la-femme-4559?product=5828</t>
  </si>
  <si>
    <t>https://res.cloudinary.com/laboratoire-calebasse/image/upload/v1740588294/TRESOR_DE_LA_FEMME_gl_8c05c039b7.jpg</t>
  </si>
  <si>
    <t>3665346361153</t>
  </si>
  <si>
    <t>sku-D011</t>
  </si>
  <si>
    <t>4559</t>
  </si>
  <si>
    <t>D013</t>
  </si>
  <si>
    <t>Formule Détox - Qing zhuo tang - 1 flacon de 100 gélules - 50g</t>
  </si>
  <si>
    <t>Pour détoxifier l’organisme en profondeur. Ses principaux bienfaits : détoxifie l'organisme, favorise le fonctionnement du foie</t>
  </si>
  <si>
    <t>https://calebasse.com/produits/qing-zhuo-tang-formule-detox-4691?product=5836</t>
  </si>
  <si>
    <t>https://res.cloudinary.com/laboratoire-calebasse/image/upload/v1740588307/DETOX_gl_6c4e265103.jpg</t>
  </si>
  <si>
    <t>3665346369951</t>
  </si>
  <si>
    <t>sku-D013</t>
  </si>
  <si>
    <t>4691</t>
  </si>
  <si>
    <t>D014</t>
  </si>
  <si>
    <t>Formule Détox urinaire - Qu mai qing xia san - 1 flacon de 100 gélules - 50g</t>
  </si>
  <si>
    <t>Pour purifier les voies urinaires. Ses principaux bienfaits : détoxifie l'organisme, aide au confort urinaire, stimule les fonctions éliminatrices</t>
  </si>
  <si>
    <t>https://calebasse.com/produits/qu-mai-qing-xia-san-formule-detox-urinaire-4221?product=5840</t>
  </si>
  <si>
    <t>https://res.cloudinary.com/laboratoire-calebasse/image/upload/v1753104100/DETOX_URINAIRE_D014_7318f0a167.jpg</t>
  </si>
  <si>
    <t>3665346361450</t>
  </si>
  <si>
    <t>sku-D014</t>
  </si>
  <si>
    <t>4221</t>
  </si>
  <si>
    <t>D015</t>
  </si>
  <si>
    <t>Formule Digestion - Bao he xiao shi wan - 1 flacon de 100 gélules - 50g</t>
  </si>
  <si>
    <t>Idéale après les repas riches ou festifs, la Formule Digestion soutient une digestion efficace et légère, pour continuer la journée ou la soirée avec confort et sérénité. Ses principaux bienfaits : contribue à une bonne digestion, favorise le confort intestinal</t>
  </si>
  <si>
    <t>https://calebasse.com/produits/bao-he-xiao-shi-wan-formule-digestion-4222?product=5844</t>
  </si>
  <si>
    <t>https://res.cloudinary.com/laboratoire-calebasse/image/upload/v1740588291/DIGESTION_gl_0423d4c040.jpg</t>
  </si>
  <si>
    <t>3665346361559</t>
  </si>
  <si>
    <t>sku-D015</t>
  </si>
  <si>
    <t>https://res.cloudinary.com/laboratoire-calebasse/image/upload/v1752155973/p1_1_e742f89d4b.png; https://res.cloudinary.com/laboratoire-calebasse/image/upload/v1752155904/p3_441ccb72c1.png; https://res.cloudinary.com/laboratoire-calebasse/image/upload/v1752155904/P2_1_b854be3dae.png</t>
  </si>
  <si>
    <t>4222</t>
  </si>
  <si>
    <t>D016</t>
  </si>
  <si>
    <t>Formule Articulation - Confort Articulaire - Bai shao zhi tong san - 1 flacon de 100 gélules - 50g</t>
  </si>
  <si>
    <t>Gardez le rythme : Pour une mobilité retrouvée, au naturel Ses principaux bienfaits : contribue à une bonne mobilité, favorise le confort articulaire, contribue à la santé des séniors, apaise les sensibilités articulaires</t>
  </si>
  <si>
    <t>https://calebasse.com/produits/chai-hu-zhi-tong-tang-formule-confort-articulaire-4223?product=5848</t>
  </si>
  <si>
    <t>https://res.cloudinary.com/laboratoire-calebasse/image/upload/v1740588287/ARTICULATION_gl_f8f3762d0f.jpg</t>
  </si>
  <si>
    <t>3665346361658</t>
  </si>
  <si>
    <t>sku-D016</t>
  </si>
  <si>
    <t>https://res.cloudinary.com/laboratoire-calebasse/image/upload/v1745310382/1_produit_cce43dd087.jpg; https://res.cloudinary.com/laboratoire-calebasse/image/upload/v1745310384/2_bienfaits_c82abe8e47.png; https://res.cloudinary.com/laboratoire-calebasse/image/upload/v1745310383/3_ingredients_7b526af0c2.png; https://res.cloudinary.com/laboratoire-calebasse/image/upload/v1745310382/4_efficacite_8508d2e680.jpg</t>
  </si>
  <si>
    <t>4223</t>
  </si>
  <si>
    <t>D017</t>
  </si>
  <si>
    <t>Formule Confort menstruel - Tong jing wan - 1 flacon de 100 gélules - 50g</t>
  </si>
  <si>
    <t>Pour un cycle plus fluide et un confort optimal, avant et pendant les règles. Ses principaux bienfaits : contribue à réguler le cycle, aide à mieux vivre les règles</t>
  </si>
  <si>
    <t>https://calebasse.com/produits/tong-jing-wan-formule-confort-menstruel-4224?product=5852</t>
  </si>
  <si>
    <t>https://res.cloudinary.com/laboratoire-calebasse/image/upload/v1753106524/CONFORT_MENSTRUEL_1a9540b07b.jpg</t>
  </si>
  <si>
    <t>3665346361757</t>
  </si>
  <si>
    <t>sku-D017</t>
  </si>
  <si>
    <t>4224</t>
  </si>
  <si>
    <t>D018</t>
  </si>
  <si>
    <t>Formule Énergie sportive - Jian shen wan - 1 flacon de 100 gélules - 50g</t>
  </si>
  <si>
    <t>Pour accroître les performances physiques. Ses principaux bienfaits : donne du tonus à l'organisme, soutient les défenses naturelles, améliore les performances sportives</t>
  </si>
  <si>
    <t>https://calebasse.com/produits/jian-shen-wan-formule-energie-sportive-4225?product=5856</t>
  </si>
  <si>
    <t>https://res.cloudinary.com/laboratoire-calebasse/image/upload/v1753104143/ENERGIE_SPORTIVE_D018_d9cef00aa0.jpg</t>
  </si>
  <si>
    <t>3665346361856</t>
  </si>
  <si>
    <t>sku-D018</t>
  </si>
  <si>
    <t>4225</t>
  </si>
  <si>
    <t>D022</t>
  </si>
  <si>
    <t>Formule Mucosité - Qing fei qu tan wan - 1 flacon de 100 gélules - 50g</t>
  </si>
  <si>
    <t>Pour libérer les voies respiratoires. Ses principaux bienfaits : draine les excès d'eau, libère les voies respiratoires</t>
  </si>
  <si>
    <t>https://calebasse.com/produits/qing-fei-qu-tan-wan-formule-mucosite-4405?product=5868</t>
  </si>
  <si>
    <t>https://res.cloudinary.com/laboratoire-calebasse/image/upload/v1753104703/MUCOSITE_D022_Gelule_3b9d6a8f60.jpg</t>
  </si>
  <si>
    <t>3665346362259</t>
  </si>
  <si>
    <t>sku-D022</t>
  </si>
  <si>
    <t>4405</t>
  </si>
  <si>
    <t>D023</t>
  </si>
  <si>
    <t>Formule Acide urique - Tong feng wan - 1 flacon de 100 gélules - 50g</t>
  </si>
  <si>
    <t>Pour favoriser l’élimination de l’acide urique. Ses principaux bienfaits : stimule les fonctions éliminatrices, favorise le confort articulaire, apaise les sensibilités articulaires</t>
  </si>
  <si>
    <t>https://calebasse.com/produits/tong-feng-wan-formule-acide-urique-4229?product=5872</t>
  </si>
  <si>
    <t>https://res.cloudinary.com/laboratoire-calebasse/image/upload/v1753102281/ACIDE_URIQUE_D023_Gelule_f22ba3edb2.jpg</t>
  </si>
  <si>
    <t>3665346362358</t>
  </si>
  <si>
    <t>sku-D023</t>
  </si>
  <si>
    <t>4229</t>
  </si>
  <si>
    <t>D025</t>
  </si>
  <si>
    <t>Formule Circulation - Qi miao san - 1 flacon de 100 gélules - 50g</t>
  </si>
  <si>
    <t>Pour retrouver le confort veineux. Ses principaux bienfaits : stimule la circulation sanguine, contribue au confort veineux, atténuer les pertes de sang</t>
  </si>
  <si>
    <t>https://calebasse.com/produits/qi-miao-san-formule-circulation-4231?product=5880</t>
  </si>
  <si>
    <t>https://res.cloudinary.com/laboratoire-calebasse/image/upload/v1753103933/CIRCULATION_D025_Gelule_0653aa57b6.jpg</t>
  </si>
  <si>
    <t>3665346362556</t>
  </si>
  <si>
    <t>sku-D025</t>
  </si>
  <si>
    <t>4231</t>
  </si>
  <si>
    <t>D027</t>
  </si>
  <si>
    <t>Formule Jambes lourdes - Solution naturelle et draineur intense - 1 flacon de 100 gélules naturelles</t>
  </si>
  <si>
    <t>Apporte un soulagement des sensations de jambes lourdes pour la majorité des utilisateurs en seulement 5 jours Ses principaux bienfaits : stimule la circulation sanguine, draine les excès d'eau, soulage les jambes lourdes</t>
  </si>
  <si>
    <t>https://calebasse.com/produits/ba-miao-san-formule-jambes-lourdes-4408?product=5888</t>
  </si>
  <si>
    <t>https://res.cloudinary.com/laboratoire-calebasse/image/upload/v1740588293/JAMBES_LOURDES_gl_c8fbedd248.jpg</t>
  </si>
  <si>
    <t>3665346362754</t>
  </si>
  <si>
    <t>sku-D027</t>
  </si>
  <si>
    <t>https://res.cloudinary.com/laboratoire-calebasse/image/upload/v1744106447/1_produit_3054aa855f.jpg; https://res.cloudinary.com/laboratoire-calebasse/image/upload/v1723819186/2_symptomes_edf6e34dda.png; https://res.cloudinary.com/laboratoire-calebasse/image/upload/v1723819188/3_bienfaits_c558875539.png; https://res.cloudinary.com/laboratoire-calebasse/image/upload/v1744106449/6_efficacite_da1cf13614.png</t>
  </si>
  <si>
    <t>4408</t>
  </si>
  <si>
    <t>D027X3</t>
  </si>
  <si>
    <t>Formule Jambes lourdes - Solution naturelle et draineur intense - Offre exceptionnelle : 3 flacons de 100 gélules</t>
  </si>
  <si>
    <t>https://calebasse.com/produits/ba-miao-san-formule-jambes-lourdes-4408?product=5889</t>
  </si>
  <si>
    <t>https://res.cloudinary.com/laboratoire-calebasse/image/upload/v1750682887/Bundles_042413a67f.jpg</t>
  </si>
  <si>
    <t>sku-D027X3</t>
  </si>
  <si>
    <t>D028</t>
  </si>
  <si>
    <t>Formule Tête apaisée - Gou teng qing kong tang - 1 flacon de 100 gélules - 50g</t>
  </si>
  <si>
    <t>Pour retrouver la sérénité. Ses principaux bienfaits : réduit la fatigue, soulage la tête, apaise le stress</t>
  </si>
  <si>
    <t>https://calebasse.com/produits/gou-teng-qing-kong-tang-formule-tete-apaisee-4666?product=5892</t>
  </si>
  <si>
    <t>https://res.cloudinary.com/laboratoire-calebasse/image/upload/v1753106070/TETE_APAISEE_D028_2afc6d5e2b.jpg</t>
  </si>
  <si>
    <t>3665346362952</t>
  </si>
  <si>
    <t>sku-D028</t>
  </si>
  <si>
    <t>4666</t>
  </si>
  <si>
    <t>D030</t>
  </si>
  <si>
    <t>Formule Trésor de Jeunesse - Huang qi sheng mai yin - 1 flacon de 100 gélules - 50g</t>
  </si>
  <si>
    <t>Pour préserver la vitalité de l'organisme. Ses principaux bienfaits : soutient les défenses naturelles, contribue à la santé des séniors, stimule la mémoire et les capacités intellectuelles, améliore les performances sportives</t>
  </si>
  <si>
    <t>https://calebasse.com/produits/huang-qi-sheng-mai-yin-formule-tresor-de-jeunesse-4271?product=6040</t>
  </si>
  <si>
    <t>https://res.cloudinary.com/laboratoire-calebasse/image/upload/v1753106144/TRESOR_DE_JEUNESSE_D030_57e8e22078.jpg</t>
  </si>
  <si>
    <t>3665346363157</t>
  </si>
  <si>
    <t>sku-D030</t>
  </si>
  <si>
    <t>4271</t>
  </si>
  <si>
    <t>D032</t>
  </si>
  <si>
    <t>Formule Ménopause - Soulage les troubles physiques et émotionnels liés à la ménopause et la péri-ménopause - Format Gélule : 100 gélules de poudre concentrée naturelle (50g)</t>
  </si>
  <si>
    <t>L'équilibre naturel non hormonal pour surmonter les défis de la ménopause Ses principaux bienfaits : accompagne la transition vers la ménopause, soulage les inconforts ménopausiques</t>
  </si>
  <si>
    <t>https://calebasse.com/produits/geng-nian-an-formule-menopause-4236?product=5904</t>
  </si>
  <si>
    <t>https://res.cloudinary.com/laboratoire-calebasse/image/upload/v1740588306/MENOPAUSE_gl_1202df0f8a.jpg</t>
  </si>
  <si>
    <t>3665346363355</t>
  </si>
  <si>
    <t>sku-D032</t>
  </si>
  <si>
    <t>https://res.cloudinary.com/laboratoire-calebasse/image/upload/v1741175426/1_Formule_Menopause_3d52cbaad1.jpg; https://res.cloudinary.com/laboratoire-calebasse/image/upload/v1741175425/2_Desagrements_d37cb56f88.jpg; https://res.cloudinary.com/laboratoire-calebasse/image/upload/v1741175426/3_points_forts_1f35542008.jpg; https://res.cloudinary.com/laboratoire-calebasse/image/upload/v1741175427/6_Douce_mais_efficace_a689a9baed.jpg</t>
  </si>
  <si>
    <t>4236</t>
  </si>
  <si>
    <t>D034</t>
  </si>
  <si>
    <t>Formule Mobilité - Chai hu jian zhou wan - 1 flacon de 100 gélules - 50g</t>
  </si>
  <si>
    <t>Pour maintenir la mobilité des articulations. Ses principaux bienfaits : contribue à une bonne mobilité, soutient la souplesse articulaire</t>
  </si>
  <si>
    <t>https://calebasse.com/produits/chai-hu-jian-zhou-wan-formule-mobilite-4239?product=5911</t>
  </si>
  <si>
    <t>https://res.cloudinary.com/laboratoire-calebasse/image/upload/v1753104659/MOBILITE_D034_b3e55df314.jpg</t>
  </si>
  <si>
    <t>3665346363553</t>
  </si>
  <si>
    <t>sku-D034</t>
  </si>
  <si>
    <t>4239</t>
  </si>
  <si>
    <t>D035</t>
  </si>
  <si>
    <t>Formule Sommeil - An mian wan - 1 flacon de 100 gélules - 50g</t>
  </si>
  <si>
    <t>Formule sans mélatonine, conçue pour favoriser un sommeil de qualité et réparateur. Ses principaux bienfaits : facilite l'endormissement, améliore la qualité du sommeil, chasse la nervosité</t>
  </si>
  <si>
    <t>https://calebasse.com/produits/chai-hu-an-mian-wan-formule-sommeil-4255?product=5980</t>
  </si>
  <si>
    <t>https://res.cloudinary.com/laboratoire-calebasse/image/upload/v1740588303/SOMMEIL_gl_073509e26f.jpg</t>
  </si>
  <si>
    <t>3665346301753</t>
  </si>
  <si>
    <t>sku-D035</t>
  </si>
  <si>
    <t>https://res.cloudinary.com/laboratoire-calebasse/image/upload/v1744122908/1_Produit_6e73834fb3.jpg; https://res.cloudinary.com/laboratoire-calebasse/image/upload/v1744122908/4_anecdote_17538f23c8.png; https://res.cloudinary.com/laboratoire-calebasse/image/upload/v1744122908/5_bienfaits_supp_fb14c81a5b.png; https://res.cloudinary.com/laboratoire-calebasse/image/upload/v1744122938/10_reanimation_min_0e2ca19c04.png</t>
  </si>
  <si>
    <t>4255</t>
  </si>
  <si>
    <t>D036</t>
  </si>
  <si>
    <t>Formule Nutrition des cheveux - Shou wu mei fa wan - 1 flacon de 100 gélules - 50g</t>
  </si>
  <si>
    <t>Conçu pour nourrir et renforcer les cheveux de l’intérieur, favorisant une croissance saine et durable. Ses principaux bienfaits : renforce la santé capillaire, favorise la pousse du cheveu, pour préserver la santé des ongles</t>
  </si>
  <si>
    <t>https://calebasse.com/produits/shou-wu-mei-fa-wan-formule-nutrition-des-cheveux-4240?product=5916</t>
  </si>
  <si>
    <t>https://res.cloudinary.com/laboratoire-calebasse/image/upload/v1740588290/CHEVEUX_gl_08289d6b1a.jpg</t>
  </si>
  <si>
    <t>3665346369159</t>
  </si>
  <si>
    <t>sku-D036</t>
  </si>
  <si>
    <t>https://res.cloudinary.com/laboratoire-calebasse/image/upload/v1745850047/1_formule_cheveux_088c1738e6.jpg; https://res.cloudinary.com/laboratoire-calebasse/image/upload/v1745850048/2_bienfaits_c04f287b2c.png; https://res.cloudinary.com/laboratoire-calebasse/image/upload/v1745850047/3_stops_aux_c95427c20d.png; https://res.cloudinary.com/laboratoire-calebasse/image/upload/v1745850004/4_complexe_cheveux_ingredients_general_47cc87c371.jpg</t>
  </si>
  <si>
    <t>4240</t>
  </si>
  <si>
    <t>D040</t>
  </si>
  <si>
    <t>Formule Prostate - Si miao qian lie wan - 1 flacon de 100 gélules - 50g</t>
  </si>
  <si>
    <t>Harmonieuse et inspirée des principes de la MTC, la Formule Prostate soutient le confort urinaire, préserve la fonction prostatique et accompagne la vitalité masculine. Ses principaux bienfaits : aide au confort urinaire, préserve la fonction de la prostate, favorise la vitalité masculine, aide à maintenir un flux urinaire stable et régulier</t>
  </si>
  <si>
    <t>https://calebasse.com/produits/si-miao-qian-lie-wan-formule-prostate-4245?product=5936</t>
  </si>
  <si>
    <t>https://res.cloudinary.com/laboratoire-calebasse/image/upload/v1740588287/PROSTATE_gl_30497a5537.jpg</t>
  </si>
  <si>
    <t>3665346372357</t>
  </si>
  <si>
    <t>sku-D040</t>
  </si>
  <si>
    <t>4245</t>
  </si>
  <si>
    <t>D044</t>
  </si>
  <si>
    <t>Formule Repas riches - Jin qian xiao shi wan - 1 flacon de 100 gélules - 50g</t>
  </si>
  <si>
    <t>Pour favoriser la digestion des aliments riches. Ses principaux bienfaits : contribue à une bonne digestion, favorise le fonctionnement du foie, stimule le transit intestinal</t>
  </si>
  <si>
    <t>https://calebasse.com/produits/jin-qian-xiao-shi-wan-formule-repas-riches-4250?product=5956</t>
  </si>
  <si>
    <t>https://res.cloudinary.com/laboratoire-calebasse/image/upload/v1753104766/REPAS_RICHES_D044_b039349525.jpg</t>
  </si>
  <si>
    <t>3665346364550</t>
  </si>
  <si>
    <t>sku-D044</t>
  </si>
  <si>
    <t>4250</t>
  </si>
  <si>
    <t>D050</t>
  </si>
  <si>
    <t>Formule Sérénité - Chai hu ge gen tang - 1 flacon de 100 gélules - 50g</t>
  </si>
  <si>
    <t>Pour favoriser la relaxation. Ses principaux bienfaits : permet un sommeil paisible, détoxifie l’organisme, induit la relaxation</t>
  </si>
  <si>
    <t>https://calebasse.com/produits/chai-hu-ge-gen-tang-formule-serenite-4643?product=5976</t>
  </si>
  <si>
    <t>https://res.cloudinary.com/laboratoire-calebasse/image/upload/v1753105054/SERENITE_D050_Gelule_f012f59bf9.jpg</t>
  </si>
  <si>
    <t>3665346365151</t>
  </si>
  <si>
    <t>sku-D050</t>
  </si>
  <si>
    <t>4643</t>
  </si>
  <si>
    <t>D053</t>
  </si>
  <si>
    <t>Formule Sucre - Wu wei jiang tang tang - 1 flacon de 100 gélules - 50g</t>
  </si>
  <si>
    <t>Pour équilibrer la glycémie. Ses principaux bienfaits : stimule la circulation sanguine, contribue à équilibrer le sucre</t>
  </si>
  <si>
    <t>https://calebasse.com/produits/wu-wei-jiang-tang-tang-formule-sucre-4406?product=5991</t>
  </si>
  <si>
    <t>https://res.cloudinary.com/laboratoire-calebasse/image/upload/v1753106037/SUCRE_D053_Gelule_023d69fa60.jpg</t>
  </si>
  <si>
    <t>3665346365458</t>
  </si>
  <si>
    <t>sku-D053</t>
  </si>
  <si>
    <t>4406</t>
  </si>
  <si>
    <t>D054</t>
  </si>
  <si>
    <t>Formule Calme &amp; Détente - Stress et surmenage - An Shen Wan - 1 flacon de 100 gélules - 50g</t>
  </si>
  <si>
    <t>Pour les personnes sujettes au stress. Ses principaux bienfaits : améliore la qualité du sommeil, apaise le stress, calme la sensation de surmenage</t>
  </si>
  <si>
    <t>https://calebasse.com/produits/san-shen-shuang-dong-tang-formule-stress-et-surmenage-4409?product=5996</t>
  </si>
  <si>
    <t>https://res.cloudinary.com/laboratoire-calebasse/image/upload/v1740588301/CALME_and_DETENTE_gl_967df1b8e0.jpg</t>
  </si>
  <si>
    <t>3665346374153</t>
  </si>
  <si>
    <t>sku-D054</t>
  </si>
  <si>
    <t>https://res.cloudinary.com/laboratoire-calebasse/image/upload/v1745845371/1_produit_2fae00a4a0.jpg; https://res.cloudinary.com/laboratoire-calebasse/image/upload/v1745845371/2_symptomes_b443cd01fc.png; https://res.cloudinary.com/laboratoire-calebasse/image/upload/v1745845373/3_bienfaits_5780acd423.png; https://res.cloudinary.com/laboratoire-calebasse/image/upload/v1745845372/4_ingredients_14b2b24bf1.png</t>
  </si>
  <si>
    <t>4409</t>
  </si>
  <si>
    <t>D060</t>
  </si>
  <si>
    <t>Formule Mémoire &amp; Concentration - Tonifiant intellectuel - Jia wei zhi pu san - 1 flacon de 100 gélules - 50g</t>
  </si>
  <si>
    <t>Pour l’entretien des fonctions cognitives. Ses principaux bienfaits : stimule la mémoire et les capacités intellectuelles, améliore la concentration</t>
  </si>
  <si>
    <t>https://calebasse.com/produits/jia-wei-zhi-pu-san-formule-tonifiant-intellectuel-4267?product=6020</t>
  </si>
  <si>
    <t>https://res.cloudinary.com/laboratoire-calebasse/image/upload/v1740588299/MEMOIRE_and_CONCEN_TRATION_gl_6b7de98865.jpg</t>
  </si>
  <si>
    <t>3665346366158</t>
  </si>
  <si>
    <t>sku-D060</t>
  </si>
  <si>
    <t>4267</t>
  </si>
  <si>
    <t>D064</t>
  </si>
  <si>
    <t>Trésor de l'homme - Nan bao - 1 flacon de 100 gélules - 50g</t>
  </si>
  <si>
    <t>Pensée pour soutenir la vitalité masculine, cette formule associe des plantes toniques et apaisantes. Elle renforce le Qi et le Yang, tout en favorisant la clarté mentale et l’équilibre intérieur. Ses principaux bienfaits : tonifie le qi, améliore la vie sexuelle, stimule la vitalité et le tonus sexuel</t>
  </si>
  <si>
    <t>https://calebasse.com/produits/nan-bao-tresor-de-lhomme-4558?product=6076</t>
  </si>
  <si>
    <t>https://res.cloudinary.com/laboratoire-calebasse/image/upload/v1740588310/TRESOR_DE_L_HOMME_gl_fa7eb3ea94.jpg</t>
  </si>
  <si>
    <t>3665346366554</t>
  </si>
  <si>
    <t>sku-D064</t>
  </si>
  <si>
    <t>4558</t>
  </si>
  <si>
    <t>D067</t>
  </si>
  <si>
    <t>Poudre de perle - Zhen zhu fen - 1 Flacon gélules en poudre moulue 30g</t>
  </si>
  <si>
    <t>Fine, nacrée et d’une douceur apaisante, la poudre de perle est depuis des siècles l’un des secrets les plus précieux de la beauté et du bien-être en Chine. Ses principaux bienfaits : contribue à la beauté et à la vitalité de la peau, débloque l'énergie du foie, tranquillise le shen</t>
  </si>
  <si>
    <t>https://calebasse.com/produits/zhen-zhu-fen-poudre-de-perle-4279?product=6072</t>
  </si>
  <si>
    <t>https://res.cloudinary.com/laboratoire-calebasse/image/upload/v1754487881/zhen_zhu_fen_c27d5b71f4.jpg</t>
  </si>
  <si>
    <t>3665346366851</t>
  </si>
  <si>
    <t>sku-D067</t>
  </si>
  <si>
    <t>Santé &amp; Bien-être &gt; Compléments alimentaires &gt; Formules traditionnelles et modernes &gt; EXAD</t>
  </si>
  <si>
    <t>4279</t>
  </si>
  <si>
    <t>D083</t>
  </si>
  <si>
    <t>Formule Anti-fatigue - Un trio ancestral pour nourrir l’énergie à la racine - 1 flacon de 100 gélules - 50g</t>
  </si>
  <si>
    <t>Nourrit en profondeur pour renouveler naturellement votre énergie et votre clarté mentale. Ses principaux bienfaits : booste votre énergie quotidienne, renforce votre système immunitaire, réduit la fatigue, améliore les performances sportives</t>
  </si>
  <si>
    <t>https://calebasse.com/produits/formule-anti-fatigue-5185?product=7529</t>
  </si>
  <si>
    <t>https://res.cloudinary.com/laboratoire-calebasse/image/upload/v1753176392/ANTI_FATIGUE_GL_234224193a.jpg</t>
  </si>
  <si>
    <t>3665346370551</t>
  </si>
  <si>
    <t>sku-D083</t>
  </si>
  <si>
    <t>https://res.cloudinary.com/laboratoire-calebasse/image/upload/v1753187423/1_formule_anti_fatigue_7bfca0cbf9.jpg; https://res.cloudinary.com/laboratoire-calebasse/image/upload/v1753187423/2_bienfaits_37475de244.jpg; https://res.cloudinary.com/laboratoire-calebasse/image/upload/v1753187423/3_scenarios_7a5c9dcec0.jpg; https://res.cloudinary.com/laboratoire-calebasse/image/upload/v1753187577/5_ingredients_c9de19dc63.jpg; https://res.cloudinary.com/laboratoire-calebasse/image/upload/v1753187542/4_animation_1_77290231da.jpg</t>
  </si>
  <si>
    <t>5184</t>
  </si>
  <si>
    <t>DLWXYS</t>
  </si>
  <si>
    <t>Formule Humeur - Liu wei xiao yao san - 1 flacon de 100 gélules - 50g</t>
  </si>
  <si>
    <t>Pour retrouver la bonne humeur. Ses principaux bienfaits : aide à mieux vivre les règles, améliore l'humeur</t>
  </si>
  <si>
    <t>https://calebasse.com/produits/liu-wei-xiao-yao-san-formule-humeur-4850?product=7050</t>
  </si>
  <si>
    <t>https://res.cloudinary.com/laboratoire-calebasse/image/upload/v1753104457/HUMEUR_DLWXYS_8e810713be.jpg</t>
  </si>
  <si>
    <t>3665346324752</t>
  </si>
  <si>
    <t>sku-DLWXYS</t>
  </si>
  <si>
    <t>4850</t>
  </si>
  <si>
    <t>DLWXYSCP</t>
  </si>
  <si>
    <t>Formule Humeur - Liu wei xiao yao san - 1 flacon de poudre concentrée - 100g</t>
  </si>
  <si>
    <t>https://calebasse.com/produits/liu-wei-xiao-yao-san-formule-humeur-4850?product=7058</t>
  </si>
  <si>
    <t>https://res.cloudinary.com/laboratoire-calebasse/image/upload/v1753104467/HUMEUR_DLWXYSCP_fef60cd896.jpg</t>
  </si>
  <si>
    <t>3665346362631</t>
  </si>
  <si>
    <t>sku-DLWXYSCP</t>
  </si>
  <si>
    <t>DSXTGL</t>
  </si>
  <si>
    <t>Formule Bouffées de chaleur - Si xian tang - 1 flacon de 100 gélules - 50g</t>
  </si>
  <si>
    <t>Elle incarne l’harmonie retrouvée : apaise les bouffées de chaleur, soutient l’équilibre féminin et accompagne la transition vers la ménopause avec sérénité. Ses principaux bienfaits : calme les bouffées de chaleur, soutient la vitalité et la clarté intérieure, favorise l'équilibre féminin, accompagne la transition vers la ménopause</t>
  </si>
  <si>
    <t>https://calebasse.com/produits/si-xian-tang-formule-bouffees-de-chaleur-4272?product=6044</t>
  </si>
  <si>
    <t>https://res.cloudinary.com/laboratoire-calebasse/image/upload/v1753103771/BOUFFEES_DE_CHALEUR_DSXTGL_63444a4573.jpg</t>
  </si>
  <si>
    <t>3665346367957</t>
  </si>
  <si>
    <t>sku-DSXTGL</t>
  </si>
  <si>
    <t>4272</t>
  </si>
  <si>
    <t>ECOR</t>
  </si>
  <si>
    <t>Cordyceps - Dong chong xia cao - 1 Flacon gélules en poudre moulue 10g</t>
  </si>
  <si>
    <t>Tonifiant et nourrissant en profondeur, le Cordyceps est traditionnellement associé à l’énergie vitale. Il accompagne l’endurance et l’expression naturelle de la vitalité. Ses principaux bienfaits : contribue à la vitalité rénale et sexuelle, tonifie l’énergie vitale, améliore les performances sportives, soutient les défenses naturelles</t>
  </si>
  <si>
    <t>https://calebasse.com/produits/dong-chong-xia-cao-cordyceps-4422?product=6410</t>
  </si>
  <si>
    <t>https://res.cloudinary.com/laboratoire-calebasse/image/upload/v1634201245/cordyceps_b00154da5e.jpg</t>
  </si>
  <si>
    <t>3665346113417</t>
  </si>
  <si>
    <t>sku-ECOR</t>
  </si>
  <si>
    <t>Santé &amp; Bien-être &gt; Plantes &amp; Herbes &gt; Herbes médicinales chinoises</t>
  </si>
  <si>
    <t>4422</t>
  </si>
  <si>
    <t>ECORBL-12</t>
  </si>
  <si>
    <t>Coffret de cordyceps entiers - Dong chong xia cao - Boite L</t>
  </si>
  <si>
    <t>Pour booster l'énergie. Ses principaux bienfaits : donne du tonus à l'organisme, soutient les défenses naturelles, stimule la vitalité et le tonus sexuel, améliore les performances sportives</t>
  </si>
  <si>
    <t>https://calebasse.com/produits/dong-chong-xia-cao-coffret-de-cordyceps-entiers-4456?product=6462</t>
  </si>
  <si>
    <t>https://res.cloudinary.com/laboratoire-calebasse/image/upload/v1701949799/2_b0b2891abc.jpg</t>
  </si>
  <si>
    <t>sku-ECORBL-12</t>
  </si>
  <si>
    <t>4456</t>
  </si>
  <si>
    <t>ECORBM-12</t>
  </si>
  <si>
    <t>Coffret de cordyceps entiers - Dong chong xia cao - Boite M</t>
  </si>
  <si>
    <t>https://calebasse.com/produits/dong-chong-xia-cao-coffret-de-cordyceps-entiers-4456?product=6461</t>
  </si>
  <si>
    <t>https://res.cloudinary.com/laboratoire-calebasse/image/upload/v1701950238/_38894104c4.jpg</t>
  </si>
  <si>
    <t>sku-ECORBM-12</t>
  </si>
  <si>
    <t>ECORBS-12</t>
  </si>
  <si>
    <t>Coffret de cordyceps entiers - Dong chong xia cao - Boite S</t>
  </si>
  <si>
    <t>https://calebasse.com/produits/dong-chong-xia-cao-coffret-de-cordyceps-entiers-4456?product=6460</t>
  </si>
  <si>
    <t>https://res.cloudinary.com/laboratoire-calebasse/image/upload/v1701954812/sml_3917db52fe.jpg</t>
  </si>
  <si>
    <t>sku-ECORBS-12</t>
  </si>
  <si>
    <t>ECORUL-3</t>
  </si>
  <si>
    <t>Cordyceps Supérieur - Dong chong xia cao - 3 Unité Cordyceps</t>
  </si>
  <si>
    <t>https://calebasse.com/produits/dong-chong-xia-cao-cordyceps-superieur-4472?product=6481</t>
  </si>
  <si>
    <t>https://res.cloudinary.com/laboratoire-calebasse/image/upload/v1701950550/_6c8fcdfdb4.jpg</t>
  </si>
  <si>
    <t>sku-ECORUL-3</t>
  </si>
  <si>
    <t>4472</t>
  </si>
  <si>
    <t>ECORUM-3</t>
  </si>
  <si>
    <t>Grand cordyceps - Dong chong xia cao - 3 Unité Cordyceps</t>
  </si>
  <si>
    <t>https://calebasse.com/produits/dong-chong-xia-cao-grand-cordyceps-4463?product=6480</t>
  </si>
  <si>
    <t>https://res.cloudinary.com/laboratoire-calebasse/image/upload/v1701950494/_d5831bff89.jpg</t>
  </si>
  <si>
    <t>sku-ECORUM-3</t>
  </si>
  <si>
    <t>4463</t>
  </si>
  <si>
    <t>ECORUS-3</t>
  </si>
  <si>
    <t>Petit cordyceps - Dong chong xia cao - 3 Unité Cordyceps</t>
  </si>
  <si>
    <t>https://calebasse.com/produits/dong-chong-xia-cao-petit-cordyceps-4471?product=6479</t>
  </si>
  <si>
    <t>https://res.cloudinary.com/laboratoire-calebasse/image/upload/v1722255915/_62afa8195a.jpg</t>
  </si>
  <si>
    <t>sku-ECORUS-3</t>
  </si>
  <si>
    <t>4471</t>
  </si>
  <si>
    <t>ELZBZF</t>
  </si>
  <si>
    <t>Spores de Ganoderma - Ling zhi bao zi fen - 1 Flacon gélules en poudre moulue 25g</t>
  </si>
  <si>
    <t>Pour retrouver la forme. Ses principaux bienfaits : favorise la circulation sanguine, soutient les défenses naturelles</t>
  </si>
  <si>
    <t>https://calebasse.com/produits/ling-zhi-bao-zi-fen-spores-de-ganoderma-4714?product=6859</t>
  </si>
  <si>
    <t>https://res.cloudinary.com/laboratoire-calebasse/image/upload/v1676282580/A_lingzhibaozifen_4e0a3c28f2.jpg</t>
  </si>
  <si>
    <t>sku-ELZBZF</t>
  </si>
  <si>
    <t>4714</t>
  </si>
  <si>
    <t>ESAF</t>
  </si>
  <si>
    <t>L’Or Rouge du Bien-être – Safran - Zang hong hua - Flacon de Stigmates de Safran - 1 gramme</t>
  </si>
  <si>
    <t>Goût doux, floral et légèrement amer, le safran est l’incarnation d’un luxe discret au service de la santé féminine. Ses principaux bienfaits : permet un sommeil paisible, améliore l'humeur, favorise l'harmonie émotionnelle</t>
  </si>
  <si>
    <t>https://calebasse.com/produits/zang-hong-hua-safran-4434?product=6421</t>
  </si>
  <si>
    <t>https://res.cloudinary.com/laboratoire-calebasse/image/upload/v1634201240/zang_hong_hua_b377f09117.jpg</t>
  </si>
  <si>
    <t>sku-ESAF</t>
  </si>
  <si>
    <t>https://res.cloudinary.com/laboratoire-calebasse/image/upload/v1753101337/1_fa62dca24f.jpg; https://res.cloudinary.com/laboratoire-calebasse/image/upload/v1753101337/2_90a59ac956.jpg; https://res.cloudinary.com/laboratoire-calebasse/image/upload/v1753101337/3_abf20cc412.jpg; https://res.cloudinary.com/laboratoire-calebasse/image/upload/v1753101337/4_27e58d8e8f.jpg; https://res.cloudinary.com/laboratoire-calebasse/image/upload/v1753101337/5_66900fd427.jpg; https://res.cloudinary.com/laboratoire-calebasse/image/upload/v1753101338/6_cd6e15e8d7.jpg</t>
  </si>
  <si>
    <t>4434</t>
  </si>
  <si>
    <t>EYNBY</t>
  </si>
  <si>
    <t>Formule du Yunnan - Yun nan bai yao - 1 Flacon gélules en poudre moulue - 16 gélules (4g)</t>
  </si>
  <si>
    <t>https://calebasse.com/produits/yun-nan-bai-yao-formule-du-yunnan-4440?product=6438</t>
  </si>
  <si>
    <t>https://res.cloudinary.com/laboratoire-calebasse/image/upload/v1658742506/yunnanbaiyao_chanpintu4_3269482c48.jpg</t>
  </si>
  <si>
    <t>sku-EYNBY</t>
  </si>
  <si>
    <t>4440</t>
  </si>
  <si>
    <t>FLACP</t>
  </si>
  <si>
    <t>FLA100 - 1 flacon de poudre concentrée - 100g</t>
  </si>
  <si>
    <t>https://calebasse.com/produits/fla100-4852?product=7056</t>
  </si>
  <si>
    <t>https://res.cloudinary.com/laboratoire-calebasse/image/upload/v1686753197/C_fla100cp_a838d5275c.jpg</t>
  </si>
  <si>
    <t>sku-FLACP</t>
  </si>
  <si>
    <t>Santé &amp; Bien-être &gt; Plantes &amp; Herbes &gt; Herbes médicinales chinoises &gt; EXAD</t>
  </si>
  <si>
    <t>4852</t>
  </si>
  <si>
    <t>FLAGL</t>
  </si>
  <si>
    <t>FLA100 - 1 flacon de 100 gélules - 50g</t>
  </si>
  <si>
    <t>https://calebasse.com/produits/fla100-4852?product=7054</t>
  </si>
  <si>
    <t>https://res.cloudinary.com/laboratoire-calebasse/image/upload/v1686753128/C_fla100_264462c5ac.jpg</t>
  </si>
  <si>
    <t>sku-FLAGL</t>
  </si>
  <si>
    <t>GL100</t>
  </si>
  <si>
    <t>Gélules vides en pullulan - taille 0 - 1 flacon de 100 gélules</t>
  </si>
  <si>
    <t>À usage professionnel uniquement.</t>
  </si>
  <si>
    <t>https://calebasse.com/produits/gelules-vides-en-pullulan-taille-0-4719?product=6873</t>
  </si>
  <si>
    <t>https://res.cloudinary.com/laboratoire-calebasse/image/upload/v1675865518/gelules_vides_100_2_cd7f8d41c2.jpg</t>
  </si>
  <si>
    <t>sku-GL100</t>
  </si>
  <si>
    <t>4719</t>
  </si>
  <si>
    <t>GL100K</t>
  </si>
  <si>
    <t>Gélules vides en pullulan - taille 0 - 1 boîte de 100 000 gélules</t>
  </si>
  <si>
    <t>https://calebasse.com/produits/gelules-vides-en-pullulan-taille-0-4719?product=6875</t>
  </si>
  <si>
    <t>https://res.cloudinary.com/laboratoire-calebasse/image/upload/v1675089334/gelules_vides_7468870f0c.jpg</t>
  </si>
  <si>
    <t>sku-GL100K</t>
  </si>
  <si>
    <t>GL400</t>
  </si>
  <si>
    <t>Gélules vides en pullulan - taille 0 - 1 flacon de 400 gélules</t>
  </si>
  <si>
    <t>https://calebasse.com/produits/gelules-vides-en-pullulan-taille-0-4719?product=6874</t>
  </si>
  <si>
    <t>https://res.cloudinary.com/laboratoire-calebasse/image/upload/v1675865472/gelules_vides_100_3_930684c7ca.jpg</t>
  </si>
  <si>
    <t>sku-GL400</t>
  </si>
  <si>
    <t>kit1</t>
  </si>
  <si>
    <t>Herbiers DNMTC - Tome 1 plante</t>
  </si>
  <si>
    <t>5 herbiers de pharmacopée chinoise pour professionnels et étudiants Ses principaux bienfaits : pour professionnels</t>
  </si>
  <si>
    <t>https://calebasse.com/produits/herbiers-dnmtc-4421?product=6404</t>
  </si>
  <si>
    <t>https://res.cloudinary.com/laboratoire-calebasse/image/upload/v1634201201/boite1_943035622a.jpg</t>
  </si>
  <si>
    <t>sku-kit1</t>
  </si>
  <si>
    <t>4421</t>
  </si>
  <si>
    <t>kit2</t>
  </si>
  <si>
    <t>Herbiers DNMTC - Tome 2 plante</t>
  </si>
  <si>
    <t>https://calebasse.com/produits/herbiers-dnmtc-4421?product=6405</t>
  </si>
  <si>
    <t>https://res.cloudinary.com/laboratoire-calebasse/image/upload/v1634201201/boite2_b3ec866727.jpg</t>
  </si>
  <si>
    <t>sku-kit2</t>
  </si>
  <si>
    <t>kit3</t>
  </si>
  <si>
    <t>Herbiers DNMTC - Tome 3 plante</t>
  </si>
  <si>
    <t>https://calebasse.com/produits/herbiers-dnmtc-4421?product=6406</t>
  </si>
  <si>
    <t>https://res.cloudinary.com/laboratoire-calebasse/image/upload/v1634201201/boite3_cf1aa27985.jpg</t>
  </si>
  <si>
    <t>sku-kit3</t>
  </si>
  <si>
    <t>kit4</t>
  </si>
  <si>
    <t>Herbiers DNMTC - Tome 4 plante</t>
  </si>
  <si>
    <t>https://calebasse.com/produits/herbiers-dnmtc-4421?product=6407</t>
  </si>
  <si>
    <t>https://res.cloudinary.com/laboratoire-calebasse/image/upload/v1634201201/boite4_dd1bb97c1a.jpg</t>
  </si>
  <si>
    <t>sku-kit4</t>
  </si>
  <si>
    <t>kit5</t>
  </si>
  <si>
    <t>Herbiers DNMTC - Tome 5 plante</t>
  </si>
  <si>
    <t>https://calebasse.com/produits/herbiers-dnmtc-4421?product=6408</t>
  </si>
  <si>
    <t>https://res.cloudinary.com/laboratoire-calebasse/image/upload/v1634201201/boite5_3f645605b7.jpg</t>
  </si>
  <si>
    <t>sku-kit5</t>
  </si>
  <si>
    <t>kit6</t>
  </si>
  <si>
    <t>Kit herbier DNMTC - Kit complet plante (+ poster herbier)</t>
  </si>
  <si>
    <t>Kit herbier de pharmacopée chinoise pour professionnels et étudiants Ses principaux bienfaits : pour professionnels</t>
  </si>
  <si>
    <t>https://calebasse.com/produits/kit-herbier-dnmtc-4423?product=6409</t>
  </si>
  <si>
    <t>https://res.cloudinary.com/laboratoire-calebasse/image/upload/v1634201201/partie1_1_1_d098ee5d66.jpg</t>
  </si>
  <si>
    <t>sku-kit6</t>
  </si>
  <si>
    <t>4423</t>
  </si>
  <si>
    <t>KLXJ</t>
  </si>
  <si>
    <t>Coreopsis Kunlun - Kun lun xue ju - 1 Flacon plante 15g</t>
  </si>
  <si>
    <t>Pour préserver le confort cardiovasculaire. Ses principaux bienfaits : favorise le confort cardiovasculaire</t>
  </si>
  <si>
    <t>https://calebasse.com/produits/kun-lun-xue-ju-chrysantheme-du-kunlun-4681?product=6819</t>
  </si>
  <si>
    <t>https://res.cloudinary.com/laboratoire-calebasse/image/upload/v1754486314/kun_lun_xue_ju_ffb200a5bd.jpg</t>
  </si>
  <si>
    <t>sku-KLXJ</t>
  </si>
  <si>
    <t>4681</t>
  </si>
  <si>
    <t>MA10001</t>
  </si>
  <si>
    <t>Livre - Ces aliments qui nous soignent - 1 livre</t>
  </si>
  <si>
    <t>de Philippe Sionneau et Josette Chapellet</t>
  </si>
  <si>
    <t>https://calebasse.com/produits/livre-ces-aliments-qui-nous-soignent-4720?product=6876</t>
  </si>
  <si>
    <t>https://res.cloudinary.com/laboratoire-calebasse/image/upload/v1675680018/CES_ALIMENTS_QUI_NOUS_SOIGNENT_70951838ec.jpg</t>
  </si>
  <si>
    <t>sku-MA10001</t>
  </si>
  <si>
    <t>Santé &amp; Bien-être &gt; Médias &gt; Livres papier &gt; EXAD</t>
  </si>
  <si>
    <t>4720</t>
  </si>
  <si>
    <t>543543</t>
  </si>
  <si>
    <t>MA10002</t>
  </si>
  <si>
    <t>Livre - La phytothérapie chinoise moderne - 1 livre</t>
  </si>
  <si>
    <t>de Philippe Sionneau</t>
  </si>
  <si>
    <t>https://calebasse.com/produits/livre-la-phytotherapie-chinoise-moderne-4721?product=6877</t>
  </si>
  <si>
    <t>https://res.cloudinary.com/laboratoire-calebasse/image/upload/v1675681199/La_phytotherapie_chinoise_moderne_249c80a861.jpg</t>
  </si>
  <si>
    <t>sku-MA10002</t>
  </si>
  <si>
    <t>4721</t>
  </si>
  <si>
    <t>MA10003</t>
  </si>
  <si>
    <t>Livre - La Pratique de la médecine chinoise - 1 livre</t>
  </si>
  <si>
    <t>de Giovanni Maciocia</t>
  </si>
  <si>
    <t>https://calebasse.com/produits/livre-la-pratique-de-la-medecine-chinoise-4722?product=6878</t>
  </si>
  <si>
    <t>https://res.cloudinary.com/laboratoire-calebasse/image/upload/v1675681632/la_pratique_de_la_medecine_chinoise_6a19eb1c27.jpg</t>
  </si>
  <si>
    <t>sku-MA10003</t>
  </si>
  <si>
    <t>4722</t>
  </si>
  <si>
    <t>MA10004</t>
  </si>
  <si>
    <t>Livre - Comprendre et traiter la dépression mentale en médecine chinoise - 1 livre</t>
  </si>
  <si>
    <t>https://calebasse.com/produits/livre-comprendre-et-traiter-la-depression-mentale-en-medecine-chinoise-4723?product=6879</t>
  </si>
  <si>
    <t>https://res.cloudinary.com/laboratoire-calebasse/image/upload/v1675681971/La_depression_mentale_978a185156.jpg</t>
  </si>
  <si>
    <t>sku-MA10004</t>
  </si>
  <si>
    <t>4723</t>
  </si>
  <si>
    <t>MA10005</t>
  </si>
  <si>
    <t>Livre - À la Découverte de la Médecine Chinoise - 1 livre</t>
  </si>
  <si>
    <t>d'Yves Réquéna</t>
  </si>
  <si>
    <t>https://calebasse.com/produits/livre-a-la-decouverte-de-la-medecine-chinoise-4724?product=6880</t>
  </si>
  <si>
    <t>https://res.cloudinary.com/laboratoire-calebasse/image/upload/v1675682232/A_LA_DECOUVERTE_DE_LA_3ef31a3d33.jpg</t>
  </si>
  <si>
    <t>sku-MA10005</t>
  </si>
  <si>
    <t>4724</t>
  </si>
  <si>
    <t>MA10006</t>
  </si>
  <si>
    <t>Livre - L'Acupuncture pratiquée en Chine - Tome 2</t>
  </si>
  <si>
    <t>https://calebasse.com/produits/livre-lacupuncture-pratiquee-en-chine-4787?product=6881</t>
  </si>
  <si>
    <t>https://res.cloudinary.com/laboratoire-calebasse/image/upload/v1700479451/l_acupuncture_528dbb06eb.jpg</t>
  </si>
  <si>
    <t>sku-MA10006</t>
  </si>
  <si>
    <t>4787</t>
  </si>
  <si>
    <t>MA10007</t>
  </si>
  <si>
    <t>Livre - Vaincre la douleur par l'acupuncture selon les anciens - 1 livre</t>
  </si>
  <si>
    <t>https://calebasse.com/produits/livre-vaincre-la-douleur-par-lacupuncture-selon-les-anciens-4726?product=6882</t>
  </si>
  <si>
    <t>https://res.cloudinary.com/laboratoire-calebasse/image/upload/v1675682854/VAINCRE_LA_DOULEUR_PAR_L_ACUPUNCTURE_8b9223e131.jpg</t>
  </si>
  <si>
    <t>sku-MA10007</t>
  </si>
  <si>
    <t>4726</t>
  </si>
  <si>
    <t>MA10008</t>
  </si>
  <si>
    <t>Livre - Guide des Jingfang - 1 livre</t>
  </si>
  <si>
    <t>de HUANG Huang</t>
  </si>
  <si>
    <t>https://calebasse.com/produits/livre-guide-des-jingfang-4727?product=6883</t>
  </si>
  <si>
    <t>https://res.cloudinary.com/laboratoire-calebasse/image/upload/v1675683185/GUIDE_DES_JINGFANG_c00080eac7.jpg</t>
  </si>
  <si>
    <t>sku-MA10008</t>
  </si>
  <si>
    <t>4727</t>
  </si>
  <si>
    <t>MA10009</t>
  </si>
  <si>
    <t>Livre - Médecine chinoise et cuisine française - 1 livre</t>
  </si>
  <si>
    <t>de Michel-Philippe Rastoul</t>
  </si>
  <si>
    <t>https://calebasse.com/produits/livre-medecine-chinoise-et-cuisine-francaise-4728?product=6884</t>
  </si>
  <si>
    <t>https://res.cloudinary.com/laboratoire-calebasse/image/upload/v1675683688/MEDECINE_CHINOISE_897280f1b3.jpg</t>
  </si>
  <si>
    <t>sku-MA10009</t>
  </si>
  <si>
    <t>4728</t>
  </si>
  <si>
    <t>MA10010</t>
  </si>
  <si>
    <t>Livre - Traité de phytothérapie chinoise - 1 livre</t>
  </si>
  <si>
    <t>https://calebasse.com/produits/livre-traite-de-phytotherapie-chinoise-4729?product=6885</t>
  </si>
  <si>
    <t>https://res.cloudinary.com/laboratoire-calebasse/image/upload/v1675684006/phytotherapie_chinoise_3563fed71a.jpg</t>
  </si>
  <si>
    <t>sku-MA10010</t>
  </si>
  <si>
    <t>4729</t>
  </si>
  <si>
    <t>MA10011</t>
  </si>
  <si>
    <t>Livre - Traitements anti-rides - 1 livre</t>
  </si>
  <si>
    <t>de Jean-Marc Triboulet</t>
  </si>
  <si>
    <t>https://calebasse.com/produits/livre-traitements-anti-rides-4730?product=6886</t>
  </si>
  <si>
    <t>https://res.cloudinary.com/laboratoire-calebasse/image/upload/v1675684498/shen_dao_70d3e3f9f8.jpg</t>
  </si>
  <si>
    <t>sku-MA10011</t>
  </si>
  <si>
    <t>4730</t>
  </si>
  <si>
    <t>MA10012</t>
  </si>
  <si>
    <t>Livre - Acupuncture : Les points essentiels - 1 livre</t>
  </si>
  <si>
    <t>https://calebasse.com/produits/livre-acupuncture-les-points-essentiels-4731?product=6887</t>
  </si>
  <si>
    <t>https://res.cloudinary.com/laboratoire-calebasse/image/upload/v1675684796/jingqishen_cbd312cd27.jpg</t>
  </si>
  <si>
    <t>sku-MA10012</t>
  </si>
  <si>
    <t>4731</t>
  </si>
  <si>
    <t>MA10013</t>
  </si>
  <si>
    <t>Livre - Prescrire les substances médicinales chinoise préparées - 1 livre</t>
  </si>
  <si>
    <t>https://calebasse.com/produits/livre-prescrire-les-substances-medicinales-chinoise-preparees-4732?product=6888</t>
  </si>
  <si>
    <t>https://res.cloudinary.com/laboratoire-calebasse/image/upload/v1675688640/paozhi_46c1d862b2.jpg</t>
  </si>
  <si>
    <t>sku-MA10013</t>
  </si>
  <si>
    <t>4732</t>
  </si>
  <si>
    <t>MA10014</t>
  </si>
  <si>
    <t>Livre - Troubles psychiques en médecine chinoise - 1 livre</t>
  </si>
  <si>
    <t>https://calebasse.com/produits/livre-troubles-psychiques-en-medecine-chinoise-4733?product=6889</t>
  </si>
  <si>
    <t>https://res.cloudinary.com/laboratoire-calebasse/image/upload/v1675688879/troubles_psyghiques_en_medecine_chinoise_7ee7535e64.jpg</t>
  </si>
  <si>
    <t>sku-MA10014</t>
  </si>
  <si>
    <t>4733</t>
  </si>
  <si>
    <t>MA10015</t>
  </si>
  <si>
    <t>Livre - Tuina anmo 推拿 按摩 : Les méthodes de mains et protocoles du massage énergétique chinois - 1 livre</t>
  </si>
  <si>
    <t>https://calebasse.com/produits/livre-tuina-anmo-les-methodes-de-mains-et-protocoles-du-massage-energetique-chinois-4734?product=6890</t>
  </si>
  <si>
    <t>https://res.cloudinary.com/laboratoire-calebasse/image/upload/v1675689137/tuina_anmo_ab1a5ec14e.jpg</t>
  </si>
  <si>
    <t>sku-MA10015</t>
  </si>
  <si>
    <t>4734</t>
  </si>
  <si>
    <t>MA10016</t>
  </si>
  <si>
    <t>Livre - Phytothérapie chinoise : Les combinaisons efficaces - 1 livre</t>
  </si>
  <si>
    <t>https://calebasse.com/produits/livre-phytotherapie-chinoise-les-combinaisons-efficaces-4735?product=6891</t>
  </si>
  <si>
    <t>https://res.cloudinary.com/laboratoire-calebasse/image/upload/v1675689535/zhongyao_6283d0e671.jpg</t>
  </si>
  <si>
    <t>sku-MA10016</t>
  </si>
  <si>
    <t>4735</t>
  </si>
  <si>
    <t>MA10018</t>
  </si>
  <si>
    <t>Livre - Maladies et symptômes en médecine chinoise - Volume 1 à 8 - Volume 1</t>
  </si>
  <si>
    <t>de Philippe Sionneau et Lü Gang</t>
  </si>
  <si>
    <t>https://calebasse.com/produits/livre-maladies-et-symptomes-en-medecine-chinoise-volume-1-a-8-4738?product=6893</t>
  </si>
  <si>
    <t>https://res.cloudinary.com/laboratoire-calebasse/image/upload/v1675690111/maladies_symptomes_1_13defc07ac.jpg</t>
  </si>
  <si>
    <t>sku-MA10018</t>
  </si>
  <si>
    <t>4738</t>
  </si>
  <si>
    <t>MA10019</t>
  </si>
  <si>
    <t>Livre - Maladies et symptômes en médecine chinoise - Volume 1 à 8 - Volume 2</t>
  </si>
  <si>
    <t>https://calebasse.com/produits/livre-maladies-et-symptomes-en-medecine-chinoise-volume-1-a-8-4738?product=6894</t>
  </si>
  <si>
    <t>https://res.cloudinary.com/laboratoire-calebasse/image/upload/v1675690546/maladies_symptomes_2_b15244eb5b.jpg</t>
  </si>
  <si>
    <t>sku-MA10019</t>
  </si>
  <si>
    <t>MA10020</t>
  </si>
  <si>
    <t>Livre - Maladies et symptômes en médecine chinoise - Volume 1 à 8 - Volume 3</t>
  </si>
  <si>
    <t>https://calebasse.com/produits/livre-maladies-et-symptomes-en-medecine-chinoise-volume-1-a-8-4738?product=6895</t>
  </si>
  <si>
    <t>https://res.cloudinary.com/laboratoire-calebasse/image/upload/v1675690826/MALADIES_SYMPTOMES_3_f19661e2fb.jpg</t>
  </si>
  <si>
    <t>sku-MA10020</t>
  </si>
  <si>
    <t>MA10021</t>
  </si>
  <si>
    <t>Livre - Maladies et symptômes en médecine chinoise - Volume 1 à 8 - Volume 4</t>
  </si>
  <si>
    <t>https://calebasse.com/produits/livre-maladies-et-symptomes-en-medecine-chinoise-volume-1-a-8-4738?product=6896</t>
  </si>
  <si>
    <t>https://res.cloudinary.com/laboratoire-calebasse/image/upload/v1675690950/MALADIES_SYMPTOMES_4_b59f48ecd1.jpg</t>
  </si>
  <si>
    <t>sku-MA10021</t>
  </si>
  <si>
    <t>MA10022</t>
  </si>
  <si>
    <t>Livre - Maladies et symptômes en médecine chinoise - Volume 1 à 8 - Volume 5</t>
  </si>
  <si>
    <t>https://calebasse.com/produits/livre-maladies-et-symptomes-en-medecine-chinoise-volume-1-a-8-4738?product=6897</t>
  </si>
  <si>
    <t>https://res.cloudinary.com/laboratoire-calebasse/image/upload/v1675691008/maladies_symptomes_5_077e1e8f48.jpg</t>
  </si>
  <si>
    <t>sku-MA10022</t>
  </si>
  <si>
    <t>MA10023</t>
  </si>
  <si>
    <t>Livre - Maladies et symptômes en médecine chinoise - Volume 1 à 8 - Volume 6</t>
  </si>
  <si>
    <t>https://calebasse.com/produits/livre-maladies-et-symptomes-en-medecine-chinoise-volume-1-a-8-4738?product=6898</t>
  </si>
  <si>
    <t>https://res.cloudinary.com/laboratoire-calebasse/image/upload/v1675691146/maladies_symptomes_6_ea6b3fff4e.jpg</t>
  </si>
  <si>
    <t>sku-MA10023</t>
  </si>
  <si>
    <t>MA10024</t>
  </si>
  <si>
    <t>Livre - Maladies et symptômes en médecine chinoise - Volume 1 à 8 - Volume 7</t>
  </si>
  <si>
    <t>https://calebasse.com/produits/livre-maladies-et-symptomes-en-medecine-chinoise-volume-1-a-8-4738?product=6899</t>
  </si>
  <si>
    <t>https://res.cloudinary.com/laboratoire-calebasse/image/upload/v1675691236/maladies_symptomes_7_e07753d3fe.jpg</t>
  </si>
  <si>
    <t>sku-MA10024</t>
  </si>
  <si>
    <t>MA10025</t>
  </si>
  <si>
    <t>Livre - Maladies et symptômes en médecine chinoise - Volume 1 à 8 - Volume 8</t>
  </si>
  <si>
    <t>https://calebasse.com/produits/livre-maladies-et-symptomes-en-medecine-chinoise-volume-1-a-8-4738?product=6900</t>
  </si>
  <si>
    <t>https://res.cloudinary.com/laboratoire-calebasse/image/upload/v1675691287/maladies_symptomes_8_4ce49087c4.jpg</t>
  </si>
  <si>
    <t>sku-MA10025</t>
  </si>
  <si>
    <t>MA10026</t>
  </si>
  <si>
    <t>Livre - La Procréation naturellement assistée - 1 livre</t>
  </si>
  <si>
    <t>De Charlotte Guth-Latrasse</t>
  </si>
  <si>
    <t>https://calebasse.com/produits/livre-la-procreation-naturellement-assistee-4739?product=6901</t>
  </si>
  <si>
    <t>https://res.cloudinary.com/laboratoire-calebasse/image/upload/v1676278359/la_procreation_naturellement_assistee_31b8f41c06.jpg</t>
  </si>
  <si>
    <t>sku-MA10026</t>
  </si>
  <si>
    <t>4739</t>
  </si>
  <si>
    <t>MA10027</t>
  </si>
  <si>
    <t>Livre - Les Essentiels de la matière médicale en pharmacopée chinoise - 1 livre</t>
  </si>
  <si>
    <t>de Alexandrine Léon</t>
  </si>
  <si>
    <t>https://calebasse.com/produits/livre-les-essentiels-de-la-matiere-medicale-en-pharmacopee-chinoise-4741?product=6902</t>
  </si>
  <si>
    <t>https://res.cloudinary.com/laboratoire-calebasse/image/upload/v1676278664/les_essentiels_de_la_matiere_medicale_en_pharmacopee_chinoise_dc3d96f689.jpg</t>
  </si>
  <si>
    <t>sku-MA10027</t>
  </si>
  <si>
    <t>4741</t>
  </si>
  <si>
    <t>MA10028</t>
  </si>
  <si>
    <t>Livre - À la Découverte de la Diététique Chinoise - 1 livre</t>
  </si>
  <si>
    <t>de Josette Chapellet</t>
  </si>
  <si>
    <t>https://calebasse.com/produits/livre-a-la-decouverte-de-la-dietetique-chinoise-4778?product=6976</t>
  </si>
  <si>
    <t>https://res.cloudinary.com/laboratoire-calebasse/image/upload/v1677504499/A_la_decouverte_de_la_dietetique_chinoise_1_59366d07eb.jpg</t>
  </si>
  <si>
    <t>sku-MA10028</t>
  </si>
  <si>
    <t>4778</t>
  </si>
  <si>
    <t>MA10029</t>
  </si>
  <si>
    <t>Livre - La Diététique du Tao - 1 livre</t>
  </si>
  <si>
    <t>https://calebasse.com/produits/livre-la-dietetique-du-tao-4777?product=6977</t>
  </si>
  <si>
    <t>https://res.cloudinary.com/laboratoire-calebasse/image/upload/v1677498740/La_dietetique_du_Tao_f618d6555e.jpg</t>
  </si>
  <si>
    <t>sku-MA10029</t>
  </si>
  <si>
    <t>4777</t>
  </si>
  <si>
    <t>MA10030</t>
  </si>
  <si>
    <t>Livre - L'Acupuncture pratiquée en Chine - Tome 1</t>
  </si>
  <si>
    <t>https://calebasse.com/produits/livre-lacupuncture-pratiquee-en-chine-4787?product=6989</t>
  </si>
  <si>
    <t>https://res.cloudinary.com/laboratoire-calebasse/image/upload/v1679388805/l_acupuncture_pratiquee_en_chine1_47da400ec6.jpg</t>
  </si>
  <si>
    <t>sku-MA10030</t>
  </si>
  <si>
    <t>MA10031</t>
  </si>
  <si>
    <t>Livre - Accompagnement psycho-émotionnel selon la tradition chinoise - 1 livre</t>
  </si>
  <si>
    <t>de Mireille Meunier</t>
  </si>
  <si>
    <t>https://calebasse.com/produits/livre-accompagnement-psycho-emotionnel-selon-la-tradition-chinoise-4810?product=6992</t>
  </si>
  <si>
    <t>https://res.cloudinary.com/laboratoire-calebasse/image/upload/v1684140426/accompagnement_psycho_emotionnel_bcfb647c70.jpg</t>
  </si>
  <si>
    <t>sku-MA10031</t>
  </si>
  <si>
    <t>4810</t>
  </si>
  <si>
    <t>MA10032</t>
  </si>
  <si>
    <t>Livre - Acuponcture Pratique - Le Yi Jing et ses applications - 1 livre</t>
  </si>
  <si>
    <t>de Marie-Andrée Auquier, Jean-Claude Darras, Jean Pierre Guerin</t>
  </si>
  <si>
    <t>https://calebasse.com/produits/livre-acuponcture-pratique-le-yi-jing-et-ses-applications-4805?product=6993</t>
  </si>
  <si>
    <t>https://res.cloudinary.com/laboratoire-calebasse/image/upload/v1684141137/acuponctuer_pratique_cc0262635b.jpg</t>
  </si>
  <si>
    <t>sku-MA10032</t>
  </si>
  <si>
    <t>4805</t>
  </si>
  <si>
    <t>MA10033</t>
  </si>
  <si>
    <t>Livre - Aperçus de Médecine Chinoise Traditionnelle - 1 livre</t>
  </si>
  <si>
    <t>De Jean Schatz, Claude Laurre et Elisabeth Rochat de la Vallée</t>
  </si>
  <si>
    <t>https://calebasse.com/produits/livre-apercus-de-medecine-chinoise-traditionnelle-4821?product=6994</t>
  </si>
  <si>
    <t>https://res.cloudinary.com/laboratoire-calebasse/image/upload/v1684141554/apercus_de_medecine_chinoise_traditionnelle_e19a6d9077.jpg</t>
  </si>
  <si>
    <t>sku-MA10033</t>
  </si>
  <si>
    <t>4821</t>
  </si>
  <si>
    <t>MA10034</t>
  </si>
  <si>
    <t>Livre - À la découverte de l’Aromathérapie énergétique chinoise - 1 livre</t>
  </si>
  <si>
    <t>https://calebasse.com/produits/livre-a-la-decouverte-de-laromatherapie-energetique-chinoise-4809?product=6995</t>
  </si>
  <si>
    <t>https://res.cloudinary.com/laboratoire-calebasse/image/upload/v1684142031/a_la_decouberte_de_l_aromatherapie_energetique_chinoise_94a33172e1.jpg</t>
  </si>
  <si>
    <t>sku-MA10034</t>
  </si>
  <si>
    <t>4809</t>
  </si>
  <si>
    <t>MA10035</t>
  </si>
  <si>
    <t>Livre - Atlas d’acupuncture : Pratique et aide-mémoire du praticien - 1 livre</t>
  </si>
  <si>
    <t>De Alain Dubois</t>
  </si>
  <si>
    <t>https://calebasse.com/produits/livre-atlas-dacupuncture-pratique-et-aide-memoire-du-praticien-4802?product=6996</t>
  </si>
  <si>
    <t>https://res.cloudinary.com/laboratoire-calebasse/image/upload/v1684142293/atlas_d_acupuncture_pratique_et_aide_memoire_du_praticien_0494203698.jpg</t>
  </si>
  <si>
    <t>sku-MA10035</t>
  </si>
  <si>
    <t>4802</t>
  </si>
  <si>
    <t>MA10036</t>
  </si>
  <si>
    <t>Livre - Atlas didactique d'Acupuncture Traditionnelle - 1 livre</t>
  </si>
  <si>
    <t>De Daniel Laurent, Gérard Timon, Claude Léger et Michel Virol - Préface d'André Faubert - Nouvelle édition</t>
  </si>
  <si>
    <t>https://calebasse.com/produits/livre-atlas-didactique-dacupuncture-traditionnelle-4823?product=6997</t>
  </si>
  <si>
    <t>https://res.cloudinary.com/laboratoire-calebasse/image/upload/v1684142687/atlas_didactique_d_acupuncture_traditionnelle_7ac0815983.jpg</t>
  </si>
  <si>
    <t>sku-MA10036</t>
  </si>
  <si>
    <t>4823</t>
  </si>
  <si>
    <t>MA10037</t>
  </si>
  <si>
    <t>Livre - Aux sources de la médecine chinoise - 1 livre</t>
  </si>
  <si>
    <t>de Jean-Claude Darras, Jean-Pierre Guerin et Marie-Andrée Auquier</t>
  </si>
  <si>
    <t>https://calebasse.com/produits/livre-aux-sources-de-la-medecine-chinoise-4799?product=6998</t>
  </si>
  <si>
    <t>https://res.cloudinary.com/laboratoire-calebasse/image/upload/v1684143031/aux_sources_de_la_medecine_chinoise_097b22a0d2.jpg</t>
  </si>
  <si>
    <t>sku-MA10037</t>
  </si>
  <si>
    <t>4799</t>
  </si>
  <si>
    <t>MA10038</t>
  </si>
  <si>
    <t>Livre - Cahiers cliniques d’Acupuncture n°6 - 1 livre</t>
  </si>
  <si>
    <t>de Marc Petitpierre et Bernard de Wurstemberger</t>
  </si>
  <si>
    <t>https://calebasse.com/produits/livre-cahiers-cliniques-dacupuncture-n6-4834?product=6999</t>
  </si>
  <si>
    <t>https://res.cloudinary.com/laboratoire-calebasse/image/upload/v1684143812/dermatologie6_5a5bfd3d80.jpg</t>
  </si>
  <si>
    <t>sku-MA10038</t>
  </si>
  <si>
    <t>4834</t>
  </si>
  <si>
    <t>MA10039</t>
  </si>
  <si>
    <t>Livre - Cahiers cliniques d’Acupuncture n°3 - 1 livre</t>
  </si>
  <si>
    <t>De Bernard Cygler et Bernard de Wurstemberger</t>
  </si>
  <si>
    <t>https://calebasse.com/produits/livre-cahiers-cliniques-dacupuncture-n3-4839?product=7000</t>
  </si>
  <si>
    <t>https://res.cloudinary.com/laboratoire-calebasse/image/upload/v1684144292/douleur3_1_6ac89fe858.jpg</t>
  </si>
  <si>
    <t>sku-MA10039</t>
  </si>
  <si>
    <t>4839</t>
  </si>
  <si>
    <t>MA10040</t>
  </si>
  <si>
    <t>Livre - Procédés subtils des Mouvements de l'Étoile Alcor - 1 livre</t>
  </si>
  <si>
    <t>Traduction et commentaires d'Abel Gläser</t>
  </si>
  <si>
    <t>https://calebasse.com/produits/livre-procedes-subtils-des-mouvements-de-letoile-alcor-4803?product=7001</t>
  </si>
  <si>
    <t>https://res.cloudinary.com/laboratoire-calebasse/image/upload/v1684144914/fu_xing_jue_3958e7f064.jpg</t>
  </si>
  <si>
    <t>sku-MA10040</t>
  </si>
  <si>
    <t>4803</t>
  </si>
  <si>
    <t>MA10041</t>
  </si>
  <si>
    <t>Livre - Cahiers cliniques d’Acupuncture n°2 - 1 livre</t>
  </si>
  <si>
    <t>De Phillipe Annet et Bernard de Wurstemberger</t>
  </si>
  <si>
    <t>https://calebasse.com/produits/livre-cahiers-cliniques-dacupuncture-n2-4840?product=7002</t>
  </si>
  <si>
    <t>https://res.cloudinary.com/laboratoire-calebasse/image/upload/v1684145338/gastro_enterologie_aa9e48c8c4.jpg</t>
  </si>
  <si>
    <t>sku-MA10041</t>
  </si>
  <si>
    <t>4840</t>
  </si>
  <si>
    <t>MA10042</t>
  </si>
  <si>
    <t>Livre - Guide pratique des moxas chinois - 1 livre</t>
  </si>
  <si>
    <t>De Yves Réquéna</t>
  </si>
  <si>
    <t>https://calebasse.com/produits/livre-guide-pratique-des-moxas-chinois-4816?product=7003</t>
  </si>
  <si>
    <t>https://res.cloudinary.com/laboratoire-calebasse/image/upload/v1684146626/guide_pratique_moxas_chinois_a490228832.jpg</t>
  </si>
  <si>
    <t>sku-MA10042</t>
  </si>
  <si>
    <t>4816</t>
  </si>
  <si>
    <t>MA10043</t>
  </si>
  <si>
    <t>Livre - Guide thérapeutique acupuncture - 1 livre</t>
  </si>
  <si>
    <t>De Bernard de Wurstemberger et Philippe Annet</t>
  </si>
  <si>
    <t>https://calebasse.com/produits/livre-guide-therapeutique-acupuncture-4828?product=7004</t>
  </si>
  <si>
    <t>https://res.cloudinary.com/laboratoire-calebasse/image/upload/v1684146859/guide_therapeutique_acupunctuer_67f46ebfbb.jpg</t>
  </si>
  <si>
    <t>sku-MA10043</t>
  </si>
  <si>
    <t>4828</t>
  </si>
  <si>
    <t>MA10044</t>
  </si>
  <si>
    <t>Livre - Cahiers cliniques d’Acupuncture n°5 - 1 livre</t>
  </si>
  <si>
    <t>de Bernard de Wurstemberger et Robert du Bois</t>
  </si>
  <si>
    <t>https://calebasse.com/produits/livre-cahiers-cliniques-dacupuncture-n5-4832?product=7005</t>
  </si>
  <si>
    <t>https://res.cloudinary.com/laboratoire-calebasse/image/upload/v1684147078/gynecologie_dc22646a93.jpg</t>
  </si>
  <si>
    <t>sku-MA10044</t>
  </si>
  <si>
    <t>4832</t>
  </si>
  <si>
    <t>MA10045</t>
  </si>
  <si>
    <t>Livre - Huiles Essentielles associées aux points d'acupuncture - 1 livre</t>
  </si>
  <si>
    <t>De Fabienne Demillian</t>
  </si>
  <si>
    <t>https://calebasse.com/produits/livre-huiles-essentielles-associees-aux-points-dacupuncture-4826?product=7006</t>
  </si>
  <si>
    <t>https://res.cloudinary.com/laboratoire-calebasse/image/upload/v1684844109/huiles_essentielles_associee_aux_points_d_acupuctuer_cac87170d3.jpg</t>
  </si>
  <si>
    <t>sku-MA10045</t>
  </si>
  <si>
    <t>4826</t>
  </si>
  <si>
    <t>MA10046</t>
  </si>
  <si>
    <t>Livre - La cuisine des 4 saisons selon la médecine chinoise - 1 livre</t>
  </si>
  <si>
    <t>de Michel Frey</t>
  </si>
  <si>
    <t>https://calebasse.com/produits/livre-la-cuisine-des-4-saisons-selon-la-medecine-chinoise-4795?product=7007</t>
  </si>
  <si>
    <t>https://res.cloudinary.com/laboratoire-calebasse/image/upload/v1684844388/la_cuisine_des_4_saisons_selon_la_medecine_chinoise_43604c0527.jpg</t>
  </si>
  <si>
    <t>sku-MA10046</t>
  </si>
  <si>
    <t>4795</t>
  </si>
  <si>
    <t>MA10047</t>
  </si>
  <si>
    <t>Livre - La Médecine des ventouses - 1 livre</t>
  </si>
  <si>
    <t>De Daniel Henry</t>
  </si>
  <si>
    <t>https://calebasse.com/produits/livre-la-medecine-des-ventouses-4801?product=7008</t>
  </si>
  <si>
    <t>https://res.cloudinary.com/laboratoire-calebasse/image/upload/v1684844806/la_medecine_des_ventouses_6966ed9d1d.jpg</t>
  </si>
  <si>
    <t>sku-MA10047</t>
  </si>
  <si>
    <t>4801</t>
  </si>
  <si>
    <t>MA10048</t>
  </si>
  <si>
    <t>Livre - L'Art de soigner - 1 livre</t>
  </si>
  <si>
    <t>de Liao Yi Lin</t>
  </si>
  <si>
    <t>https://calebasse.com/produits/livre-lart-de-soigner-4811?product=7009</t>
  </si>
  <si>
    <t>https://res.cloudinary.com/laboratoire-calebasse/image/upload/v1684845123/l_art_de_saigner_243791c1b3.jpg</t>
  </si>
  <si>
    <t>sku-MA10048</t>
  </si>
  <si>
    <t>4811</t>
  </si>
  <si>
    <t>MA10049</t>
  </si>
  <si>
    <t>Livre - La Symphonie des Méridiens du corps - 1 livre</t>
  </si>
  <si>
    <t>de Dr. Nadia VOLF</t>
  </si>
  <si>
    <t>https://calebasse.com/produits/livre-la-symphonie-des-meridiens-du-corps-4829?product=7010</t>
  </si>
  <si>
    <t>https://res.cloudinary.com/laboratoire-calebasse/image/upload/v1684845375/la_sym_phonie_des_meridiens_du_corps_fce3f9eb69.jpg</t>
  </si>
  <si>
    <t>sku-MA10049</t>
  </si>
  <si>
    <t>4829</t>
  </si>
  <si>
    <t>MA10050</t>
  </si>
  <si>
    <t>Livre - Le Guide du Bien-être selon la Médecine Chinoise - 1 livre</t>
  </si>
  <si>
    <t>de Yves Réquéna et Marie Borrel</t>
  </si>
  <si>
    <t>https://calebasse.com/produits/livre-le-guide-du-bien-etre-selon-la-medecine-chinoise-4827?product=7011</t>
  </si>
  <si>
    <t>https://res.cloudinary.com/laboratoire-calebasse/image/upload/v1684845628/le_guide_du_bien_etre_selon_la_medecine_chinoise_63248b5ef6.jpg</t>
  </si>
  <si>
    <t>sku-MA10050</t>
  </si>
  <si>
    <t>4827</t>
  </si>
  <si>
    <t>MA10051</t>
  </si>
  <si>
    <t>Livre - Le Livre du Do-In - 1 livre</t>
  </si>
  <si>
    <t>De Michio KUSHI</t>
  </si>
  <si>
    <t>https://calebasse.com/produits/livre-le-livre-du-do-in-4825?product=7012</t>
  </si>
  <si>
    <t>https://res.cloudinary.com/laboratoire-calebasse/image/upload/v1684845943/le_livre_du_do_in_b63604af08.jpg</t>
  </si>
  <si>
    <t>sku-MA10051</t>
  </si>
  <si>
    <t>4825</t>
  </si>
  <si>
    <t>MA10052</t>
  </si>
  <si>
    <t>Livre - Les 101 notions-clés de la médecine chinoise - 1 livre</t>
  </si>
  <si>
    <t>De Élisabeth Rochat de la Vallée</t>
  </si>
  <si>
    <t>https://calebasse.com/produits/livre-les-101-notions-cles-de-la-medecine-chinoise-4798?product=7013</t>
  </si>
  <si>
    <t>https://res.cloudinary.com/laboratoire-calebasse/image/upload/v1684846340/les_101_notions_cles_de_la_medecine_chinoise_d8c66661e7.jpg</t>
  </si>
  <si>
    <t>sku-MA10052</t>
  </si>
  <si>
    <t>4798</t>
  </si>
  <si>
    <t>MA10053</t>
  </si>
  <si>
    <t>Livre - Les bienfaits des huiles essentielles selon les principes de la médecine chinoise - 1 livre</t>
  </si>
  <si>
    <t>De Marc J. Gian</t>
  </si>
  <si>
    <t>https://calebasse.com/produits/livre-les-bienfaits-des-huiles-essentielles-selon-les-principes-de-la-medecine-chinoise-4792?product=7014</t>
  </si>
  <si>
    <t>https://res.cloudinary.com/laboratoire-calebasse/image/upload/v1684846686/les_bienfaits_des_huiles_essentielles_e017448b65.jpg</t>
  </si>
  <si>
    <t>sku-MA10053</t>
  </si>
  <si>
    <t>4792</t>
  </si>
  <si>
    <t>MA10054</t>
  </si>
  <si>
    <t>Livre - Les maux en mains - 1 livre</t>
  </si>
  <si>
    <t>De Anne Ducasse</t>
  </si>
  <si>
    <t>https://calebasse.com/produits/livre-les-maux-en-mains-4794?product=7015</t>
  </si>
  <si>
    <t>https://res.cloudinary.com/laboratoire-calebasse/image/upload/v1684847179/les_maux_en_mains_6b11975209.jpg</t>
  </si>
  <si>
    <t>sku-MA10054</t>
  </si>
  <si>
    <t>4794</t>
  </si>
  <si>
    <t>MA10055</t>
  </si>
  <si>
    <t>Livre - Les quatre piliers de la Médecine Chinoise - 1 livre</t>
  </si>
  <si>
    <t>de Jean-Paul DUTREY</t>
  </si>
  <si>
    <t>https://calebasse.com/produits/livre-les-quatre-piliers-de-la-medecine-chinoise-4820?product=7016</t>
  </si>
  <si>
    <t>https://res.cloudinary.com/laboratoire-calebasse/image/upload/v1684847550/les_quatre_piliers_de_la_medecine_chinoise_c6f7ca6e07.jpg</t>
  </si>
  <si>
    <t>sku-MA10055</t>
  </si>
  <si>
    <t>4820</t>
  </si>
  <si>
    <t>MA10056</t>
  </si>
  <si>
    <t>Livre - Le second printemps - 1 livre</t>
  </si>
  <si>
    <t>Le Dr Mao révèle des centaines de secrets naturels pour aider les femmes à se redynamiser à tout âge</t>
  </si>
  <si>
    <t>https://calebasse.com/produits/livre-le-second-printemps-4796?product=7017</t>
  </si>
  <si>
    <t>https://res.cloudinary.com/laboratoire-calebasse/image/upload/v1684847800/les_second_printemps_7b1951cdd9.jpg</t>
  </si>
  <si>
    <t>sku-MA10056</t>
  </si>
  <si>
    <t>4796</t>
  </si>
  <si>
    <t>MA10057</t>
  </si>
  <si>
    <t>Livre - Les sources paysannes de la médecine chinoise - 1 livre</t>
  </si>
  <si>
    <t>de Alain Mestrallet</t>
  </si>
  <si>
    <t>https://calebasse.com/produits/livre-les-sources-paysannes-de-la-medecine-chinoise-4797?product=7018</t>
  </si>
  <si>
    <t>https://res.cloudinary.com/laboratoire-calebasse/image/upload/v1684848154/les_sources_paysannes_de_la_medecine_chinoise_fcce08a920.jpg</t>
  </si>
  <si>
    <t>sku-MA10057</t>
  </si>
  <si>
    <t>4797</t>
  </si>
  <si>
    <t>MA10058</t>
  </si>
  <si>
    <t>Livre - Les Trésors de la Médecine Chinoise pour le monde d'aujourd'hui - 1 livre</t>
  </si>
  <si>
    <t>De Liliane Papin et Ke Wen</t>
  </si>
  <si>
    <t>https://calebasse.com/produits/livre-les-tresors-de-la-medecine-chinoise-pour-le-monde-daujourdhui-4793?product=7019</t>
  </si>
  <si>
    <t>https://res.cloudinary.com/laboratoire-calebasse/image/upload/v1684848322/les_tresors_de_la_medecine_chinoise_pour_le_monde_d_aujourd_hui_cf8d926dd8.jpg</t>
  </si>
  <si>
    <t>sku-MA10058</t>
  </si>
  <si>
    <t>4793</t>
  </si>
  <si>
    <t>MA10059</t>
  </si>
  <si>
    <t>Livre - Les Trois piliers de la santé - 1 livre</t>
  </si>
  <si>
    <t>https://calebasse.com/produits/livre-les-trois-piliers-de-la-sante-4830?product=7020</t>
  </si>
  <si>
    <t>https://res.cloudinary.com/laboratoire-calebasse/image/upload/v1684848608/les_trois_piliers_de_la_sante_500e0fa23a.jpg</t>
  </si>
  <si>
    <t>sku-MA10059</t>
  </si>
  <si>
    <t>4830</t>
  </si>
  <si>
    <t>MA10060</t>
  </si>
  <si>
    <t>Livre - Lexique des termes utiles en MTC - 1 livre</t>
  </si>
  <si>
    <t>de Mirjam Pfizenmaier Rousseil</t>
  </si>
  <si>
    <t>https://calebasse.com/produits/livre-lexique-des-termes-utiles-en-mtc-4842?product=7021</t>
  </si>
  <si>
    <t>https://res.cloudinary.com/laboratoire-calebasse/image/upload/v1684849030/lexique_des_termes_utiles_en_mtc_0658fbd9e3.jpg</t>
  </si>
  <si>
    <t>sku-MA10060</t>
  </si>
  <si>
    <t>4842</t>
  </si>
  <si>
    <t>MA10061</t>
  </si>
  <si>
    <t>Livre - Manuel pratique de psychoénergétique chinoise - 1 livre</t>
  </si>
  <si>
    <t>de Lou Yan</t>
  </si>
  <si>
    <t>https://calebasse.com/produits/livre-manuel-pratique-de-psychoenergetique-chinoise-4804?product=7022</t>
  </si>
  <si>
    <t>https://res.cloudinary.com/laboratoire-calebasse/image/upload/v1684849534/manuel_pratique_de_psychoenergetique_chinoise_c4128d525b.jpg</t>
  </si>
  <si>
    <t>sku-MA10061</t>
  </si>
  <si>
    <t>4804</t>
  </si>
  <si>
    <t>MA10062</t>
  </si>
  <si>
    <t>Livre - Médecine chinoise : Soins et remèdes de bonne santé d'hier et d'aujourd'hui - 1 livre</t>
  </si>
  <si>
    <t>De Lihua Wang</t>
  </si>
  <si>
    <t>https://calebasse.com/produits/livre-medecine-chinoise-soins-et-remedes-de-bonne-sante-dhier-et-daujourdhui-4843?product=7023</t>
  </si>
  <si>
    <t>https://res.cloudinary.com/laboratoire-calebasse/image/upload/v1684849878/medecine_chinoise_68c0ab09ab.jpg</t>
  </si>
  <si>
    <t>sku-MA10062</t>
  </si>
  <si>
    <t>4843</t>
  </si>
  <si>
    <t>MA10063</t>
  </si>
  <si>
    <t>Livre - Médecine Traditionnelle chinoise - 1 livre</t>
  </si>
  <si>
    <t>de Anne Vastel et Sylvie Chagnon</t>
  </si>
  <si>
    <t>https://calebasse.com/produits/livre-medecine-traditionnelle-chinoise-4812?product=7024</t>
  </si>
  <si>
    <t>https://res.cloudinary.com/laboratoire-calebasse/image/upload/v1684850435/medecine_traditionnelle_chinoise_d33ff6d315.jpg</t>
  </si>
  <si>
    <t>sku-MA10063</t>
  </si>
  <si>
    <t>4812</t>
  </si>
  <si>
    <t>MA10064</t>
  </si>
  <si>
    <t>Livre - Cahiers cliniques d’Acupuncture n°9 - 1 livre</t>
  </si>
  <si>
    <t>De Marc Petitpierre et Bernard de Wurstemberger</t>
  </si>
  <si>
    <t>https://calebasse.com/produits/livre-cahiers-cliniques-dacupuncture-n9-4844?product=7025</t>
  </si>
  <si>
    <t>https://res.cloudinary.com/laboratoire-calebasse/image/upload/v1684850610/neurologue9_43ac9ae9de.jpg</t>
  </si>
  <si>
    <t>sku-MA10064</t>
  </si>
  <si>
    <t>4844</t>
  </si>
  <si>
    <t>MA10065</t>
  </si>
  <si>
    <t>Livre - Cahiers cliniques d’Acupuncture n°8 - 1 livre</t>
  </si>
  <si>
    <t>de Jean-Pierre Roux et Bernard de Wurstemberger</t>
  </si>
  <si>
    <t>https://calebasse.com/produits/livre-cahiers-cliniques-dacupuncture-n8-4835?product=7026</t>
  </si>
  <si>
    <t>https://res.cloudinary.com/laboratoire-calebasse/image/upload/v1684851801/ophtalmologie8_3a00338577.jpg</t>
  </si>
  <si>
    <t>sku-MA10065</t>
  </si>
  <si>
    <t>4835</t>
  </si>
  <si>
    <t>MA10066</t>
  </si>
  <si>
    <t>Livre - Cahiers cliniques d’Acupuncture n°1 - 1 livre</t>
  </si>
  <si>
    <t>de Pierre-André Repond et Bernard de Wurstemberger</t>
  </si>
  <si>
    <t>https://calebasse.com/produits/livre-cahiers-cliniques-dacupuncture-n1-4836?product=7027</t>
  </si>
  <si>
    <t>https://res.cloudinary.com/laboratoire-calebasse/image/upload/v1684852010/pediatrie_b58a44f39a.jpg</t>
  </si>
  <si>
    <t>sku-MA10066</t>
  </si>
  <si>
    <t>4836</t>
  </si>
  <si>
    <t>MA10067</t>
  </si>
  <si>
    <t>Livre - Cahiers cliniques d’Acupuncture n°4 - 1 livre</t>
  </si>
  <si>
    <t>https://calebasse.com/produits/livre-cahiers-cliniques-dacupuncture-n4-4833?product=7028</t>
  </si>
  <si>
    <t>https://res.cloudinary.com/laboratoire-calebasse/image/upload/v1684852189/rhumatologie4_bf59beb84c.jpg</t>
  </si>
  <si>
    <t>sku-MA10067</t>
  </si>
  <si>
    <t>4833</t>
  </si>
  <si>
    <t>MA10068</t>
  </si>
  <si>
    <t>Livre - Cahiers cliniques d’Acupuncture n°7 - 1 livre</t>
  </si>
  <si>
    <t>https://calebasse.com/produits/livre-cahiers-cliniques-dacupuncture-n7-4837?product=7029</t>
  </si>
  <si>
    <t>https://res.cloudinary.com/laboratoire-calebasse/image/upload/v1684852544/orl7_e50b2f56fc.jpg</t>
  </si>
  <si>
    <t>sku-MA10068</t>
  </si>
  <si>
    <t>4837</t>
  </si>
  <si>
    <t>MA10069</t>
  </si>
  <si>
    <t>Livre - Petit ventre heureux attend un bébé - 1 livre</t>
  </si>
  <si>
    <t>De Isabella M Obrist</t>
  </si>
  <si>
    <t>https://calebasse.com/produits/livre-petit-ventre-heureux-attend-un-bebe-4806?product=7030</t>
  </si>
  <si>
    <t>https://res.cloudinary.com/laboratoire-calebasse/image/upload/v1684852958/petit_ventre_heureux_c40fdf992e.jpg</t>
  </si>
  <si>
    <t>sku-MA10069</t>
  </si>
  <si>
    <t>4806</t>
  </si>
  <si>
    <t>MA10070</t>
  </si>
  <si>
    <t>Livre - Pharmacopée Chinoise : le livre de référence pour se soigner au naturel - 1 livre</t>
  </si>
  <si>
    <t>de Daniel Caroff et Yimeng Ma</t>
  </si>
  <si>
    <t>https://calebasse.com/produits/livre-pharmacopee-chinoise-le-livre-de-reference-pour-se-soigner-au-naturel-4845?product=7031</t>
  </si>
  <si>
    <t>https://res.cloudinary.com/laboratoire-calebasse/image/upload/v1684854234/pharmacopee_chinoise_9ac83e165d.jpg</t>
  </si>
  <si>
    <t>sku-MA10070</t>
  </si>
  <si>
    <t>4845</t>
  </si>
  <si>
    <t>MA10071</t>
  </si>
  <si>
    <t>Livre - S'arrêter de fumer avec 1 séance d'Acupuncture - 1 livre</t>
  </si>
  <si>
    <t>de Yves Réquéna</t>
  </si>
  <si>
    <t>https://calebasse.com/produits/livre-sarreter-de-fumer-avec-1-seance-dacupuncture-4808?product=7032</t>
  </si>
  <si>
    <t>https://res.cloudinary.com/laboratoire-calebasse/image/upload/v1684854418/s_arreter_de_fumer_da4790f4ae.jpg</t>
  </si>
  <si>
    <t>sku-MA10071</t>
  </si>
  <si>
    <t>4808</t>
  </si>
  <si>
    <t>MA10072</t>
  </si>
  <si>
    <t>Livre - À la découverte de l’Acupuncture spatio-temporelle - 1 livre</t>
  </si>
  <si>
    <t>De Claude Simmler et Francis Schull</t>
  </si>
  <si>
    <t>https://calebasse.com/produits/livre-a-la-decouverte-de-lacupuncture-spatio-temporelle-4815?product=7033</t>
  </si>
  <si>
    <t>https://res.cloudinary.com/laboratoire-calebasse/image/upload/v1684854820/spatio_temporelle_61431dbab9.jpg</t>
  </si>
  <si>
    <t>sku-MA10072</t>
  </si>
  <si>
    <t>4815</t>
  </si>
  <si>
    <t>MA10073</t>
  </si>
  <si>
    <t>Livre - Vade-Mecum d'Acupuncture Traditionnelle - 1 livre</t>
  </si>
  <si>
    <t>De Jean Motte</t>
  </si>
  <si>
    <t>https://calebasse.com/produits/livre-vade-mecum-dacupuncture-traditionnelle-4807?product=7034</t>
  </si>
  <si>
    <t>https://res.cloudinary.com/laboratoire-calebasse/image/upload/v1684854981/vade_mecum_d_acupunture_traditionnelle_f4eeb3e383.jpg</t>
  </si>
  <si>
    <t>sku-MA10073</t>
  </si>
  <si>
    <t>4807</t>
  </si>
  <si>
    <t>MA10074</t>
  </si>
  <si>
    <t>Livre - La Bible de la Médecine Chinoise - 1 livre</t>
  </si>
  <si>
    <t>de Penelope Ody</t>
  </si>
  <si>
    <t>https://calebasse.com/produits/livre-la-bible-de-la-medecine-chinoise-4822?product=7035</t>
  </si>
  <si>
    <t>https://res.cloudinary.com/laboratoire-calebasse/image/upload/v1684855293/la_bible_de_la_medecine_chinoise_7caff9996d.jpg</t>
  </si>
  <si>
    <t>sku-MA10074</t>
  </si>
  <si>
    <t>4822</t>
  </si>
  <si>
    <t>MA10075</t>
  </si>
  <si>
    <t>Livre - Se connaître pour mieux se comprendre grâce à l'énergétique chinoise - 1 livre</t>
  </si>
  <si>
    <t>https://calebasse.com/produits/livre-se-connaitre-pour-mieux-se-comprendre-grace-a-lenergetique-chinoise-4800?product=7036</t>
  </si>
  <si>
    <t>https://res.cloudinary.com/laboratoire-calebasse/image/upload/v1684855451/se_connaitre_pour_mieux_se_comprendre_grace_a_l_energetique_chinoise_f7353bfefd.jpg</t>
  </si>
  <si>
    <t>sku-MA10075</t>
  </si>
  <si>
    <t>4800</t>
  </si>
  <si>
    <t>MA10076</t>
  </si>
  <si>
    <t>Livre - Soigner la dépression par la médecine chinoise - 1 livre</t>
  </si>
  <si>
    <t>https://calebasse.com/produits/livre-soigner-la-depression-par-la-medecine-chinoise-4814?product=7037</t>
  </si>
  <si>
    <t>https://res.cloudinary.com/laboratoire-calebasse/image/upload/v1684855631/soigner_la_depression_par_la_medecine_chinoise_7bd1c87351.jpg</t>
  </si>
  <si>
    <t>sku-MA10076</t>
  </si>
  <si>
    <t>4814</t>
  </si>
  <si>
    <t>MA10077</t>
  </si>
  <si>
    <t>Livre - Soigner la fatigue par la médecine chinoise - 1 livre</t>
  </si>
  <si>
    <t>https://calebasse.com/produits/livre-soigner-la-fatigue-par-la-medecine-chinoise-4791?product=7038</t>
  </si>
  <si>
    <t>https://res.cloudinary.com/laboratoire-calebasse/image/upload/v1684855785/soigner_la_fatigue_par_la_medecine_chinoise_371bd1e59e.jpg</t>
  </si>
  <si>
    <t>sku-MA10077</t>
  </si>
  <si>
    <t>4791</t>
  </si>
  <si>
    <t>MA10078</t>
  </si>
  <si>
    <t>Livre - Tui Na - Apprendre et comprendre - 1 livre</t>
  </si>
  <si>
    <t>De Chrys Wilbois</t>
  </si>
  <si>
    <t>https://calebasse.com/produits/livre-tui-na-apprendre-et-comprendre-4817?product=7039</t>
  </si>
  <si>
    <t>https://res.cloudinary.com/laboratoire-calebasse/image/upload/v1684855992/tui_na_b16eac8d13.jpg</t>
  </si>
  <si>
    <t>sku-MA10078</t>
  </si>
  <si>
    <t>4817</t>
  </si>
  <si>
    <t>MA10079</t>
  </si>
  <si>
    <t>Livre - Traité des blessures dues au Froid - 1 livre</t>
  </si>
  <si>
    <t>Traduction et notes d'Abel Gläser - 2° édition, revue et augmentée</t>
  </si>
  <si>
    <t>https://calebasse.com/produits/livre-traite-des-blessures-dues-au-froid-4819?product=7040</t>
  </si>
  <si>
    <t>https://res.cloudinary.com/laboratoire-calebasse/image/upload/v1684916646/shanghanlun_d012b65d73.jpg</t>
  </si>
  <si>
    <t>sku-MA10079</t>
  </si>
  <si>
    <t>4819</t>
  </si>
  <si>
    <t>MA10080</t>
  </si>
  <si>
    <t>Livre - L’Esprit Originel des Quatre Sages - 1 livre</t>
  </si>
  <si>
    <t>Traduction et notes d'Abel Gläser</t>
  </si>
  <si>
    <t>https://calebasse.com/produits/livre-lesprit-originel-des-quatre-sages-4831?product=7041</t>
  </si>
  <si>
    <t>https://res.cloudinary.com/laboratoire-calebasse/image/upload/v1684921970/si_sheng_xin_yuan_18a7e4a095.jpg</t>
  </si>
  <si>
    <t>sku-MA10080</t>
  </si>
  <si>
    <t>4831</t>
  </si>
  <si>
    <t>MA10081</t>
  </si>
  <si>
    <t>Livre - Véritable transmission des principes médicaux - 1 livre</t>
  </si>
  <si>
    <t>https://calebasse.com/produits/livre-veritable-transmission-des-principes-medicaux-4818?product=7042</t>
  </si>
  <si>
    <t>https://res.cloudinary.com/laboratoire-calebasse/image/upload/v1684932805/yilizhenchuan_6d9f24690b.jpg</t>
  </si>
  <si>
    <t>sku-MA10081</t>
  </si>
  <si>
    <t>4818</t>
  </si>
  <si>
    <t>MA10082</t>
  </si>
  <si>
    <t>Livre - La Médecine des ventouses dans les pathologies respiratoires - 1 livre</t>
  </si>
  <si>
    <t>https://calebasse.com/produits/livre-la-medecine-des-ventouses-dans-les-pathologies-respiratoires-4824?product=7043</t>
  </si>
  <si>
    <t>https://res.cloudinary.com/laboratoire-calebasse/image/upload/v1685084784/la_medecine_des_ventouses_1_e808b7ef98.jpg</t>
  </si>
  <si>
    <t>sku-MA10082</t>
  </si>
  <si>
    <t>4824</t>
  </si>
  <si>
    <t>MA10083</t>
  </si>
  <si>
    <t>Livre - Zhenjiu jiayi jing - Volume 1 et 2 - 2 livres</t>
  </si>
  <si>
    <t>Par Huangfu Mi</t>
  </si>
  <si>
    <t>https://calebasse.com/produits/livre-zhenjiu-jiayi-jing-volume-1-et-2-4813?product=7044</t>
  </si>
  <si>
    <t>https://res.cloudinary.com/laboratoire-calebasse/image/upload/v1685084994/zhenjiujiayijing_1_51fbdcc08a.jpg</t>
  </si>
  <si>
    <t>sku-MA10083</t>
  </si>
  <si>
    <t>4813</t>
  </si>
  <si>
    <t>MA10084</t>
  </si>
  <si>
    <t>Livre - Répertoire des indications des points d’acupuncture - 1 livre</t>
  </si>
  <si>
    <t>De Bernard de Wurstemberger</t>
  </si>
  <si>
    <t>https://calebasse.com/produits/livre-repertoire-des-indications-des-points-dacupuncture-4848?product=7049</t>
  </si>
  <si>
    <t>https://res.cloudinary.com/laboratoire-calebasse/image/upload/v1685351047/repertoire_des_indications_des_points_d_acupncture_855226887b.jpg</t>
  </si>
  <si>
    <t>sku-MA10084</t>
  </si>
  <si>
    <t>4848</t>
  </si>
  <si>
    <t>MA10085</t>
  </si>
  <si>
    <t>Livre - 10 minutes par jour pour se sentir bien grâce à la médecine chinoise - 1 livre</t>
  </si>
  <si>
    <t>De Liégeois Véronique</t>
  </si>
  <si>
    <t>https://calebasse.com/produits/livre-10-minutes-par-jour-pour-se-sentir-bien-grace-a-la-medecine-chinoise-4856?product=7060</t>
  </si>
  <si>
    <t>https://res.cloudinary.com/laboratoire-calebasse/image/upload/v1693305334/10minuits_par_jour_722960b591.jpg</t>
  </si>
  <si>
    <t>sku-MA10085</t>
  </si>
  <si>
    <t>4856</t>
  </si>
  <si>
    <t>MA10086</t>
  </si>
  <si>
    <t>Livre - 100 points de digitopuncture qui peuvent vous changer la vie - 1 livre</t>
  </si>
  <si>
    <t>Par Jean-Christophe Trokiner</t>
  </si>
  <si>
    <t>https://calebasse.com/produits/livre-100-points-de-digitopuncture-qui-peuvent-vous-changer-la-vie-4857?product=7061</t>
  </si>
  <si>
    <t>https://res.cloudinary.com/laboratoire-calebasse/image/upload/v1693305658/100_points_de_digitopuncture_ec3bf94e2a.jpg</t>
  </si>
  <si>
    <t>sku-MA10086</t>
  </si>
  <si>
    <t>4857</t>
  </si>
  <si>
    <t>MA10087</t>
  </si>
  <si>
    <t>Livre - Bilans énergétique - 1 livre</t>
  </si>
  <si>
    <t>De Daniel Kieffer</t>
  </si>
  <si>
    <t>https://calebasse.com/produits/livre-bilans-energetique-4858?product=7062</t>
  </si>
  <si>
    <t>https://res.cloudinary.com/laboratoire-calebasse/image/upload/v1693305726/Bilan_energetique_b28f6d3320.jpg</t>
  </si>
  <si>
    <t>sku-MA10087</t>
  </si>
  <si>
    <t>4858</t>
  </si>
  <si>
    <t>MA10088</t>
  </si>
  <si>
    <t>Livre - Comprendre l'acupuncture - 1 livre</t>
  </si>
  <si>
    <t>De Franck Labat</t>
  </si>
  <si>
    <t>https://calebasse.com/produits/livre-comprendre-lacupuncture-4859?product=7063</t>
  </si>
  <si>
    <t>https://res.cloudinary.com/laboratoire-calebasse/image/upload/v1693305789/Comprendre_l_acupuncture_62658c0e8a.jpg</t>
  </si>
  <si>
    <t>sku-MA10088</t>
  </si>
  <si>
    <t>4859</t>
  </si>
  <si>
    <t>MA10089</t>
  </si>
  <si>
    <t>Livre - Des rides ... et vous ! - 1 livre</t>
  </si>
  <si>
    <t>De Trokiner Jean-Claude</t>
  </si>
  <si>
    <t>https://calebasse.com/produits/livre-des-rides-et-vous-4860?product=7064</t>
  </si>
  <si>
    <t>https://res.cloudinary.com/laboratoire-calebasse/image/upload/v1693305888/Des_vides_414a88e266.jpg</t>
  </si>
  <si>
    <t>sku-MA10089</t>
  </si>
  <si>
    <t>4860</t>
  </si>
  <si>
    <t>MA10090</t>
  </si>
  <si>
    <t>Livre - Do-in auto massage - 1 livre</t>
  </si>
  <si>
    <t>De Launay Dominique</t>
  </si>
  <si>
    <t>https://calebasse.com/produits/livre-do-in-auto-massage-4861?product=7065</t>
  </si>
  <si>
    <t>https://res.cloudinary.com/laboratoire-calebasse/image/upload/v1693305925/Do_in_automassage_20b94ce14b.jpg</t>
  </si>
  <si>
    <t>sku-MA10090</t>
  </si>
  <si>
    <t>4861</t>
  </si>
  <si>
    <t>MA10091</t>
  </si>
  <si>
    <t>Livre - Guide pratique des Moxas Tome 1&amp;2 - Volume 1</t>
  </si>
  <si>
    <t>De Serge Villecroix</t>
  </si>
  <si>
    <t>https://calebasse.com/produits/livre-guide-pratique-des-moxas-tome-1and2-4862?product=7066</t>
  </si>
  <si>
    <t>https://res.cloudinary.com/laboratoire-calebasse/image/upload/v1700647360/Guide_pratique_des_moxas_1_4161dc638a.jpg</t>
  </si>
  <si>
    <t>sku-MA10091</t>
  </si>
  <si>
    <t>4862</t>
  </si>
  <si>
    <t>MA10092</t>
  </si>
  <si>
    <t>Livre - Guide pratique des Moxas Tome 1&amp;2 - Volume 2</t>
  </si>
  <si>
    <t>https://calebasse.com/produits/livre-guide-pratique-des-moxas-tome-1and2-4862?product=7067</t>
  </si>
  <si>
    <t>https://res.cloudinary.com/laboratoire-calebasse/image/upload/v1693306110/Guide_pratique_des_moxas_1552415527.jpg</t>
  </si>
  <si>
    <t>sku-MA10092</t>
  </si>
  <si>
    <t>MA10093</t>
  </si>
  <si>
    <t>Livre - Initiation au massage chinois traditionnel - 1 livre</t>
  </si>
  <si>
    <t>De Sendowski Yvonne</t>
  </si>
  <si>
    <t>https://calebasse.com/produits/livre-initiation-au-massage-chinois-traditionnel-4863?product=7068</t>
  </si>
  <si>
    <t>https://res.cloudinary.com/laboratoire-calebasse/image/upload/v1693306319/Massage_chinois_traditionnel_de88cf3a31.jpg</t>
  </si>
  <si>
    <t>sku-MA10093</t>
  </si>
  <si>
    <t>4863</t>
  </si>
  <si>
    <t>MA10094</t>
  </si>
  <si>
    <t>Livre - L'acupuncture sans aiguille - 1 livre</t>
  </si>
  <si>
    <t>De Laparé Marie-Claire et Parent Renald</t>
  </si>
  <si>
    <t>https://calebasse.com/produits/livre-lacupuncture-sans-aiguille-4864?product=7069</t>
  </si>
  <si>
    <t>https://res.cloudinary.com/laboratoire-calebasse/image/upload/v1693306415/L_acupuncture_sans_aiguille_08177158ec.jpg</t>
  </si>
  <si>
    <t>sku-MA10094</t>
  </si>
  <si>
    <t>4864</t>
  </si>
  <si>
    <t>MA10095</t>
  </si>
  <si>
    <t>Livre - La santé par la médecine traditionnelle chinoise - 1 livre</t>
  </si>
  <si>
    <t>De Angelina Jingrui Cai</t>
  </si>
  <si>
    <t>https://calebasse.com/produits/livre-la-sante-par-la-medecine-traditionnelle-chinoise-4865?product=7070</t>
  </si>
  <si>
    <t>https://res.cloudinary.com/laboratoire-calebasse/image/upload/v1693306446/La_sante_par_medecine_7bd72b1bf1.jpg</t>
  </si>
  <si>
    <t>sku-MA10095</t>
  </si>
  <si>
    <t>4865</t>
  </si>
  <si>
    <t>MA10096</t>
  </si>
  <si>
    <t>Livre - Manuel pratique de moxibustion - 1 livre</t>
  </si>
  <si>
    <t>de Poupy Jean-Louis</t>
  </si>
  <si>
    <t>https://calebasse.com/produits/livre-manuel-pratique-de-moxibustion-4866?product=7071</t>
  </si>
  <si>
    <t>https://res.cloudinary.com/laboratoire-calebasse/image/upload/v1693306495/Manuel_pratique_e181959e52.jpg</t>
  </si>
  <si>
    <t>sku-MA10096</t>
  </si>
  <si>
    <t>4866</t>
  </si>
  <si>
    <t>MA10097</t>
  </si>
  <si>
    <t>Livre - Petit guide de médecine chinoise - 1 livre</t>
  </si>
  <si>
    <t>de Cohen Misha Ruth</t>
  </si>
  <si>
    <t>https://calebasse.com/produits/livre-petit-guide-de-medecine-chinoise-4867?product=7072</t>
  </si>
  <si>
    <t>https://res.cloudinary.com/laboratoire-calebasse/image/upload/v1693306642/Petit_guide_de_medecine_81831aa80e.jpg</t>
  </si>
  <si>
    <t>sku-MA10097</t>
  </si>
  <si>
    <t>4867</t>
  </si>
  <si>
    <t>MA10098</t>
  </si>
  <si>
    <t>Livre - Qi gong tui na - Volume 1 à 3 - Volume 1</t>
  </si>
  <si>
    <t>de Ferrando Amaël</t>
  </si>
  <si>
    <t>https://calebasse.com/produits/livre-qi-gong-tui-na-volume-1-a-3-4868?product=7073</t>
  </si>
  <si>
    <t>https://res.cloudinary.com/laboratoire-calebasse/image/upload/v1693306704/Qigong_tuina_rouge_fac9c9571e.jpg</t>
  </si>
  <si>
    <t>sku-MA10098</t>
  </si>
  <si>
    <t>4868</t>
  </si>
  <si>
    <t>MA10099</t>
  </si>
  <si>
    <t>Livre - Qi gong tui na - Volume 1 à 3 - Volume 2</t>
  </si>
  <si>
    <t>https://calebasse.com/produits/livre-qi-gong-tui-na-volume-1-a-3-4868?product=7075</t>
  </si>
  <si>
    <t>https://res.cloudinary.com/laboratoire-calebasse/image/upload/v1693306767/Quigong_tuina_b83f9f052b.jpg</t>
  </si>
  <si>
    <t>sku-MA10099</t>
  </si>
  <si>
    <t>MA10100</t>
  </si>
  <si>
    <t>Livre - Qi gong tui na - Volume 1 à 3 - Volume 3</t>
  </si>
  <si>
    <t>https://calebasse.com/produits/livre-qi-gong-tui-na-volume-1-a-3-4868?product=7074</t>
  </si>
  <si>
    <t>https://res.cloudinary.com/laboratoire-calebasse/image/upload/v1693306742/Qigong_tuina_c451321fa1.jpg</t>
  </si>
  <si>
    <t>sku-MA10100</t>
  </si>
  <si>
    <t>MA10101</t>
  </si>
  <si>
    <t>Livre - Médecine traditionnelle chinoise - 1 livre</t>
  </si>
  <si>
    <t>De Dr Li Xin</t>
  </si>
  <si>
    <t>https://calebasse.com/produits/livre-medecine-traditionnelle-chinoise-4871?product=7076</t>
  </si>
  <si>
    <t>https://res.cloudinary.com/laboratoire-calebasse/image/upload/v1693306801/Medecine_traditonel_chinois_76dae0802a.jpg</t>
  </si>
  <si>
    <t>sku-MA10101</t>
  </si>
  <si>
    <t>4871</t>
  </si>
  <si>
    <t>MA10104</t>
  </si>
  <si>
    <t>Livre - Acupuncture Pratique - 1 livre</t>
  </si>
  <si>
    <t>Par Jean-Claude Darras, Marie-Andrée Auquier et Jean-Pierre Guérin</t>
  </si>
  <si>
    <t>https://calebasse.com/produits/livre-acupuncture-pratique-4888?product=7093</t>
  </si>
  <si>
    <t>https://res.cloudinary.com/laboratoire-calebasse/image/upload/v1700649595/Acuponcture_90110a8fed.jpg</t>
  </si>
  <si>
    <t>sku-MA10104</t>
  </si>
  <si>
    <t>4888</t>
  </si>
  <si>
    <t>MA10106</t>
  </si>
  <si>
    <t>Livre - Guide de poche de la médecine chinoise - 1 livre</t>
  </si>
  <si>
    <t>Par Philippe Maslo et Marie Borrel</t>
  </si>
  <si>
    <t>https://calebasse.com/produits/livre-guide-de-poche-de-la-medecine-chinoise-4875?product=7078</t>
  </si>
  <si>
    <t>https://res.cloudinary.com/laboratoire-calebasse/image/upload/v1763634117/guide_de_poche_de_la_medecine_chinoise_ee8f845294.jpg</t>
  </si>
  <si>
    <t>sku-MA10106</t>
  </si>
  <si>
    <t>4875</t>
  </si>
  <si>
    <t>MA10107</t>
  </si>
  <si>
    <t>Livre - Je m'initie au massage chinois Tui Na, guide visuel - 1 livre</t>
  </si>
  <si>
    <t>De Maria Mercati</t>
  </si>
  <si>
    <t>https://calebasse.com/produits/livre-je-minitie-au-massage-chinois-tui-na-guide-visuel-4876?product=7079</t>
  </si>
  <si>
    <t>https://res.cloudinary.com/laboratoire-calebasse/image/upload/v1693311239/Tui_na_6497d9150c.jpg</t>
  </si>
  <si>
    <t>sku-MA10107</t>
  </si>
  <si>
    <t>4876</t>
  </si>
  <si>
    <t>MA10108</t>
  </si>
  <si>
    <t>Livre - Je m'initie aux points qui guérissent, guide visuel - 1 livre</t>
  </si>
  <si>
    <t>De Laurent Turlin et Lefief-Delcourt</t>
  </si>
  <si>
    <t>https://calebasse.com/produits/livre-je-minitie-aux-points-qui-guerissent-guide-visuel-4877?product=7080</t>
  </si>
  <si>
    <t>https://res.cloudinary.com/laboratoire-calebasse/image/upload/v1693311287/Points_qui_guerissent_753f7e7ceb.jpg</t>
  </si>
  <si>
    <t>sku-MA10108</t>
  </si>
  <si>
    <t>4877</t>
  </si>
  <si>
    <t>MA10110</t>
  </si>
  <si>
    <t>Livre - La Diététique chinoise - 1 livre</t>
  </si>
  <si>
    <t>de Carmen Folguera</t>
  </si>
  <si>
    <t>https://calebasse.com/produits/livre-la-dietetique-chinoise-4879?product=7082</t>
  </si>
  <si>
    <t>https://res.cloudinary.com/laboratoire-calebasse/image/upload/v1693311412/La_dietetique_chinoise_315e0b9d8f.jpg</t>
  </si>
  <si>
    <t>sku-MA10110</t>
  </si>
  <si>
    <t>4879</t>
  </si>
  <si>
    <t>MA10111</t>
  </si>
  <si>
    <t>Livre - La médecine taoïste, spécial immunité - 1 livre</t>
  </si>
  <si>
    <t>De Liliane PAPIN</t>
  </si>
  <si>
    <t>https://calebasse.com/produits/livre-la-medecine-taoiste-special-immunite-4880?product=7083</t>
  </si>
  <si>
    <t>https://res.cloudinary.com/laboratoire-calebasse/image/upload/v1693311436/La_medecine_taoiste_8c28e902a5.jpg</t>
  </si>
  <si>
    <t>sku-MA10111</t>
  </si>
  <si>
    <t>4880</t>
  </si>
  <si>
    <t>MA10113</t>
  </si>
  <si>
    <t>Livre - Les Automassages chinois, Les Basiques santé - 1 livre</t>
  </si>
  <si>
    <t>de Laurent Turlin et Alix Lefief-Delcourt</t>
  </si>
  <si>
    <t>https://calebasse.com/produits/livre-les-automassages-chinois-les-basiques-sante-4882?product=7085</t>
  </si>
  <si>
    <t>https://res.cloudinary.com/laboratoire-calebasse/image/upload/v1693311546/Les_basiques_sante_2c57795788.jpg</t>
  </si>
  <si>
    <t>sku-MA10113</t>
  </si>
  <si>
    <t>4882</t>
  </si>
  <si>
    <t>MA10115</t>
  </si>
  <si>
    <t>Livre - Ma bible de la diététique chinoise - 1 livre</t>
  </si>
  <si>
    <t>de Marie Borrel</t>
  </si>
  <si>
    <t>https://calebasse.com/produits/livre-ma-bible-de-la-dietetique-chinoise-4884?product=7087</t>
  </si>
  <si>
    <t>https://res.cloudinary.com/laboratoire-calebasse/image/upload/v1693311648/Ma_bible_de_la_dietetique_b696b02c02.jpg</t>
  </si>
  <si>
    <t>sku-MA10115</t>
  </si>
  <si>
    <t>4884</t>
  </si>
  <si>
    <t>MA10116</t>
  </si>
  <si>
    <t>Livre - Ma Bible de la Médecine Traditionnelle Chinoise - 1 livre</t>
  </si>
  <si>
    <t>De Marie Borrel et Dr Philippe Maslo</t>
  </si>
  <si>
    <t>https://calebasse.com/produits/livre-ma-bible-de-la-medecine-traditionnelle-chinoise-4885?product=7088</t>
  </si>
  <si>
    <t>https://res.cloudinary.com/laboratoire-calebasse/image/upload/v1693311678/Ma_bible_de_la_medecine_traditionnelle_e2e17119b3.jpg</t>
  </si>
  <si>
    <t>sku-MA10116</t>
  </si>
  <si>
    <t>4885</t>
  </si>
  <si>
    <t>MA10117</t>
  </si>
  <si>
    <t>Livre - Ma Bible des Médecines Energétiques - 1 livre</t>
  </si>
  <si>
    <t>de Patricia Riveccio</t>
  </si>
  <si>
    <t>https://calebasse.com/produits/livre-ma-bible-des-medecines-energetiques-4886?product=7089</t>
  </si>
  <si>
    <t>https://res.cloudinary.com/laboratoire-calebasse/image/upload/v1693311704/Ma_bible_des_medecines_energetiques_722eb7598d.jpg</t>
  </si>
  <si>
    <t>sku-MA10117</t>
  </si>
  <si>
    <t>4886</t>
  </si>
  <si>
    <t>MA10118</t>
  </si>
  <si>
    <t>Livre - Ma Bible des points qui guérissent - 1 livre</t>
  </si>
  <si>
    <t>De Laurent Turlin et Alix Lefief-Delcourt</t>
  </si>
  <si>
    <t>https://calebasse.com/produits/livre-ma-bible-des-points-qui-guerissent-4887?product=7090</t>
  </si>
  <si>
    <t>https://res.cloudinary.com/laboratoire-calebasse/image/upload/v1768464875/my_bible_des_points_qui_guerissent_1_7e292dfe70.jpg</t>
  </si>
  <si>
    <t>sku-MA10118</t>
  </si>
  <si>
    <t>4887</t>
  </si>
  <si>
    <t>MA10128</t>
  </si>
  <si>
    <t>Livre - Les Points qui guérissent au féminin - 1 livre</t>
  </si>
  <si>
    <t>https://calebasse.com/produits/livre-les-points-qui-guerissent-au-feminin-4898?product=7103</t>
  </si>
  <si>
    <t>https://res.cloudinary.com/laboratoire-calebasse/image/upload/v1700488624/Les_points_qui_guerissent_au_feminin_f0e5524188.jpg</t>
  </si>
  <si>
    <t>sku-MA10128</t>
  </si>
  <si>
    <t>4898</t>
  </si>
  <si>
    <t>MA10129</t>
  </si>
  <si>
    <t>Livre - Acupression avec les huiles essentielles - 1 livre</t>
  </si>
  <si>
    <t>De Karin Parramore</t>
  </si>
  <si>
    <t>https://calebasse.com/produits/livre-acupression-avec-les-huiles-essentielles-4994?product=7205</t>
  </si>
  <si>
    <t>https://res.cloudinary.com/laboratoire-calebasse/image/upload/v1700313891/Acupression_83787f545e.jpg</t>
  </si>
  <si>
    <t>sku-MA10129</t>
  </si>
  <si>
    <t>4994</t>
  </si>
  <si>
    <t>MA10130</t>
  </si>
  <si>
    <t>Livre - Cahiers Cliniques d'acupuncture N°11 - 1 livre</t>
  </si>
  <si>
    <t>De Bernard DE WURSTEMBERGER - Robert DU BOIS</t>
  </si>
  <si>
    <t>https://calebasse.com/produits/livre-cahiers-cliniques-dacupuncture-n11-4996?product=7206</t>
  </si>
  <si>
    <t>https://res.cloudinary.com/laboratoire-calebasse/image/upload/v1700319265/Urologie_e37e4c12a7.jpg</t>
  </si>
  <si>
    <t>sku-MA10130</t>
  </si>
  <si>
    <t>4996</t>
  </si>
  <si>
    <t>MA10131</t>
  </si>
  <si>
    <t>Livre - Cahiers cliniques d'acupuncture n°10 - 1 livre</t>
  </si>
  <si>
    <t>De Jean-Pierre Roux et Bernard de Wurstemberger</t>
  </si>
  <si>
    <t>https://calebasse.com/produits/livre-cahiers-cliniques-dacupuncture-n10-4995?product=7207</t>
  </si>
  <si>
    <t>https://res.cloudinary.com/laboratoire-calebasse/image/upload/v1700647756/Affections_10_ff0c212cbf.jpg</t>
  </si>
  <si>
    <t>sku-MA10131</t>
  </si>
  <si>
    <t>4995</t>
  </si>
  <si>
    <t>MA10132</t>
  </si>
  <si>
    <t>Livre - Cahiers cliniques d'acupuncture n°12 - 1 livre</t>
  </si>
  <si>
    <t>Dr Marcel Schuler - Dr Bernard DE WURSTEMBERGER</t>
  </si>
  <si>
    <t>https://calebasse.com/produits/livre-cahiers-cliniques-dacupuncture-n12-4998?product=7208</t>
  </si>
  <si>
    <t>https://res.cloudinary.com/laboratoire-calebasse/image/upload/v1700649497/Psychiatrie_12_cf96b0f05b.jpg</t>
  </si>
  <si>
    <t>sku-MA10132</t>
  </si>
  <si>
    <t>4998</t>
  </si>
  <si>
    <t>MA10133</t>
  </si>
  <si>
    <t>Livre - La voie du calme - 1 livre</t>
  </si>
  <si>
    <t>De Ke WEN</t>
  </si>
  <si>
    <t>https://calebasse.com/produits/livre-la-voie-du-calme-4999?product=7209</t>
  </si>
  <si>
    <t>https://res.cloudinary.com/laboratoire-calebasse/image/upload/v1700650231/La_voie_du_calme_3709509292.jpg</t>
  </si>
  <si>
    <t>sku-MA10133</t>
  </si>
  <si>
    <t>4999</t>
  </si>
  <si>
    <t>MA10134</t>
  </si>
  <si>
    <t>Livre - Qi Gong et méditation pour les yeux - 1 livre</t>
  </si>
  <si>
    <t>De Ke Wen</t>
  </si>
  <si>
    <t>https://calebasse.com/produits/livre-qi-gong-et-meditation-pour-les-yeux-5000?product=7210</t>
  </si>
  <si>
    <t>https://res.cloudinary.com/laboratoire-calebasse/image/upload/v1700650969/QI_GONG_ET_MEDITATION_3b0638473a.jpg</t>
  </si>
  <si>
    <t>sku-MA10134</t>
  </si>
  <si>
    <t>5000</t>
  </si>
  <si>
    <t>MA10135</t>
  </si>
  <si>
    <t>Livre - Le livre de la pureté et du calme - Qing jing jing - 1 livre</t>
  </si>
  <si>
    <t>De Ke Wen et Sophie Faure</t>
  </si>
  <si>
    <t>https://calebasse.com/produits/livre-le-livre-de-la-purete-et-du-calme-qing-jing-jing-5001?product=7211</t>
  </si>
  <si>
    <t>https://res.cloudinary.com/laboratoire-calebasse/image/upload/v1700651765/Le_livre_de_la_purete_949f3b55f5.jpg</t>
  </si>
  <si>
    <t>sku-MA10135</t>
  </si>
  <si>
    <t>5001</t>
  </si>
  <si>
    <t>MA10136</t>
  </si>
  <si>
    <t>Livre - Entrez Dans la pratique du Qi Gong (DVD inclus) - 1 livre</t>
  </si>
  <si>
    <t>https://calebasse.com/produits/livre-entrez-dans-la-pratique-du-qi-gong-dvd-inclus-5074?product=7310</t>
  </si>
  <si>
    <t>https://res.cloudinary.com/laboratoire-calebasse/image/upload/v1713535538/Entrer_dans_la_pratique_de_qi_gong_58d226e8b3.jpg</t>
  </si>
  <si>
    <t>sku-MA10136</t>
  </si>
  <si>
    <t>5074</t>
  </si>
  <si>
    <t>MA10137</t>
  </si>
  <si>
    <t>Livre - Cahiers cliniques d’Acupuncture n°13 - 1 livre</t>
  </si>
  <si>
    <t>https://calebasse.com/produits/livre-cahiers-cliniques-dacupuncture-n13-5076?product=7314</t>
  </si>
  <si>
    <t>https://res.cloudinary.com/laboratoire-calebasse/image/upload/v1714986247/Allergologie_13_673fffd2fc.jpg</t>
  </si>
  <si>
    <t>sku-MA10137</t>
  </si>
  <si>
    <t>5076</t>
  </si>
  <si>
    <t>MA10138</t>
  </si>
  <si>
    <t>Livre - Cahiers cliniques d’Acupuncture n°14 - 1 livre</t>
  </si>
  <si>
    <t>de Léopold Kun et Bernard de Wurstemberger</t>
  </si>
  <si>
    <t>https://calebasse.com/produits/livre-cahiers-cliniques-dacupuncture-n14-5077?product=7315</t>
  </si>
  <si>
    <t>https://res.cloudinary.com/laboratoire-calebasse/image/upload/v1714986375/Odonto_14_348a5107e4.jpg</t>
  </si>
  <si>
    <t>sku-MA10138</t>
  </si>
  <si>
    <t>5077</t>
  </si>
  <si>
    <t>MA10139</t>
  </si>
  <si>
    <t>Livre - Cahiers cliniques d’Acupuncture n°15 - 1 livre</t>
  </si>
  <si>
    <t>de Robert Du Bois et Bernard de Wurstemberger</t>
  </si>
  <si>
    <t>https://calebasse.com/produits/livre-cahiers-cliniques-dacupuncture-n15-5078?product=7316</t>
  </si>
  <si>
    <t>https://res.cloudinary.com/laboratoire-calebasse/image/upload/v1714986510/Cardiologie_15_7692d4957b.jpg</t>
  </si>
  <si>
    <t>sku-MA10139</t>
  </si>
  <si>
    <t>5078</t>
  </si>
  <si>
    <t>MA10140</t>
  </si>
  <si>
    <t>Livre - Cahiers cliniques d’Acupuncture n°16 - 1 livre</t>
  </si>
  <si>
    <t>De Bernard De Wurstemberger et de Bernard Cygler</t>
  </si>
  <si>
    <t>https://calebasse.com/produits/livre-cahiers-cliniques-dacupuncture-n16-5079?product=7317</t>
  </si>
  <si>
    <t>https://res.cloudinary.com/laboratoire-calebasse/image/upload/v1714986547/Zang_fu_16_e77d63a3ff.jpg</t>
  </si>
  <si>
    <t>sku-MA10140</t>
  </si>
  <si>
    <t>5079</t>
  </si>
  <si>
    <t>MA10141</t>
  </si>
  <si>
    <t>Livre - Manuel d'acupuncture - 1 livre</t>
  </si>
  <si>
    <t>De Peter Deadman et Mazin Al-Khafaji</t>
  </si>
  <si>
    <t>https://calebasse.com/produits/livre-manuel-dacupuncture-5089?product=7326</t>
  </si>
  <si>
    <t>https://res.cloudinary.com/laboratoire-calebasse/image/upload/v1718966592/livre_e425ebed39.jpg</t>
  </si>
  <si>
    <t>sku-MA10141</t>
  </si>
  <si>
    <t>5089</t>
  </si>
  <si>
    <t>MA10142</t>
  </si>
  <si>
    <t>Livre-Herbes communes-Pharmacopée médecine chinoise - 1 livre</t>
  </si>
  <si>
    <t>De Pierre STERCKX &amp; Jun CHEN</t>
  </si>
  <si>
    <t>https://calebasse.com/produits/livre-herbes-communes-pharmacopee-medecine-chinoise-5094?product=7333</t>
  </si>
  <si>
    <t>https://res.cloudinary.com/laboratoire-calebasse/image/upload/v1720453338/herbes_communes_5b5c38efb7.jpg</t>
  </si>
  <si>
    <t>sku-MA10142</t>
  </si>
  <si>
    <t>5094</t>
  </si>
  <si>
    <t>MA10144</t>
  </si>
  <si>
    <t>Livre - A la découverte de l'acupuncture des cinq éléments - 1 livre</t>
  </si>
  <si>
    <t>De Franglen Nora et Burner Sylviane</t>
  </si>
  <si>
    <t>https://calebasse.com/produits/a-la-decouverte-de-lacupuncture-des-cinq-elements-5115?product=7384</t>
  </si>
  <si>
    <t>https://res.cloudinary.com/laboratoire-calebasse/image/upload/v1733824922/kj_T5_L_Js_S_24f6dc47b7.jpg</t>
  </si>
  <si>
    <t>sku-MA10144</t>
  </si>
  <si>
    <t>5115</t>
  </si>
  <si>
    <t>MA10145</t>
  </si>
  <si>
    <t>Livre : Acupuncture en salle d'accouchement - 1 livre</t>
  </si>
  <si>
    <t>De Caroline Viry et Djemila Zitout</t>
  </si>
  <si>
    <t>https://calebasse.com/produits/livre-acupuncture-en-salle-daccouchement-5116?product=7385</t>
  </si>
  <si>
    <t>https://res.cloudinary.com/laboratoire-calebasse/image/upload/v1733824969/ET_1wru_BP_c1e5b35afb.jpg</t>
  </si>
  <si>
    <t>sku-MA10145</t>
  </si>
  <si>
    <t>5116</t>
  </si>
  <si>
    <t>MA10146</t>
  </si>
  <si>
    <t>Livre : Acupuncture et médecine traditionnelle orientale. Prévention et thérapeutique - 1 livre</t>
  </si>
  <si>
    <t>De Tai-Thu Nguyen, J Bossy, F Guevin</t>
  </si>
  <si>
    <t>https://calebasse.com/produits/livre-acupuncture-et-medecine-traditionnelle-orientale-5142?product=7386</t>
  </si>
  <si>
    <t>https://res.cloudinary.com/laboratoire-calebasse/image/upload/v1733825057/4pyocpx_V_e6c132b71b.jpg</t>
  </si>
  <si>
    <t>sku-MA10146</t>
  </si>
  <si>
    <t>5142</t>
  </si>
  <si>
    <t>MA10147</t>
  </si>
  <si>
    <t>Livre : Acupuncture et Moxibustion - 1 livre</t>
  </si>
  <si>
    <t>De  Guo Changqing</t>
  </si>
  <si>
    <t>https://calebasse.com/produits/livre-acupuncture-et-moxibustion-5117?product=7387</t>
  </si>
  <si>
    <t>https://res.cloudinary.com/laboratoire-calebasse/image/upload/v1733825083/l_Os3omt_A_a1dcc1e0e2.jpg</t>
  </si>
  <si>
    <t>sku-MA10147</t>
  </si>
  <si>
    <t>5117</t>
  </si>
  <si>
    <t>MA10148</t>
  </si>
  <si>
    <t>Livre : Alternatives pour gérer le stress, le burnout et la dépression - 1 livre</t>
  </si>
  <si>
    <t>De Daniel Wuyts</t>
  </si>
  <si>
    <t>https://calebasse.com/produits/livre-alternatives-pour-gerer-le-stress-le-burn-out-et-la-depression-5118?product=7388</t>
  </si>
  <si>
    <t>https://res.cloudinary.com/laboratoire-calebasse/image/upload/v1733825099/T_Rl0_UA_Vv_e465fe8084.jpg</t>
  </si>
  <si>
    <t>sku-MA10148</t>
  </si>
  <si>
    <t>5118</t>
  </si>
  <si>
    <t>MA10149</t>
  </si>
  <si>
    <t>Livre : Association de points : la clé du succès en acupuncture - 1 livre</t>
  </si>
  <si>
    <t>De Jeremy Ross</t>
  </si>
  <si>
    <t>https://calebasse.com/produits/livre-associations-de-points-la-cle-du-succes-en-acupuncture-5119?product=7389</t>
  </si>
  <si>
    <t>https://res.cloudinary.com/laboratoire-calebasse/image/upload/v1733825146/mc2_S76ko_df550a4915.jpg</t>
  </si>
  <si>
    <t>sku-MA10149</t>
  </si>
  <si>
    <t>5119</t>
  </si>
  <si>
    <t>MA10150</t>
  </si>
  <si>
    <t>Livre : Atlas de poche du diagnostic par la langue en médecine chinoise, 2 ème édition - 1 livre</t>
  </si>
  <si>
    <t>De  Schnorrenberger C.C.</t>
  </si>
  <si>
    <t>https://calebasse.com/produits/livre-atlas-de-proche-du-diagnostic-par-la-langue-en-medecine-chinoise-2e-etidition-5120?product=7390</t>
  </si>
  <si>
    <t>https://res.cloudinary.com/laboratoire-calebasse/image/upload/v1733825189/k8_G3d_O_7_f507916440.jpg</t>
  </si>
  <si>
    <t>sku-MA10150</t>
  </si>
  <si>
    <t>5120</t>
  </si>
  <si>
    <t>MA10151</t>
  </si>
  <si>
    <t>Livre : Atlas des plantes médicinales de Chine - 1 livre</t>
  </si>
  <si>
    <t>De You-wa Chen</t>
  </si>
  <si>
    <t>https://calebasse.com/produits/livre-atlas-des-plantes-medicinales-de-chine-5143?product=7391</t>
  </si>
  <si>
    <t>https://res.cloudinary.com/laboratoire-calebasse/image/upload/v1733825215/Y_Rc_P_Kv_QL_7fb66204ef.jpg</t>
  </si>
  <si>
    <t>sku-MA10151</t>
  </si>
  <si>
    <t>5143</t>
  </si>
  <si>
    <t>MA10152</t>
  </si>
  <si>
    <t>Livre : Comprendre la médecine chinoise. La toile sans tisserand - 1 livre</t>
  </si>
  <si>
    <t>De Ted Kaptchuk</t>
  </si>
  <si>
    <t>https://calebasse.com/produits/livre-comprendre-la-medecine-chinoise-la-toile-sans-tisserand-5121?product=7392</t>
  </si>
  <si>
    <t>https://res.cloudinary.com/laboratoire-calebasse/image/upload/v1733825236/fx_F526cz_e5281b3380.jpg</t>
  </si>
  <si>
    <t>sku-MA10152</t>
  </si>
  <si>
    <t>5121</t>
  </si>
  <si>
    <t>MA10153</t>
  </si>
  <si>
    <t>Livre : Emergence - Origine et évolution de l'acupuncture dans le Classique de l'Interne - 1 livre</t>
  </si>
  <si>
    <t>De Jean-Louis LAFONT</t>
  </si>
  <si>
    <t>https://calebasse.com/produits/ivre-emergence-origine-et-evolution-de-lacupuncture-dans-le-classique-de-linterne-5144?product=7393</t>
  </si>
  <si>
    <t>https://res.cloudinary.com/laboratoire-calebasse/image/upload/v1733825259/erd_TEX_Sl_725751739d.jpg</t>
  </si>
  <si>
    <t>sku-MA10153</t>
  </si>
  <si>
    <t>5144</t>
  </si>
  <si>
    <t>MA10154</t>
  </si>
  <si>
    <t>Livre : Examen de la langue en Médecine Chinoise - 3e édition revue et augmentée - 1 livre</t>
  </si>
  <si>
    <t>De Giovani Maciocia</t>
  </si>
  <si>
    <t>https://calebasse.com/produits/livre-examen-de-la-langue-en-medecine-chinoise-3e-edition-5122?product=7394</t>
  </si>
  <si>
    <t>https://res.cloudinary.com/laboratoire-calebasse/image/upload/v1733825286/fkvt_Md_UE_3a960cf739.jpg</t>
  </si>
  <si>
    <t>sku-MA10154</t>
  </si>
  <si>
    <t>5122</t>
  </si>
  <si>
    <t>MA10155</t>
  </si>
  <si>
    <t>DVD : Gua sha - le massage par friction du dos - 1 DVD</t>
  </si>
  <si>
    <t>De Guo Changqing</t>
  </si>
  <si>
    <t>https://calebasse.com/produits/livre-guasha-le-massage-par-friction-du-dos-5145?product=7395</t>
  </si>
  <si>
    <t>https://res.cloudinary.com/laboratoire-calebasse/image/upload/v1733825303/s69_Fuj_Xd_c86e01231a.jpg</t>
  </si>
  <si>
    <t>sku-MA10155</t>
  </si>
  <si>
    <t>5145</t>
  </si>
  <si>
    <t>MA10156</t>
  </si>
  <si>
    <t>Livre : Guide pratique d'acupuncture pour la grossesse et l'accouchement - 1 livre</t>
  </si>
  <si>
    <t>De Debra Betts</t>
  </si>
  <si>
    <t>https://calebasse.com/produits/livre-guide-pratique-dacupuncture-pour-la-grossese-et-laccouchement-5123?product=7396</t>
  </si>
  <si>
    <t>https://res.cloudinary.com/laboratoire-calebasse/image/upload/v1733825438/x_X9pd9ab_4fd7ecbfe2.jpg</t>
  </si>
  <si>
    <t>sku-MA10156</t>
  </si>
  <si>
    <t>5123</t>
  </si>
  <si>
    <t>MA10157</t>
  </si>
  <si>
    <t>Livre : Gynécologie et obstétrique en médecine chinoise 2éd. - 1 livre</t>
  </si>
  <si>
    <t>https://calebasse.com/produits/livre-gynecologie-obstetrique-en-medecine-chinoise-seconde-etidion-5124?product=7397</t>
  </si>
  <si>
    <t>https://res.cloudinary.com/laboratoire-calebasse/image/upload/v1733825469/42_Wik_O4m_8fade780d3.jpg</t>
  </si>
  <si>
    <t>sku-MA10157</t>
  </si>
  <si>
    <t>5124</t>
  </si>
  <si>
    <t>MA10158</t>
  </si>
  <si>
    <t>Livre : Hypnose, qigong, meditation silencieuse - Cui mian qi gong ming xiang - 1 livre</t>
  </si>
  <si>
    <t>De Benjamin Watteau</t>
  </si>
  <si>
    <t>https://calebasse.com/produits/cuimian-qigong-mingxiang-livre-hypnose-qigong-meditation-silencieuse-5126?product=7398</t>
  </si>
  <si>
    <t>https://res.cloudinary.com/laboratoire-calebasse/image/upload/v1733825492/bdd_Tu_GXL_1e49d83b97.jpg</t>
  </si>
  <si>
    <t>sku-MA10158</t>
  </si>
  <si>
    <t>5126</t>
  </si>
  <si>
    <t>MA10159</t>
  </si>
  <si>
    <t>Livre : HYPNOSE ET ACUPUNCTURE EN ANESTHESIE - 1 livre</t>
  </si>
  <si>
    <t>De Jean-Michel Hérin</t>
  </si>
  <si>
    <t>https://calebasse.com/produits/livre-hypnose-and-acupuncture-en-anesthesie-5127?product=7399</t>
  </si>
  <si>
    <t>https://res.cloudinary.com/laboratoire-calebasse/image/upload/v1733825512/lc_Iti_J6_U_903b241383.jpg</t>
  </si>
  <si>
    <t>sku-MA10159</t>
  </si>
  <si>
    <t>5127</t>
  </si>
  <si>
    <t>MA10160</t>
  </si>
  <si>
    <t>Livre : La douleur en médecine chinoise: Diagnostic et traitement - 1 livre</t>
  </si>
  <si>
    <t>De Sun Peilin</t>
  </si>
  <si>
    <t>https://calebasse.com/produits/livre-la-douleur-en-medecine-chinoise-diagnostic-et-traitement-5128?product=7400</t>
  </si>
  <si>
    <t>https://res.cloudinary.com/laboratoire-calebasse/image/upload/v1733825571/MZ_9_Mjbho_7c67a6fa2c.jpg</t>
  </si>
  <si>
    <t>sku-MA10160</t>
  </si>
  <si>
    <t>5128</t>
  </si>
  <si>
    <t>MA10161</t>
  </si>
  <si>
    <t>Livre : La théorie des méridiens et ses applications en médecine chinoise - 1 livre</t>
  </si>
  <si>
    <t>De WANG JU-YI, ROBERTSON Jason D.</t>
  </si>
  <si>
    <t>https://calebasse.com/produits/livre-la-theorie-des-meridiens-et-ses-applications-en-medecine-chinoise-5129?product=7401</t>
  </si>
  <si>
    <t>https://res.cloudinary.com/laboratoire-calebasse/image/upload/v1733825658/b7_E_t_Mhe_b912ea28cb.jpg</t>
  </si>
  <si>
    <t>sku-MA10161</t>
  </si>
  <si>
    <t>5129</t>
  </si>
  <si>
    <t>MA10162</t>
  </si>
  <si>
    <t>Livre : Le manuel illustré des plantes médicinales chinoises - 1 livre</t>
  </si>
  <si>
    <t>https://calebasse.com/produits/livre-le-manuel-illustre-des-plantes-medicinales-chinoises-5130?product=7402</t>
  </si>
  <si>
    <t>https://res.cloudinary.com/laboratoire-calebasse/image/upload/v1733825688/r_ROZ_Ya_WW_4e3924da2d.jpg</t>
  </si>
  <si>
    <t>sku-MA10162</t>
  </si>
  <si>
    <t>5130</t>
  </si>
  <si>
    <t>MA10163</t>
  </si>
  <si>
    <t>Livre : Le Massage énergétique chinois - 1 livre</t>
  </si>
  <si>
    <t>De Qi Zhiping</t>
  </si>
  <si>
    <t>https://calebasse.com/produits/livre-le-massage-energetique-chinois-5131?product=7403</t>
  </si>
  <si>
    <t>https://res.cloudinary.com/laboratoire-calebasse/image/upload/v1733825715/0_U54e_Von_e7f7a4fd10.jpg</t>
  </si>
  <si>
    <t>sku-MA10163</t>
  </si>
  <si>
    <t>5131</t>
  </si>
  <si>
    <t>MA10164</t>
  </si>
  <si>
    <t>Livre : Les bases théoriques de la médecine chinoise traditionnelle - 1 livre</t>
  </si>
  <si>
    <t>https://calebasse.com/produits/livre-les-bases-theoriques-de-la-medecine-traditionelle-chinoise-5132?product=7404</t>
  </si>
  <si>
    <t>https://res.cloudinary.com/laboratoire-calebasse/image/upload/v1733825750/a6_P37a_FQ_e4801b4b2c.jpg</t>
  </si>
  <si>
    <t>sku-MA10164</t>
  </si>
  <si>
    <t>5132</t>
  </si>
  <si>
    <t>MA10165</t>
  </si>
  <si>
    <t>Livre : Les gardiens de l'âme : les cinq éléments protecteurs de l'acupuncture - 1 livre</t>
  </si>
  <si>
    <t>De Nora Franglen</t>
  </si>
  <si>
    <t>https://calebasse.com/produits/livre-les-gardiens-de-lame-les-cinq-elements-protecteurs-de-lacupuncture-5146?product=7405</t>
  </si>
  <si>
    <t>https://res.cloudinary.com/laboratoire-calebasse/image/upload/v1733825769/ohku3zss_40486b534b.jpg</t>
  </si>
  <si>
    <t>sku-MA10165</t>
  </si>
  <si>
    <t>5146</t>
  </si>
  <si>
    <t>MA10166</t>
  </si>
  <si>
    <t>Livre : Les points qui guerissent : massage, acupuncture, shiatsu - 1 livre</t>
  </si>
  <si>
    <t>https://calebasse.com/produits/livre-les-points-qui-guerissent-massage-acupuncture-shatsu-5147?product=7406</t>
  </si>
  <si>
    <t>https://res.cloudinary.com/laboratoire-calebasse/image/upload/v1733825808/B_Frzyi_Ot_479d9fc05d.jpg</t>
  </si>
  <si>
    <t>sku-MA10166</t>
  </si>
  <si>
    <t>5147</t>
  </si>
  <si>
    <t>MA10167</t>
  </si>
  <si>
    <t>Livre : Les points efficaces pour la depression mentale : massage, acupunture, shiatsu - 1 livre</t>
  </si>
  <si>
    <t>https://calebasse.com/produits/livre-les-points-efficaces-pour-la-depression-mentale-massage-acupuncture-shatsu-5133?product=7407</t>
  </si>
  <si>
    <t>https://res.cloudinary.com/laboratoire-calebasse/image/upload/v1733825831/W_i_Okji_R_fb0ed2b07a.jpg</t>
  </si>
  <si>
    <t>sku-MA10167</t>
  </si>
  <si>
    <t>5133</t>
  </si>
  <si>
    <t>MA10168</t>
  </si>
  <si>
    <t>Livre : Les points efficaces pour les maladies courantes : massage, acupuncture, shiatsu - 1 livre</t>
  </si>
  <si>
    <t>https://calebasse.com/produits/livre-les-points-efficaces-pour-les-maladies-courantes-massage-acupuncture-shiatsu-5148?product=7408</t>
  </si>
  <si>
    <t>https://res.cloudinary.com/laboratoire-calebasse/image/upload/v1733825849/SYDS_Rs_Eo_ff8448a6a1.jpg</t>
  </si>
  <si>
    <t>sku-MA10168</t>
  </si>
  <si>
    <t>5148</t>
  </si>
  <si>
    <t>MA10169</t>
  </si>
  <si>
    <t>Livre : Les Trésors de la Pharmacopée Chinoise - 1 livre</t>
  </si>
  <si>
    <t>De Li Ke</t>
  </si>
  <si>
    <t>https://calebasse.com/produits/livre-les-tresors-de-la-pharmacopee-chinoise-5134?product=7409</t>
  </si>
  <si>
    <t>https://res.cloudinary.com/laboratoire-calebasse/image/upload/v1733825868/w_Krs71_WT_d494b958be.jpg</t>
  </si>
  <si>
    <t>sku-MA10169</t>
  </si>
  <si>
    <t>5134</t>
  </si>
  <si>
    <t>MA10170</t>
  </si>
  <si>
    <t>Livre : L'hypnose Taoïste - 1 livre</t>
  </si>
  <si>
    <t>De Michel Vinogradoff</t>
  </si>
  <si>
    <t>https://calebasse.com/produits/livre-lhypnose-taoise-5135?product=7410</t>
  </si>
  <si>
    <t>https://res.cloudinary.com/laboratoire-calebasse/image/upload/v1733825895/H7045pyv_d59c608ef1.jpg</t>
  </si>
  <si>
    <t>sku-MA10170</t>
  </si>
  <si>
    <t>5135</t>
  </si>
  <si>
    <t>MA10171</t>
  </si>
  <si>
    <t>Livre : Manuel d'acupuncture des cinq éléments - 1 livre</t>
  </si>
  <si>
    <t>https://calebasse.com/produits/livre-manuel-dacupuncture-des-cinq-elements-5136?product=7411</t>
  </si>
  <si>
    <t>https://res.cloudinary.com/laboratoire-calebasse/image/upload/v1733825915/H8kpgl_Tt_32734231e4.jpg</t>
  </si>
  <si>
    <t>sku-MA10171</t>
  </si>
  <si>
    <t>5136</t>
  </si>
  <si>
    <t>MA10173</t>
  </si>
  <si>
    <t>Livre : Naissance et acupuncture (3e édition) - 1 livre</t>
  </si>
  <si>
    <t>De Berthe Salagnac</t>
  </si>
  <si>
    <t>https://calebasse.com/produits/livre-naissance-et-acupuncture-3e-edition-5137?product=7413</t>
  </si>
  <si>
    <t>https://res.cloudinary.com/laboratoire-calebasse/image/upload/v1733825959/0_kmhq6y_b8f2de7cb7.jpg</t>
  </si>
  <si>
    <t>sku-MA10173</t>
  </si>
  <si>
    <t>5137</t>
  </si>
  <si>
    <t>MA10174</t>
  </si>
  <si>
    <t>Livre : Regard sur la médecine traditionnelle chinoise - 1 livre</t>
  </si>
  <si>
    <t>De Jean Pélissier</t>
  </si>
  <si>
    <t>https://calebasse.com/produits/livre-regard-sur-la-medecine-traditionnelle-chinoise-5138?product=7414</t>
  </si>
  <si>
    <t>https://res.cloudinary.com/laboratoire-calebasse/image/upload/v1733825981/TW_7_N_Oe_CJ_8632b50fb2.jpg</t>
  </si>
  <si>
    <t>sku-MA10174</t>
  </si>
  <si>
    <t>5138</t>
  </si>
  <si>
    <t>MA10175</t>
  </si>
  <si>
    <t>Livre : Syndromes de BI - 1 livre</t>
  </si>
  <si>
    <t>De Luc Vangermeersch et Sun Pei-Lin</t>
  </si>
  <si>
    <t>https://calebasse.com/produits/bi-zheng-livre-syndromes-de-bi-5140?product=7415</t>
  </si>
  <si>
    <t>https://res.cloudinary.com/laboratoire-calebasse/image/upload/v1733825999/hy6q_O32w_3448dee39d.jpg</t>
  </si>
  <si>
    <t>sku-MA10175</t>
  </si>
  <si>
    <t>5140</t>
  </si>
  <si>
    <t>MA10176</t>
  </si>
  <si>
    <t>Livre : ZANG FU: ORGANES ET ENTRAILLES EN MEDECINE TRADITIONNELLE CHINOISE - 1 livre</t>
  </si>
  <si>
    <t>https://calebasse.com/produits/livre-organes-et-entrailles-en-medecine-traditionnelle-chinoise-110088?product=7416</t>
  </si>
  <si>
    <t>https://res.cloudinary.com/laboratoire-calebasse/image/upload/v1733826021/So9p_Ckx_R_15c536e38e.jpg</t>
  </si>
  <si>
    <t>sku-MA10176</t>
  </si>
  <si>
    <t>5141</t>
  </si>
  <si>
    <t>MA10177</t>
  </si>
  <si>
    <t>Gua sha en corne de buffle - 1 Pièce</t>
  </si>
  <si>
    <t>Pour stimuler les points du visage et du corps Ses principaux bienfaits : améliore l'apparence de la peau</t>
  </si>
  <si>
    <t>https://calebasse.com/produits/gua-sha-en-corne-de-buffle-5139?product=7417</t>
  </si>
  <si>
    <t>https://res.cloudinary.com/laboratoire-calebasse/image/upload/v1733922738/guasha_niujiao_1_0991721fc2.jpg</t>
  </si>
  <si>
    <t>sku-MA10177</t>
  </si>
  <si>
    <t>https://res.cloudinary.com/laboratoire-calebasse/image/upload/v1733912808/guasha_niujiao_3_e2906283a3.jpg; https://res.cloudinary.com/laboratoire-calebasse/image/upload/v1733912808/guasha_niujiao_4_18bf325595.jpg</t>
  </si>
  <si>
    <t>Santé &amp; Bien-être &gt; Outils de médecine traditionnelle chinoise &gt; Gua Sha, Ventouses et Massage &gt; EXAD</t>
  </si>
  <si>
    <t>5139</t>
  </si>
  <si>
    <t>5663</t>
  </si>
  <si>
    <t>MA10178</t>
  </si>
  <si>
    <t>Livre - Comprendre l'énergie en médecine chinoise: Les bases pour les débutants - 1 livre</t>
  </si>
  <si>
    <t>de Caroline Daviau</t>
  </si>
  <si>
    <t>https://calebasse.com/produits/livre-comprendre-lenergie-en-medecine-chinoise-les-bases-pour-les-debutants-5157?product=7442</t>
  </si>
  <si>
    <t>https://res.cloudinary.com/laboratoire-calebasse/image/upload/v1738920956/Comprendre_l_energie_44baffbea7.jpg</t>
  </si>
  <si>
    <t>sku-MA10178</t>
  </si>
  <si>
    <t>5157</t>
  </si>
  <si>
    <t>MA10179</t>
  </si>
  <si>
    <t>Guide illustré des plantes médicinales de la pharmacopée chinoise - 1 livre</t>
  </si>
  <si>
    <t>de Chen yueming</t>
  </si>
  <si>
    <t>https://calebasse.com/produits/guide-illustre-des-plantes-medicinales-de-la-pharmacopee-chinoise-5176?product=7485</t>
  </si>
  <si>
    <t>https://res.cloudinary.com/laboratoire-calebasse/image/upload/v1746623679/livre_plantes_medicinales_de_la_pharmacopee_chinoise_181afbbbb3.jpg</t>
  </si>
  <si>
    <t>sku-MA10179</t>
  </si>
  <si>
    <t>5176</t>
  </si>
  <si>
    <t>MA111</t>
  </si>
  <si>
    <t>Ceinture de moxibustion - Ai jiu bu dai - Rouge</t>
  </si>
  <si>
    <t>https://calebasse.com/produits/ai-jiu-bu-dai-ceinture-de-moxibustion-4586?product=6730</t>
  </si>
  <si>
    <t>https://res.cloudinary.com/laboratoire-calebasse/image/upload/v1712851066/_5f527c2390.jpg</t>
  </si>
  <si>
    <t>sku-MA111</t>
  </si>
  <si>
    <t>Santé &amp; Bien-être &gt; Médecine traditionnelle chinoise &gt;Moxibustion &gt; EXAD</t>
  </si>
  <si>
    <t>4586</t>
  </si>
  <si>
    <t>5849</t>
  </si>
  <si>
    <t>MA112</t>
  </si>
  <si>
    <t>Ceinture de moxibustion - Ai jiu bu dai - Gris</t>
  </si>
  <si>
    <t>https://calebasse.com/produits/ai-jiu-bu-dai-ceinture-de-moxibustion-4586?product=6729</t>
  </si>
  <si>
    <t>https://res.cloudinary.com/laboratoire-calebasse/image/upload/v1712850991/_fa3b99b6e7.jpg</t>
  </si>
  <si>
    <t>sku-MA112</t>
  </si>
  <si>
    <t>MA113</t>
  </si>
  <si>
    <t>Boule à thé - Lü cha qi - 1 Pièce</t>
  </si>
  <si>
    <t>Pour préparer facilement vos infusions.</t>
  </si>
  <si>
    <t>https://calebasse.com/produits/lu-cha-qi-boule-a-the-4585?product=6728</t>
  </si>
  <si>
    <t>https://res.cloudinary.com/laboratoire-calebasse/image/upload/v1668588261/boule_a_the_c878107e71.jpg</t>
  </si>
  <si>
    <t>sku-MA113</t>
  </si>
  <si>
    <t>4585</t>
  </si>
  <si>
    <t>MA163</t>
  </si>
  <si>
    <t>Gua sha en corne de Buffle - Gua sha ban - 1 Pièce</t>
  </si>
  <si>
    <t>Pour stimuler les points du visage. Ses principaux bienfaits : améliore l'apparence de la peau</t>
  </si>
  <si>
    <t>https://calebasse.com/produits/gua-sha-ban-gua-sha-en-corne-de-buffle-4599?product=6732</t>
  </si>
  <si>
    <t>https://res.cloudinary.com/laboratoire-calebasse/image/upload/v1669019079/2_1_e1ae8b485c.jpg</t>
  </si>
  <si>
    <t>sku-MA163</t>
  </si>
  <si>
    <t>4599</t>
  </si>
  <si>
    <t>MA168</t>
  </si>
  <si>
    <t>Pince à moxa - 1 Pièce</t>
  </si>
  <si>
    <t>https://calebasse.com/produits/pince-a-moxa-4676?product=6816</t>
  </si>
  <si>
    <t>https://res.cloudinary.com/laboratoire-calebasse/image/upload/v1671629954/PINCE_A_MOXA_0b142a7bf2.jpg</t>
  </si>
  <si>
    <t>sku-MA168</t>
  </si>
  <si>
    <t>4676</t>
  </si>
  <si>
    <t>MA172</t>
  </si>
  <si>
    <t>Ventouses en verre pour massage visage anti-rides – Set de 4 (Face cupping) - 1 lot</t>
  </si>
  <si>
    <t>Usage réservé aux professionnels uniquement. Ses principaux bienfaits : améliore l'apparence de la peau, stimule la circulation sanguine, décontracte les muscles</t>
  </si>
  <si>
    <t>https://calebasse.com/produits/bo-li-ba-guan-boite-de-ventouses-en-verre-4563?product=6712</t>
  </si>
  <si>
    <t>https://res.cloudinary.com/laboratoire-calebasse/image/upload/v1708942480/ventouses_en_verre_155e64bb18.jpg</t>
  </si>
  <si>
    <t>sku-MA172</t>
  </si>
  <si>
    <t>4563</t>
  </si>
  <si>
    <t>MA173</t>
  </si>
  <si>
    <t>Boîte pour aiguilles usagées - Qi zhen he - 1 Pièce</t>
  </si>
  <si>
    <t>Pour recueillir les aiguilles usagées. Ses principaux bienfaits : pour professionnels</t>
  </si>
  <si>
    <t>https://calebasse.com/produits/qi-zhen-he-boite-pour-aiguilles-usagees-4562?product=6711</t>
  </si>
  <si>
    <t>https://res.cloudinary.com/laboratoire-calebasse/image/upload/v1667939997/_aa54868cf6.jpg</t>
  </si>
  <si>
    <t>sku-MA173</t>
  </si>
  <si>
    <t>Santé &amp; Bien-être &gt; Médecine traditionnelle chinoise &gt; Acupuncture</t>
  </si>
  <si>
    <t>4562</t>
  </si>
  <si>
    <t>MA182</t>
  </si>
  <si>
    <t>Tube de moxibustion - Zhi zhi ai jiu he - 1 Unité</t>
  </si>
  <si>
    <t>https://calebasse.com/produits/zhi-zhi-ai-jiu-he-tube-de-moxibustion-4567?product=6721</t>
  </si>
  <si>
    <t>https://res.cloudinary.com/laboratoire-calebasse/image/upload/v1667942307/1_4be2fa3fb3.jpg</t>
  </si>
  <si>
    <t>sku-MA182</t>
  </si>
  <si>
    <t>https://res.cloudinary.com/laboratoire-calebasse/image/upload/v1736437208/Tube_de_moxibustion_lot_3_0f7068b420.jpg,https://res.cloudinary.com/laboratoire-calebasse/image/upload/v1736437725/Tube_de_moxibustion_lot_3_ouvert_c03ef80ba8.jpg</t>
  </si>
  <si>
    <t>4567</t>
  </si>
  <si>
    <t>MA211</t>
  </si>
  <si>
    <t>100 aiguilles sans tube -0,16 x 25 mm - 1 boîte d’aiguilles siliconées</t>
  </si>
  <si>
    <t>Usage réservé aux professionnels uniquement. Ses principaux bienfaits : pour professionnels</t>
  </si>
  <si>
    <t>https://calebasse.com/produits/100-aiguilles-sans-tube-016-x-25-mm-4574?product=6613</t>
  </si>
  <si>
    <t>https://res.cloudinary.com/laboratoire-calebasse/image/upload/v1668593087/aiguille25_3a998bac73.jpg</t>
  </si>
  <si>
    <t>sku-MA211</t>
  </si>
  <si>
    <t>Santé &amp; Bien-être &gt; Médecine traditionnelle chinoise &gt; Acupuncture &gt; Aiguilles</t>
  </si>
  <si>
    <t>4574</t>
  </si>
  <si>
    <t>MA211X11</t>
  </si>
  <si>
    <t>100 aiguilles sans tube -0,16 x 25 mm - 10 boîtes d’aiguilles siliconées + 1 gratuite</t>
  </si>
  <si>
    <t>https://calebasse.com/produits/100-aiguilles-sans-tube-016-x-25-mm-4574?product=6615</t>
  </si>
  <si>
    <t>sku-MA211X11</t>
  </si>
  <si>
    <t>MA212</t>
  </si>
  <si>
    <t>100 aiguilles sans tube - 0,16 x 40 mm - 1 boîte d’aiguilles siliconées</t>
  </si>
  <si>
    <t>https://calebasse.com/produits/100-aiguilles-sans-tube-016-x-40-mm-4575?product=6616</t>
  </si>
  <si>
    <t>https://res.cloudinary.com/laboratoire-calebasse/image/upload/v1668595419/aiguille40_49c2e7cad0.jpg</t>
  </si>
  <si>
    <t>sku-MA212</t>
  </si>
  <si>
    <t>4575</t>
  </si>
  <si>
    <t>MA212X11</t>
  </si>
  <si>
    <t>100 aiguilles sans tube - 0,16 x 40 mm - 10 boîtes d’aiguilles siliconées + 1 gratuite</t>
  </si>
  <si>
    <t>https://calebasse.com/produits/100-aiguilles-sans-tube-016-x-40-mm-4575?product=6617</t>
  </si>
  <si>
    <t>sku-MA212X11</t>
  </si>
  <si>
    <t>MA213</t>
  </si>
  <si>
    <t>Aiguilles sans tube - 0,18 x 13 mm - 100 aiguilles siliconées sans anneaux - Zhong Yan Tai He</t>
  </si>
  <si>
    <t>https://calebasse.com/produits/100-aiguilles-sans-tube-018-x-13-mm-4576?product=6618</t>
  </si>
  <si>
    <t>https://res.cloudinary.com/laboratoire-calebasse/image/upload/v1668595490/aiguille13_7379397886.jpg</t>
  </si>
  <si>
    <t>sku-MA213</t>
  </si>
  <si>
    <t>4576</t>
  </si>
  <si>
    <t>MA213X11</t>
  </si>
  <si>
    <t>Aiguilles sans tube - 0,18 x 13 mm - 10 boîtes d'aiguilles siliconées sans anneaux - Zhong Yan Tai He + 1 gratuite</t>
  </si>
  <si>
    <t>https://calebasse.com/produits/100-aiguilles-sans-tube-018-x-13-mm-4576?product=6619</t>
  </si>
  <si>
    <t>sku-MA213X11</t>
  </si>
  <si>
    <t>MA214</t>
  </si>
  <si>
    <t>Aiguilles sans tube -0,18 x 25 mm - 100 aiguilles siliconées sans anneaux - Zhong Yan Tai He</t>
  </si>
  <si>
    <t>https://calebasse.com/produits/100-aiguilles-sans-tube-018-x-25-mm-4611?product=6744</t>
  </si>
  <si>
    <t>sku-MA214</t>
  </si>
  <si>
    <t>4611</t>
  </si>
  <si>
    <t>MA214X11</t>
  </si>
  <si>
    <t>Aiguilles sans tube -0,18 x 25 mm - 10 boîtes d'aiguilles siliconées sans anneaux - Zhong Yan Tai He + 1 gratuite</t>
  </si>
  <si>
    <t>https://calebasse.com/produits/100-aiguilles-sans-tube-018-x-25-mm-4611?product=6745</t>
  </si>
  <si>
    <t>sku-MA214X11</t>
  </si>
  <si>
    <t>MA215</t>
  </si>
  <si>
    <t>100 aiguilles sans tube -0,18 x 40 mm - 1 boîte d’aiguilles siliconées</t>
  </si>
  <si>
    <t>https://calebasse.com/produits/100-aiguilles-sans-tube-018-x-40-mm-4577?product=6622</t>
  </si>
  <si>
    <t>sku-MA215</t>
  </si>
  <si>
    <t>4577</t>
  </si>
  <si>
    <t>MA215X11</t>
  </si>
  <si>
    <t>100 aiguilles sans tube -0,18 x 40 mm - 10 boîtes d’aiguilles siliconées + 1 gratuite</t>
  </si>
  <si>
    <t>https://calebasse.com/produits/100-aiguilles-sans-tube-018-x-40-mm-4577?product=6623</t>
  </si>
  <si>
    <t>sku-MA215X11</t>
  </si>
  <si>
    <t>MA221</t>
  </si>
  <si>
    <t>100 aiguilles sans tube -0,20 x 13 mm - 1 boîte d’aiguilles siliconées</t>
  </si>
  <si>
    <t>https://calebasse.com/produits/100-aiguilles-sans-tube-020-x-13-mm-4578?product=6624</t>
  </si>
  <si>
    <t>sku-MA221</t>
  </si>
  <si>
    <t>4578</t>
  </si>
  <si>
    <t>MA221X11</t>
  </si>
  <si>
    <t>100 aiguilles sans tube -0,20 x 13 mm - 10 boîtes d’aiguilles siliconées + 1 gratuite</t>
  </si>
  <si>
    <t>https://calebasse.com/produits/100-aiguilles-sans-tube-020-x-13-mm-4578?product=6625</t>
  </si>
  <si>
    <t>sku-MA221X11</t>
  </si>
  <si>
    <t>MA222</t>
  </si>
  <si>
    <t>100 aiguilles sans tube -0,20 x 30 mm - 1 boîte d’aiguilles siliconées</t>
  </si>
  <si>
    <t>https://calebasse.com/produits/100-aiguilles-sans-tube-020-x-30-mm-4579?product=6628</t>
  </si>
  <si>
    <t>https://res.cloudinary.com/laboratoire-calebasse/image/upload/v1668595841/aiguille30_6c44fc1ee4.jpg</t>
  </si>
  <si>
    <t>sku-MA222</t>
  </si>
  <si>
    <t>4579</t>
  </si>
  <si>
    <t>MA222X11</t>
  </si>
  <si>
    <t>100 aiguilles sans tube -0,20 x 30 mm - 10 boîtes d’aiguilles siliconées + 1 gratuite</t>
  </si>
  <si>
    <t>https://calebasse.com/produits/100-aiguilles-sans-tube-020-x-30-mm-4579?product=6629</t>
  </si>
  <si>
    <t>sku-MA222X11</t>
  </si>
  <si>
    <t>MA223</t>
  </si>
  <si>
    <t>100 aiguilles sans tube -0,22 x 13 mm - 1 boîte d’aiguilles siliconées</t>
  </si>
  <si>
    <t>https://calebasse.com/produits/100-aiguilles-sans-tube-022-x-13-mm-4580?product=6630</t>
  </si>
  <si>
    <t>sku-MA223</t>
  </si>
  <si>
    <t>4580</t>
  </si>
  <si>
    <t>MA223X11</t>
  </si>
  <si>
    <t>100 aiguilles sans tube -0,22 x 13 mm - 10 boîtes d’aiguilles siliconées + 1 gratuite</t>
  </si>
  <si>
    <t>https://calebasse.com/produits/100-aiguilles-sans-tube-022-x-13-mm-4580?product=6631</t>
  </si>
  <si>
    <t>sku-MA223X11</t>
  </si>
  <si>
    <t>MA224</t>
  </si>
  <si>
    <t>100 aiguilles sans tube -0,22 x 25 mm - 1 boîte d’aiguilles siliconées</t>
  </si>
  <si>
    <t>https://calebasse.com/produits/100-aiguilles-sans-tube-022-x-25-mm-4581?product=6632</t>
  </si>
  <si>
    <t>sku-MA224</t>
  </si>
  <si>
    <t>4581</t>
  </si>
  <si>
    <t>MA224X11</t>
  </si>
  <si>
    <t>100 aiguilles sans tube -0,22 x 25 mm - 10 boîtes d’aiguilles siliconées + 1 gratuite</t>
  </si>
  <si>
    <t>https://calebasse.com/produits/100-aiguilles-sans-tube-022-x-25-mm-4581?product=6633</t>
  </si>
  <si>
    <t>sku-MA224X11</t>
  </si>
  <si>
    <t>MA225</t>
  </si>
  <si>
    <t>100 aiguilles sans tube -0,22 x 30mm - 1 boîte d’aiguilles siliconées</t>
  </si>
  <si>
    <t>https://calebasse.com/produits/100-aiguilles-sans-tube-022-x-30mm-4582?product=6634</t>
  </si>
  <si>
    <t>sku-MA225</t>
  </si>
  <si>
    <t>4582</t>
  </si>
  <si>
    <t>MA225X11</t>
  </si>
  <si>
    <t>100 aiguilles sans tube -0,22 x 30mm - 10 boîtes d’aiguilles siliconées + 1 gratuite</t>
  </si>
  <si>
    <t>https://calebasse.com/produits/100-aiguilles-sans-tube-022-x-30mm-4582?product=6635</t>
  </si>
  <si>
    <t>sku-MA225X11</t>
  </si>
  <si>
    <t>MA231</t>
  </si>
  <si>
    <t>Aiguilles sans tube -0,22 x 40 mm - 100 aiguilles siliconées sans anneaux - Zhong Yan Tai He</t>
  </si>
  <si>
    <t>https://calebasse.com/produits/100-aiguilles-sans-tube-022-x-40-mm-4583?product=6636</t>
  </si>
  <si>
    <t>sku-MA231</t>
  </si>
  <si>
    <t>https://res.cloudinary.com/laboratoire-calebasse/image/upload/v1668595419/aiguille40_49c2e7cad0.jpg; https://res.cloudinary.com/laboratoire-calebasse/image/upload/v1758889039/aiguilles_comparison_52c177ad3b.jpg</t>
  </si>
  <si>
    <t>4583</t>
  </si>
  <si>
    <t>MA231X11</t>
  </si>
  <si>
    <t>Aiguilles sans tube -0,22 x 40 mm - 10 boîtes d'aiguilles siliconées sans anneaux - Zhong Yan Tai He + 1 gratuite</t>
  </si>
  <si>
    <t>https://calebasse.com/produits/100-aiguilles-sans-tube-022-x-40-mm-4583?product=6637</t>
  </si>
  <si>
    <t>sku-MA231X11</t>
  </si>
  <si>
    <t>MA232</t>
  </si>
  <si>
    <t>100 aiguilles sans tube -0,25 x 13 mm - 1 boîte d’aiguilles siliconées</t>
  </si>
  <si>
    <t>https://calebasse.com/produits/100-aiguilles-sans-tube-025-x-13-mm-4584?product=6638</t>
  </si>
  <si>
    <t>sku-MA232</t>
  </si>
  <si>
    <t>4584</t>
  </si>
  <si>
    <t>MA232X11</t>
  </si>
  <si>
    <t>100 aiguilles sans tube -0,25 x 13 mm - 10 boîtes d’aiguilles siliconées + 1 gratuite</t>
  </si>
  <si>
    <t>https://calebasse.com/produits/100-aiguilles-sans-tube-025-x-13-mm-4584?product=6639</t>
  </si>
  <si>
    <t>sku-MA232X11</t>
  </si>
  <si>
    <t>MA233</t>
  </si>
  <si>
    <t>Aiguilles sans tube -0,25 x 25 mm - 100 aiguilles siliconées sans anneaux - Zhong Yan Tai He</t>
  </si>
  <si>
    <t>https://calebasse.com/produits/100-aiguilles-sans-tube-025-x-25-mm-4587?product=6454</t>
  </si>
  <si>
    <t>https://res.cloudinary.com/laboratoire-calebasse/image/upload/v1654240924/0_25_25_964d7c0712.jpg</t>
  </si>
  <si>
    <t>sku-MA233</t>
  </si>
  <si>
    <t>https://res.cloudinary.com/laboratoire-calebasse/image/upload/v1676539687/0_25_25_784ea756f9.jpg</t>
  </si>
  <si>
    <t>4587</t>
  </si>
  <si>
    <t>MA233X11</t>
  </si>
  <si>
    <t>Aiguilles sans tube -0,25 x 25 mm - 10 boîtes d'aiguilles siliconées sans anneaux - Zhong Yan Tai He + 1 gratuite</t>
  </si>
  <si>
    <t>https://calebasse.com/produits/100-aiguilles-sans-tube-025-x-25-mm-4587?product=6463</t>
  </si>
  <si>
    <t>sku-MA233X11</t>
  </si>
  <si>
    <t>MA234</t>
  </si>
  <si>
    <t>100 aiguilles sans tube -0,25 x 30 mm - 1 boîte d’aiguilles siliconées</t>
  </si>
  <si>
    <t>https://calebasse.com/produits/100-aiguilles-sans-tube-025-x-30-mm-4588?product=6641</t>
  </si>
  <si>
    <t>sku-MA234</t>
  </si>
  <si>
    <t>4588</t>
  </si>
  <si>
    <t>MA234X11</t>
  </si>
  <si>
    <t>100 aiguilles sans tube -0,25 x 30 mm - 10 boîtes d’aiguilles siliconées + 1 gratuite</t>
  </si>
  <si>
    <t>https://calebasse.com/produits/100-aiguilles-sans-tube-025-x-30-mm-4588?product=6642</t>
  </si>
  <si>
    <t>sku-MA234X11</t>
  </si>
  <si>
    <t>MA235</t>
  </si>
  <si>
    <t>100 aiguilles sans tube -0,25 x 50 mm - 1 boîte d’aiguilles siliconées</t>
  </si>
  <si>
    <t>https://calebasse.com/produits/100-aiguilles-sans-tube-025-x-50-mm-4589?product=6644</t>
  </si>
  <si>
    <t>https://res.cloudinary.com/laboratoire-calebasse/image/upload/v1668597178/aiguille50_5161b5d2eb.jpg</t>
  </si>
  <si>
    <t>sku-MA235</t>
  </si>
  <si>
    <t>4589</t>
  </si>
  <si>
    <t>MA235X11</t>
  </si>
  <si>
    <t>100 aiguilles sans tube -0,25 x 50 mm - 10 boîtes d’aiguilles siliconées + 1 gratuite</t>
  </si>
  <si>
    <t>https://calebasse.com/produits/100-aiguilles-sans-tube-025-x-50-mm-4589?product=6645</t>
  </si>
  <si>
    <t>sku-MA235X11</t>
  </si>
  <si>
    <t>MA241</t>
  </si>
  <si>
    <t>100 aiguilles sans tube -0,16 x 15 mm - 1 boîte d’aiguilles siliconées</t>
  </si>
  <si>
    <t>https://calebasse.com/produits/100-aiguilles-sans-tube-016-x-15-mm-4590?product=6581</t>
  </si>
  <si>
    <t>https://res.cloudinary.com/laboratoire-calebasse/image/upload/v1668611176/aiguille15_92ec91090e.jpg</t>
  </si>
  <si>
    <t>sku-MA241</t>
  </si>
  <si>
    <t>4590</t>
  </si>
  <si>
    <t>MA241X11</t>
  </si>
  <si>
    <t>100 aiguilles sans tube -0,16 x 15 mm - 10 boîtes d’aiguilles siliconées + 1 gratuite</t>
  </si>
  <si>
    <t>https://calebasse.com/produits/100-aiguilles-sans-tube-016-x-15-mm-4590?product=6582</t>
  </si>
  <si>
    <t>sku-MA241X11</t>
  </si>
  <si>
    <t>MA242</t>
  </si>
  <si>
    <t>Aiguilles sans tube -0,20 x 25 mm - 100 aiguilles siliconées sans anneaux - Zhong Yan Tai He</t>
  </si>
  <si>
    <t>https://calebasse.com/produits/100-aiguilles-sans-tube-020-x-25-mm-4740?product=6626</t>
  </si>
  <si>
    <t>sku-MA242</t>
  </si>
  <si>
    <t>4740</t>
  </si>
  <si>
    <t>MA242X11</t>
  </si>
  <si>
    <t>Aiguilles sans tube -0,20 x 25 mm - 10 boîtes d'aiguilles siliconées sans anneaux - Zhong Yan Tai He + 1 gratuite</t>
  </si>
  <si>
    <t>https://calebasse.com/produits/100-aiguilles-sans-tube-020-x-25-mm-4740?product=6627</t>
  </si>
  <si>
    <t>sku-MA242X11</t>
  </si>
  <si>
    <t>MA243</t>
  </si>
  <si>
    <t>Aiguilles sans tube -0,25 x 40 mm - 100 aiguilles siliconées sans anneaux - Zhong Yan Tai He</t>
  </si>
  <si>
    <t>https://calebasse.com/produits/100-aiguilles-sans-tube-025-x-40-mm-4592?product=6455</t>
  </si>
  <si>
    <t>https://res.cloudinary.com/laboratoire-calebasse/image/upload/v1654241204/0_25_40_5_ab35a8539c.jpg</t>
  </si>
  <si>
    <t>sku-MA243</t>
  </si>
  <si>
    <t>4592</t>
  </si>
  <si>
    <t>MA243X11</t>
  </si>
  <si>
    <t>Aiguilles sans tube -0,25 x 40 mm - 10 boîtes d'aiguilles siliconées sans anneaux - Zhong Yan Tai He + 1 gratuite</t>
  </si>
  <si>
    <t>https://calebasse.com/produits/100-aiguilles-sans-tube-025-x-40-mm-4592?product=6465</t>
  </si>
  <si>
    <t>sku-MA243X11</t>
  </si>
  <si>
    <t>MA251</t>
  </si>
  <si>
    <t>Aiguilles sans tube -0,30 x 40 mm - 100 aiguilles siliconées sans anneaux - Zhong Yan Tai He</t>
  </si>
  <si>
    <t>https://calebasse.com/produits/100-aiguilles-sans-tube-030-x-40-mm-4593?product=6656</t>
  </si>
  <si>
    <t>sku-MA251</t>
  </si>
  <si>
    <t>4593</t>
  </si>
  <si>
    <t>MA251X11</t>
  </si>
  <si>
    <t>Aiguilles sans tube -0,30 x 40 mm - 10 boîtes d'aiguilles siliconées sans anneaux - Zhong Yan Tai He + 1 gratuite</t>
  </si>
  <si>
    <t>https://calebasse.com/produits/100-aiguilles-sans-tube-030-x-40-mm-4593?product=6657</t>
  </si>
  <si>
    <t>sku-MA251X11</t>
  </si>
  <si>
    <t>MA252</t>
  </si>
  <si>
    <t>100 aiguilles couteau -0,40 x 40 mm - 1 boîte d’aiguilles siliconées</t>
  </si>
  <si>
    <t>https://calebasse.com/produits/100-aiguilles-couteau-040-x-40-mm-4572?product=6727</t>
  </si>
  <si>
    <t>https://res.cloudinary.com/laboratoire-calebasse/image/upload/v1668588229/Lame_d_acupuncture_404b670809.jpg</t>
  </si>
  <si>
    <t>sku-MA252</t>
  </si>
  <si>
    <t>4572</t>
  </si>
  <si>
    <t>MA252X11</t>
  </si>
  <si>
    <t>100 aiguilles couteau -0,40 x 40 mm - 10 boîtes d’aiguilles siliconées + 1 gratuite</t>
  </si>
  <si>
    <t>https://calebasse.com/produits/100-aiguilles-couteau-040-x-40-mm-4572?product=6802</t>
  </si>
  <si>
    <t>sku-MA252X11</t>
  </si>
  <si>
    <t>MA253-AN3022-01</t>
  </si>
  <si>
    <t>Aiguilles à saignée à usage unique (23G) - Cai xue zhen - 1 boîte d’aiguilles siliconées</t>
  </si>
  <si>
    <t>https://calebasse.com/produits/cai-xue-zhen-aiguilles-a-saignee-a-usage-unique-23g-120102?product=7230</t>
  </si>
  <si>
    <t>https://res.cloudinary.com/laboratoire-calebasse/image/upload/v1701357092/_a2742b4475.jpg</t>
  </si>
  <si>
    <t>sku-MA253-AN3022-01</t>
  </si>
  <si>
    <t>5013</t>
  </si>
  <si>
    <t>MA254</t>
  </si>
  <si>
    <t>Aiguilles sans tube -0,20 x 40 mm - 100 aiguilles siliconées sans anneaux - Zhong Yan Tai He</t>
  </si>
  <si>
    <t>https://calebasse.com/produits/100-aiguilles-sans-tube-020-x-40-mm-5183?product=7491</t>
  </si>
  <si>
    <t>sku-MA254</t>
  </si>
  <si>
    <t>5183</t>
  </si>
  <si>
    <t>MA254X11</t>
  </si>
  <si>
    <t>Aiguilles sans tube -0,20 x 40 mm - 10 boîtes d'aiguilles siliconées sans anneaux - Zhong Yan Tai He + 1 gratuite</t>
  </si>
  <si>
    <t>https://calebasse.com/produits/100-aiguilles-sans-tube-020-x-40-mm-5183?product=7492</t>
  </si>
  <si>
    <t>sku-MA254X11</t>
  </si>
  <si>
    <t>MA261</t>
  </si>
  <si>
    <t>100 aiguilles sans tube -0,25 x 75 mm - 1 boîte d’aiguilles siliconées</t>
  </si>
  <si>
    <t>https://calebasse.com/produits/100-aiguilles-sans-tube-025-x-75-mm-4594?product=6457</t>
  </si>
  <si>
    <t>https://res.cloudinary.com/laboratoire-calebasse/image/upload/v1657542698/0_25x75_1_75aedd9bdc.jpg</t>
  </si>
  <si>
    <t>sku-MA261</t>
  </si>
  <si>
    <t>4594</t>
  </si>
  <si>
    <t>MA261X11</t>
  </si>
  <si>
    <t>100 aiguilles sans tube -0,25 x 75 mm - 10 boîtes d’aiguilles siliconées + 1 gratuite</t>
  </si>
  <si>
    <t>https://calebasse.com/produits/100-aiguilles-sans-tube-025-x-75-mm-4594?product=6474</t>
  </si>
  <si>
    <t>https://res.cloudinary.com/laboratoire-calebasse/image/upload/v1657542712/0_25x75_1_8cae390a56.jpg</t>
  </si>
  <si>
    <t>sku-MA261X11</t>
  </si>
  <si>
    <t>MA262</t>
  </si>
  <si>
    <t>100 aiguilles sans tube -0,30 x 13 mm - 1 boîte d’aiguilles siliconées</t>
  </si>
  <si>
    <t>https://calebasse.com/produits/100-aiguilles-sans-tube-030-x-13-mm-4595?product=6648</t>
  </si>
  <si>
    <t>sku-MA262</t>
  </si>
  <si>
    <t>4595</t>
  </si>
  <si>
    <t>MA262X11</t>
  </si>
  <si>
    <t>100 aiguilles sans tube -0,30 x 13 mm - 10 boîtes d’aiguilles siliconées + 1 gratuite</t>
  </si>
  <si>
    <t>https://calebasse.com/produits/100-aiguilles-sans-tube-030-x-13-mm-4595?product=6649</t>
  </si>
  <si>
    <t>sku-MA262X11</t>
  </si>
  <si>
    <t>MA263</t>
  </si>
  <si>
    <t>100 aiguilles sans tube -0,30 x 15 mm - 1 boîte d’aiguilles siliconées</t>
  </si>
  <si>
    <t>https://calebasse.com/produits/100-aiguilles-sans-tube-030-x-15-mm-4613?product=6746</t>
  </si>
  <si>
    <t>sku-MA263</t>
  </si>
  <si>
    <t>4613</t>
  </si>
  <si>
    <t>MA263X11</t>
  </si>
  <si>
    <t>100 aiguilles sans tube -0,30 x 15 mm - 10 boîtes d’aiguilles siliconées + 1 gratuite</t>
  </si>
  <si>
    <t>https://calebasse.com/produits/100-aiguilles-sans-tube-030-x-15-mm-4613?product=6747</t>
  </si>
  <si>
    <t>sku-MA263X11</t>
  </si>
  <si>
    <t>MA264</t>
  </si>
  <si>
    <t>100 aiguilles sans tube -0,30 x 25 mm - 1 boîte d’aiguilles siliconées</t>
  </si>
  <si>
    <t>https://calebasse.com/produits/100-aiguilles-sans-tube-030-x-25-mm-4596?product=6652</t>
  </si>
  <si>
    <t>sku-MA264</t>
  </si>
  <si>
    <t>4596</t>
  </si>
  <si>
    <t>MA264X11</t>
  </si>
  <si>
    <t>100 aiguilles sans tube -0,30 x 25 mm - 10 boîtes d’aiguilles siliconées + 1 gratuite</t>
  </si>
  <si>
    <t>https://calebasse.com/produits/100-aiguilles-sans-tube-030-x-25-mm-4596?product=6653</t>
  </si>
  <si>
    <t>sku-MA264X11</t>
  </si>
  <si>
    <t>MA265</t>
  </si>
  <si>
    <t>100 aiguilles sans tube -0,30 x 30 mm - 1 boîte d’aiguilles siliconées</t>
  </si>
  <si>
    <t>https://calebasse.com/produits/100-aiguilles-sans-tube-030-x-30-mm-4597?product=6654</t>
  </si>
  <si>
    <t>sku-MA265</t>
  </si>
  <si>
    <t>4597</t>
  </si>
  <si>
    <t>MA265X11</t>
  </si>
  <si>
    <t>100 aiguilles sans tube -0,30 x 30 mm - 10 boîtes d’aiguilles siliconées + 1 gratuite</t>
  </si>
  <si>
    <t>https://calebasse.com/produits/100-aiguilles-sans-tube-030-x-30-mm-4597?product=6655</t>
  </si>
  <si>
    <t>sku-MA265X11</t>
  </si>
  <si>
    <t>MA271</t>
  </si>
  <si>
    <t>100 aiguilles sans tube -0,30 x 50 mm - 1 boîte d’aiguilles siliconées</t>
  </si>
  <si>
    <t>https://calebasse.com/produits/100-aiguilles-sans-tube-030-x-50-mm-4598?product=6658</t>
  </si>
  <si>
    <t>sku-MA271</t>
  </si>
  <si>
    <t>4598</t>
  </si>
  <si>
    <t>MA271X11</t>
  </si>
  <si>
    <t>100 aiguilles sans tube -0,30 x 50 mm - 10 boîtes d’aiguilles siliconées + 1 gratuite</t>
  </si>
  <si>
    <t>https://calebasse.com/produits/100-aiguilles-sans-tube-030-x-50-mm-4598?product=6659</t>
  </si>
  <si>
    <t>sku-MA271X11</t>
  </si>
  <si>
    <t>MA272</t>
  </si>
  <si>
    <t>100 aiguilles sans tube -0,30 x 60 mm - 1 boîte d’aiguilles siliconées</t>
  </si>
  <si>
    <t>https://calebasse.com/produits/100-aiguilles-sans-tube-030-x-60-mm-4600?product=6660</t>
  </si>
  <si>
    <t>https://res.cloudinary.com/laboratoire-calebasse/image/upload/v1668597621/aiguille60_5fe7024ab5.jpg</t>
  </si>
  <si>
    <t>sku-MA272</t>
  </si>
  <si>
    <t>4600</t>
  </si>
  <si>
    <t>MA272X11</t>
  </si>
  <si>
    <t>100 aiguilles sans tube -0,30 x 60 mm - 10 boîtes d’aiguilles siliconées + 1 gratuite</t>
  </si>
  <si>
    <t>https://calebasse.com/produits/100-aiguilles-sans-tube-030-x-60-mm-4600?product=6661</t>
  </si>
  <si>
    <t>sku-MA272X11</t>
  </si>
  <si>
    <t>MA273</t>
  </si>
  <si>
    <t>100 aiguilles sans tube -0,30 x 75 mm - 1 boîte d’aiguilles siliconées</t>
  </si>
  <si>
    <t>https://calebasse.com/produits/100-aiguilles-sans-tube-030-x-75-mm-4601?product=6662</t>
  </si>
  <si>
    <t>https://res.cloudinary.com/laboratoire-calebasse/image/upload/v1668597664/aiguille75_ac3afd7782.jpg</t>
  </si>
  <si>
    <t>sku-MA273</t>
  </si>
  <si>
    <t>4601</t>
  </si>
  <si>
    <t>MA273X11</t>
  </si>
  <si>
    <t>100 aiguilles sans tube -0,30 x 75 mm - 10 boîtes d’aiguilles siliconées + 1 gratuite</t>
  </si>
  <si>
    <t>https://calebasse.com/produits/100-aiguilles-sans-tube-030-x-75-mm-4601?product=6663</t>
  </si>
  <si>
    <t>sku-MA273X11</t>
  </si>
  <si>
    <t>MA274</t>
  </si>
  <si>
    <t>100 aiguilles sans tube -0,35 x 25 mm - 1 boîte d’aiguilles siliconées</t>
  </si>
  <si>
    <t>https://calebasse.com/produits/100-aiguilles-sans-tube-035-x-25-mm-4602?product=6666</t>
  </si>
  <si>
    <t>sku-MA274</t>
  </si>
  <si>
    <t>4602</t>
  </si>
  <si>
    <t>MA274X11</t>
  </si>
  <si>
    <t>100 aiguilles sans tube -0,35 x 25 mm - 10 boîtes d’aiguilles siliconées + 1 gratuite</t>
  </si>
  <si>
    <t>https://calebasse.com/produits/100-aiguilles-sans-tube-035-x-25-mm-4602?product=6667</t>
  </si>
  <si>
    <t>sku-MA274X11</t>
  </si>
  <si>
    <t>MA275</t>
  </si>
  <si>
    <t>100 aiguilles sans tube -0,35 x 40 mm - 1 boîte d’aiguilles siliconées</t>
  </si>
  <si>
    <t>https://calebasse.com/produits/100-aiguilles-sans-tube-035-x-40-mm-4603?product=6668</t>
  </si>
  <si>
    <t>sku-MA275</t>
  </si>
  <si>
    <t>4603</t>
  </si>
  <si>
    <t>MA275X11</t>
  </si>
  <si>
    <t>100 aiguilles sans tube -0,35 x 40 mm - 10 boîtes d’aiguilles siliconées + 1 gratuite</t>
  </si>
  <si>
    <t>https://calebasse.com/produits/100-aiguilles-sans-tube-035-x-40-mm-4603?product=6669</t>
  </si>
  <si>
    <t>sku-MA275X11</t>
  </si>
  <si>
    <t>MA283</t>
  </si>
  <si>
    <t>100 aiguilles sans tube -0,35 x 50 mm - 1 boîte d’aiguilles siliconées</t>
  </si>
  <si>
    <t>https://calebasse.com/produits/100-aiguilles-sans-tube-035-x-50-mm-4604?product=6670</t>
  </si>
  <si>
    <t>sku-MA283</t>
  </si>
  <si>
    <t>4604</t>
  </si>
  <si>
    <t>MA283X11</t>
  </si>
  <si>
    <t>100 aiguilles sans tube -0,35 x 50 mm - 10 boîtes d’aiguilles siliconées + 1 gratuite</t>
  </si>
  <si>
    <t>https://calebasse.com/produits/100-aiguilles-sans-tube-035-x-50-mm-4604?product=6671</t>
  </si>
  <si>
    <t>sku-MA283X11</t>
  </si>
  <si>
    <t>MA284</t>
  </si>
  <si>
    <t>Aiguilles d'acupuncture sans tube 0,35 x 60 mm - 100 aiguilles siliconées sans anneaux - Zhong Yan Tai He</t>
  </si>
  <si>
    <t>https://calebasse.com/produits/100-aiguilles-dacupuncture-sans-tube-035-x-60-mm-4605?product=6672</t>
  </si>
  <si>
    <t>sku-MA284</t>
  </si>
  <si>
    <t>4605</t>
  </si>
  <si>
    <t>MA284X11</t>
  </si>
  <si>
    <t>Aiguilles d'acupuncture sans tube 0,35 x 60 mm - 10 boîtes d'aiguilles siliconées sans anneaux - Zhong Yan Tai He + 1 gratuite</t>
  </si>
  <si>
    <t>https://calebasse.com/produits/100-aiguilles-dacupuncture-sans-tube-035-x-60-mm-4605?product=6673</t>
  </si>
  <si>
    <t>sku-MA284X11</t>
  </si>
  <si>
    <t>MA285</t>
  </si>
  <si>
    <t>100 aiguilles sans tube -0,35 x 75 mm - 1 boîte d’aiguilles siliconées</t>
  </si>
  <si>
    <t>https://calebasse.com/produits/100-aiguilles-sans-tube-035-x-75-mm-4614?product=6748</t>
  </si>
  <si>
    <t>sku-MA285</t>
  </si>
  <si>
    <t>4614</t>
  </si>
  <si>
    <t>MA285X11</t>
  </si>
  <si>
    <t>100 aiguilles sans tube -0,35 x 75 mm - 10 boîtes d’aiguilles siliconées + 1 gratuite</t>
  </si>
  <si>
    <t>https://calebasse.com/produits/100-aiguilles-sans-tube-035-x-75-mm-4614?product=6749</t>
  </si>
  <si>
    <t>sku-MA285X11</t>
  </si>
  <si>
    <t>MA321</t>
  </si>
  <si>
    <t>Patchs auriculaires - Wang bu liu xue wei ya li ci ji tie - 1 Boîte Patchs auriculaires</t>
  </si>
  <si>
    <t>https://calebasse.com/produits/wang-bu-liu-xue-wei-ya-li-ci-ji-tie-patchs-auriculaires-4647?product=6803</t>
  </si>
  <si>
    <t>https://res.cloudinary.com/laboratoire-calebasse/image/upload/v1683211656/_4fd6684c83.jpg</t>
  </si>
  <si>
    <t>sku-MA321</t>
  </si>
  <si>
    <t>Santé &amp; Bien-être &gt; Médecine traditionnelle chinoise &gt; Acupuncture &gt; EXAD</t>
  </si>
  <si>
    <t>4647</t>
  </si>
  <si>
    <t>MA323-AR0002</t>
  </si>
  <si>
    <t>Patchs auriculaires - Er Xue Tie - 1 Boîte Patchs auriculaires</t>
  </si>
  <si>
    <t>https://calebasse.com/produits/er-xue-tie-patchs-auriculaires-4954?product=7162</t>
  </si>
  <si>
    <t>https://res.cloudinary.com/laboratoire-calebasse/image/upload/v1700039662/_bddcfb0d01.png</t>
  </si>
  <si>
    <t>sku-MA323-AR0002</t>
  </si>
  <si>
    <t>4954</t>
  </si>
  <si>
    <t>MA331</t>
  </si>
  <si>
    <t>Tenue souple de Qi Gong - S</t>
  </si>
  <si>
    <t>https://calebasse.com/produits/tenue-souple-de-qi-gong-5010?product=7220</t>
  </si>
  <si>
    <t>https://res.cloudinary.com/laboratoire-calebasse/image/upload/v1700843708/vetement1_68e7651e09.jpg</t>
  </si>
  <si>
    <t>sku-MA331</t>
  </si>
  <si>
    <t>Santé &amp; Bien-être &gt; Outils de médecine traditionnelle chinoise &gt; vêtements Qi gong &gt; EXAD</t>
  </si>
  <si>
    <t>5010</t>
  </si>
  <si>
    <t>MA332</t>
  </si>
  <si>
    <t>Tenue souple de Qi Gong - M</t>
  </si>
  <si>
    <t>https://calebasse.com/produits/tenue-souple-de-qi-gong-5010?product=7221</t>
  </si>
  <si>
    <t>https://res.cloudinary.com/laboratoire-calebasse/image/upload/v1700843824/vetement_dos_4ffe4bba7a.jpg</t>
  </si>
  <si>
    <t>sku-MA332</t>
  </si>
  <si>
    <t>MA333</t>
  </si>
  <si>
    <t>Tenue souple de Qi Gong - L</t>
  </si>
  <si>
    <t>https://calebasse.com/produits/tenue-souple-de-qi-gong-5010?product=7222</t>
  </si>
  <si>
    <t>https://res.cloudinary.com/laboratoire-calebasse/image/upload/v1700843749/vetement_3_45bc2bbee3.jpg</t>
  </si>
  <si>
    <t>sku-MA333</t>
  </si>
  <si>
    <t>MA341</t>
  </si>
  <si>
    <t>Tenue souple de Qi Gong - XL</t>
  </si>
  <si>
    <t>https://calebasse.com/produits/tenue-souple-de-qi-gong-5010?product=7223</t>
  </si>
  <si>
    <t>https://res.cloudinary.com/laboratoire-calebasse/image/upload/v1700843781/vetement_4_a970f36fd9.jpg</t>
  </si>
  <si>
    <t>sku-MA341</t>
  </si>
  <si>
    <t>MA342</t>
  </si>
  <si>
    <t>Tenue souple de Qi Gong - XXL</t>
  </si>
  <si>
    <t>https://calebasse.com/produits/tenue-souple-de-qi-gong-5010?product=7224</t>
  </si>
  <si>
    <t>https://res.cloudinary.com/laboratoire-calebasse/image/upload/v1700844547/vetement_face_720_850ca10acb.jpg</t>
  </si>
  <si>
    <t>sku-MA342</t>
  </si>
  <si>
    <t>MA351</t>
  </si>
  <si>
    <t>Boite d’aiguilles semi-permanente (ASP) en acier - 0,35 x 2,1 mm - Qin zhen (yin se) - 0,35 x 2,1 mm - 1 boîte d’aiguilles siliconées</t>
  </si>
  <si>
    <t>https://calebasse.com/produits/qin-zhen-yin-se-035-x-21-mm-boite-daiguilles-semi-permanente-asp-en-acier-035-x-21-mm-4571?product=6726</t>
  </si>
  <si>
    <t>https://res.cloudinary.com/laboratoire-calebasse/image/upload/v1667992668/silver2_4ebc74cdd6.jpg</t>
  </si>
  <si>
    <t>sku-MA351</t>
  </si>
  <si>
    <t>4571</t>
  </si>
  <si>
    <t>MA353</t>
  </si>
  <si>
    <t>Boite de 100 aiguilles - Boite de punaises avec sparadrap - 0,22 x 1,5 mm - Qin zhen - 0,22 x 1,5 mm - 1 boîte d’aiguilles siliconées</t>
  </si>
  <si>
    <t>https://calebasse.com/produits/qin-zhen-022-x-15-mm-boite-de-100-aiguilles-boite-de-punaises-avec-sparadrap-022-x-15-mm-4677?product=6815</t>
  </si>
  <si>
    <t>https://res.cloudinary.com/laboratoire-calebasse/image/upload/v1671630667/_e0bcbc12e3.jpg</t>
  </si>
  <si>
    <t>sku-MA353</t>
  </si>
  <si>
    <t>4677</t>
  </si>
  <si>
    <t>MA361-HMZ</t>
  </si>
  <si>
    <t>Coussin apaisant au jasmin et sarrasin - Hao Mai Zhen - 1 Pièce</t>
  </si>
  <si>
    <t>Idéal pour la prise de pouls - 22cmx13cm</t>
  </si>
  <si>
    <t>https://calebasse.com/produits/hao-mai-zhen-coussin-pour-le-pouls-4981?product=7190</t>
  </si>
  <si>
    <t>https://res.cloudinary.com/laboratoire-calebasse/image/upload/v1699458223/_e42dd72628.png</t>
  </si>
  <si>
    <t>sku-MA361-HMZ</t>
  </si>
  <si>
    <t>Santé &amp; Bien-être &gt; Outils de médecine traditionnelle chinoise &gt; EXAD</t>
  </si>
  <si>
    <t>4981</t>
  </si>
  <si>
    <t>MA362</t>
  </si>
  <si>
    <t>Modèle d'exercice pour acupuncture - 8 cm - Zhi li zhi fa lian xi mo xing - 1 Pièce</t>
  </si>
  <si>
    <t>https://calebasse.com/produits/zhi-li-zhi-fa-lian-xi-mo-xing-modele-dexercice-pour-acupuncture-8-cm-5006?product=7216</t>
  </si>
  <si>
    <t>https://res.cloudinary.com/laboratoire-calebasse/image/upload/v1708944008/_db1b5b1f05.png</t>
  </si>
  <si>
    <t>sku-MA362</t>
  </si>
  <si>
    <t>5006</t>
  </si>
  <si>
    <t>MA371</t>
  </si>
  <si>
    <t>Boîte de moxibustion en bambou - Zhu zhi ai jiu he - 1 Pièce</t>
  </si>
  <si>
    <t>https://calebasse.com/produits/zhu-zhi-ai-jiu-he-boite-de-moxibustion-en-bambou-4566?product=6715</t>
  </si>
  <si>
    <t>https://res.cloudinary.com/laboratoire-calebasse/image/upload/v1667941722/_f463f5a951.jpg</t>
  </si>
  <si>
    <t>sku-MA371</t>
  </si>
  <si>
    <t>4566</t>
  </si>
  <si>
    <t>MA372</t>
  </si>
  <si>
    <t>https://calebasse.com/produits/zhu-zhi-ai-jiu-he-boite-de-moxibustion-en-bambou-4566?product=6716</t>
  </si>
  <si>
    <t>https://res.cloudinary.com/laboratoire-calebasse/image/upload/v1667941814/_ee9dee88f3.jpg</t>
  </si>
  <si>
    <t>sku-MA372</t>
  </si>
  <si>
    <t>MA373</t>
  </si>
  <si>
    <t>https://calebasse.com/produits/zhu-zhi-ai-jiu-he-boite-de-moxibustion-en-bambou-4566?product=6717</t>
  </si>
  <si>
    <t>https://res.cloudinary.com/laboratoire-calebasse/image/upload/v1668592531/boite_de_moxibustion_en_bambou_3_trous_d0e7f4e43f.jpg</t>
  </si>
  <si>
    <t>sku-MA373</t>
  </si>
  <si>
    <t>MA381</t>
  </si>
  <si>
    <t>https://calebasse.com/produits/zhu-zhi-ai-jiu-he-boite-de-moxibustion-en-bambou-4566?product=6718</t>
  </si>
  <si>
    <t>https://res.cloudinary.com/laboratoire-calebasse/image/upload/v1667941921/_04fc140092.jpg</t>
  </si>
  <si>
    <t>sku-MA381</t>
  </si>
  <si>
    <t>MA382</t>
  </si>
  <si>
    <t>https://calebasse.com/produits/zhu-zhi-ai-jiu-he-boite-de-moxibustion-en-bambou-4566?product=6719</t>
  </si>
  <si>
    <t>https://res.cloudinary.com/laboratoire-calebasse/image/upload/v1667941976/_cf203fecc3.jpg</t>
  </si>
  <si>
    <t>sku-MA382</t>
  </si>
  <si>
    <t>MA383-MB1060</t>
  </si>
  <si>
    <t>Boîte à Moxa pour 3 rouleaux de moxa avec couvercle - 1 Pièce</t>
  </si>
  <si>
    <t>https://calebasse.com/produits/boite-a-moxa-pour-3-rouleaux-de-moxa-avec-couvercle-4914?product=7122</t>
  </si>
  <si>
    <t>https://res.cloudinary.com/laboratoire-calebasse/image/upload/v1699287988/_e1e79ab743.png</t>
  </si>
  <si>
    <t>sku-MA383-MB1060</t>
  </si>
  <si>
    <t>4914</t>
  </si>
  <si>
    <t>MA394</t>
  </si>
  <si>
    <t>Aiguilles couteau -0,35 x 50 mm - 100 aiguilles siliconées avec anneaux - Zhong Yan Tai He</t>
  </si>
  <si>
    <t>Usage réservé aux professionnels uniquement. Attention, ce ne sont pas des aiguilles traditionnelles. Acheter seulement si vous savez manier des aiguilles-couteaux. Ses principaux bienfaits : pour professionnels</t>
  </si>
  <si>
    <t>https://calebasse.com/produits/100-aiguilles-couteau-035-x-50-mm-4651?product=6702</t>
  </si>
  <si>
    <t>https://res.cloudinary.com/laboratoire-calebasse/image/upload/v1758876651/L_0_3550mm_084da1688a.jpg</t>
  </si>
  <si>
    <t>sku-MA394</t>
  </si>
  <si>
    <t>https://res.cloudinary.com/laboratoire-calebasse/image/upload/v1758876651/L_0_3550mm_084da1688a.jpg; https://res.cloudinary.com/laboratoire-calebasse/image/upload/v1758786062/aiguilles_couteau_comparison_39f9519cc9.jpg</t>
  </si>
  <si>
    <t>4651</t>
  </si>
  <si>
    <t>MA394X10</t>
  </si>
  <si>
    <t>Aiguilles couteau -0,35 x 50 mm - 10 boîtes d'aiguilles siliconées avec anneaux - Zhong Yan Tai He + 1 gratuite</t>
  </si>
  <si>
    <t>https://calebasse.com/produits/100-aiguilles-couteau-035-x-50-mm-4651?product=6703</t>
  </si>
  <si>
    <t>sku-MA394X10</t>
  </si>
  <si>
    <t>MA395</t>
  </si>
  <si>
    <t>100 aiguilles couteau -0,40 x 75 mm - 1 boîte d’aiguilles siliconées</t>
  </si>
  <si>
    <t>https://calebasse.com/produits/100-aiguilles-couteau-040-x-75-mm-4652?product=6684</t>
  </si>
  <si>
    <t>https://res.cloudinary.com/laboratoire-calebasse/image/upload/v1672995535/Lame_d_acupuncture75_09dc91c652.jpg</t>
  </si>
  <si>
    <t>sku-MA395</t>
  </si>
  <si>
    <t>4652</t>
  </si>
  <si>
    <t>MA395X10</t>
  </si>
  <si>
    <t>100 aiguilles couteau -0,40 x 75 mm - 10 boîtes d’aiguilles siliconées + 1 gratuite</t>
  </si>
  <si>
    <t>https://calebasse.com/produits/100-aiguilles-couteau-040-x-75-mm-4652?product=6685</t>
  </si>
  <si>
    <t>sku-MA395X10</t>
  </si>
  <si>
    <t>MA396</t>
  </si>
  <si>
    <t>Aiguilles couteau -0,50 x 40 mm - 100 aiguilles siliconées avec anneaux - Zhong Yan Tai He</t>
  </si>
  <si>
    <t>https://calebasse.com/produits/100-aiguilles-couteau-050-x-40-mm-4653?product=6686</t>
  </si>
  <si>
    <t>https://res.cloudinary.com/laboratoire-calebasse/image/upload/v1758876651/L_0_5040mm_9560668210.jpg</t>
  </si>
  <si>
    <t>sku-MA396</t>
  </si>
  <si>
    <t>https://res.cloudinary.com/laboratoire-calebasse/image/upload/v1758876651/L_0_5040mm_9560668210.jpg; https://res.cloudinary.com/laboratoire-calebasse/image/upload/v1758635847/aiguilles_couteau_comparison_2fc66f4329.jpg</t>
  </si>
  <si>
    <t>4653</t>
  </si>
  <si>
    <t>MA396X10</t>
  </si>
  <si>
    <t>Aiguilles couteau -0,50 x 40 mm - 10 boîtes d'aiguilles siliconées avec anneaux - Zhong Yan Tai He + 1 gratuite</t>
  </si>
  <si>
    <t>https://calebasse.com/produits/100-aiguilles-couteau-050-x-40-mm-4653?product=6687</t>
  </si>
  <si>
    <t>sku-MA396X10</t>
  </si>
  <si>
    <t>MA397</t>
  </si>
  <si>
    <t>Aiguilles couteau -0,50 x 50 mm - 100 aiguilles siliconées avec anneaux - Zhong Yan Tai He</t>
  </si>
  <si>
    <t>https://calebasse.com/produits/100-aiguilles-couteau-050-x-50-mm-4654?product=6688</t>
  </si>
  <si>
    <t>https://res.cloudinary.com/laboratoire-calebasse/image/upload/v1758876652/L_0_5050mm_b00d8ccce1.jpg</t>
  </si>
  <si>
    <t>sku-MA397</t>
  </si>
  <si>
    <t>https://res.cloudinary.com/laboratoire-calebasse/image/upload/v1758876652/L_0_5050mm_b00d8ccce1.jpg; https://res.cloudinary.com/laboratoire-calebasse/image/upload/v1758786036/aiguilles_couteau_comparison_5e35ece589.jpg</t>
  </si>
  <si>
    <t>4654</t>
  </si>
  <si>
    <t>MA397X10</t>
  </si>
  <si>
    <t>Aiguilles couteau -0,50 x 50 mm - 10 boîtes d'aiguilles siliconées avec anneaux - Zhong Yan Tai He + 1 gratuite</t>
  </si>
  <si>
    <t>https://calebasse.com/produits/100-aiguilles-couteau-050-x-50-mm-4654?product=6689</t>
  </si>
  <si>
    <t>sku-MA397X10</t>
  </si>
  <si>
    <t>MA398</t>
  </si>
  <si>
    <t>Aiguilles couteau -0,50 x 60 mm - 100 aiguilles siliconées avec anneaux - Zhong Yan Tai He</t>
  </si>
  <si>
    <t>https://calebasse.com/produits/100-aiguilles-couteau-050-x-60-mm-4655?product=6690</t>
  </si>
  <si>
    <t>https://res.cloudinary.com/laboratoire-calebasse/image/upload/v1758876683/L_0_5060mm_4ff11cac36.jpg</t>
  </si>
  <si>
    <t>sku-MA398</t>
  </si>
  <si>
    <t>https://res.cloudinary.com/laboratoire-calebasse/image/upload/v1758876683/L_0_5060mm_4ff11cac36.jpg; https://res.cloudinary.com/laboratoire-calebasse/image/upload/v1758786015/aiguilles_couteau_comparison_ac86f7a8e5.jpg</t>
  </si>
  <si>
    <t>4655</t>
  </si>
  <si>
    <t>MA398X10</t>
  </si>
  <si>
    <t>Aiguilles couteau -0,50 x 60 mm - 10 boîtes d'aiguilles siliconées avec anneaux - Zhong Yan Tai He + 1 gratuite</t>
  </si>
  <si>
    <t>https://calebasse.com/produits/100-aiguilles-couteau-050-x-60-mm-4655?product=6691</t>
  </si>
  <si>
    <t>sku-MA398X10</t>
  </si>
  <si>
    <t>MA399</t>
  </si>
  <si>
    <t>Aiguilles couteau -0,50 x 75 mm - 100 aiguilles siliconées avec anneaux - Zhong Yan Tai He</t>
  </si>
  <si>
    <t>https://calebasse.com/produits/100-aiguilles-couteau-050-x-75-mm-4656?product=6692</t>
  </si>
  <si>
    <t>https://res.cloudinary.com/laboratoire-calebasse/image/upload/v1758876682/L_0_5075mm_94f5ed6fa5.jpg</t>
  </si>
  <si>
    <t>sku-MA399</t>
  </si>
  <si>
    <t>https://res.cloudinary.com/laboratoire-calebasse/image/upload/v1758876682/L_0_5075mm_94f5ed6fa5.jpg; https://res.cloudinary.com/laboratoire-calebasse/image/upload/v1758785993/aiguilles_couteau_comparison_dd00b1f368.jpg</t>
  </si>
  <si>
    <t>4656</t>
  </si>
  <si>
    <t>MA399X10</t>
  </si>
  <si>
    <t>Aiguilles couteau -0,50 x 75 mm - 10 boîtes d'aiguilles siliconées avec anneaux - Zhong Yan Tai He + 1 gratuite</t>
  </si>
  <si>
    <t>https://calebasse.com/produits/100-aiguilles-couteau-050-x-75-mm-4656?product=6693</t>
  </si>
  <si>
    <t>sku-MA399X10</t>
  </si>
  <si>
    <t>MA400</t>
  </si>
  <si>
    <t>Aiguilles couteau -0,60 x 40 mm - 100 aiguilles siliconées avec anneaux - Zhong Yan Tai He</t>
  </si>
  <si>
    <t>https://calebasse.com/produits/100-aiguilles-couteau-060-x-40-mm-4657?product=6694</t>
  </si>
  <si>
    <t>https://res.cloudinary.com/laboratoire-calebasse/image/upload/v1758876681/L_0_6040mm_9c6232f7de.jpg</t>
  </si>
  <si>
    <t>sku-MA400</t>
  </si>
  <si>
    <t>https://res.cloudinary.com/laboratoire-calebasse/image/upload/v1758876681/L_0_6040mm_9c6232f7de.jpg; https://res.cloudinary.com/laboratoire-calebasse/image/upload/v1758785974/aiguilles_couteau_comparison_88799353a4.jpg</t>
  </si>
  <si>
    <t>4657</t>
  </si>
  <si>
    <t>MA400X10</t>
  </si>
  <si>
    <t>Aiguilles couteau -0,60 x 40 mm - 10 boîtes d'aiguilles siliconées avec anneaux - Zhong Yan Tai He + 1 gratuite</t>
  </si>
  <si>
    <t>https://calebasse.com/produits/100-aiguilles-couteau-060-x-40-mm-4657?product=6695</t>
  </si>
  <si>
    <t>sku-MA400X10</t>
  </si>
  <si>
    <t>MA401</t>
  </si>
  <si>
    <t>Aiguilles couteau -0,60 x 50 mm - 100 aiguilles siliconées avec anneaux - Zhong Yan Tai He</t>
  </si>
  <si>
    <t>https://calebasse.com/produits/100-aiguilles-couteau-060-x-50-mm-4658?product=6696</t>
  </si>
  <si>
    <t>https://res.cloudinary.com/laboratoire-calebasse/image/upload/v1758880031/L_0_6050mm_b5d7cbb9b1.jpg</t>
  </si>
  <si>
    <t>sku-MA401</t>
  </si>
  <si>
    <t>https://res.cloudinary.com/laboratoire-calebasse/image/upload/v1758880031/L_0_6050mm_b5d7cbb9b1.jpg; https://res.cloudinary.com/laboratoire-calebasse/image/upload/v1758785956/aiguilles_couteau_comparison_902248c817.jpg</t>
  </si>
  <si>
    <t>4658</t>
  </si>
  <si>
    <t>MA401X10</t>
  </si>
  <si>
    <t>Aiguilles couteau -0,60 x 50 mm - 10 boîtes d'aiguilles siliconées avec anneaux - Zhong Yan Tai He + 1 gratuite</t>
  </si>
  <si>
    <t>https://calebasse.com/produits/100-aiguilles-couteau-060-x-50-mm-4658?product=6697</t>
  </si>
  <si>
    <t>sku-MA401X10</t>
  </si>
  <si>
    <t>MA402</t>
  </si>
  <si>
    <t>Aiguilles couteau -0,60 x 75 mm - 100 aiguilles siliconées avec anneaux - Zhong Yan Tai He</t>
  </si>
  <si>
    <t>https://calebasse.com/produits/100-aiguilles-couteau-060-x-75-mm-4659?product=6698</t>
  </si>
  <si>
    <t>https://res.cloudinary.com/laboratoire-calebasse/image/upload/v1758876682/L_0_6075mm_1d0d0058d2.jpg</t>
  </si>
  <si>
    <t>sku-MA402</t>
  </si>
  <si>
    <t>https://res.cloudinary.com/laboratoire-calebasse/image/upload/v1758876682/L_0_6075mm_1d0d0058d2.jpg; https://res.cloudinary.com/laboratoire-calebasse/image/upload/v1758785933/aiguilles_couteau_comparison_6319f6256c.jpg</t>
  </si>
  <si>
    <t>4659</t>
  </si>
  <si>
    <t>MA402X10</t>
  </si>
  <si>
    <t>Aiguilles couteau -0,60 x 75 mm - 10 boîtes d'aiguilles siliconées avec anneaux - Zhong Yan Tai He + 1 gratuite</t>
  </si>
  <si>
    <t>https://calebasse.com/produits/100-aiguilles-couteau-060-x-75-mm-4659?product=6699</t>
  </si>
  <si>
    <t>sku-MA402X10</t>
  </si>
  <si>
    <t>MA403</t>
  </si>
  <si>
    <t>Aiguilles couteau -0,40 x 50 mm - 100 aiguilles siliconées avec anneaux - Zhong Yan Tai He</t>
  </si>
  <si>
    <t>https://calebasse.com/produits/100-aiguilles-couteau-040-x-50-mm-4660?product=6682</t>
  </si>
  <si>
    <t>https://res.cloudinary.com/laboratoire-calebasse/image/upload/v1758876651/L_0_4050mm_3aeeb28cdd.jpg</t>
  </si>
  <si>
    <t>sku-MA403</t>
  </si>
  <si>
    <t>https://res.cloudinary.com/laboratoire-calebasse/image/upload/v1758876651/L_0_4050mm_3aeeb28cdd.jpg; https://res.cloudinary.com/laboratoire-calebasse/image/upload/v1758785914/aiguilles_couteau_comparison_f3b9e6c0ea.jpg</t>
  </si>
  <si>
    <t>4660</t>
  </si>
  <si>
    <t>MA403X10</t>
  </si>
  <si>
    <t>Aiguilles couteau -0,40 x 50 mm - 10 boîtes d'aiguilles siliconées avec anneaux - Zhong Yan Tai He + 1 gratuite</t>
  </si>
  <si>
    <t>https://calebasse.com/produits/100-aiguilles-couteau-040-x-50-mm-4660?product=6683</t>
  </si>
  <si>
    <t>sku-MA403X10</t>
  </si>
  <si>
    <t>MA404</t>
  </si>
  <si>
    <t>Aiguilles couteau -0,40 x 25 mm - 100 aiguilles siliconées avec anneaux - Zhong Yan Tai He</t>
  </si>
  <si>
    <t>https://calebasse.com/produits/100-aiguilles-couteau-040-x-25-mm-4661?product=6678</t>
  </si>
  <si>
    <t>https://res.cloudinary.com/laboratoire-calebasse/image/upload/v1758876699/S_0_4025mm_a7e194660e.jpg</t>
  </si>
  <si>
    <t>sku-MA404</t>
  </si>
  <si>
    <t>https://res.cloudinary.com/laboratoire-calebasse/image/upload/v1758876699/S_0_4025mm_a7e194660e.jpg; https://res.cloudinary.com/laboratoire-calebasse/image/upload/v1758785824/aiguilles_couteau_comparison_1b8ea7cc83.jpg</t>
  </si>
  <si>
    <t>4661</t>
  </si>
  <si>
    <t>MA404X10</t>
  </si>
  <si>
    <t>Aiguilles couteau -0,40 x 25 mm - 10 boîtes d'aiguilles siliconées avec anneaux - Zhong Yan Tai He + 1 gratuite</t>
  </si>
  <si>
    <t>https://calebasse.com/produits/100-aiguilles-couteau-040-x-25-mm-4661?product=6679</t>
  </si>
  <si>
    <t>sku-MA404X10</t>
  </si>
  <si>
    <t>MA405</t>
  </si>
  <si>
    <t>Aiguilles couteau -0,35 x 75 mm - 100 aiguilles siliconées avec anneaux - Zhong Yan Tai He</t>
  </si>
  <si>
    <t>https://calebasse.com/produits/100-aiguilles-couteau-035-x-75-mm-4662?product=6700</t>
  </si>
  <si>
    <t>https://res.cloudinary.com/laboratoire-calebasse/image/upload/v1758876651/L_0_3575mm_082e60b12b.jpg</t>
  </si>
  <si>
    <t>sku-MA405</t>
  </si>
  <si>
    <t>https://res.cloudinary.com/laboratoire-calebasse/image/upload/v1758876651/L_0_3575mm_082e60b12b.jpg; https://res.cloudinary.com/laboratoire-calebasse/image/upload/v1758785882/aiguilles_couteau_comparison_76475c41c0.jpg</t>
  </si>
  <si>
    <t>4662</t>
  </si>
  <si>
    <t>MA405X10</t>
  </si>
  <si>
    <t>Aiguilles couteau -0,35 x 75 mm - 10 boîtes d'aiguilles siliconées avec anneaux - Zhong Yan Tai He + 1 gratuite</t>
  </si>
  <si>
    <t>https://calebasse.com/produits/100-aiguilles-couteau-035-x-75-mm-4662?product=6701</t>
  </si>
  <si>
    <t>sku-MA405X10</t>
  </si>
  <si>
    <t>MA406</t>
  </si>
  <si>
    <t>Aiguilles couteau -0,40 x 15 mm - 100 aiguilles siliconées avec anneaux - Zhong Yan Tai He</t>
  </si>
  <si>
    <t>https://calebasse.com/produits/100-aiguilles-couteau-040-x-15-mm-4663?product=6676</t>
  </si>
  <si>
    <t>https://res.cloudinary.com/laboratoire-calebasse/image/upload/v1758876692/S_0_4015mm_e3caf81262.jpg</t>
  </si>
  <si>
    <t>sku-MA406</t>
  </si>
  <si>
    <t>https://res.cloudinary.com/laboratoire-calebasse/image/upload/v1758876692/S_0_4015mm_e3caf81262.jpg; https://res.cloudinary.com/laboratoire-calebasse/image/upload/v1758889665/aiguilles_couteau_comparison_22d1f2a554.jpg</t>
  </si>
  <si>
    <t>4663</t>
  </si>
  <si>
    <t>MA411</t>
  </si>
  <si>
    <t>Boite de moxibustion avec fumée légère - Ai jiu he - 1 Unité</t>
  </si>
  <si>
    <t>https://calebasse.com/produits/ai-jiu-he-boite-de-moxibustion-sans-fumee-4607?product=6740</t>
  </si>
  <si>
    <t>https://res.cloudinary.com/laboratoire-calebasse/image/upload/v1668607230/Boite_de_moxibustion_en_argent_a86896544d.jpg</t>
  </si>
  <si>
    <t>sku-MA411</t>
  </si>
  <si>
    <t>4607</t>
  </si>
  <si>
    <t>MA412</t>
  </si>
  <si>
    <t>https://calebasse.com/produits/ai-jiu-he-boite-de-moxibustion-sans-fumee-4607?product=6739</t>
  </si>
  <si>
    <t>https://res.cloudinary.com/laboratoire-calebasse/image/upload/v1667994772/_8dbd806048.jpg</t>
  </si>
  <si>
    <t>sku-MA412</t>
  </si>
  <si>
    <t>MA431</t>
  </si>
  <si>
    <t>Tableau “Neuf aiguilles” - Jiu zhen tu - 1 tableau</t>
  </si>
  <si>
    <t>Représentation des Neuf aiguilles du Pivot merveilleux.</t>
  </si>
  <si>
    <t>https://calebasse.com/produits/jiu-zhen-tu-tableau-neuf-aiguilles-4683?product=6820</t>
  </si>
  <si>
    <t>https://res.cloudinary.com/laboratoire-calebasse/image/upload/v1672219305/logo_89cdab090d.jpg</t>
  </si>
  <si>
    <t>sku-MA431</t>
  </si>
  <si>
    <t>4683</t>
  </si>
  <si>
    <t>MA511</t>
  </si>
  <si>
    <t>500 aiguilles avec tube - 0,16 x 13 mm - 1 boîte d’aiguilles siliconées</t>
  </si>
  <si>
    <t>https://calebasse.com/produits/500-aiguilles-avec-tube-016-x-13-mm-4555?product=6577</t>
  </si>
  <si>
    <t>https://res.cloudinary.com/laboratoire-calebasse/image/upload/v1672758537/0_16_13_81866cd2b7.jpg</t>
  </si>
  <si>
    <t>sku-MA511</t>
  </si>
  <si>
    <t>4555</t>
  </si>
  <si>
    <t>MA511X11</t>
  </si>
  <si>
    <t>500 aiguilles avec tube - 0,16 x 13 mm - 10 boîtes d’aiguilles siliconées + 1 gratuite</t>
  </si>
  <si>
    <t>https://calebasse.com/produits/500-aiguilles-avec-tube-016-x-13-mm-4555?product=6578</t>
  </si>
  <si>
    <t>sku-MA511X11</t>
  </si>
  <si>
    <t>MA512</t>
  </si>
  <si>
    <t>500 aiguilles avec tube - 0,16 x 15 mm - 1 boîte d’aiguilles siliconées</t>
  </si>
  <si>
    <t>https://calebasse.com/produits/500-aiguilles-avec-tube-016-x-15-mm-4628?product=6763</t>
  </si>
  <si>
    <t>https://res.cloudinary.com/laboratoire-calebasse/image/upload/v1672758567/0_16_15_af4a43b67c.jpg</t>
  </si>
  <si>
    <t>sku-MA512</t>
  </si>
  <si>
    <t>4628</t>
  </si>
  <si>
    <t>MA512X10</t>
  </si>
  <si>
    <t>500 aiguilles avec tube - 0,16 x 15 mm - 10 boîtes d’aiguilles siliconées + 1 gratuite</t>
  </si>
  <si>
    <t>https://calebasse.com/produits/500-aiguilles-avec-tube-016-x-15-mm-4628?product=6774</t>
  </si>
  <si>
    <t>sku-MA512X10</t>
  </si>
  <si>
    <t>MA513</t>
  </si>
  <si>
    <t>500 aiguilles avec tube -0,16 x 25 mm - 1 boîte d’aiguilles siliconées</t>
  </si>
  <si>
    <t>https://calebasse.com/produits/500-aiguilles-avec-tube-016-x-25-mm-4413?product=6386</t>
  </si>
  <si>
    <t>https://res.cloudinary.com/laboratoire-calebasse/image/upload/v1672219738/0_16_25_66f2d7033d.jpg</t>
  </si>
  <si>
    <t>sku-MA513</t>
  </si>
  <si>
    <t>4413</t>
  </si>
  <si>
    <t>MA513X11</t>
  </si>
  <si>
    <t>500 aiguilles avec tube -0,16 x 25 mm - 10 boîtes d’aiguilles siliconées + 1 gratuite</t>
  </si>
  <si>
    <t>https://calebasse.com/produits/500-aiguilles-avec-tube-016-x-25-mm-4413?product=6475</t>
  </si>
  <si>
    <t>sku-MA513X11</t>
  </si>
  <si>
    <t>MA521</t>
  </si>
  <si>
    <t>500 aiguilles avec tube -0,18 x 10 mm - 1 boîte d’aiguilles siliconées</t>
  </si>
  <si>
    <t>https://calebasse.com/produits/500-aiguilles-avec-tube-018-x-10-mm-4616?product=6750</t>
  </si>
  <si>
    <t>https://res.cloudinary.com/laboratoire-calebasse/image/upload/v1672758731/0_18_10_182f566ce5.jpg</t>
  </si>
  <si>
    <t>sku-MA521</t>
  </si>
  <si>
    <t>4616</t>
  </si>
  <si>
    <t>MA521X11</t>
  </si>
  <si>
    <t>500 aiguilles avec tube -0,18 x 10 mm - 10 boîtes d’aiguilles siliconées + 1 gratuite</t>
  </si>
  <si>
    <t>https://calebasse.com/produits/500-aiguilles-avec-tube-018-x-10-mm-4616?product=6751</t>
  </si>
  <si>
    <t>sku-MA521X11</t>
  </si>
  <si>
    <t>MA522</t>
  </si>
  <si>
    <t>500 aiguilles avec tube -0,18 x 30 mm - 1 boîte d’aiguilles siliconées</t>
  </si>
  <si>
    <t>https://calebasse.com/produits/500-aiguilles-avec-tube-018-x-30-mm-4617?product=6585</t>
  </si>
  <si>
    <t>https://res.cloudinary.com/laboratoire-calebasse/image/upload/v1672758762/0_18_30_5355d12ac0.jpg</t>
  </si>
  <si>
    <t>sku-MA522</t>
  </si>
  <si>
    <t>4617</t>
  </si>
  <si>
    <t>MA522X10</t>
  </si>
  <si>
    <t>500 aiguilles avec tube -0,18 x 30 mm - 10 boîtes d’aiguilles siliconées + 1 gratuite</t>
  </si>
  <si>
    <t>https://calebasse.com/produits/500-aiguilles-avec-tube-018-x-30-mm-4617?product=6587</t>
  </si>
  <si>
    <t>sku-MA522X10</t>
  </si>
  <si>
    <t>MA523</t>
  </si>
  <si>
    <t>500 aiguilles avec tube -0,18 x 50 mm - 1 boîte d’aiguilles siliconées</t>
  </si>
  <si>
    <t>https://calebasse.com/produits/500-aiguilles-avec-tube-018-x-50-mm-4618?product=6752</t>
  </si>
  <si>
    <t>https://res.cloudinary.com/laboratoire-calebasse/image/upload/v1672758791/0_18_50_b4e94b830a.jpg</t>
  </si>
  <si>
    <t>sku-MA523</t>
  </si>
  <si>
    <t>4618</t>
  </si>
  <si>
    <t>MA523X11</t>
  </si>
  <si>
    <t>500 aiguilles avec tube -0,18 x 50 mm - 10 boîtes d’aiguilles siliconées + 1 gratuite</t>
  </si>
  <si>
    <t>https://calebasse.com/produits/500-aiguilles-avec-tube-018-x-50-mm-4618?product=6753</t>
  </si>
  <si>
    <t>sku-MA523X11</t>
  </si>
  <si>
    <t>MA531</t>
  </si>
  <si>
    <t>Aiguilles avec tube -0,20 x 25 mm - 500 aiguilles siliconées sans anneaux - Zhong Yan Tai He</t>
  </si>
  <si>
    <t>https://calebasse.com/produits/500-aiguilles-avec-tube-020-x-25-mm-4417?product=6394</t>
  </si>
  <si>
    <t>sku-MA531</t>
  </si>
  <si>
    <t>4417</t>
  </si>
  <si>
    <t>MA531X11</t>
  </si>
  <si>
    <t>Aiguilles avec tube -0,20 x 25 mm - 10 boîtes d'aiguilles siliconées sans anneaux - Zhong Yan Tai He + 1 gratuite</t>
  </si>
  <si>
    <t>https://calebasse.com/produits/500-aiguilles-avec-tube-020-x-25-mm-4417?product=6476</t>
  </si>
  <si>
    <t>sku-MA531X11</t>
  </si>
  <si>
    <t>MA532</t>
  </si>
  <si>
    <t>Aiguilles avec tube -0,20 x 40 mm - 500 aiguilles siliconées sans anneaux - Zhong Yan Tai He</t>
  </si>
  <si>
    <t>https://calebasse.com/produits/500-aiguilles-avec-tube-020-x-40-mm-4414?product=6388</t>
  </si>
  <si>
    <t>https://res.cloudinary.com/laboratoire-calebasse/image/upload/v1672222872/0_20_40_4ed17de6a0.jpg</t>
  </si>
  <si>
    <t>sku-MA532</t>
  </si>
  <si>
    <t>4414</t>
  </si>
  <si>
    <t>MA532X11</t>
  </si>
  <si>
    <t>Aiguilles avec tube -0,20 x 40 mm - 10 boîtes d'aiguilles siliconées sans anneaux - Zhong Yan Tai He + 1 gratuite</t>
  </si>
  <si>
    <t>https://calebasse.com/produits/500-aiguilles-avec-tube-020-x-40-mm-4414?product=6469</t>
  </si>
  <si>
    <t>sku-MA532X11</t>
  </si>
  <si>
    <t>MA533</t>
  </si>
  <si>
    <t>500 aiguilles avec tube -0,20 x 50 mm - 1 boîte d’aiguilles siliconées</t>
  </si>
  <si>
    <t>https://calebasse.com/produits/500-aiguilles-avec-tube-020-x-50-mm-4619?product=6754</t>
  </si>
  <si>
    <t>https://res.cloudinary.com/laboratoire-calebasse/image/upload/v1672758819/0_20_50_62f89f6455.jpg</t>
  </si>
  <si>
    <t>sku-MA533</t>
  </si>
  <si>
    <t>4619</t>
  </si>
  <si>
    <t>MA541</t>
  </si>
  <si>
    <t>500 aiguilles avec tube -0,22 x 25 mm - 1 boîte d’aiguilles siliconées</t>
  </si>
  <si>
    <t>https://calebasse.com/produits/500-aiguilles-avec-tube-022-x-25-mm-4418?product=6395</t>
  </si>
  <si>
    <t>sku-MA541</t>
  </si>
  <si>
    <t>4418</t>
  </si>
  <si>
    <t>MA541X11</t>
  </si>
  <si>
    <t>500 aiguilles avec tube -0,22 x 25 mm - 10 boîtes d’aiguilles siliconées + 1 gratuite</t>
  </si>
  <si>
    <t>https://calebasse.com/produits/500-aiguilles-avec-tube-022-x-25-mm-4418?product=6477</t>
  </si>
  <si>
    <t>sku-MA541X11</t>
  </si>
  <si>
    <t>MA542</t>
  </si>
  <si>
    <t>Aiguilles avec tube -0,22 x 40 mm - 500 aiguilles siliconées sans anneaux - Zhong Yan Tai He</t>
  </si>
  <si>
    <t>https://calebasse.com/produits/500-aiguilles-avec-tube-022-x-40-mm-4428?product=6459</t>
  </si>
  <si>
    <t>sku-MA542</t>
  </si>
  <si>
    <t>https://res.cloudinary.com/laboratoire-calebasse/image/upload/v1654185042/0_20_40_464c5cf388.jpg; https://res.cloudinary.com/laboratoire-calebasse/image/upload/v1758730155/aiguilles_comparison_430f4efcc9.jpg</t>
  </si>
  <si>
    <t>4428</t>
  </si>
  <si>
    <t>MA542X11</t>
  </si>
  <si>
    <t>Aiguilles avec tube -0,22 x 40 mm - 10 boîtes d'aiguilles siliconées sans anneaux - Zhong Yan Tai He + 1 gratuite</t>
  </si>
  <si>
    <t>https://calebasse.com/produits/500-aiguilles-avec-tube-022-x-40-mm-4428?product=6473</t>
  </si>
  <si>
    <t>sku-MA542X11</t>
  </si>
  <si>
    <t>MA543</t>
  </si>
  <si>
    <t>500 aiguilles avec tube -0,22 x 50 mm - 1 boîte d’aiguilles siliconées</t>
  </si>
  <si>
    <t>https://calebasse.com/produits/500-aiguilles-avec-tube-022-x-50-mm-4644?product=6594</t>
  </si>
  <si>
    <t>https://res.cloudinary.com/laboratoire-calebasse/image/upload/v1672758871/0_22_50_e9e5cac185.jpg</t>
  </si>
  <si>
    <t>sku-MA543</t>
  </si>
  <si>
    <t>4644</t>
  </si>
  <si>
    <t>MA543X10</t>
  </si>
  <si>
    <t>500 aiguilles avec tube -0,22 x 50 mm - 10 boîtes d’aiguilles siliconées + 1 gratuite</t>
  </si>
  <si>
    <t>https://calebasse.com/produits/500-aiguilles-avec-tube-022-x-50-mm-4644?product=6595</t>
  </si>
  <si>
    <t>sku-MA543X10</t>
  </si>
  <si>
    <t>MA551</t>
  </si>
  <si>
    <t>Aiguilles avec tube -0,25 x 25 mm - 500 aiguilles siliconées - Zhong Yan Tai He</t>
  </si>
  <si>
    <t>https://calebasse.com/produits/500-aiguilles-avec-tube-025-x-25-mm-4415?product=6390</t>
  </si>
  <si>
    <t>https://res.cloudinary.com/laboratoire-calebasse/image/upload/v1760015622/0_25x2_500pcs_1_f07f69e0dd.jpg</t>
  </si>
  <si>
    <t>sku-MA551</t>
  </si>
  <si>
    <t>https://res.cloudinary.com/laboratoire-calebasse/image/upload/v1754468685/aiguilles_yunlong_02525_boit_09e4de4b16.jpg; https://res.cloudinary.com/laboratoire-calebasse/image/upload/v1754468685/Web_1920_32_69ed717390.jpg</t>
  </si>
  <si>
    <t>4415</t>
  </si>
  <si>
    <t>MA551X11</t>
  </si>
  <si>
    <t>Aiguilles avec tube -0,25 x 25 mm - 10 boîtes d'aiguilles siliconées - Zhong Yan Tai He + 1 gratuite</t>
  </si>
  <si>
    <t>https://calebasse.com/produits/500-aiguilles-avec-tube-025-x-25-mm-4415?product=6472</t>
  </si>
  <si>
    <t>sku-MA551X11</t>
  </si>
  <si>
    <t>MA552</t>
  </si>
  <si>
    <t>500 aiguilles avec tube -0,25 x 30 mm - 1 boîte d’aiguilles siliconées</t>
  </si>
  <si>
    <t>https://calebasse.com/produits/500-aiguilles-avec-tube-025-x-30-mm-4453?product=6456</t>
  </si>
  <si>
    <t>https://res.cloudinary.com/laboratoire-calebasse/image/upload/v1672222983/0_25_30_07ac680c45.jpg</t>
  </si>
  <si>
    <t>sku-MA552</t>
  </si>
  <si>
    <t>4453</t>
  </si>
  <si>
    <t>MA552X11</t>
  </si>
  <si>
    <t>500 aiguilles avec tube -0,25 x 30 mm - 10 boîtes d’aiguilles siliconées + 1 gratuite</t>
  </si>
  <si>
    <t>https://calebasse.com/produits/500-aiguilles-avec-tube-025-x-30-mm-4453?product=6468</t>
  </si>
  <si>
    <t>sku-MA552X11</t>
  </si>
  <si>
    <t>MA553</t>
  </si>
  <si>
    <t>Aiguilles avec tube -0,25 x 40 mm - 500 aiguilles siliconées sans anneaux - Zhong Yan Tai He</t>
  </si>
  <si>
    <t>https://calebasse.com/produits/500-aiguilles-avec-tube-025-x-40-mm-4412?product=6383</t>
  </si>
  <si>
    <t>sku-MA553</t>
  </si>
  <si>
    <t>https://res.cloudinary.com/laboratoire-calebasse/image/upload/v1654185042/0_20_40_464c5cf388.jpg; https://res.cloudinary.com/laboratoire-calebasse/image/upload/v1758730123/aiguilles_comparison_309baeef9b.jpg</t>
  </si>
  <si>
    <t>4412</t>
  </si>
  <si>
    <t>MA553X11</t>
  </si>
  <si>
    <t>Aiguilles avec tube -0,25 x 40 mm - 10 boîtes d'aiguilles siliconées sans anneaux - Zhong Yan Tai He + 1 gratuite</t>
  </si>
  <si>
    <t>https://calebasse.com/produits/500-aiguilles-avec-tube-025-x-40-mm-4412?product=6466</t>
  </si>
  <si>
    <t>sku-MA553X11</t>
  </si>
  <si>
    <t>MA561</t>
  </si>
  <si>
    <t>Aiguilles avec tube -0,25 x 60 mm - 500 aiguilles siliconées sans anneaux - Zhong Yan Tai He</t>
  </si>
  <si>
    <t>https://calebasse.com/produits/500-aiguilles-avec-tube-025-x-60-mm-4621?product=6756</t>
  </si>
  <si>
    <t>https://res.cloudinary.com/laboratoire-calebasse/image/upload/v1672758900/0_25_60_2873841c07.jpg</t>
  </si>
  <si>
    <t>sku-MA561</t>
  </si>
  <si>
    <t>4621</t>
  </si>
  <si>
    <t>MA561X10</t>
  </si>
  <si>
    <t>Aiguilles avec tube -0,25 x 60 mm - 10 boîtes d'aiguilles siliconées sans anneaux - Zhong Yan Tai He + 1 gratuite</t>
  </si>
  <si>
    <t>https://calebasse.com/produits/500-aiguilles-avec-tube-025-x-60-mm-4621?product=6767</t>
  </si>
  <si>
    <t>sku-MA561X10</t>
  </si>
  <si>
    <t>MA562</t>
  </si>
  <si>
    <t>500 aiguilles avec tube -0,30 x 25 mm - 1 boîte d’aiguilles siliconées</t>
  </si>
  <si>
    <t>https://calebasse.com/produits/500-aiguilles-avec-tube-030-x-25-mm-4627?product=6762</t>
  </si>
  <si>
    <t>https://res.cloudinary.com/laboratoire-calebasse/image/upload/v1672758934/0_30_25_be69e9be6e.jpg</t>
  </si>
  <si>
    <t>sku-MA562</t>
  </si>
  <si>
    <t>4627</t>
  </si>
  <si>
    <t>MA562X10</t>
  </si>
  <si>
    <t>500 aiguilles avec tube -0,30 x 25 mm - 10 boîtes d’aiguilles siliconées + 1 gratuite</t>
  </si>
  <si>
    <t>https://calebasse.com/produits/500-aiguilles-avec-tube-030-x-25-mm-4627?product=6773</t>
  </si>
  <si>
    <t>sku-MA562X10</t>
  </si>
  <si>
    <t>MA563</t>
  </si>
  <si>
    <t>Aiguilles avec tube -0,30 x 40 mm - 500 aiguilles siliconées sans anneaux - Zhong Yan Tai He</t>
  </si>
  <si>
    <t>https://calebasse.com/produits/500-aiguilles-avec-tube-030-x-40-mm-4416?product=6392</t>
  </si>
  <si>
    <t>sku-MA563</t>
  </si>
  <si>
    <t>https://res.cloudinary.com/laboratoire-calebasse/image/upload/v1654185042/0_20_40_464c5cf388.jpg; https://res.cloudinary.com/laboratoire-calebasse/image/upload/v1758730069/aiguilles_comparison_5cd2f7f952.jpg</t>
  </si>
  <si>
    <t>4416</t>
  </si>
  <si>
    <t>MA563X11</t>
  </si>
  <si>
    <t>Aiguilles avec tube -0,30 x 40 mm - 10 boîtes d'aiguilles siliconées sans anneaux - Zhong Yan Tai He + 1 gratuite</t>
  </si>
  <si>
    <t>https://calebasse.com/produits/500-aiguilles-avec-tube-030-x-40-mm-4416?product=6470</t>
  </si>
  <si>
    <t>sku-MA563X11</t>
  </si>
  <si>
    <t>MA571</t>
  </si>
  <si>
    <t>500 aiguilles avec tube -0,30 x 75 mm - 1 boîte d’aiguilles siliconées</t>
  </si>
  <si>
    <t>https://calebasse.com/produits/500-aiguilles-avec-tube-030-x-75-mm-4449?product=6451</t>
  </si>
  <si>
    <t>https://res.cloudinary.com/laboratoire-calebasse/image/upload/v1672223071/0_3_75_15a53ba9a4.jpg</t>
  </si>
  <si>
    <t>sku-MA571</t>
  </si>
  <si>
    <t>4449</t>
  </si>
  <si>
    <t>MA571X11</t>
  </si>
  <si>
    <t>500 aiguilles avec tube -0,30 x 75 mm - 10 boîtes d’aiguilles siliconées + 1 gratuite</t>
  </si>
  <si>
    <t>https://calebasse.com/produits/500-aiguilles-avec-tube-030-x-75-mm-4449?product=6467</t>
  </si>
  <si>
    <t>sku-MA571X11</t>
  </si>
  <si>
    <t>MA572</t>
  </si>
  <si>
    <t>Aiguilles avec tube -0,40 x 25 mm - 500 aiguilles siliconées sans anneaux - Zhong Yan Tai He</t>
  </si>
  <si>
    <t>https://calebasse.com/produits/500-aiguilles-avec-tube-040-x-25-mm-4622?product=6757</t>
  </si>
  <si>
    <t>https://res.cloudinary.com/laboratoire-calebasse/image/upload/v1672758975/0_40_25_2e2f4df9ae.jpg</t>
  </si>
  <si>
    <t>sku-MA572</t>
  </si>
  <si>
    <t>4622</t>
  </si>
  <si>
    <t>MA572X10</t>
  </si>
  <si>
    <t>Aiguilles avec tube -0,40 x 25 mm - 10 boîtes d'aiguilles siliconées sans anneaux - Zhong Yan Tai He + 1 gratuite</t>
  </si>
  <si>
    <t>https://calebasse.com/produits/500-aiguilles-avec-tube-040-x-25-mm-4622?product=6768</t>
  </si>
  <si>
    <t>sku-MA572X10</t>
  </si>
  <si>
    <t>MA573</t>
  </si>
  <si>
    <t>Aiguilles avec tube -0.40 x 40 mm - 500 aiguilles siliconées sans anneaux - Zhong Yan Tai He</t>
  </si>
  <si>
    <t>https://calebasse.com/produits/500-aiguilles-avec-tube-040-x-40-mm-4623?product=6758</t>
  </si>
  <si>
    <t>https://res.cloudinary.com/laboratoire-calebasse/image/upload/v1672759012/0_40_40_1a7ec3b095.jpg</t>
  </si>
  <si>
    <t>sku-MA573</t>
  </si>
  <si>
    <t>4623</t>
  </si>
  <si>
    <t>MA573X10</t>
  </si>
  <si>
    <t>Aiguilles avec tube -0.40 x 40 mm - 10 boîtes d'aiguilles siliconées sans anneaux - Zhong Yan Tai He + 1 gratuite</t>
  </si>
  <si>
    <t>https://calebasse.com/produits/500-aiguilles-avec-tube-040-x-40-mm-4623?product=6769</t>
  </si>
  <si>
    <t>sku-MA573X10</t>
  </si>
  <si>
    <t>MA581</t>
  </si>
  <si>
    <t>500 aiguilles avec tube -0.40 x 50 mm - 1 boîte d’aiguilles siliconées</t>
  </si>
  <si>
    <t>https://calebasse.com/produits/500-aiguilles-avec-tube-040-x-50-mm-4624?product=6759</t>
  </si>
  <si>
    <t>https://res.cloudinary.com/laboratoire-calebasse/image/upload/v1672759044/0_40_50_88bfb8763e.jpg</t>
  </si>
  <si>
    <t>sku-MA581</t>
  </si>
  <si>
    <t>4624</t>
  </si>
  <si>
    <t>MA581X10</t>
  </si>
  <si>
    <t>500 aiguilles avec tube -0.40 x 50 mm - 10 boîtes d’aiguilles siliconées + 1 gratuite</t>
  </si>
  <si>
    <t>https://calebasse.com/produits/500-aiguilles-avec-tube-040-x-50-mm-4624?product=6770</t>
  </si>
  <si>
    <t>sku-MA581X10</t>
  </si>
  <si>
    <t>MA582</t>
  </si>
  <si>
    <t>500 aiguilles avec tube -0.40 x 60 mm - 1 boîte d’aiguilles siliconées</t>
  </si>
  <si>
    <t>https://calebasse.com/produits/500-aiguilles-avec-tube-040-x-60-mm-4625?product=6760</t>
  </si>
  <si>
    <t>https://res.cloudinary.com/laboratoire-calebasse/image/upload/v1672759075/0_40_60_d6bdfb79dd.jpg</t>
  </si>
  <si>
    <t>sku-MA582</t>
  </si>
  <si>
    <t>4625</t>
  </si>
  <si>
    <t>MA582X10</t>
  </si>
  <si>
    <t>500 aiguilles avec tube -0.40 x 60 mm - 10 boîtes d’aiguilles siliconées + 1 gratuite</t>
  </si>
  <si>
    <t>https://calebasse.com/produits/500-aiguilles-avec-tube-040-x-60-mm-4625?product=6771</t>
  </si>
  <si>
    <t>sku-MA582X10</t>
  </si>
  <si>
    <t>MA583</t>
  </si>
  <si>
    <t>500 aiguilles avec tube -0.40 x 75 mm - 1 boîte d’aiguilles siliconées</t>
  </si>
  <si>
    <t>https://calebasse.com/produits/500-aiguilles-avec-tube-040-x-75-mm-4626?product=6761</t>
  </si>
  <si>
    <t>https://res.cloudinary.com/laboratoire-calebasse/image/upload/v1672759115/0_40_75_17bf0330d3.jpg</t>
  </si>
  <si>
    <t>sku-MA583</t>
  </si>
  <si>
    <t>4626</t>
  </si>
  <si>
    <t>MA583X10</t>
  </si>
  <si>
    <t>500 aiguilles avec tube -0.40 x 75 mm - 10 boîtes d’aiguilles siliconées + 1 gratuite</t>
  </si>
  <si>
    <t>https://calebasse.com/produits/500-aiguilles-avec-tube-040-x-75-mm-4626?product=6772</t>
  </si>
  <si>
    <t>sku-MA583X10</t>
  </si>
  <si>
    <t>MA642-MX3032</t>
  </si>
  <si>
    <t>Mini bâtonnets de moxa adhésifs sans fumée - Zhongyan - Zi Tie Shi Wu Yan Ai Li - 1 Boîte Moxa</t>
  </si>
  <si>
    <t>https://calebasse.com/produits/zi-tie-shi-wu-yan-ai-li-mini-batonnets-de-moxa-adhesifs-sans-fumee-zhongyan-4911?product=7119</t>
  </si>
  <si>
    <t>https://res.cloudinary.com/laboratoire-calebasse/image/upload/v1699281872/_c3e83b6820.png</t>
  </si>
  <si>
    <t>sku-MA642-MX3032</t>
  </si>
  <si>
    <t>4911</t>
  </si>
  <si>
    <t>MA644</t>
  </si>
  <si>
    <t>Moxa supérieur bâtonnet - Origine Tongbai &amp; chaleur stable - Ai Tiao - 1 lot de 10 bâtonnets</t>
  </si>
  <si>
    <t>Issu des monts Tongbai, au cœur de Nanyang (Chine), ce moxa bénéficie d’un affinage mécanique de précision, garantissant une fibre plus homogène et une combustion régulière, pour une diffusion stable et maîtrisée de la chaleur. Ses principaux bienfaits : tonifier le yang et dissiper le froid, réguler la circulation du qi et du sang, chauffer et faire circuler les méridiens, décontracte les muscles, détendre le corps</t>
  </si>
  <si>
    <t>https://calebasse.com/produits/batonnets-de-moxa-de-tongbai-5165?product=7458</t>
  </si>
  <si>
    <t>https://res.cloudinary.com/laboratoire-calebasse/image/upload/v1764668292/2_69f99e188e.jpg</t>
  </si>
  <si>
    <t>sku-MA644</t>
  </si>
  <si>
    <t>https://res.cloudinary.com/laboratoire-calebasse/image/upload/v1759482409/Web_1920_41_7f903f99af.jpg; https://res.cloudinary.com/laboratoire-calebasse/image/upload/v1764667964/1_836c9584db.jpg; https://res.cloudinary.com/laboratoire-calebasse/image/upload/v1764667963/3_6c1dcab7ca.jpg; https://res.cloudinary.com/laboratoire-calebasse/image/upload/v1764667964/4_c42defe6ea.jpg</t>
  </si>
  <si>
    <t>5165</t>
  </si>
  <si>
    <t>MA651-MB5007</t>
  </si>
  <si>
    <t>Éteignoir à Moxa en acider inoxydable - Bu Xiu Gang Mie Jiu Qi - 1 Pièce</t>
  </si>
  <si>
    <t>https://calebasse.com/produits/bu-xiu-gang-mie-jiu-qi-eteignoir-a-moxa-en-acider-inoxydable-4973?product=7181</t>
  </si>
  <si>
    <t>https://res.cloudinary.com/laboratoire-calebasse/image/upload/v1700039319/_1ba1ff14dd.jpg</t>
  </si>
  <si>
    <t>sku-MA651-MB5007</t>
  </si>
  <si>
    <t>4973</t>
  </si>
  <si>
    <t>MA661-MB5014</t>
  </si>
  <si>
    <t>Pipe à moxa en bronze - Wen Jiu Tong Jiu Dou - 1 Unité</t>
  </si>
  <si>
    <t>https://calebasse.com/produits/wen-jiu-tong-jiu-dou-pipe-a-moxa-en-bronze-4904?product=7112</t>
  </si>
  <si>
    <t>https://res.cloudinary.com/laboratoire-calebasse/image/upload/v1700650805/OR_57e0c39fc7.jpg</t>
  </si>
  <si>
    <t>sku-MA661-MB5014</t>
  </si>
  <si>
    <t>4904</t>
  </si>
  <si>
    <t>MA662-AN6411</t>
  </si>
  <si>
    <t>Cuillère à moxa - Ai Jiu Shao - 1 Pièce</t>
  </si>
  <si>
    <t>https://calebasse.com/produits/ai-jiu-shao-cuillere-a-moxa-4948?product=7156</t>
  </si>
  <si>
    <t>https://res.cloudinary.com/laboratoire-calebasse/image/upload/v1699881993/AN_6411_701ec97ccb.png</t>
  </si>
  <si>
    <t>sku-MA662-AN6411</t>
  </si>
  <si>
    <t>4948</t>
  </si>
  <si>
    <t>MA663-AN6414</t>
  </si>
  <si>
    <t>Ramasseur à Moxa - Lv Zhi Shi Ai Qi - 1 Pièce</t>
  </si>
  <si>
    <t>https://calebasse.com/produits/lv-zhi-shi-ai-qi-ramasseur-a-moxa-4950?product=7158</t>
  </si>
  <si>
    <t>https://res.cloudinary.com/laboratoire-calebasse/image/upload/v1701774712/shi_ai_qi_720_9d4fbd15f8.jpg</t>
  </si>
  <si>
    <t>sku-MA663-AN6414</t>
  </si>
  <si>
    <t>4950</t>
  </si>
  <si>
    <t>MA664-AN6416</t>
  </si>
  <si>
    <t>Stylet ramasse-aiguille aimanté - Shi Zhen Qi - 1 Pièce</t>
  </si>
  <si>
    <t>https://calebasse.com/produits/shi-zhen-qi-stylet-ramasse-aiguille-aimante-4952?product=7160</t>
  </si>
  <si>
    <t>https://res.cloudinary.com/laboratoire-calebasse/image/upload/v1700650873/_892c304cd7.jpg</t>
  </si>
  <si>
    <t>sku-MA664-AN6416</t>
  </si>
  <si>
    <t>4952</t>
  </si>
  <si>
    <t>MA713</t>
  </si>
  <si>
    <t>Balance traditionnelle chinoise - Chen Bai jian - 1 Pièce</t>
  </si>
  <si>
    <t>https://calebasse.com/produits/chen-bai-jian-balance-traditionnelle-chinoise-5011?product=7227</t>
  </si>
  <si>
    <t>https://res.cloudinary.com/laboratoire-calebasse/image/upload/v1701355726/balance_ancienne_56e6b04d35.jpg</t>
  </si>
  <si>
    <t>sku-MA713</t>
  </si>
  <si>
    <t>5011</t>
  </si>
  <si>
    <t>MA71X-1</t>
  </si>
  <si>
    <t>Autocuiseur pour décoction - Taille M Autocuiseur</t>
  </si>
  <si>
    <t>Pour des décoctions conformes à la pharmacopée chinoise. Ses principaux bienfaits : pour des décoctions optimales</t>
  </si>
  <si>
    <t>https://calebasse.com/produits/autocuiseur-pour-decoction-4992?product=7202</t>
  </si>
  <si>
    <t>https://res.cloudinary.com/laboratoire-calebasse/image/upload/v1753869708/A_9ea1dfce67.jpg</t>
  </si>
  <si>
    <t>sku-MA71X-1</t>
  </si>
  <si>
    <t>https://res.cloudinary.com/laboratoire-calebasse/image/upload/v1753869763/C_2_55008dcf6d.jpg; https://res.cloudinary.com/laboratoire-calebasse/image/upload/v1753869764/B_e92fe2d781.jpg; https://res.cloudinary.com/laboratoire-calebasse/image/upload/v1753869763/C_1_693b69685a.jpg; https://res.cloudinary.com/laboratoire-calebasse/image/upload/v1753869765/C_3_f66e8e2ff6.jpg</t>
  </si>
  <si>
    <t>4992</t>
  </si>
  <si>
    <t>MA722-01-GS2009</t>
  </si>
  <si>
    <t>Gua sha en corne de buffle jaune - corne - huang niu jiao yue xing gua sha ban - 1 Pièce</t>
  </si>
  <si>
    <t>Pour stimuler les points du visage.</t>
  </si>
  <si>
    <t>https://calebasse.com/produits/huang-niu-jiao-yue-xing-gua-sha-ban-gua-sha-en-corne-de-buffle-jaune-corne-4949?product=7157</t>
  </si>
  <si>
    <t>https://res.cloudinary.com/laboratoire-calebasse/image/upload/v1699444861/_f9c9b8c12d.png</t>
  </si>
  <si>
    <t>sku-MA722-01-GS2009</t>
  </si>
  <si>
    <t>4949</t>
  </si>
  <si>
    <t>MA723-01-GS1007</t>
  </si>
  <si>
    <t>Gua sha en corne de buffle - peigne - shui niu jiao gua sha shu - 1 Pièce</t>
  </si>
  <si>
    <t>https://calebasse.com/produits/shui-niu-jiao-gua-sha-shu-gua-sha-en-corne-de-buffle-peigne-4936?product=7145</t>
  </si>
  <si>
    <t>https://res.cloudinary.com/laboratoire-calebasse/image/upload/v1699440713/_31eea2a5e8.png</t>
  </si>
  <si>
    <t>sku-MA723-01-GS1007</t>
  </si>
  <si>
    <t>4936</t>
  </si>
  <si>
    <t>MA723-02-GS1016</t>
  </si>
  <si>
    <t>Gua sha en corne de buffle - couteau - shui niu jiao S xing gua sha ban - 1 Pièce</t>
  </si>
  <si>
    <t>https://calebasse.com/produits/shui-niu-jiao-s-xing-gua-sha-ban-gua-sha-en-corne-de-buffle-couteau-4938?product=7146</t>
  </si>
  <si>
    <t>https://res.cloudinary.com/laboratoire-calebasse/image/upload/v1699442032/S_8c5aa4d77a.png</t>
  </si>
  <si>
    <t>sku-MA723-02-GS1016</t>
  </si>
  <si>
    <t>4938</t>
  </si>
  <si>
    <t>MA723-04-GS1023</t>
  </si>
  <si>
    <t>Gua sha en corne de buffle - roller de massage - shui niu jiao an mo qi - 1 Pièce</t>
  </si>
  <si>
    <t>https://calebasse.com/produits/shui-niu-jiao-an-mo-qi-gua-sha-en-corne-de-buffle-roller-de-massage-4943?product=7151</t>
  </si>
  <si>
    <t>https://res.cloudinary.com/laboratoire-calebasse/image/upload/v1699443034/_3f0a3d8b7e.png</t>
  </si>
  <si>
    <t>sku-MA723-04-GS1023</t>
  </si>
  <si>
    <t>4943</t>
  </si>
  <si>
    <t>MA724-01-GS5001</t>
  </si>
  <si>
    <t>Gua sha pour le corps - forme de U - yu shi shen ti gua sha ban - 1 pièce en jade</t>
  </si>
  <si>
    <t>https://calebasse.com/produits/yu-shi-shi-shen-ti-gua-sha-ban-gua-sha-en-jade-pour-le-corps-forme-de-u-4959?product=7167</t>
  </si>
  <si>
    <t>https://res.cloudinary.com/laboratoire-calebasse/image/upload/v1699451027/_231842fa4a.png</t>
  </si>
  <si>
    <t>sku-MA724-01-GS5001</t>
  </si>
  <si>
    <t>4959</t>
  </si>
  <si>
    <t>MA724-08-GS5019</t>
  </si>
  <si>
    <t>Roller Rose Quartz et Duo - 1 Roller rose Quartz</t>
  </si>
  <si>
    <t>https://calebasse.com/produits/duo-rose-quartz-5158?product=7457</t>
  </si>
  <si>
    <t>https://res.cloudinary.com/laboratoire-calebasse/image/upload/v1742892373/3_60fa1ad777.png</t>
  </si>
  <si>
    <t>sku-MA724-08-GS5019</t>
  </si>
  <si>
    <t>MA724-08-GS5032</t>
  </si>
  <si>
    <t>Gua sha en jade - forme de T - yu shi T xing an mo zhui - 1 Pièce</t>
  </si>
  <si>
    <t>https://calebasse.com/produits/yu-shi-shi-t-xing-an-mo-zhui-gua-sha-en-jade-forme-de-t-4969?product=7177</t>
  </si>
  <si>
    <t>https://res.cloudinary.com/laboratoire-calebasse/image/upload/v1699453373/T_4f40d57cd8.png</t>
  </si>
  <si>
    <t>sku-MA724-08-GS5032</t>
  </si>
  <si>
    <t>4969</t>
  </si>
  <si>
    <t>MA725-03-GS7020</t>
  </si>
  <si>
    <t>Gua Sha Rose Quartz - Fen shui jing san jiao shuang kou xing gua sha ban - 1 pièce en quartz rose</t>
  </si>
  <si>
    <t>Pour une peau éclatante et liftée. Ses principaux bienfaits : favorise la circulation sanguine, décontracte les muscles, améliore l'apparence de la peau, réduit la fatigue, apaise le stress</t>
  </si>
  <si>
    <t>https://calebasse.com/produits/fen-shui-jing-san-jiao-shuang-kou-xing-gua-sha-ban-fen-shui-jing-san-jiao-shuang-kou-xing-gua-sha-ban-4972?product=7180</t>
  </si>
  <si>
    <t>https://res.cloudinary.com/laboratoire-calebasse/image/upload/v1699454475/_69ee01ed3a.png</t>
  </si>
  <si>
    <t>sku-MA725-03-GS7020</t>
  </si>
  <si>
    <t>4972</t>
  </si>
  <si>
    <t>MA725-05-GS7022</t>
  </si>
  <si>
    <t>https://calebasse.com/produits/fen-shui-jing-san-jiao-shuang-kou-xing-gua-sha-ban-fen-shui-jing-san-jiao-shuang-kou-xing-gua-sha-ban-4972?product=7456</t>
  </si>
  <si>
    <t>https://res.cloudinary.com/laboratoire-calebasse/image/upload/v1742831350/1_d22b91766f.png</t>
  </si>
  <si>
    <t>sku-MA725-05-GS7022</t>
  </si>
  <si>
    <t>MA732-02-GS2001-03</t>
  </si>
  <si>
    <t>Roller de massage en bois palissandre - hua li mu er lun bi lun - 1 Pièce</t>
  </si>
  <si>
    <t>https://calebasse.com/produits/hua-li-mu-er-lun-bi-lun-roller-de-massage-en-bois-palissandre-4945?product=7153</t>
  </si>
  <si>
    <t>https://res.cloudinary.com/laboratoire-calebasse/image/upload/v1700235083/2_3b1c9a2208.jpg</t>
  </si>
  <si>
    <t>sku-MA732-02-GS2001-03</t>
  </si>
  <si>
    <t>4945</t>
  </si>
  <si>
    <t>MA732-03-GS2001-06</t>
  </si>
  <si>
    <t>Instrument de massage en bois palissandre - pelle - hua li mu xie chan - 1 Pièce</t>
  </si>
  <si>
    <t>https://calebasse.com/produits/hua-li-mu-xie-chan-instrument-de-massage-en-bois-palissandre-pelle-4947?product=7155</t>
  </si>
  <si>
    <t>https://res.cloudinary.com/laboratoire-calebasse/image/upload/v1700236975/_0ea73b03bd.jpg</t>
  </si>
  <si>
    <t>sku-MA732-03-GS2001-06</t>
  </si>
  <si>
    <t>4947</t>
  </si>
  <si>
    <t>MA732-05-GS2001-05</t>
  </si>
  <si>
    <t>Boule de massage de la main en bois palissandre - hua li mu liu jiao shou qiu - 1 Pièce</t>
  </si>
  <si>
    <t>https://calebasse.com/produits/hua-li-mu-liu-jiao-shou-qiu-boule-de-massage-de-la-main-en-bois-palissandre-5007?product=7217</t>
  </si>
  <si>
    <t>https://res.cloudinary.com/laboratoire-calebasse/image/upload/v1700817464/_09b4a21202.jpg</t>
  </si>
  <si>
    <t>sku-MA732-05-GS2001-05</t>
  </si>
  <si>
    <t>5007</t>
  </si>
  <si>
    <t>MA732-06-GS2001-02</t>
  </si>
  <si>
    <t>Instrument de massage en bois palissandre - oiseau - hua li mu san jiao que - 1 Pièce</t>
  </si>
  <si>
    <t>https://calebasse.com/produits/hua-li-mu-san-jiao-que-instrument-de-massage-en-bois-palissandre-oiseau-5008?product=7218</t>
  </si>
  <si>
    <t>https://res.cloudinary.com/laboratoire-calebasse/image/upload/v1700817565/_e091990b80.jpg</t>
  </si>
  <si>
    <t>sku-MA732-06-GS2001-02</t>
  </si>
  <si>
    <t>5008</t>
  </si>
  <si>
    <t>MA735-01-AN6213</t>
  </si>
  <si>
    <t>Chercheur de point droit - Liu Jiao Er Zhen Zhi - 1 Pièce</t>
  </si>
  <si>
    <t>https://calebasse.com/produits/liu-jiao-er-zhen-zhi-chercheur-de-point-droit-4939?product=7147</t>
  </si>
  <si>
    <t>https://res.cloudinary.com/laboratoire-calebasse/image/upload/v1700650937/2_e0d364fff0.jpg</t>
  </si>
  <si>
    <t>sku-MA735-01-AN6213</t>
  </si>
  <si>
    <t>4939</t>
  </si>
  <si>
    <t>MA735-02-AN6214</t>
  </si>
  <si>
    <t>Chercheur de point recourbé - Liu Jiao Er Zhen Wan - 1 Pièce</t>
  </si>
  <si>
    <t>https://calebasse.com/produits/liu-jiao-er-zhen-wan-chercheur-de-point-recourbe-4941?product=7149</t>
  </si>
  <si>
    <t>https://res.cloudinary.com/laboratoire-calebasse/image/upload/v1700650919/_35745a8d26.jpg</t>
  </si>
  <si>
    <t>sku-MA735-02-AN6214</t>
  </si>
  <si>
    <t>4941</t>
  </si>
  <si>
    <t>MA735-03-AN6209</t>
  </si>
  <si>
    <t>Chercheur de point double tête - Shuang Tou Tan Xue Bi - 1 Pièce</t>
  </si>
  <si>
    <t>https://calebasse.com/produits/shuang-tou-tan-xue-bi-chercheur-de-point-double-tete-4937?product=7144</t>
  </si>
  <si>
    <t>https://res.cloudinary.com/laboratoire-calebasse/image/upload/v1699438646/AN_6209_d80d033726.png</t>
  </si>
  <si>
    <t>sku-MA735-03-AN6209</t>
  </si>
  <si>
    <t>4937</t>
  </si>
  <si>
    <t>MA735-04-AN6404</t>
  </si>
  <si>
    <t>Chercheur de point et stylo de thérapie manuelle - Shuang Tou Gun Zhen - 1 Pièce</t>
  </si>
  <si>
    <t>https://calebasse.com/produits/shuang-tou-gun-zhen-chercheur-de-point-et-stylo-de-therapie-manuelle-4942?product=7150</t>
  </si>
  <si>
    <t>https://res.cloudinary.com/laboratoire-calebasse/image/upload/v1699881693/AN_6404_354a778ea8.png</t>
  </si>
  <si>
    <t>sku-MA735-04-AN6404</t>
  </si>
  <si>
    <t>4942</t>
  </si>
  <si>
    <t>MA741- TM1102-03</t>
  </si>
  <si>
    <t>Pince à pansement Ballenger droit 18 cm - Luan Yuan Qian 1 8 Zhi - 1 Pièce</t>
  </si>
  <si>
    <t>https://calebasse.com/produits/luan-yuan-qian-1-8-zhi-pince-a-pansement-ballenger-droit-18-cm-4987?product=7197</t>
  </si>
  <si>
    <t>https://res.cloudinary.com/laboratoire-calebasse/image/upload/v1700650997/Ciseaux_78f8086440.jpg</t>
  </si>
  <si>
    <t>sku-MA741- TM1102-03</t>
  </si>
  <si>
    <t>4987</t>
  </si>
  <si>
    <t>MA742-TM1202</t>
  </si>
  <si>
    <t>Ciseau chirurgical droit 18 cm - Yi Yong Shou Shu Jian 1 8 c m Zhi - 1 Pièce</t>
  </si>
  <si>
    <t>https://calebasse.com/produits/yi-yong-shou-shu-jian-1-8-c-m-zhi-ciseau-chirurgical-droit-18-cm-4988?product=7198</t>
  </si>
  <si>
    <t>https://res.cloudinary.com/laboratoire-calebasse/image/upload/v1700651054/Ciseaux_2_03f4dd4041.jpg</t>
  </si>
  <si>
    <t>sku-MA742-TM1202</t>
  </si>
  <si>
    <t>4988</t>
  </si>
  <si>
    <t>MA743-TM1101-05</t>
  </si>
  <si>
    <t>Pince à pansement droit 16 cm - Zhi Xie Qian 1 6 c m Zhi Wu Gou - 1 Pièce</t>
  </si>
  <si>
    <t>https://calebasse.com/produits/zhi-xie-qian-1-6-c-m-zhi-wu-gou-pince-a-pansement-droit-16-cm-4986?product=7196</t>
  </si>
  <si>
    <t>https://res.cloudinary.com/laboratoire-calebasse/image/upload/v1700237367/Ciseaux_3_b1d0750005.jpg</t>
  </si>
  <si>
    <t>sku-MA743-TM1101-05</t>
  </si>
  <si>
    <t>4986</t>
  </si>
  <si>
    <t>MA744-TM3001</t>
  </si>
  <si>
    <t>Haricot médical en acier inoxydable - Bu Xiu Gang Yao Pan Xiao Hao - 1 Pièce</t>
  </si>
  <si>
    <t>https://calebasse.com/produits/bu-xiu-gang-yao-pan-xiao-hao-haricot-medical-en-acier-inoxydable-4989?product=7199</t>
  </si>
  <si>
    <t>https://res.cloudinary.com/laboratoire-calebasse/image/upload/v1699883030/TM_3001_fe6b0166ef.png</t>
  </si>
  <si>
    <t>sku-MA744-TM3001</t>
  </si>
  <si>
    <t>4989</t>
  </si>
  <si>
    <t>MA745-TM1002</t>
  </si>
  <si>
    <t>Pincette 16 cm - Yi Yong Nie Zi 1 6 c m - 1 Pièce</t>
  </si>
  <si>
    <t>https://calebasse.com/produits/yi-yong-nie-zi-1-6-c-m-pincette-16-cm-4985?product=7195</t>
  </si>
  <si>
    <t>https://res.cloudinary.com/laboratoire-calebasse/image/upload/v1700237236/_dfe2958ca2.jpg</t>
  </si>
  <si>
    <t>sku-MA745-TM1002</t>
  </si>
  <si>
    <t>4985</t>
  </si>
  <si>
    <t>MA8XX-AR0002-03</t>
  </si>
  <si>
    <t>Illustration - des 14 méridiens de l'enfant - Xiao Er Shi Si Jing Luo Tu Juan Zhou Ban - 1 tableau</t>
  </si>
  <si>
    <t>https://calebasse.com/produits/xiao-er-shi-si-jing-luo-tu-juan-zhou-ban-illustration-des-14-meridiens-de-lenfant-4993?product=7204</t>
  </si>
  <si>
    <t>https://res.cloudinary.com/laboratoire-calebasse/image/upload/v1699957424/_0fdc5e892b.png</t>
  </si>
  <si>
    <t>sku-MA8XX-AR0002-03</t>
  </si>
  <si>
    <t>4993</t>
  </si>
  <si>
    <t>MA8XX-BK4107</t>
  </si>
  <si>
    <t>Illustration de Structure interne - Neijing - 1 Tableau</t>
  </si>
  <si>
    <t>Edition en couleur</t>
  </si>
  <si>
    <t>https://calebasse.com/produits/illustration-de-structure-interne-neijing-5004?product=7212</t>
  </si>
  <si>
    <t>https://res.cloudinary.com/laboratoire-calebasse/image/upload/v1700744521/_f818eb9ac1.jpg</t>
  </si>
  <si>
    <t>sku-MA8XX-BK4107</t>
  </si>
  <si>
    <t>5004</t>
  </si>
  <si>
    <t>MA8XX-BK4114-03</t>
  </si>
  <si>
    <t>Illustration - Cinq éléments - Métal - Wu Xing Tu - Jin - 1 tableau</t>
  </si>
  <si>
    <t>https://calebasse.com/produits/wu-xing-tu-jin-illustration-cinq-elements-metal-4923?product=7131</t>
  </si>
  <si>
    <t>https://res.cloudinary.com/laboratoire-calebasse/image/upload/v1699956601/_4e60a6a7a5.png</t>
  </si>
  <si>
    <t>sku-MA8XX-BK4114-03</t>
  </si>
  <si>
    <t>4923</t>
  </si>
  <si>
    <t>MA8XX-BK4114-04</t>
  </si>
  <si>
    <t>Illustration - Cinq éléments - Bois - Wu Xing Tu - Mu - 1 tableau</t>
  </si>
  <si>
    <t>https://calebasse.com/produits/wu-xing-tu-mu-illustration-cinq-elements-bois-4924?product=7132</t>
  </si>
  <si>
    <t>https://res.cloudinary.com/laboratoire-calebasse/image/upload/v1699956742/_ed19d62725.png</t>
  </si>
  <si>
    <t>sku-MA8XX-BK4114-04</t>
  </si>
  <si>
    <t>4924</t>
  </si>
  <si>
    <t>MA8XX-BK4114-05</t>
  </si>
  <si>
    <t>Illustration - Cinq éléments - Eau - wu xing tu - shui - 1 tableau</t>
  </si>
  <si>
    <t>https://calebasse.com/produits/wu-xing-tu-shui-illustration-cinq-elements-eau-4925?product=7135</t>
  </si>
  <si>
    <t>https://res.cloudinary.com/laboratoire-calebasse/image/upload/v1699956779/_d8d8e4d6da.png</t>
  </si>
  <si>
    <t>sku-MA8XX-BK4114-05</t>
  </si>
  <si>
    <t>4925</t>
  </si>
  <si>
    <t>MA8XX-BK4114-06</t>
  </si>
  <si>
    <t>Illustration - Cinq éléments - Feu - wu xing tu - huo - 1 tableau</t>
  </si>
  <si>
    <t>https://calebasse.com/produits/wu-xing-tu-huo-illustration-cinq-elements-feu-4926?product=7134</t>
  </si>
  <si>
    <t>https://res.cloudinary.com/laboratoire-calebasse/image/upload/v1699956762/_404a29dbb3.png</t>
  </si>
  <si>
    <t>sku-MA8XX-BK4114-06</t>
  </si>
  <si>
    <t>4926</t>
  </si>
  <si>
    <t>MA8XX-BK4114-07</t>
  </si>
  <si>
    <t>Illustration - Cinq éléments - Terre - wu xing tu - tu - 1 tableau</t>
  </si>
  <si>
    <t>https://calebasse.com/produits/wu-xing-tu-tu-illustration-cinq-elements-terre-4927?product=7133</t>
  </si>
  <si>
    <t>https://res.cloudinary.com/laboratoire-calebasse/image/upload/v1699956862/_40b817572a.png</t>
  </si>
  <si>
    <t>sku-MA8XX-BK4114-07</t>
  </si>
  <si>
    <t>4927</t>
  </si>
  <si>
    <t>MA8XX-BK4114-09</t>
  </si>
  <si>
    <t>Illustration - Jing Qi Shen - Qi - jing qi shen - qi - 1 tableau</t>
  </si>
  <si>
    <t>https://calebasse.com/produits/jing-qi-shen-qi-illustration-jing-qi-shen-qi-4928?product=7136</t>
  </si>
  <si>
    <t>https://res.cloudinary.com/laboratoire-calebasse/image/upload/v1699956527/_2f5fc79a21.png</t>
  </si>
  <si>
    <t>sku-MA8XX-BK4114-09</t>
  </si>
  <si>
    <t>4928</t>
  </si>
  <si>
    <t>MA8XX-BK4126</t>
  </si>
  <si>
    <t>Illustration - Diagnostic MTC - zhong yi zhen duan quan tu - 1 tableau</t>
  </si>
  <si>
    <t>https://calebasse.com/produits/zhong-yi-zhen-duan-quan-tu-illustration-diagnostic-mtc-4929?product=7137</t>
  </si>
  <si>
    <t>https://res.cloudinary.com/laboratoire-calebasse/image/upload/v1699956881/2_7ef57ed75e.png</t>
  </si>
  <si>
    <t>sku-MA8XX-BK4126</t>
  </si>
  <si>
    <t>4929</t>
  </si>
  <si>
    <t>MA8XX-BK4128</t>
  </si>
  <si>
    <t>Illustration - Huit pièces du Brocart - Ba duan jin - ba duan jin juan zhou ban - 1 tableau</t>
  </si>
  <si>
    <t>https://calebasse.com/produits/ba-duan-jin-juan-zhou-ban-illustration-huit-pieces-du-brocart-ba-duan-jin-4930?product=7138</t>
  </si>
  <si>
    <t>https://res.cloudinary.com/laboratoire-calebasse/image/upload/v1699956640/sans_titre_2_720_db54178fb9.jpg</t>
  </si>
  <si>
    <t>sku-MA8XX-BK4128</t>
  </si>
  <si>
    <t>4930</t>
  </si>
  <si>
    <t>MA8XX-BK4131</t>
  </si>
  <si>
    <t>Illustration des Quatre Diagnostics - Wang (observation) - zhong yi si zhen tu - wang - 1 tableau</t>
  </si>
  <si>
    <t>https://calebasse.com/produits/zhong-yi-si-zhen-tu-wang-illustration-des-quatre-diagnostics-wang-observation-4931?product=7139</t>
  </si>
  <si>
    <t>https://res.cloudinary.com/laboratoire-calebasse/image/upload/v1699956968/_fa53559d2d.png</t>
  </si>
  <si>
    <t>sku-MA8XX-BK4131</t>
  </si>
  <si>
    <t>4931</t>
  </si>
  <si>
    <t>MA8XX-BK4131-01</t>
  </si>
  <si>
    <t>Illustration des Quatre Diagnostics - Wen (olfaction &amp; écoute) - zhong yi si zhen tu - wen - 1 tableau</t>
  </si>
  <si>
    <t>https://calebasse.com/produits/zhong-yi-si-zhen-tu-wen-illustration-des-quatre-diagnostics-wen-olfaction-and-ecoute-4932?product=7140</t>
  </si>
  <si>
    <t>https://res.cloudinary.com/laboratoire-calebasse/image/upload/v1699956982/_6f5700b70b.png</t>
  </si>
  <si>
    <t>sku-MA8XX-BK4131-01</t>
  </si>
  <si>
    <t>4932</t>
  </si>
  <si>
    <t>MA8XX-BK4131-02</t>
  </si>
  <si>
    <t>Illustration des Quatre Diagnostics - Wen (interrogation) - zhong yi si zhen tu - wen - 1 tableau</t>
  </si>
  <si>
    <t>https://calebasse.com/produits/zhong-yi-si-zhen-tu-wen-illustration-des-quatre-diagnostics-wen-interrogation-4933?product=7141</t>
  </si>
  <si>
    <t>https://res.cloudinary.com/laboratoire-calebasse/image/upload/v1699957008/_bc7785041b.png</t>
  </si>
  <si>
    <t>sku-MA8XX-BK4131-02</t>
  </si>
  <si>
    <t>4933</t>
  </si>
  <si>
    <t>MA8XX-BK4131-03</t>
  </si>
  <si>
    <t>Illustration des Quatre Diagnostics - Qie (palpation) - zhong yi si zhen tu - qie - 1 tableau</t>
  </si>
  <si>
    <t>https://calebasse.com/produits/zhong-yi-si-zhen-tu-qie-illustration-des-quatre-diagnostics-qie-palpation-4934?product=7142</t>
  </si>
  <si>
    <t>https://res.cloudinary.com/laboratoire-calebasse/image/upload/v1699956914/_54ce27147e.png</t>
  </si>
  <si>
    <t>sku-MA8XX-BK4131-03</t>
  </si>
  <si>
    <t>4934</t>
  </si>
  <si>
    <t>MA8XX-BK4134</t>
  </si>
  <si>
    <t>Illustration - Que bing yan nian - que bing yan nian dao yin tu - 1 tableau</t>
  </si>
  <si>
    <t>https://calebasse.com/produits/que-bing-yan-nian-dao-yin-tu-illustration-que-bing-yan-nian-4935?product=7143</t>
  </si>
  <si>
    <t>https://res.cloudinary.com/laboratoire-calebasse/image/upload/v1699957074/_a28c8c725d.png</t>
  </si>
  <si>
    <t>sku-MA8XX-BK4134</t>
  </si>
  <si>
    <t>4935</t>
  </si>
  <si>
    <t>MA8XX-BK4302</t>
  </si>
  <si>
    <t>Illustration de cultivation spirituelle - 1 tableau</t>
  </si>
  <si>
    <t>https://calebasse.com/produits/illustration-de-cultivation-spirituelle-5002?product=7214</t>
  </si>
  <si>
    <t>https://res.cloudinary.com/laboratoire-calebasse/image/upload/v1700744807/_e3e7d79acd.jpg</t>
  </si>
  <si>
    <t>sku-MA8XX-BK4302</t>
  </si>
  <si>
    <t>5002</t>
  </si>
  <si>
    <t>MA91X-MD4001</t>
  </si>
  <si>
    <t>Mannequin d'acupuncture vache - Niu Ti Zhen Jiu Mo Xing - 1 Pièce</t>
  </si>
  <si>
    <t>https://calebasse.com/produits/niu-ti-zhen-jiu-mo-xing-mannequin-dacupuncture-vache-4915?product=7123</t>
  </si>
  <si>
    <t>https://res.cloudinary.com/laboratoire-calebasse/image/upload/v1704190088/boeuf_b7324121fc.jpg</t>
  </si>
  <si>
    <t>sku-MA91X-MD4001</t>
  </si>
  <si>
    <t>4915</t>
  </si>
  <si>
    <t>MA91X-MD4003</t>
  </si>
  <si>
    <t>Mannequin d'acupuncture cochon - Zhu Ti Zhen Jiu Mo Xing - 1 Pièce</t>
  </si>
  <si>
    <t>https://calebasse.com/produits/zhu-ti-zhen-jiu-mo-xing-mannequin-dacupuncture-cochon-4917?product=7125</t>
  </si>
  <si>
    <t>https://res.cloudinary.com/laboratoire-calebasse/image/upload/v1704190105/cochon_a5314bf7dc.jpg</t>
  </si>
  <si>
    <t>sku-MA91X-MD4003</t>
  </si>
  <si>
    <t>4917</t>
  </si>
  <si>
    <t>MA91X-MD4004</t>
  </si>
  <si>
    <t>Mannequin d'acupuncture chien - Gou Ti Zhen Jiu Mo Xing - 1 Pièce</t>
  </si>
  <si>
    <t>https://calebasse.com/produits/gou-ti-zhen-jiu-mo-xing-mannequin-dacupuncture-chien-4918?product=7126</t>
  </si>
  <si>
    <t>https://res.cloudinary.com/laboratoire-calebasse/image/upload/v1704190038/chien_f7e6f053b1.jpg</t>
  </si>
  <si>
    <t>sku-MA91X-MD4004</t>
  </si>
  <si>
    <t>4918</t>
  </si>
  <si>
    <t>MA93X-CP0003</t>
  </si>
  <si>
    <t>Set de 5 ventouses en porcelaine - Tao Ci Cai Guan - 1 lot</t>
  </si>
  <si>
    <t>Usage réservé aux professionnels uniquement. Ses principaux bienfaits : décontracte les muscles, décontraction des muscles douloureux, élimine l'humidité, le vent et le froid</t>
  </si>
  <si>
    <t>https://calebasse.com/produits/tao-ci-cai-guan-set-de-5-ventouses-en-porcelaine-4955?product=7164</t>
  </si>
  <si>
    <t>https://res.cloudinary.com/laboratoire-calebasse/image/upload/v1700235767/5_Verres_4d9b4c428b.jpg</t>
  </si>
  <si>
    <t>sku-MA93X-CP0003</t>
  </si>
  <si>
    <t>Santé &amp; Bien-être &gt; Outils de médecine traditionnelle chinoise &gt; Gua Sha, Ventouses et Massage</t>
  </si>
  <si>
    <t>4955</t>
  </si>
  <si>
    <t>MA941-CP1012-01</t>
  </si>
  <si>
    <t>Grand pot en bambou - Zhu Xi Tong Te Da Hao - 1 Pièce</t>
  </si>
  <si>
    <t>https://calebasse.com/produits/zhu-xi-tong-te-da-hao-grand-pot-en-bambou-4964?product=7172</t>
  </si>
  <si>
    <t>https://res.cloudinary.com/laboratoire-calebasse/image/upload/v1700473544/Tongtong_ea94ebbac3.jpg</t>
  </si>
  <si>
    <t>sku-MA941-CP1012-01</t>
  </si>
  <si>
    <t>4964</t>
  </si>
  <si>
    <t>MA942-CP1011-05</t>
  </si>
  <si>
    <t>Set de pots en bambou (3) - Tan Hua Zhu Xi Tong ( 3 ) - 1 lot</t>
  </si>
  <si>
    <t>https://calebasse.com/produits/tan-hua-zhu-xi-tong-3-set-de-pots-en-bambou-3-4962?product=7170</t>
  </si>
  <si>
    <t>https://res.cloudinary.com/laboratoire-calebasse/image/upload/v1699883360/_9874cf5628.png</t>
  </si>
  <si>
    <t>sku-MA942-CP1011-05</t>
  </si>
  <si>
    <t>4962</t>
  </si>
  <si>
    <t>MA943</t>
  </si>
  <si>
    <t>Ventouses en plastique pour massage visage anti-rides – Set de 4 (Face cupping) - 1 lot</t>
  </si>
  <si>
    <t>https://calebasse.com/produits/su-liao-ba-guan-set-de-4-ventouses-en-plastique-de-tailles-differentes-5026?product=7244</t>
  </si>
  <si>
    <t>https://res.cloudinary.com/laboratoire-calebasse/image/upload/v1704206683/bleu_b430e1d966.jpg</t>
  </si>
  <si>
    <t>sku-MA943</t>
  </si>
  <si>
    <t>5026</t>
  </si>
  <si>
    <t>MA944</t>
  </si>
  <si>
    <t>Ventouse électrique et masseur - Dian dong ba guan qi - Rouge</t>
  </si>
  <si>
    <t>Un outil fiable et pratique réservé aux professionnels uniquement. Ses principaux bienfaits : décontracte les muscles, décontraction des muscles douloureux, élimine l'humidité, le vent et le froid</t>
  </si>
  <si>
    <t>https://calebasse.com/produits/dian-dong-ba-guan-qi-ventouses-electronique-masseur-12-vitesses-reglables-26594?product=7340</t>
  </si>
  <si>
    <t>https://res.cloudinary.com/laboratoire-calebasse/image/upload/v1725658466/_15ab29d663.jpg</t>
  </si>
  <si>
    <t>sku-MA944</t>
  </si>
  <si>
    <t>https://res.cloudinary.com/laboratoire-calebasse/image/upload/v1730194265/baguan_details_blue_2d6989b893.jpg; https://res.cloudinary.com/laboratoire-calebasse/image/upload/v1730194265/baguan_details_blanc_1d65d5d9ad.jpg</t>
  </si>
  <si>
    <t>5102</t>
  </si>
  <si>
    <t>MA944-BLANC</t>
  </si>
  <si>
    <t>Ventouse électrique et masseur - Dian dong ba guan qi - Blanche</t>
  </si>
  <si>
    <t>https://calebasse.com/produits/dian-dong-ba-guan-qi-ventouses-electronique-masseur-12-vitesses-reglables-26594?product=7344</t>
  </si>
  <si>
    <t>https://res.cloudinary.com/laboratoire-calebasse/image/upload/v1730194193/baguan_white_97e71cd2a6.jpg</t>
  </si>
  <si>
    <t>sku-MA944-BLANC</t>
  </si>
  <si>
    <t>MA944-BLEU</t>
  </si>
  <si>
    <t>Ventouse électrique et masseur - Dian dong ba guan qi - Bleue</t>
  </si>
  <si>
    <t>https://calebasse.com/produits/dian-dong-ba-guan-qi-ventouses-electronique-masseur-12-vitesses-reglables-26594?product=7345</t>
  </si>
  <si>
    <t>https://res.cloudinary.com/laboratoire-calebasse/image/upload/v1730194213/baguan_blue_23bbcf2092.jpg</t>
  </si>
  <si>
    <t>sku-MA944-BLEU</t>
  </si>
  <si>
    <t>MA951-CP2029</t>
  </si>
  <si>
    <t>Coffret de 12 ventouses avec pompe - Zhen Kong Ba Guan Qi - 1 lot</t>
  </si>
  <si>
    <t>https://calebasse.com/produits/zhen-kong-ba-guan-qi-coffret-de-12-ventouses-avec-pompe-4965?product=7173</t>
  </si>
  <si>
    <t>https://res.cloudinary.com/laboratoire-calebasse/image/upload/v1768231446/2_6df499b942.jpg</t>
  </si>
  <si>
    <t>sku-MA951-CP2029</t>
  </si>
  <si>
    <t>https://res.cloudinary.com/laboratoire-calebasse/image/upload/v1770043551/5_8cm_856f709c86.jpg; https://res.cloudinary.com/laboratoire-calebasse/image/upload/v1768231447/5_0bbb9f6fb4.jpg; https://res.cloudinary.com/laboratoire-calebasse/image/upload/v1768231446/3_03c7d1d5c1.jpg; https://res.cloudinary.com/laboratoire-calebasse/image/upload/v1768231446/4_940ead3e30.jpg</t>
  </si>
  <si>
    <t>4965</t>
  </si>
  <si>
    <t>MA952</t>
  </si>
  <si>
    <t>Marteau de massage en tissu et aux graines de plantes - 1 marteau bleu</t>
  </si>
  <si>
    <t>Un accessoire traditionnel garni de graines naturelles pour un massage tonique et profond qui stimule la circulation et détend les muscles. Ses principaux bienfaits : stimule la circulation sanguine, détend les muscles, soulage les tensions du corps</t>
  </si>
  <si>
    <t>https://calebasse.com/produits/yang-shen-chui-marteau-de-massage-en-tissu-et-graines-de-plantes-5012?product=7228</t>
  </si>
  <si>
    <t>https://res.cloudinary.com/laboratoire-calebasse/image/upload/v1701356565/Chuichui_c385be8c58.jpg</t>
  </si>
  <si>
    <t>sku-MA952</t>
  </si>
  <si>
    <t>https://res.cloudinary.com/laboratoire-calebasse/image/upload/v1760543082/2_8c9cddbb28.jpg; https://res.cloudinary.com/laboratoire-calebasse/image/upload/v1760543082/3_d62726edd7.jpg</t>
  </si>
  <si>
    <t>5012</t>
  </si>
  <si>
    <t>MA954</t>
  </si>
  <si>
    <t>Marteau de massage en tissu et aux graines de plantes - 1 marteau rouge</t>
  </si>
  <si>
    <t>https://calebasse.com/produits/yang-shen-chui-marteau-de-massage-en-tissu-et-graines-de-plantes-5012?product=7535</t>
  </si>
  <si>
    <t>https://res.cloudinary.com/laboratoire-calebasse/image/upload/v1760538249/1_64d0e366b1.jpg</t>
  </si>
  <si>
    <t>sku-MA954</t>
  </si>
  <si>
    <t>MA961-TM5006</t>
  </si>
  <si>
    <t>Lampe à alcool -150 mL - Jiu jing deng - 1 Pièce</t>
  </si>
  <si>
    <t>https://calebasse.com/produits/jiu-jing-deng-lampe-a-alcool-150-ml-5014?product=7231</t>
  </si>
  <si>
    <t>https://res.cloudinary.com/laboratoire-calebasse/image/upload/v1723109569/jiu_jing_deng_4dd8c748c5.jpg</t>
  </si>
  <si>
    <t>sku-MA961-TM5006</t>
  </si>
  <si>
    <t>5014</t>
  </si>
  <si>
    <t>MA963-85</t>
  </si>
  <si>
    <t>Porte affiche magnétique - Bois noyer - 1 tableau</t>
  </si>
  <si>
    <t>https://calebasse.com/produits/porte-affiche-magnetique-bois-noyer-5025?product=7243</t>
  </si>
  <si>
    <t>https://res.cloudinary.com/laboratoire-calebasse/image/upload/v1703769054/85_720_18959625a1.jpg</t>
  </si>
  <si>
    <t>sku-MA963-85</t>
  </si>
  <si>
    <t>5025</t>
  </si>
  <si>
    <t>MA964-61</t>
  </si>
  <si>
    <t>https://calebasse.com/produits/porte-affiche-magnetique-bois-noyer-5025?product=7242</t>
  </si>
  <si>
    <t>https://res.cloudinary.com/laboratoire-calebasse/image/upload/v1703769040/61_720_c878e70f37.jpg</t>
  </si>
  <si>
    <t>sku-MA964-61</t>
  </si>
  <si>
    <t>MA973-85</t>
  </si>
  <si>
    <t>Porte affiche magnétique - Bois rustique - 1 tableau</t>
  </si>
  <si>
    <t>https://calebasse.com/produits/porte-affiche-magnetique-bois-rustique-5029?product=7250</t>
  </si>
  <si>
    <t>https://res.cloudinary.com/laboratoire-calebasse/image/upload/v1705658738/hua_jia85_6e2f6946f5.jpg</t>
  </si>
  <si>
    <t>sku-MA973-85</t>
  </si>
  <si>
    <t>5029</t>
  </si>
  <si>
    <t>MA974-61</t>
  </si>
  <si>
    <t>https://calebasse.com/produits/porte-affiche-magnetique-bois-rustique-5029?product=7251</t>
  </si>
  <si>
    <t>https://res.cloudinary.com/laboratoire-calebasse/image/upload/v1705658796/hua_jia61_a442a02473.jpg</t>
  </si>
  <si>
    <t>sku-MA974-61</t>
  </si>
  <si>
    <t>MA97X-MD1005-02</t>
  </si>
  <si>
    <t>Modèle d'acupuncture hauteur 26 cm - Ren Ti Zhen Jiu Mo Xing - 1 Pièce</t>
  </si>
  <si>
    <t>https://calebasse.com/produits/ren-ti-zhen-jiu-mo-xing-modele-dacupuncture-hauteur-26-cm-4922?product=7130</t>
  </si>
  <si>
    <t>https://res.cloudinary.com/laboratoire-calebasse/image/upload/v1704190146/homme2_8fe82d01c6.jpg</t>
  </si>
  <si>
    <t>sku-MA97X-MD1005-02</t>
  </si>
  <si>
    <t>4922</t>
  </si>
  <si>
    <t>MA97X-MD3001-01</t>
  </si>
  <si>
    <t>Modèle de squelette humain - Ren ti gu ge mu xing - 1 Pièce</t>
  </si>
  <si>
    <t>https://calebasse.com/produits/ren-ti-gu-ge-mu-xing-modele-de-squelette-humain-5015?product=7232</t>
  </si>
  <si>
    <t>https://res.cloudinary.com/laboratoire-calebasse/image/upload/v1713947537/45_ccedb12bee.jpg</t>
  </si>
  <si>
    <t>sku-MA97X-MD3001-01</t>
  </si>
  <si>
    <t>5015</t>
  </si>
  <si>
    <t>MA97X-MD3001-02</t>
  </si>
  <si>
    <t>https://calebasse.com/produits/ren-ti-gu-ge-mu-xing-modele-de-squelette-humain-5015?product=7233</t>
  </si>
  <si>
    <t>https://res.cloudinary.com/laboratoire-calebasse/image/upload/v1713947509/180_4b7834fdfa.jpg</t>
  </si>
  <si>
    <t>sku-MA97X-MD3001-02</t>
  </si>
  <si>
    <t>MACAH-1</t>
  </si>
  <si>
    <t>Cahier Calebasse - 1 cahier</t>
  </si>
  <si>
    <t>Spécial Laboratoire Calebasse</t>
  </si>
  <si>
    <t>https://calebasse.com/produits/cahier-calebasse-5153?product=7429</t>
  </si>
  <si>
    <t>https://res.cloudinary.com/laboratoire-calebasse/image/upload/v1737113652/5_W0_A1246_641d6b19ea.jpg</t>
  </si>
  <si>
    <t>sku-MACAH-1</t>
  </si>
  <si>
    <t>https://res.cloudinary.com/laboratoire-calebasse/image/upload/v1737115174/5_W0_A1261_ad5a8d4c09.jpg; https://res.cloudinary.com/laboratoire-calebasse/image/upload/v1737115174/5_W0_A1269_f718906fe6.jpg</t>
  </si>
  <si>
    <t>5153</t>
  </si>
  <si>
    <t>MACAH-1+MASTY-1</t>
  </si>
  <si>
    <t>Cahier Calebasse - &lt;strong&gt;Lot spécial :&lt;/strong&gt; cahier et stylo Calebasse</t>
  </si>
  <si>
    <t>https://calebasse.com/produits/cahier-calebasse-5153?product=7430</t>
  </si>
  <si>
    <t>https://res.cloudinary.com/laboratoire-calebasse/image/upload/v1737114677/5_W0_A1263_63dad3d7df.jpg</t>
  </si>
  <si>
    <t>sku-MACAH-1+MASTY-1</t>
  </si>
  <si>
    <t>MBHR</t>
  </si>
  <si>
    <t>Chaga - Bai hua rong - 1 Petit Sachet plante 50g</t>
  </si>
  <si>
    <t>Champignon protecteur et antioxydant, le Chaga est reconnu pour sa richesse en composés naturels contribuant au soutien face aux agressions extérieures et à l’équilibre des défenses. Ses principaux bienfaits : contribue à la protection face aux agressions extérieures, soutient les défenses naturelles, favorise la stabilité du terrain</t>
  </si>
  <si>
    <t>https://calebasse.com/produits/bai-hua-rong-chaga-4373?product=6271</t>
  </si>
  <si>
    <t>https://res.cloudinary.com/laboratoire-calebasse/image/upload/v1746526780/CHAGA_50_g_MBHR_a9e30e41ae.jpg</t>
  </si>
  <si>
    <t>3665346218518</t>
  </si>
  <si>
    <t>sku-MBHR</t>
  </si>
  <si>
    <t>Santé &amp; Bien-être &gt; Plantes &amp; Herbes &gt; Champignons médicinaux</t>
  </si>
  <si>
    <t>4373</t>
  </si>
  <si>
    <t>422</t>
  </si>
  <si>
    <t>MHJG</t>
  </si>
  <si>
    <t>Pleurote jaune - Huang jin gu - 1 Petit Sachet plante 50g</t>
  </si>
  <si>
    <t>Pour retrouver l'énergie. Ses principaux bienfaits : donne du tonus à l'organisme, soutient les défenses naturelles, contribue à équilibrer le sucre</t>
  </si>
  <si>
    <t>https://calebasse.com/produits/huang-jin-gu-pleurote-jaune-4375?product=6275</t>
  </si>
  <si>
    <t>https://res.cloudinary.com/laboratoire-calebasse/image/upload/v1746535213/PLEUROTE_JAUNE_50_g_MHJG_7195166b61.jpg</t>
  </si>
  <si>
    <t>3665346218617</t>
  </si>
  <si>
    <t>sku-MHJG</t>
  </si>
  <si>
    <t>4375</t>
  </si>
  <si>
    <t>MHSH</t>
  </si>
  <si>
    <t>Maitake - Hui shu hua - 1 Petit Sachet plante 50g</t>
  </si>
  <si>
    <t>https://calebasse.com/produits/hui-shu-hua-maitake-4368?product=6261</t>
  </si>
  <si>
    <t>https://res.cloudinary.com/laboratoire-calebasse/image/upload/v1746526319/MAITAKE_50_g_MHSH_0108f3ef3f.jpg</t>
  </si>
  <si>
    <t>3665346218716</t>
  </si>
  <si>
    <t>sku-MHSH</t>
  </si>
  <si>
    <t>MHTG</t>
  </si>
  <si>
    <t>Hydne hérisson - Hou tou gu - 1 Petit Sachet plante 50g</t>
  </si>
  <si>
    <t>À la texture délicate et au goût subtil, l’Hydne hérisson est aujourd’hui reconnue pour sa richesse nutritionnelle et son soutien du confort digestif et de la clarté mentale. Ses principaux bienfaits : soutient le confort digestif, accompagne la clarté et la concentration, nourrit l’équilibre du terrain, contribue à la santé des séniors</t>
  </si>
  <si>
    <t>https://calebasse.com/produits/hou-tou-gu-hydne-herisson-4381?product=6287</t>
  </si>
  <si>
    <t>https://res.cloudinary.com/laboratoire-calebasse/image/upload/v1746526555/HYDNE_HERISSON_50_g_MHTG_a1c3f0184e.jpg</t>
  </si>
  <si>
    <t>3665346131213</t>
  </si>
  <si>
    <t>sku-MHTG</t>
  </si>
  <si>
    <t>4381</t>
  </si>
  <si>
    <t>MHTGX2</t>
  </si>
  <si>
    <t>Hydne hérisson - Hou tou gu - 2 Petits Sachets plantes 50g</t>
  </si>
  <si>
    <t>https://calebasse.com/produits/hou-tou-gu-hydne-herisson-4381?product=7439</t>
  </si>
  <si>
    <t>https://res.cloudinary.com/laboratoire-calebasse/image/upload/v1753347268/_51e459b5fe.jpg</t>
  </si>
  <si>
    <t>sku-MHTGX2</t>
  </si>
  <si>
    <t>MHZG</t>
  </si>
  <si>
    <t>Nameko - Hua zi gu - 1 Petit Sachet plante 50g</t>
  </si>
  <si>
    <t>Pour fortifier le corps. Ses principaux bienfaits : donne du tonus à l'organisme, soutient les défenses naturelles, contribue à la santé des séniors</t>
  </si>
  <si>
    <t>https://calebasse.com/produits/hua-zi-gu-nameko-4374?product=6273</t>
  </si>
  <si>
    <t>https://res.cloudinary.com/laboratoire-calebasse/image/upload/v1746526290/NAMEKO_50_g_MHZG_d23b925736.jpg</t>
  </si>
  <si>
    <t>3665346218815</t>
  </si>
  <si>
    <t>sku-MHZG</t>
  </si>
  <si>
    <t>4374</t>
  </si>
  <si>
    <t>MJSR</t>
  </si>
  <si>
    <t>Agaric - Ji song rong - 1 Petit Sachet plante 50g</t>
  </si>
  <si>
    <t>Pour fortifier le corps. Ses principaux bienfaits : tonifie le qi, détoxifie l'organisme, soutient les défenses naturelles</t>
  </si>
  <si>
    <t>https://calebasse.com/produits/ji-song-rong-agaric-4369?product=6263</t>
  </si>
  <si>
    <t>https://res.cloudinary.com/laboratoire-calebasse/image/upload/v1746524813/AGARIC_50_g_MJSR_6fd4274616.jpg</t>
  </si>
  <si>
    <t>3665346219317</t>
  </si>
  <si>
    <t>sku-MJSR</t>
  </si>
  <si>
    <t>4369</t>
  </si>
  <si>
    <t>MJYG</t>
  </si>
  <si>
    <t>Chanterelle - Ji you gu - 1 Petit Sachet plante 50g</t>
  </si>
  <si>
    <t>Pour fortifier l’organisme. Ses principaux bienfaits : donne du tonus à l'organisme, soutient les défenses naturelles, contribue à la santé des os</t>
  </si>
  <si>
    <t>https://calebasse.com/produits/ji-you-gu-chanterelle-4370?product=6265</t>
  </si>
  <si>
    <t>https://res.cloudinary.com/laboratoire-calebasse/image/upload/v1746534618/CHANTERELLE_50_g_MJYG_2aad3c9594.jpg</t>
  </si>
  <si>
    <t>3665346219218</t>
  </si>
  <si>
    <t>sku-MJYG</t>
  </si>
  <si>
    <t>4370</t>
  </si>
  <si>
    <t>MMG</t>
  </si>
  <si>
    <t>Champignon de Paris - Mo gu - 1 Petit Sachet plante 50g</t>
  </si>
  <si>
    <t>Pour retrouver l'énergie. Ses principaux bienfaits : détoxifie l'organisme, donne du tonus à l'organisme, soutient les défenses naturelles, stimule le transit intestinal</t>
  </si>
  <si>
    <t>https://calebasse.com/produits/mo-gu-champignon-de-paris-4376?product=6277</t>
  </si>
  <si>
    <t>https://res.cloudinary.com/laboratoire-calebasse/image/upload/v1746528964/CHAMPIGNON_DE_PARIS_50_g_MMG_6637bc5660.jpg</t>
  </si>
  <si>
    <t>3665346218914</t>
  </si>
  <si>
    <t>sku-MMG</t>
  </si>
  <si>
    <t>4376</t>
  </si>
  <si>
    <t>MMGX3</t>
  </si>
  <si>
    <t>Champignon de Paris - Mo gu - 3 Petits Sachets plantes 50g</t>
  </si>
  <si>
    <t>https://calebasse.com/produits/mo-gu-champignon-de-paris-4376?product=7376</t>
  </si>
  <si>
    <t>https://res.cloudinary.com/laboratoire-calebasse/image/upload/v1753347744/_84cda82b4b.jpg</t>
  </si>
  <si>
    <t>sku-MMGX3</t>
  </si>
  <si>
    <t>MMTGS</t>
  </si>
  <si>
    <t>Coprin chevelu - Mao tou gui san - 1 Petit Sachet plante 50g</t>
  </si>
  <si>
    <t>Pour renforcer le système immunitaire et réguler le taux de sucre. Ses principaux bienfaits : aide à la perte de poids, soutient les défenses naturelles, contribue à équilibrer le sucre</t>
  </si>
  <si>
    <t>https://calebasse.com/produits/mao-tou-gui-san-coprin-chevelu-4371?product=6267</t>
  </si>
  <si>
    <t>https://res.cloudinary.com/laboratoire-calebasse/image/upload/v1746525909/COPRIN_CHEVELU_50_g_MMTGS_25870e926e.jpg</t>
  </si>
  <si>
    <t>3665346219010</t>
  </si>
  <si>
    <t>sku-MMTGS</t>
  </si>
  <si>
    <t>4371</t>
  </si>
  <si>
    <t>MPG</t>
  </si>
  <si>
    <t>Pleurote - Ping gu - 1 Petit Sachet plante 50g</t>
  </si>
  <si>
    <t>Pour un organisme rajeuni et renforcé. Ses principaux bienfaits : donne du tonus à l'organisme, soutient les défenses naturelles, retarde le vieillissement cutané</t>
  </si>
  <si>
    <t>https://calebasse.com/produits/ping-gu-pleurote-4377?product=6279</t>
  </si>
  <si>
    <t>https://res.cloudinary.com/laboratoire-calebasse/image/upload/v1746525072/PLEUROTE_50_g_MPG_78a57d36da.jpg</t>
  </si>
  <si>
    <t>3665346219119</t>
  </si>
  <si>
    <t>sku-MPG</t>
  </si>
  <si>
    <t>4377</t>
  </si>
  <si>
    <t>MPGX3</t>
  </si>
  <si>
    <t>Pleurote - Ping gu - 3 Petits Sachets plantes 50g</t>
  </si>
  <si>
    <t>https://calebasse.com/produits/ping-gu-pleurote-4377?product=7375</t>
  </si>
  <si>
    <t>https://res.cloudinary.com/laboratoire-calebasse/image/upload/v1753347679/_afb65511dd.jpg</t>
  </si>
  <si>
    <t>sku-MPGX3</t>
  </si>
  <si>
    <t>MTC-AJB-1</t>
  </si>
  <si>
    <t>Nouveaux produits à venir - Vase à moxa et guasha en porcelaine</t>
  </si>
  <si>
    <t>https://calebasse.com/produits/nouveautes-creees-5107?product=7355</t>
  </si>
  <si>
    <t>https://res.cloudinary.com/laboratoire-calebasse/image/upload/v1730892128/fond_sombre_venir_texte_rayons_ligne_1017_5056_d53a187194.jpg</t>
  </si>
  <si>
    <t>sku-MTC-AJB-1</t>
  </si>
  <si>
    <t>5107</t>
  </si>
  <si>
    <t>MTC-AMS-1</t>
  </si>
  <si>
    <t>Brosse de massage en laiton - Brosse de massage en laiton</t>
  </si>
  <si>
    <t>Aide à stimuler la circulation</t>
  </si>
  <si>
    <t>https://calebasse.com/produits/huang-tong-an-mo-shu-brosse-de-massage-en-laiton-5090?product=7347</t>
  </si>
  <si>
    <t>https://res.cloudinary.com/laboratoire-calebasse/image/upload/v1732637869/brosse_de_massage_en_laiton_d6789bbd8e.jpg</t>
  </si>
  <si>
    <t>sku-MTC-AMS-1</t>
  </si>
  <si>
    <t>5109</t>
  </si>
  <si>
    <t>MTC-BSAJG-1</t>
  </si>
  <si>
    <t>Boîte de massage et moxa en pierre de Bian - 1 Pièce</t>
  </si>
  <si>
    <t>Un outil 2-en-1 pour masser, détendre et revitaliser en douceur Ses principaux bienfaits : stimule les zones réflexes et le cuir chevelu, soulage les tensions musculaires profondes, active la circulation et relâche les blocages, apporte une sensation immédiate de clarté et de détente</t>
  </si>
  <si>
    <t>https://calebasse.com/produits/boite-de-massage-et-moxa-en-pierre-de-bian-5182?product=7356</t>
  </si>
  <si>
    <t>https://res.cloudinary.com/laboratoire-calebasse/image/upload/v1751366064/3_a31fde218c.jpg</t>
  </si>
  <si>
    <t>sku-MTC-BSAJG-1</t>
  </si>
  <si>
    <t>https://res.cloudinary.com/laboratoire-calebasse/image/upload/v1751372990/Web_1920_15_b507fc16ff.jpg; https://res.cloudinary.com/laboratoire-calebasse/image/upload/v1751271941/4_bda24ec12e.jpg; https://res.cloudinary.com/laboratoire-calebasse/image/upload/v1751271953/2_4c1278d1d7.jpg; https://res.cloudinary.com/laboratoire-calebasse/image/upload/v1751271953/1_5c828d2108.jpg</t>
  </si>
  <si>
    <t>5182</t>
  </si>
  <si>
    <t>MTC-BSGSB-1</t>
  </si>
  <si>
    <t>Gua sha en pierre de bian - 1 Pièce</t>
  </si>
  <si>
    <t>Stimule la circulation, soulage les tensions et rééquilibre l’énergie du corps. Ses principaux bienfaits : soutient l’équilibre hormonal naturel, favorise une circulation fluide et harmonieuse, renforce les défenses de l’organisme au quotidien</t>
  </si>
  <si>
    <t>https://calebasse.com/produits/gua-sha-en-pierre-de-bian-5172?product=7471</t>
  </si>
  <si>
    <t>https://res.cloudinary.com/laboratoire-calebasse/image/upload/v1750409175/1_d90c5b2085.jpg</t>
  </si>
  <si>
    <t>sku-MTC-BSGSB-1</t>
  </si>
  <si>
    <t>https://res.cloudinary.com/laboratoire-calebasse/image/upload/v1753869380/Web_1920_26_4cae40460b.jpg; https://res.cloudinary.com/laboratoire-calebasse/image/upload/v1753869385/2_38813b3917.jpg</t>
  </si>
  <si>
    <t>5172</t>
  </si>
  <si>
    <t>MTC-CYMZ-1</t>
  </si>
  <si>
    <t>Marteau d'acupuncture magnétique - Ci yuan mei zhen - Marteau d'acupuncture magnétique</t>
  </si>
  <si>
    <t>Un outil qui unit tradition et modernité pour une stimulation douce, précise et harmonisante. Ses principaux bienfaits : stimule les points d'acupuncture sans piqûre, harmonise les méridiens, relance la circulation énergétique, soulage tensions musculaires et stagnations, favorise le bien-être général, physique et émotionnel</t>
  </si>
  <si>
    <t>https://calebasse.com/produits/marteau-dacupuncture-magnetique-5154?product=7351</t>
  </si>
  <si>
    <t>https://res.cloudinary.com/laboratoire-calebasse/image/upload/v1750429142/2_fb8135eded.jpg</t>
  </si>
  <si>
    <t>sku-MTC-CYMZ-1</t>
  </si>
  <si>
    <t>https://res.cloudinary.com/laboratoire-calebasse/image/upload/v1753869301/Web_1920_27_9e14621643.jpg; https://res.cloudinary.com/laboratoire-calebasse/image/upload/v1753869278/4_d4b6196aca.jpg; https://res.cloudinary.com/laboratoire-calebasse/image/upload/v1753869278/3_4f6e9ae996.jpg</t>
  </si>
  <si>
    <t>5154</t>
  </si>
  <si>
    <t>MTC-HTGSB-1</t>
  </si>
  <si>
    <t>Plaque de Gua Sha en laiton-Forme S - 1 Pièce</t>
  </si>
  <si>
    <t>Pour détendre les tensions, stimuler les méridiens et revitaliser le corps en douceur Ses principaux bienfaits : libère les tensions en profondeur, apaise les muscles et détend le corps, favorise un état de calme et d’harmonie intérieure</t>
  </si>
  <si>
    <t>https://calebasse.com/produits/plaque-de-gua-sha-en-laiton-forme-s-5179?product=7350</t>
  </si>
  <si>
    <t>https://res.cloudinary.com/laboratoire-calebasse/image/upload/v1765547362/1_71e64a9df5.jpg</t>
  </si>
  <si>
    <t>sku-MTC-HTGSB-1</t>
  </si>
  <si>
    <t>https://res.cloudinary.com/laboratoire-calebasse/image/upload/v1765547380/2_aff280d277.jpg</t>
  </si>
  <si>
    <t>5179</t>
  </si>
  <si>
    <t>MTC-HYD-1</t>
  </si>
  <si>
    <t>Nouveaux produits à venir - Sac de compresse thermique aux sels moxa</t>
  </si>
  <si>
    <t>https://calebasse.com/produits/nouveautes-creees-5107?product=7352</t>
  </si>
  <si>
    <t>sku-MTC-HYD-1</t>
  </si>
  <si>
    <t>MTC-NGT-1</t>
  </si>
  <si>
    <t>Nouveaux produits à venir - Patch chauffant pour le bien-être menstruel</t>
  </si>
  <si>
    <t>https://calebasse.com/produits/nouveautes-creees-5107?product=7354</t>
  </si>
  <si>
    <t>sku-MTC-NGT-1</t>
  </si>
  <si>
    <t>MTC-SYQ-1</t>
  </si>
  <si>
    <t>Brosse applicateur de cuir chevelu - Brosse applicateur de cuir chevelu - Noire</t>
  </si>
  <si>
    <t>Applicateur de soins</t>
  </si>
  <si>
    <t>https://calebasse.com/produits/tou-pi-shang-yao-qi-brosse-applicateur-de-cuir-chevelu-5089?product=7348</t>
  </si>
  <si>
    <t>https://res.cloudinary.com/laboratoire-calebasse/image/upload/v1732636369/peifne_applicateur_bleu_902147ce3e.jpg</t>
  </si>
  <si>
    <t>sku-MTC-SYQ-1</t>
  </si>
  <si>
    <t>5108</t>
  </si>
  <si>
    <t>MTC-SYQ-2</t>
  </si>
  <si>
    <t>Brosse applicateur de cuir chevelu - Brosse applicateur de cuir chevelu - Blanc</t>
  </si>
  <si>
    <t>https://calebasse.com/produits/tou-pi-shang-yao-qi-brosse-applicateur-de-cuir-chevelu-5089?product=7379</t>
  </si>
  <si>
    <t>https://res.cloudinary.com/laboratoire-calebasse/image/upload/v1732636550/peigne_applicateur_blanc_37d499d931.jpg</t>
  </si>
  <si>
    <t>sku-MTC-SYQ-2</t>
  </si>
  <si>
    <t>MTC-TCGSB-1</t>
  </si>
  <si>
    <t>Vase à moxa et gua sha en porcelaine - 1 Pièce</t>
  </si>
  <si>
    <t>https://calebasse.com/produits/tao-ci-tui-na-gua-sha-bei-vase-a-moxa-et-guasha-en-porcelaine-4976?product=7383</t>
  </si>
  <si>
    <t>https://res.cloudinary.com/laboratoire-calebasse/image/upload/v1733388692/Vase_a_moxa_et_guasha_en_porcelaine_Tao_Ci_Tui_Na_Gua_Sha_Bei_face_f6c32d813f.jpg</t>
  </si>
  <si>
    <t>sku-MTC-TCGSB-1</t>
  </si>
  <si>
    <t>https://res.cloudinary.com/laboratoire-calebasse/image/upload/v1733388692/Vase_a_moxa_et_guasha_en_porcelaine_Tao_Ci_Tui_Na_Gua_Sha_Bei_face_f6c32d813f.jpg; https://res.cloudinary.com/laboratoire-calebasse/image/upload/v1733388692/Vase_a_moxa_et_guasha_en_porcelaine_Tao_Ci_Tui_Na_Gua_Sha_Bei_profil_9ebeee1e02.jpg</t>
  </si>
  <si>
    <t>Santé &amp; Bien-être &gt; Outils de médecine traditionnelle chinoise &gt; Moxibustion &gt; EXAD</t>
  </si>
  <si>
    <t>4976</t>
  </si>
  <si>
    <t>MTC-TCGSB-2</t>
  </si>
  <si>
    <t>Vase à moxa et gua sha en porcelaine - Taille moyenne : 95 x 60 mm</t>
  </si>
  <si>
    <t>Un usage multiple pour un bien-être optimal Ses principaux bienfaits : moxibustion pour soulager les douleurs, gua sha pour détendre les muscles et améliorer la circulation, thermothérapie pour apaiser et réchauffer le corps, massage pour relaxer et revitaliser les zones tendues</t>
  </si>
  <si>
    <t>https://calebasse.com/produits/vase-a-moxa-et-guasha-en-porcelaine-5171?product=7469</t>
  </si>
  <si>
    <t>https://res.cloudinary.com/laboratoire-calebasse/image/upload/v1773334070/1_291d9f7f71.jpg</t>
  </si>
  <si>
    <t>sku-MTC-TCGSB-2</t>
  </si>
  <si>
    <t>https://res.cloudinary.com/laboratoire-calebasse/image/upload/v1773334200/3_1_d06cc5dd51.jpg; https://res.cloudinary.com/laboratoire-calebasse/image/upload/v1753869148/Web_1920_28_7665ef6e00.jpg; https://res.cloudinary.com/laboratoire-calebasse/image/upload/v1753869148/Web_1920_24_300405a8e9.jpg; https://res.cloudinary.com/laboratoire-calebasse/image/upload/v1753869147/5_584ee61c5b.jpg; https://res.cloudinary.com/laboratoire-calebasse/image/upload/v1753869148/Web_1920_23_61287999c5.jpg; https://res.cloudinary.com/laboratoire-calebasse/image/upload/v1753869149/4_e5a0d52fb5.jpg</t>
  </si>
  <si>
    <t>5171</t>
  </si>
  <si>
    <t>MTC-TEDXB-M</t>
  </si>
  <si>
    <t>Masseur en forme de lapin en bois de santal - Lapin à longues oreilles 9cm</t>
  </si>
  <si>
    <t>Pour stimuler les méridiens, activer les points d’acupuncture et revitaliser le visage Ses principaux bienfaits : massage du contour des yeux, raffermissement et lifting naturel du visage, élimine les cernes et les poches, sculpte le nez, stimule la circulation sanguine</t>
  </si>
  <si>
    <t>https://calebasse.com/produits/masseur-en-forme-de-lapin-en-bois-de-santal-5170?product=7468</t>
  </si>
  <si>
    <t>https://res.cloudinary.com/laboratoire-calebasse/image/upload/v1746519295/_53b056b4a1.jpg</t>
  </si>
  <si>
    <t>sku-MTC-TEDXB-M</t>
  </si>
  <si>
    <t>5170</t>
  </si>
  <si>
    <t>MTC-TEDXB-S</t>
  </si>
  <si>
    <t>Masseur en forme de lapin en bois de santal - Lapin à courtes oreilles 5cm</t>
  </si>
  <si>
    <t>https://calebasse.com/produits/masseur-en-forme-de-lapin-en-bois-de-santal-5170?product=7467</t>
  </si>
  <si>
    <t>https://res.cloudinary.com/laboratoire-calebasse/image/upload/v1746519066/_3b65948031.jpg</t>
  </si>
  <si>
    <t>sku-MTC-TEDXB-S</t>
  </si>
  <si>
    <t>MTC-TS-S-LIAN</t>
  </si>
  <si>
    <t>Éventail rond brodé – Brise d’été asiatique - Paix – LIAN : 13 × 18 cm</t>
  </si>
  <si>
    <t>Transmettre la grâce de l’Asie — pour un été plus frais, plus doux Ses principaux bienfaits : broderie artisanale fine et délicate, esthétique chinoise intemporelle et poétique, rafraîchissant et apaisant</t>
  </si>
  <si>
    <t>https://calebasse.com/produits/eventail-rond-brode-brise-ete-asiatique-5177?product=7472</t>
  </si>
  <si>
    <t>https://res.cloudinary.com/laboratoire-calebasse/image/upload/v1746539847/min_d9e0cbd83a.jpg</t>
  </si>
  <si>
    <t>sku-MTC-TS-S-LIAN</t>
  </si>
  <si>
    <t>5177</t>
  </si>
  <si>
    <t>MTC-TS-S-YUN</t>
  </si>
  <si>
    <t>Éventail rond brodé – Brise d’été asiatique - Bonheur – XIANG YUN : 13 × 18 cm</t>
  </si>
  <si>
    <t>https://calebasse.com/produits/eventail-rond-brode-brise-ete-asiatique-5177?product=7474</t>
  </si>
  <si>
    <t>https://res.cloudinary.com/laboratoire-calebasse/image/upload/v1746540108/_095ef399d7.jpg</t>
  </si>
  <si>
    <t>sku-MTC-TS-S-YUN</t>
  </si>
  <si>
    <t>MTC-XN-BP1</t>
  </si>
  <si>
    <t>Sachet parfumé estival – fraîcheur, équilibre et tradition chinoise - Brise de Poire</t>
  </si>
  <si>
    <t>Un parfum estival frais et naturel, pour chasser l’humidité, stimuler l’esprit et éloigner chaleur et moustiques. Ses principaux bienfaits : protège des coups de chaud estivaux, stimule l’éveil et la clarté mentale, répulsif naturel et purifiant</t>
  </si>
  <si>
    <t>https://calebasse.com/produits/sachet-parfume-estival-fraicheur-equilibre-et-tradition-chinoise-5173?product=7475</t>
  </si>
  <si>
    <t>https://res.cloudinary.com/laboratoire-calebasse/image/upload/v1748341860/Web_1920_1_0a563a874f.jpg</t>
  </si>
  <si>
    <t>sku-MTC-XN-BP1</t>
  </si>
  <si>
    <t>5173</t>
  </si>
  <si>
    <t>MTC-XN-BP3</t>
  </si>
  <si>
    <t>Sachet parfumé estival – fraîcheur, équilibre et tradition chinoise - Brise de Poire + 2 recharges</t>
  </si>
  <si>
    <t>https://calebasse.com/produits/sachet-parfume-estival-fraicheur-equilibre-et-tradition-chinoise-5173?product=7476</t>
  </si>
  <si>
    <t>https://res.cloudinary.com/laboratoire-calebasse/image/upload/v1748341870/Web_1920_5_03deb963af.jpg</t>
  </si>
  <si>
    <t>sku-MTC-XN-BP3</t>
  </si>
  <si>
    <t>MTC-XN-LO1</t>
  </si>
  <si>
    <t>Sachet parfumé estival – fraîcheur, équilibre et tradition chinoise - Lune et Osmanthus</t>
  </si>
  <si>
    <t>https://calebasse.com/produits/sachet-parfume-estival-fraicheur-equilibre-et-tradition-chinoise-5173?product=7477</t>
  </si>
  <si>
    <t>https://res.cloudinary.com/laboratoire-calebasse/image/upload/v1748341880/Web_1920_3_6dabf5a366.jpg</t>
  </si>
  <si>
    <t>sku-MTC-XN-LO1</t>
  </si>
  <si>
    <t>MTC-XN-LO3</t>
  </si>
  <si>
    <t>Sachet parfumé estival – fraîcheur, équilibre et tradition chinoise - Lune et Osmanthus + 2 recharges</t>
  </si>
  <si>
    <t>https://calebasse.com/produits/sachet-parfume-estival-fraicheur-equilibre-et-tradition-chinoise-5173?product=7478</t>
  </si>
  <si>
    <t>https://res.cloudinary.com/laboratoire-calebasse/image/upload/v1748341890/Web_1920_7_85ee4a7e14.jpg</t>
  </si>
  <si>
    <t>sku-MTC-XN-LO3</t>
  </si>
  <si>
    <t>MTC-XNC-XR5</t>
  </si>
  <si>
    <t>Sachet parfumé estival – fraîcheur, équilibre et tradition chinoise - Lot de 5 recharges</t>
  </si>
  <si>
    <t>https://calebasse.com/produits/sachet-parfume-estival-fraicheur-equilibre-et-tradition-chinoise-5173?product=7479</t>
  </si>
  <si>
    <t>https://res.cloudinary.com/laboratoire-calebasse/image/upload/v1746606041/Lot_de_5_recharges_grand_f7704ce5b2.jpg</t>
  </si>
  <si>
    <t>sku-MTC-XNC-XR5</t>
  </si>
  <si>
    <t>MTC-YJS-Noir</t>
  </si>
  <si>
    <t>Brosse en bois de santal vert - 1 pièce - Noir</t>
  </si>
  <si>
    <t>Pour masser le cuir chevelu et le corps entier. Ses principaux bienfaits : favorise la circulation sanguine, réchauffe les méridiens</t>
  </si>
  <si>
    <t>https://calebasse.com/produits/brosse-en-bois-de-santal-vert-5169?product=7489</t>
  </si>
  <si>
    <t>https://res.cloudinary.com/laboratoire-calebasse/image/upload/v1751269439/2_38d85948df.jpg</t>
  </si>
  <si>
    <t>sku-MTC-YJS-Noir</t>
  </si>
  <si>
    <t>https://res.cloudinary.com/laboratoire-calebasse/image/upload/v1751374353/Web_1920_14_897db99b01.jpg</t>
  </si>
  <si>
    <t>5169</t>
  </si>
  <si>
    <t>MTC-YJS-Vert</t>
  </si>
  <si>
    <t>Brosse en bois de santal vert - 1 pièce - Vert</t>
  </si>
  <si>
    <t>https://calebasse.com/produits/brosse-en-bois-de-santal-vert-5169?product=7488</t>
  </si>
  <si>
    <t>https://res.cloudinary.com/laboratoire-calebasse/image/upload/v1751269217/1_c471addc69.jpg</t>
  </si>
  <si>
    <t>sku-MTC-YJS-Vert</t>
  </si>
  <si>
    <t>MTC-ZJD-1</t>
  </si>
  <si>
    <t>Nouveaux produits à venir - Tapis d’acupuncture</t>
  </si>
  <si>
    <t>https://calebasse.com/produits/nouveautes-creees-5107?product=7353</t>
  </si>
  <si>
    <t>sku-MTC-ZJD-1</t>
  </si>
  <si>
    <t>MTC180MX</t>
  </si>
  <si>
    <t>Squelette Homme avec muscle et ligaments colorés - 180 cm - Ren ti gu ge mo xing 180 cm - 1 Pièce</t>
  </si>
  <si>
    <t>https://calebasse.com/produits/ren-ti-gu-ge-mo-xing-180-cm-squelette-homme-avec-muscle-et-ligaments-colores-180-cm-5060?product=7285</t>
  </si>
  <si>
    <t>https://res.cloudinary.com/laboratoire-calebasse/image/upload/v1713148139/180_9e9912f15f.jpg</t>
  </si>
  <si>
    <t>sku-MTC180MX</t>
  </si>
  <si>
    <t>5060</t>
  </si>
  <si>
    <t>MTC85MX</t>
  </si>
  <si>
    <t>Squelette avec nerfs et vaisseaux sanguins - 85 cm - Ren ti gu ge mo xing - 1 Pièce</t>
  </si>
  <si>
    <t>https://calebasse.com/produits/ren-ti-gu-ge-mo-xing-squelette-avec-nerfs-et-vaisseaux-sanguins-85-cm-5056?product=7284</t>
  </si>
  <si>
    <t>https://res.cloudinary.com/laboratoire-calebasse/image/upload/v1713147679/85cm_55cf05cecb.jpg</t>
  </si>
  <si>
    <t>sku-MTC85MX</t>
  </si>
  <si>
    <t>5056</t>
  </si>
  <si>
    <t>MTCBLBHG1</t>
  </si>
  <si>
    <t>Ventouse en verre - Bo Li Ba Huo guan - 1 unité</t>
  </si>
  <si>
    <t>https://calebasse.com/produits/bo-li-ba-huo-guan-ventouse-en-verre-5051?product=7301</t>
  </si>
  <si>
    <t>https://res.cloudinary.com/laboratoire-calebasse/image/upload/v1734707974/1_49ee026cc6.jpg</t>
  </si>
  <si>
    <t>sku-MTCBLBHG1</t>
  </si>
  <si>
    <t>5051</t>
  </si>
  <si>
    <t>MTCBLBHG2</t>
  </si>
  <si>
    <t>https://calebasse.com/produits/bo-li-ba-huo-guan-ventouse-en-verre-5051?product=7302</t>
  </si>
  <si>
    <t>https://res.cloudinary.com/laboratoire-calebasse/image/upload/v1734708077/2_8403abaf3f.jpg</t>
  </si>
  <si>
    <t>sku-MTCBLBHG2</t>
  </si>
  <si>
    <t>MTCBLBHG3</t>
  </si>
  <si>
    <t>https://calebasse.com/produits/bo-li-ba-huo-guan-ventouse-en-verre-5051?product=7303</t>
  </si>
  <si>
    <t>https://res.cloudinary.com/laboratoire-calebasse/image/upload/v1734708095/3_ee0a5846b5.jpg</t>
  </si>
  <si>
    <t>sku-MTCBLBHG3</t>
  </si>
  <si>
    <t>MTCBLBHG4</t>
  </si>
  <si>
    <t>https://calebasse.com/produits/bo-li-ba-huo-guan-ventouse-en-verre-5051?product=7304</t>
  </si>
  <si>
    <t>https://res.cloudinary.com/laboratoire-calebasse/image/upload/v1734708107/4_23cffe8064.jpg</t>
  </si>
  <si>
    <t>sku-MTCBLBHG4</t>
  </si>
  <si>
    <t>MTCBLBHG5</t>
  </si>
  <si>
    <t>https://calebasse.com/produits/bo-li-ba-huo-guan-ventouse-en-verre-5051?product=7305</t>
  </si>
  <si>
    <t>https://res.cloudinary.com/laboratoire-calebasse/image/upload/v1734708124/5_2a9fc95780.jpg</t>
  </si>
  <si>
    <t>sku-MTCBLBHG5</t>
  </si>
  <si>
    <t>MTCBLBHGC</t>
  </si>
  <si>
    <t>Ventouse en verre - Bo Li Ba Huo guan - 1 lot</t>
  </si>
  <si>
    <t>https://calebasse.com/produits/bo-li-ba-huo-guan-ventouse-en-verre-5051?product=7306</t>
  </si>
  <si>
    <t>https://res.cloudinary.com/laboratoire-calebasse/image/upload/v1713170697/_177feb7e6b.jpg</t>
  </si>
  <si>
    <t>sku-MTCBLBHGC</t>
  </si>
  <si>
    <t>MTCBTG</t>
  </si>
  <si>
    <t>Crâne anatomique Humain - Tou Gu Mo Xing - 1 Pièce</t>
  </si>
  <si>
    <t>https://calebasse.com/produits/tou-gu-mo-xing-crane-anatomique-humain-5061?product=7286</t>
  </si>
  <si>
    <t>https://res.cloudinary.com/laboratoire-calebasse/image/upload/v1713148400/2_17c6de5449.jpg</t>
  </si>
  <si>
    <t>sku-MTCBTG</t>
  </si>
  <si>
    <t>5061</t>
  </si>
  <si>
    <t>MTCDHB2HM</t>
  </si>
  <si>
    <t>Tige d'allumage à ventouse réutilisable avec coton - Dian Huo Bang - 1 Pièce</t>
  </si>
  <si>
    <t>https://calebasse.com/produits/dian-huo-bang-tige-dallumage-a-ventouse-reutilisable-avec-coton-5054?product=7307</t>
  </si>
  <si>
    <t>https://res.cloudinary.com/laboratoire-calebasse/image/upload/v1713170852/_ee522f6931.jpg</t>
  </si>
  <si>
    <t>sku-MTCDHB2HM</t>
  </si>
  <si>
    <t>5054</t>
  </si>
  <si>
    <t>MTCEX13</t>
  </si>
  <si>
    <t>Modèle d'acupuncture de l'oreille - Er Xue Mo Xing - 1 Pièce</t>
  </si>
  <si>
    <t>https://calebasse.com/produits/er-xue-mo-xing-modele-dacupuncture-de-loreille-5069?product=7297</t>
  </si>
  <si>
    <t>https://res.cloudinary.com/laboratoire-calebasse/image/upload/v1713163216/_b6b63edec0.jpg</t>
  </si>
  <si>
    <t>sku-MTCEX13</t>
  </si>
  <si>
    <t>5069</t>
  </si>
  <si>
    <t>MTCEX22</t>
  </si>
  <si>
    <t>https://calebasse.com/produits/er-xue-mo-xing-modele-dacupuncture-de-loreille-5069?product=7298</t>
  </si>
  <si>
    <t>https://res.cloudinary.com/laboratoire-calebasse/image/upload/v1713163254/_a74d1344b7.jpg</t>
  </si>
  <si>
    <t>sku-MTCEX22</t>
  </si>
  <si>
    <t>MTCGG</t>
  </si>
  <si>
    <t>Modèle de squelette chien - Gou Gu Mo Xing - 1 Pièce</t>
  </si>
  <si>
    <t>https://calebasse.com/produits/gou-gu-mo-xing-modele-de-squelette-chien-5068?product=7296</t>
  </si>
  <si>
    <t>https://res.cloudinary.com/laboratoire-calebasse/image/upload/v1713163050/_52d7cc33b7.jpg</t>
  </si>
  <si>
    <t>sku-MTCGG</t>
  </si>
  <si>
    <t>5068</t>
  </si>
  <si>
    <t>MTCJRTG</t>
  </si>
  <si>
    <t>Crâne humain avec marquage des muscles - Ji Rou Tou Gu - 1 Pièce</t>
  </si>
  <si>
    <t>https://calebasse.com/produits/ji-rou-tou-gu-crane-humain-avec-marquage-des-muscles-5062?product=7287</t>
  </si>
  <si>
    <t>https://res.cloudinary.com/laboratoire-calebasse/image/upload/v1713149134/_e6a2cb43ab.jpg</t>
  </si>
  <si>
    <t>sku-MTCJRTG</t>
  </si>
  <si>
    <t>Santé &amp; Bien-être &gt; Médecine traditionnelle chinoise &gt;  &gt; EXAD</t>
  </si>
  <si>
    <t>5062</t>
  </si>
  <si>
    <t>MTCJZCS</t>
  </si>
  <si>
    <t>Modèle didactique de colonne vertébrale coloré - Cai se ji zhu - 1 Pièce</t>
  </si>
  <si>
    <t>https://calebasse.com/produits/cai-se-ji-zhu-modele-didactique-de-colonne-vertebrale-colore-5058?product=7292</t>
  </si>
  <si>
    <t>https://res.cloudinary.com/laboratoire-calebasse/image/upload/v1713155634/_0ab4e19df3.jpg</t>
  </si>
  <si>
    <t>sku-MTCJZCS</t>
  </si>
  <si>
    <t>5058</t>
  </si>
  <si>
    <t>MTCJZFP</t>
  </si>
  <si>
    <t>Modèle colonne vertébrale avec bassin - Ji zhu Fu pen mo xing - 1 Pièce</t>
  </si>
  <si>
    <t>https://calebasse.com/produits/ji-zhu-fu-pen-mo-xing-modele-colonne-vertebrale-avec-bassin-5064?product=7290</t>
  </si>
  <si>
    <t>https://res.cloudinary.com/laboratoire-calebasse/image/upload/v1713150187/_ef1f9ed54d.jpg</t>
  </si>
  <si>
    <t>sku-MTCJZFP</t>
  </si>
  <si>
    <t>5064</t>
  </si>
  <si>
    <t>MTCJZJR</t>
  </si>
  <si>
    <t>Modèle colonne vertébrale bassin avec muscle - Ji zhu Ji rou - 1 Pièce</t>
  </si>
  <si>
    <t>https://calebasse.com/produits/ji-zhu-ji-rou-modele-colonne-vertebrale-bassin-avec-muscle-5065?product=7291</t>
  </si>
  <si>
    <t>https://res.cloudinary.com/laboratoire-calebasse/image/upload/v1713150503/_732d13265d.jpg</t>
  </si>
  <si>
    <t>sku-MTCJZJR</t>
  </si>
  <si>
    <t>5065</t>
  </si>
  <si>
    <t>MTCJZTG</t>
  </si>
  <si>
    <t>Crâne sur colonne vertébrale cervicale - Tou gu ji zhu mo xing - 1 Pièce</t>
  </si>
  <si>
    <t>https://calebasse.com/produits/tou-gu-ji-zhu-mo-xing-crane-sur-colonne-vertebrale-cervicale-5063?product=7288</t>
  </si>
  <si>
    <t>https://res.cloudinary.com/laboratoire-calebasse/image/upload/v1713149507/_c378f402e1.jpg</t>
  </si>
  <si>
    <t>sku-MTCJZTG</t>
  </si>
  <si>
    <t>5063</t>
  </si>
  <si>
    <t>MTCMSG2</t>
  </si>
  <si>
    <t>https://calebasse.com/produits/boite-a-moxa-pour-3-rouleaux-de-moxa-avec-couvercle-4914?product=7312</t>
  </si>
  <si>
    <t>https://res.cloudinary.com/laboratoire-calebasse/image/upload/v1714116186/Boite_moxa_e673ead2ec.jpg</t>
  </si>
  <si>
    <t>sku-MTCMSG2</t>
  </si>
  <si>
    <t>MTCSZZ</t>
  </si>
  <si>
    <t>Modèle main gauche avec points acupuncture - Shou Zhen Jiu Yu Fan She Qu - 1 Pièce</t>
  </si>
  <si>
    <t>https://calebasse.com/produits/shou-zhen-jiu-yu-fan-she-qu-modele-main-gauche-avec-points-acupuncture-5070?product=7299</t>
  </si>
  <si>
    <t>https://res.cloudinary.com/laboratoire-calebasse/image/upload/v1739878073/modele_main_de68127305.jpg</t>
  </si>
  <si>
    <t>sku-MTCSZZ</t>
  </si>
  <si>
    <t>https://res.cloudinary.com/laboratoire-calebasse/image/upload/v1739878073/modele_main_de68127305.jpg; https://res.cloudinary.com/laboratoire-calebasse/image/upload/v1739889717/Modele_main_8b3671a862.jpg; https://res.cloudinary.com/laboratoire-calebasse/image/upload/v1739878073/modele_main_2_4a0f1b17eb.jpg</t>
  </si>
  <si>
    <t>5070</t>
  </si>
  <si>
    <t>MTCTMF</t>
  </si>
  <si>
    <t>Modèle de segment pulmonaire transparent - Tou ming fei mo xing - 1 Pièce</t>
  </si>
  <si>
    <t>https://calebasse.com/produits/tou-ming-fei-mo-xing-modele-de-segment-pulmonaire-transparent-5067?product=7295</t>
  </si>
  <si>
    <t>https://res.cloudinary.com/laboratoire-calebasse/image/upload/v1713162982/_86582fdd54.jpg</t>
  </si>
  <si>
    <t>sku-MTCTMF</t>
  </si>
  <si>
    <t>5067</t>
  </si>
  <si>
    <t>MTCXTG</t>
  </si>
  <si>
    <t>Mini crâne anatomique humain - Xiao Tou Gu Mo Xing - 1 Pièce</t>
  </si>
  <si>
    <t>https://calebasse.com/produits/xiao-tou-gu-mo-xing-mini-crane-anatomique-humain-5057?product=7289</t>
  </si>
  <si>
    <t>https://res.cloudinary.com/laboratoire-calebasse/image/upload/v1713150098/_50e6081915.jpg</t>
  </si>
  <si>
    <t>sku-MTCXTG</t>
  </si>
  <si>
    <t>5057</t>
  </si>
  <si>
    <t>MTCYQ</t>
  </si>
  <si>
    <t>Modèle anatomique de l'oeil humain, agrandi 6X - Yan qiu 6X mo xing - 1 Pièce</t>
  </si>
  <si>
    <t>https://calebasse.com/produits/yan-qiu-6x-mo-xing-modele-anatomique-de-loeil-humain-agrandi-6x-5059?product=7293</t>
  </si>
  <si>
    <t>https://res.cloudinary.com/laboratoire-calebasse/image/upload/v1713155710/_79de2f805b.jpg</t>
  </si>
  <si>
    <t>sku-MTCYQ</t>
  </si>
  <si>
    <t>5059</t>
  </si>
  <si>
    <t>MTCYQYK</t>
  </si>
  <si>
    <t>Modèle oeil dans l'orbite en 10 parties, agrandi 3X - Yan qiu yan kuang mo xing - 1 Pièce</t>
  </si>
  <si>
    <t>https://calebasse.com/produits/yan-qiu-yan-kuang-mo-xing-modele-oeil-dans-lorbite-en-10-parties-agrandi-3x-5066?product=7294</t>
  </si>
  <si>
    <t>https://res.cloudinary.com/laboratoire-calebasse/image/upload/v1713163347/_5325e56967.jpg</t>
  </si>
  <si>
    <t>sku-MTCYQYK</t>
  </si>
  <si>
    <t>5066</t>
  </si>
  <si>
    <t>MTCZZZ</t>
  </si>
  <si>
    <t>Modèle de pied avec points d'acupuncture - Zu Zhen Jiu Yu Fan She Qu - 1 Pièce</t>
  </si>
  <si>
    <t>https://calebasse.com/produits/zu-zhen-jiu-yu-fan-she-qu-modele-de-pied-avec-points-dacupuncture-5071?product=7300</t>
  </si>
  <si>
    <t>https://res.cloudinary.com/laboratoire-calebasse/image/upload/v1713164137/_6d67de8e3f.jpg</t>
  </si>
  <si>
    <t>sku-MTCZZZ</t>
  </si>
  <si>
    <t>5071</t>
  </si>
  <si>
    <t>MXBG</t>
  </si>
  <si>
    <t>Pleurote du Panicaut - Xing bao gu - 1 Petit Sachet plante 50g</t>
  </si>
  <si>
    <t>Pour protéger l'organisme. Ses principaux bienfaits : donne du tonus à l'organisme, soutient les défenses naturelles, retarde le vieillissement cutané</t>
  </si>
  <si>
    <t>https://calebasse.com/produits/xing-bao-gu-pleurote-du-panicaut-4378?product=6281</t>
  </si>
  <si>
    <t>https://res.cloudinary.com/laboratoire-calebasse/image/upload/v1746525424/PLEUROTE_DU_PANICAUT_50_g_MXBG_a251e27e58.jpg</t>
  </si>
  <si>
    <t>3665346176214</t>
  </si>
  <si>
    <t>sku-MXBG</t>
  </si>
  <si>
    <t>4378</t>
  </si>
  <si>
    <t>MXME</t>
  </si>
  <si>
    <t>Trémelle fucus - Mu er (xue) - 1 Petit Sachet plante 100g</t>
  </si>
  <si>
    <t xml:space="preserve"> Ses principaux bienfaits : améliore l'apparence de la peau, retarde le vieillissement cutané Ses principaux bienfaits : améliore l'apparence de la peau, retarde le vieillissement cutané</t>
  </si>
  <si>
    <t>https://calebasse.com/produits/xue-mu-er-tremelle-fucus-4379?product=6283</t>
  </si>
  <si>
    <t>https://res.cloudinary.com/laboratoire-calebasse/image/upload/v1746534412/TREMELLE_FUCUS_100_g_MXME_de43938e47.jpg</t>
  </si>
  <si>
    <t>3665346181218</t>
  </si>
  <si>
    <t>sku-MXME</t>
  </si>
  <si>
    <t>4379</t>
  </si>
  <si>
    <t>MXMEX3</t>
  </si>
  <si>
    <t>Trémelle fucus - Mu er (xue) - 3 Petits Sachets plantes 100g</t>
  </si>
  <si>
    <t>https://calebasse.com/produits/xue-mu-er-tremelle-fucus-4379?product=7374</t>
  </si>
  <si>
    <t>https://res.cloudinary.com/laboratoire-calebasse/image/upload/v1753347789/_ec37a29e68.jpg</t>
  </si>
  <si>
    <t>sku-MXMEX3</t>
  </si>
  <si>
    <t>MYME</t>
  </si>
  <si>
    <t>Trémelle en fuseau - Mu er (yin) - 1 Petit Sachet plante 100g</t>
  </si>
  <si>
    <t>Pour une peau saine et jeune. Ses principaux bienfaits : améliore l'apparence de la peau, retarde le vieillissement cutané</t>
  </si>
  <si>
    <t>https://calebasse.com/produits/yin-mu-er-tremelle-en-fuseau-4372?product=6269</t>
  </si>
  <si>
    <t>https://res.cloudinary.com/laboratoire-calebasse/image/upload/v1746534331/TREMELLE_EN_FUSEAU_100_g_MYME_bac86ae486.jpg</t>
  </si>
  <si>
    <t>3665346103715</t>
  </si>
  <si>
    <t>sku-MYME</t>
  </si>
  <si>
    <t>4372</t>
  </si>
  <si>
    <t>MYMEX3</t>
  </si>
  <si>
    <t>Trémelle en fuseau - Mu er (yin) - 3 Petits Sachets plantes 100g</t>
  </si>
  <si>
    <t>https://calebasse.com/produits/yin-mu-er-tremelle-en-fuseau-4372?product=7372</t>
  </si>
  <si>
    <t>https://res.cloudinary.com/laboratoire-calebasse/image/upload/v1753347766/_487b51b5c6.jpg</t>
  </si>
  <si>
    <t>sku-MYMEX3</t>
  </si>
  <si>
    <t>MYZ</t>
  </si>
  <si>
    <t>Polypore Versicolor - Yun zhi - 1 Petit Sachet plante 100g</t>
  </si>
  <si>
    <t>Pour retrouver une forme olympique. Ses principaux bienfaits : réduit la fatigue, donne du tonus à l'organisme, soutient les défenses naturelles</t>
  </si>
  <si>
    <t>https://calebasse.com/produits/yun-zhi-polypore-versicolor-4380?product=6285</t>
  </si>
  <si>
    <t>https://res.cloudinary.com/laboratoire-calebasse/image/upload/v1748268627/POLYPORE_VERSICOLOR_100_g_MYZ_5010111559.jpg</t>
  </si>
  <si>
    <t>3665346148914</t>
  </si>
  <si>
    <t>sku-MYZ</t>
  </si>
  <si>
    <t>4380</t>
  </si>
  <si>
    <t>OACHI</t>
  </si>
  <si>
    <t>Achillée Millefeuille - 1 Petit Sachet plante 100g</t>
  </si>
  <si>
    <t>Pour soulager les troubles digestifs. Ses principaux bienfaits : contribue à une bonne digestion, favorise le fonctionnement du foie, stimule le transit intestinal</t>
  </si>
  <si>
    <t>https://calebasse.com/produits/achillee-millefeuille-4283?product=6082</t>
  </si>
  <si>
    <t>https://res.cloudinary.com/laboratoire-calebasse/image/upload/v1746521542/ACHILLEE_MILLEFEUILLE_100_g_OACHI_ad58a542ea.jpg</t>
  </si>
  <si>
    <t>3665346100219</t>
  </si>
  <si>
    <t>sku-OACHI</t>
  </si>
  <si>
    <t>4283</t>
  </si>
  <si>
    <t>OACHIL</t>
  </si>
  <si>
    <t>Achillée Millefeuille - 1 Grand Sachet plante 200g</t>
  </si>
  <si>
    <t>https://calebasse.com/produits/achillee-millefeuille-4283?product=6083</t>
  </si>
  <si>
    <t>https://res.cloudinary.com/laboratoire-calebasse/image/upload/v1752220959/ACHILLEE_MILLEFEUILLE_200_g_OACHIL_2b100fab53.jpg</t>
  </si>
  <si>
    <t>3665346100226</t>
  </si>
  <si>
    <t>sku-OACHIL</t>
  </si>
  <si>
    <t>OAIL</t>
  </si>
  <si>
    <t>Ail des ours feuille coupée bio - 1 Petit Sachet plante 70g</t>
  </si>
  <si>
    <t>Pour faciliter la digestion et soulager les ballonnements. Ses principaux bienfaits : détoxifie l'organisme, contribue à une bonne digestion, réduire les flatulences et ballonnements</t>
  </si>
  <si>
    <t>https://calebasse.com/produits/ail-des-ours-4284?product=6084</t>
  </si>
  <si>
    <t>https://res.cloudinary.com/laboratoire-calebasse/image/upload/v1760601420/AIL_DES_OURS_FEUILLE_COUPEE_BIO_70_g_OAIL_ba90940cd0.jpg</t>
  </si>
  <si>
    <t>3665346100721</t>
  </si>
  <si>
    <t>sku-OAIL</t>
  </si>
  <si>
    <t>4284</t>
  </si>
  <si>
    <t>OAILL</t>
  </si>
  <si>
    <t>Ail des ours feuille coupée bio - 1 Grand Sachet plante 150g</t>
  </si>
  <si>
    <t>https://calebasse.com/produits/ail-des-ours-4284?product=6085</t>
  </si>
  <si>
    <t>https://res.cloudinary.com/laboratoire-calebasse/image/upload/v1760601586/AIL_DES_OURS_FEUILLE_COUPEE_BIO_150_g_OAILL_45b5554d6b.jpg</t>
  </si>
  <si>
    <t>3665346100745</t>
  </si>
  <si>
    <t>sku-OAILL</t>
  </si>
  <si>
    <t>OALCH</t>
  </si>
  <si>
    <t>Alchémille partie aérienne coupée bio - 1 Petit Sachet plante 60g</t>
  </si>
  <si>
    <t>Pour soulager les diarrhées accompagnant les règles. Ses principaux bienfaits : favorise l'équilibre féminin, contribue à réguler le cycle, aide à mieux vivre les règles, calme la diarrhée</t>
  </si>
  <si>
    <t>https://calebasse.com/produits/alchemille-4281?product=6086</t>
  </si>
  <si>
    <t>https://res.cloudinary.com/laboratoire-calebasse/image/upload/v1760601963/ALCHEMILLE_PARTIE_AERIENNE_COUPEE_BIO_60_g_OALCH_bb60444075.jpg</t>
  </si>
  <si>
    <t>3665346100813</t>
  </si>
  <si>
    <t>sku-OALCH</t>
  </si>
  <si>
    <t>4281</t>
  </si>
  <si>
    <t>OALCHL</t>
  </si>
  <si>
    <t>Alchémille partie aérienne coupée bio - 1 Grand Sachet plante 150g</t>
  </si>
  <si>
    <t>https://calebasse.com/produits/alchemille-4281?product=6087</t>
  </si>
  <si>
    <t>https://res.cloudinary.com/laboratoire-calebasse/image/upload/v1760602168/ALCHEMILLE_PARTIE_AERIENNE_COUPEE_BIO_150_g_OALCHL_63c8d2c3a8.jpg</t>
  </si>
  <si>
    <t>3665346100820</t>
  </si>
  <si>
    <t>sku-OALCHL</t>
  </si>
  <si>
    <t>OANET</t>
  </si>
  <si>
    <t>Aneth - 1 Petit Sachet plante 100g</t>
  </si>
  <si>
    <t>Pour améliorer la digestion et apaiser les ballonnements. Ses principaux bienfaits : détoxifie l'organisme, contribue à une bonne digestion, réduire les flatulences et ballonnements, stimule l'appétit</t>
  </si>
  <si>
    <t>https://calebasse.com/produits/aneth-4287?product=6088</t>
  </si>
  <si>
    <t>https://res.cloudinary.com/laboratoire-calebasse/image/upload/v1746521696/ANETH_100_g_OANET_e42f52605f.jpg</t>
  </si>
  <si>
    <t>3665346101117</t>
  </si>
  <si>
    <t>sku-OANET</t>
  </si>
  <si>
    <t>4287</t>
  </si>
  <si>
    <t>OANGÉ</t>
  </si>
  <si>
    <t>Angélique feuille coupée bio - 1 Petit Sachet plante 50g</t>
  </si>
  <si>
    <t>Pour stimuler l’appétit et apaiser les ballonnements. Ses principaux bienfaits : contribue à une bonne digestion, stimule l'appétit, soulage les troubles digestifs provoqués par le stress</t>
  </si>
  <si>
    <t>https://calebasse.com/produits/angelique-4285?product=6090</t>
  </si>
  <si>
    <t>https://res.cloudinary.com/laboratoire-calebasse/image/upload/v1751625145/ANGELIQUE_FEUILLE_COUPEE_BIO_50_g_OANGE_fc1d5b254b.jpg</t>
  </si>
  <si>
    <t>3665346101216</t>
  </si>
  <si>
    <t>sku-OANGÉ</t>
  </si>
  <si>
    <t>4285</t>
  </si>
  <si>
    <t>OANGÉL</t>
  </si>
  <si>
    <t>Angélique feuille coupée bio - 1 Sachet plante 200g</t>
  </si>
  <si>
    <t>https://calebasse.com/produits/angelique-4285?product=6091</t>
  </si>
  <si>
    <t>https://res.cloudinary.com/laboratoire-calebasse/image/upload/v1751625100/ANGELIQUE_FEUILLE_COUPEE_BIO_200_g_OANGEL_8c9f7f00ff.jpg</t>
  </si>
  <si>
    <t>3665346101223</t>
  </si>
  <si>
    <t>sku-OANGÉL</t>
  </si>
  <si>
    <t>OANGR</t>
  </si>
  <si>
    <t>Angélique racine coupée bio - 1 Petit Sachet plante 50g</t>
  </si>
  <si>
    <t>Pour stimuler l’appétit et apaiser les ballonnements. Ses principaux bienfaits : réduit la fatigue, soulage les troubles digestifs provoqués par le stress</t>
  </si>
  <si>
    <t>https://calebasse.com/produits/angelique-racine-coupee-bio-5186?product=7494</t>
  </si>
  <si>
    <t>https://res.cloudinary.com/laboratoire-calebasse/image/upload/v1753800174/ANGELIQUE_RACINE_COUPEE_BIO_50_g_OANGR_ceccba9f17.jpg</t>
  </si>
  <si>
    <t>3665346226414</t>
  </si>
  <si>
    <t>sku-OANGR</t>
  </si>
  <si>
    <t>5186</t>
  </si>
  <si>
    <t>OANGRL</t>
  </si>
  <si>
    <t>Angélique racine coupée bio - 1 Grand Sachet plante 200g</t>
  </si>
  <si>
    <t>https://calebasse.com/produits/angelique-racine-coupee-bio-5186?product=7495</t>
  </si>
  <si>
    <t>https://res.cloudinary.com/laboratoire-calebasse/image/upload/v1753800187/ANGELIQUE_RACINE_COUPEE_BIO_200_g_OANGRL_1c730c4b91.jpg</t>
  </si>
  <si>
    <t>3665346226421</t>
  </si>
  <si>
    <t>sku-OANGRL</t>
  </si>
  <si>
    <t>OANIS</t>
  </si>
  <si>
    <t>Anis vert fruit entier bio - 1 Petit Sachet plante 100g</t>
  </si>
  <si>
    <t>Pour soulager les inconforts digestifs. Ses principaux bienfaits : contribue à une bonne digestion, réduire les flatulences et ballonnements, favorise le confort intestinal</t>
  </si>
  <si>
    <t>https://calebasse.com/produits/anis-vert-4286?product=6092</t>
  </si>
  <si>
    <t>https://res.cloudinary.com/laboratoire-calebasse/image/upload/v1760602832/ANIS_VERT_FRUIT_ENTIER_BIO_100_g_OANIS_e7137e493b.jpg</t>
  </si>
  <si>
    <t>3665346101315</t>
  </si>
  <si>
    <t>sku-OANIS</t>
  </si>
  <si>
    <t>4286</t>
  </si>
  <si>
    <t>OANISL</t>
  </si>
  <si>
    <t>Anis vert fruit entier bio - 1 Grand Sachet plante 200g</t>
  </si>
  <si>
    <t>https://calebasse.com/produits/anis-vert-4286?product=6093</t>
  </si>
  <si>
    <t>https://res.cloudinary.com/laboratoire-calebasse/image/upload/v1760602778/ANIS_VERT_FRUIT_ENTIER_BIO_200_g_OANISL_d46a69f149.jpg</t>
  </si>
  <si>
    <t>3665346101322</t>
  </si>
  <si>
    <t>sku-OANISL</t>
  </si>
  <si>
    <t>OARTI</t>
  </si>
  <si>
    <t>Artichaut feuille coupée bio - 1 Petit Sachet plante 60g</t>
  </si>
  <si>
    <t>Pour améliorer la digestion en stimulant le foie. Ses principaux bienfaits : contribue à une bonne digestion, favorise le fonctionnement du foie, stimule le foie, stimule le transit intestinal</t>
  </si>
  <si>
    <t>https://calebasse.com/produits/feuilles-dartichaut-4288?product=6094</t>
  </si>
  <si>
    <t>https://res.cloudinary.com/laboratoire-calebasse/image/upload/v1746521959/ARTICHAUT_FEUILLE_COUPEE_BIO_60_g_OARTI_ff92e4491e.jpg</t>
  </si>
  <si>
    <t>3665346101414</t>
  </si>
  <si>
    <t>sku-OARTI</t>
  </si>
  <si>
    <t>4288</t>
  </si>
  <si>
    <t>OARTIL</t>
  </si>
  <si>
    <t>Artichaut feuille coupée bio - 1 Grand Sachet plante 200g</t>
  </si>
  <si>
    <t>https://calebasse.com/produits/feuilles-dartichaut-4288?product=6095</t>
  </si>
  <si>
    <t>https://res.cloudinary.com/laboratoire-calebasse/image/upload/v1748271016/ARTICHAUT_FEUILLE_COUPEE_BIO_200_g_OARTIL_4f21c5fa80.jpg</t>
  </si>
  <si>
    <t>3665346101421</t>
  </si>
  <si>
    <t>sku-OARTIL</t>
  </si>
  <si>
    <t>OAUBÉ</t>
  </si>
  <si>
    <t>Aubépine sommité fleurie coupée bio - 1 Petit Sachet plante 70g</t>
  </si>
  <si>
    <t>Pour améliorer le confort cardiovasculaire. Ses principaux bienfaits : soulage les jambes lourdes, favorise le confort cardiovasculaire, maintien des équilibres circulatoires</t>
  </si>
  <si>
    <t>https://calebasse.com/produits/aubepine-4482?product=6096</t>
  </si>
  <si>
    <t>https://res.cloudinary.com/laboratoire-calebasse/image/upload/v1760603844/AUBEPINE_SOMMITE_FLEURIE_COUPEE_BIO_70_g_OAUBE_7ea20f2c28.jpg</t>
  </si>
  <si>
    <t>3665346206416</t>
  </si>
  <si>
    <t>sku-OAUBÉ</t>
  </si>
  <si>
    <t>4482</t>
  </si>
  <si>
    <t>OAUBÉL</t>
  </si>
  <si>
    <t>Aubépine sommité fleurie coupée bio - 1 Grand Sachet plante 200g</t>
  </si>
  <si>
    <t>https://calebasse.com/produits/aubepine-4482?product=6097</t>
  </si>
  <si>
    <t>https://res.cloudinary.com/laboratoire-calebasse/image/upload/v1760603792/AUBEPINE_SOMMITE_FLEURIE_COUPEE_BIO_200_g_OAUBEL_ff527e6019.jpg</t>
  </si>
  <si>
    <t>3665346222720</t>
  </si>
  <si>
    <t>sku-OAUBÉL</t>
  </si>
  <si>
    <t>OBAPA</t>
  </si>
  <si>
    <t>Bourse à pasteur - 1 Petit Sachet plante 100g</t>
  </si>
  <si>
    <t>Pour retrouver le confort pendant le cycle. Ses principaux bienfaits : aide à mieux vivre les règles, atténuer les pertes de sang</t>
  </si>
  <si>
    <t>https://calebasse.com/produits/bourse-a-pasteur-4505?product=6112</t>
  </si>
  <si>
    <t>https://res.cloudinary.com/laboratoire-calebasse/image/upload/v1746522225/BOURSE_A_PASTEUR_100_g_OBAPA_e82c2a74e5.jpg</t>
  </si>
  <si>
    <t>3665346107317</t>
  </si>
  <si>
    <t>sku-OBAPA</t>
  </si>
  <si>
    <t>4505</t>
  </si>
  <si>
    <t>OBAPAL</t>
  </si>
  <si>
    <t>Bourse à pasteur - 1 Grand Sachet plante 300g</t>
  </si>
  <si>
    <t>https://calebasse.com/produits/bourse-a-pasteur-4505?product=6113</t>
  </si>
  <si>
    <t>https://res.cloudinary.com/laboratoire-calebasse/image/upload/v1748270266/BOURSE_A_PASTEUR_300_g_OBAPAL_55367118ae.jpg</t>
  </si>
  <si>
    <t>3665346107324</t>
  </si>
  <si>
    <t>sku-OBAPAL</t>
  </si>
  <si>
    <t>OBLEU</t>
  </si>
  <si>
    <t>Bleuet fleur entière bio - 1 Petit Sachet plante 30g</t>
  </si>
  <si>
    <t>Pour apaiser les sensibilités oculaires. Ses principaux bienfaits : réduit la fatigue, contribue à une bonne digestion, apaiser la fatigue visuelle</t>
  </si>
  <si>
    <t>https://calebasse.com/produits/bleuet-4291?product=6100</t>
  </si>
  <si>
    <t>https://res.cloudinary.com/laboratoire-calebasse/image/upload/v1760604276/BLEUET_FLEUR_ENTIERE_BIO_30g_OBLEU_35175c5694.jpg</t>
  </si>
  <si>
    <t>3665346106617</t>
  </si>
  <si>
    <t>sku-OBLEU</t>
  </si>
  <si>
    <t>4291</t>
  </si>
  <si>
    <t>OBLEUL</t>
  </si>
  <si>
    <t>Bleuet fleur entière bio - 1 Grand Sachet plante 100g</t>
  </si>
  <si>
    <t>https://calebasse.com/produits/bleuet-4291?product=6101</t>
  </si>
  <si>
    <t>https://res.cloudinary.com/laboratoire-calebasse/image/upload/v1760604324/BLEUET_FLEUR_ENTIERE_BIO_100_g_OBLEUL_0667f03cbf.jpg</t>
  </si>
  <si>
    <t>3665346220122</t>
  </si>
  <si>
    <t>sku-OBLEUL</t>
  </si>
  <si>
    <t>OBOLD</t>
  </si>
  <si>
    <t>Boldo - 1 Petit Sachet plante 100g</t>
  </si>
  <si>
    <t>https://calebasse.com/produits/boldo-4292?product=6102</t>
  </si>
  <si>
    <t>https://res.cloudinary.com/laboratoire-calebasse/image/upload/v1746522142/BOLDO_100_g_OBOLD_82b95408b2.jpg</t>
  </si>
  <si>
    <t>3665346106815</t>
  </si>
  <si>
    <t>sku-OBOLD</t>
  </si>
  <si>
    <t>4292</t>
  </si>
  <si>
    <t>OBOLDL</t>
  </si>
  <si>
    <t>Boldo - 1 Grand Sachet plante 200g</t>
  </si>
  <si>
    <t>https://calebasse.com/produits/boldo-4292?product=6103</t>
  </si>
  <si>
    <t>https://res.cloudinary.com/laboratoire-calebasse/image/upload/v1748270366/BOLDO_200_g_OBOLDL_e246d22ef4.jpg</t>
  </si>
  <si>
    <t>3665346122488</t>
  </si>
  <si>
    <t>sku-OBOLDL</t>
  </si>
  <si>
    <t>OBOUI</t>
  </si>
  <si>
    <t>Bouillon Blanc - 1 Petit Sachet plante 100g</t>
  </si>
  <si>
    <t>Pour soulager l’appareil respiratoire. Ses principaux bienfaits : détoxifie l'organisme, libère les voies respiratoires, stimule les fonctions éliminatrices</t>
  </si>
  <si>
    <t>https://calebasse.com/produits/bouillon-blanc-4293?product=6104</t>
  </si>
  <si>
    <t>https://res.cloudinary.com/laboratoire-calebasse/image/upload/v1746522180/BOUILLON_BLANC_100_g_OBOUI_6552d90ebe.jpg</t>
  </si>
  <si>
    <t>3665346106914</t>
  </si>
  <si>
    <t>sku-OBOUI</t>
  </si>
  <si>
    <t>4293</t>
  </si>
  <si>
    <t>OBOUIL</t>
  </si>
  <si>
    <t>Bouillon Blanc - 1 Grand Sachet plante 200g</t>
  </si>
  <si>
    <t>https://calebasse.com/produits/bouillon-blanc-4293?product=6105</t>
  </si>
  <si>
    <t>https://res.cloudinary.com/laboratoire-calebasse/image/upload/v1748270336/BOUILLON_BLANC_200_g_OBOUIL_7013c563b2.jpg</t>
  </si>
  <si>
    <t>3665346222126</t>
  </si>
  <si>
    <t>sku-OBOUIL</t>
  </si>
  <si>
    <t>OBOUL</t>
  </si>
  <si>
    <t>Bouleau - 1 Petit Sachet plante 100g</t>
  </si>
  <si>
    <t>Pour retrouver un confort urinaire optimal. Ses principaux bienfaits : améliore l'apparence de la peau, aide au confort urinaire, stimule les fonctions éliminatrices</t>
  </si>
  <si>
    <t>https://calebasse.com/produits/bouleau-4296?product=6107</t>
  </si>
  <si>
    <t>https://res.cloudinary.com/laboratoire-calebasse/image/upload/v1746522197/BOULEAU_100_g_OBOUL_24984a1f6f.jpg</t>
  </si>
  <si>
    <t>3665346107010</t>
  </si>
  <si>
    <t>sku-OBOUL</t>
  </si>
  <si>
    <t>4296</t>
  </si>
  <si>
    <t>OBRUY</t>
  </si>
  <si>
    <t>Bruyère fleur / feuille coupée bio - 1 Petit Sachet plante 70g</t>
  </si>
  <si>
    <t>https://calebasse.com/produits/bruyere-4298?product=6114</t>
  </si>
  <si>
    <t>https://res.cloudinary.com/laboratoire-calebasse/image/upload/v1760604559/BRUYERE_FLEUR_ET_FEUILLE_COUPEE_BIO_70_g_OBRUY_e3fa54f521.jpg</t>
  </si>
  <si>
    <t>3665346107416</t>
  </si>
  <si>
    <t>sku-OBRUY</t>
  </si>
  <si>
    <t>4298</t>
  </si>
  <si>
    <t>OBRUYL</t>
  </si>
  <si>
    <t>Bruyère fleur / feuille coupée bio - 1 Grand Sachet plante 200g</t>
  </si>
  <si>
    <t>https://calebasse.com/produits/bruyere-4298?product=6115</t>
  </si>
  <si>
    <t>https://res.cloudinary.com/laboratoire-calebasse/image/upload/v1760604602/BRUYERE_FLEUR_ET_FEUILLE_COUPEE_BIO_200_g_OBRUYL_cc95c2f71e.jpg</t>
  </si>
  <si>
    <t>3665346107423</t>
  </si>
  <si>
    <t>sku-OBRUYL</t>
  </si>
  <si>
    <t>OBUSS</t>
  </si>
  <si>
    <t>Busserole - 1 Petit Sachet plante 100g</t>
  </si>
  <si>
    <t>Pour prévenir les inconforts urinaires. Ses principaux bienfaits : détoxifie l'organisme, aide au confort urinaire, stimule les fonctions éliminatrices</t>
  </si>
  <si>
    <t>https://calebasse.com/produits/busserole-4299?product=6116</t>
  </si>
  <si>
    <t>https://res.cloudinary.com/laboratoire-calebasse/image/upload/v1746522360/BUSSEROLE_100_g_OBUSS_ad9819756b.jpg</t>
  </si>
  <si>
    <t>3665346107614</t>
  </si>
  <si>
    <t>sku-OBUSS</t>
  </si>
  <si>
    <t>4299</t>
  </si>
  <si>
    <t>OCABF</t>
  </si>
  <si>
    <t>Canneberge fruit sucré bio - 1 Petit Sachet plante 50g</t>
  </si>
  <si>
    <t>Pour renforcer l’immunité et le confort digestif Ses principaux bienfaits : stimule la circulation sanguine, favorise le confort cardiovasculaire</t>
  </si>
  <si>
    <t>https://calebasse.com/produits/canneberge-fruit-sucre-bio-5187?product=7496</t>
  </si>
  <si>
    <t>https://res.cloudinary.com/laboratoire-calebasse/image/upload/v1753800209/CANNEBERGE_FRUIT_SUCRE_BIO_50_g_OCABF_4b331c5ec5.jpg</t>
  </si>
  <si>
    <t>3665346227312</t>
  </si>
  <si>
    <t>sku-OCABF</t>
  </si>
  <si>
    <t>5187</t>
  </si>
  <si>
    <t>OCABFL</t>
  </si>
  <si>
    <t>Canneberge fruit sucré bio - 1 Grand Sachet plante 200g</t>
  </si>
  <si>
    <t>https://calebasse.com/produits/canneberge-fruit-sucre-bio-5187?product=7497</t>
  </si>
  <si>
    <t>https://res.cloudinary.com/laboratoire-calebasse/image/upload/v1753800226/CANNEBERGE_FRUIT_SUCRE_BIO_200_g_OCABFL_2627d4e3f4.jpg</t>
  </si>
  <si>
    <t>3665346227329</t>
  </si>
  <si>
    <t>sku-OCABFL</t>
  </si>
  <si>
    <t>OCAMA</t>
  </si>
  <si>
    <t>Camomille Matricaire - 1 Petit Sachet plante 50g</t>
  </si>
  <si>
    <t>Pour assainir l’appareil digestif. Ses principaux bienfaits : détoxifie l'organisme, libère les voies respiratoires, soulage les sensibilités de l'estomac</t>
  </si>
  <si>
    <t>https://calebasse.com/produits/camomille-matricaire-4300?product=6117</t>
  </si>
  <si>
    <t>https://res.cloudinary.com/laboratoire-calebasse/image/upload/v1746522378/CAMOMILLE_MATRICAIRE_50_g_OCAMA_f3cb0c28a9.jpg</t>
  </si>
  <si>
    <t>3665346107751</t>
  </si>
  <si>
    <t>sku-OCAMA</t>
  </si>
  <si>
    <t>4300</t>
  </si>
  <si>
    <t>OCAMAL</t>
  </si>
  <si>
    <t>Camomille Matricaire - 1 Grand Sachet plante 300g</t>
  </si>
  <si>
    <t>https://calebasse.com/produits/camomille-matricaire-4300?product=6119</t>
  </si>
  <si>
    <t>https://res.cloudinary.com/laboratoire-calebasse/image/upload/v1752221022/CAMOMILLE_MATRICAIRE_300_g_OCAMAL_a2e26364a9.jpg</t>
  </si>
  <si>
    <t>3665346207826</t>
  </si>
  <si>
    <t>sku-OCAMAL</t>
  </si>
  <si>
    <t>OCANE</t>
  </si>
  <si>
    <t>Cannelle de Ceylan écorce morceaux coupé bio - 1 Petit Sachet plante 50g</t>
  </si>
  <si>
    <t>Pour tonifier le corps et le confort digestif Ses principaux bienfaits : renforce votre système immunitaire, soutient les défenses naturelles</t>
  </si>
  <si>
    <t>https://calebasse.com/produits/cannelle-ecorce-morceaux-coupe-bio-5188?product=7498</t>
  </si>
  <si>
    <t>https://res.cloudinary.com/laboratoire-calebasse/image/upload/v1754471889/CANNELLE_DE_CEYLAN_ECORCE_MORCEAUX_COUPE_BIO_50_g_OCANE_ee17cbaa00.jpg</t>
  </si>
  <si>
    <t>3665346227411</t>
  </si>
  <si>
    <t>sku-OCANE</t>
  </si>
  <si>
    <t>5188</t>
  </si>
  <si>
    <t>OCANEL</t>
  </si>
  <si>
    <t>Cannelle de Ceylan écorce morceaux coupé bio - 1 Grand Sachet plante 200g</t>
  </si>
  <si>
    <t>https://calebasse.com/produits/cannelle-ecorce-morceaux-coupe-bio-5188?product=7499</t>
  </si>
  <si>
    <t>https://res.cloudinary.com/laboratoire-calebasse/image/upload/v1754471890/CANNELLE_DE_CEYLAN_ECORCE_MORCEAUX_COUPE_BIO_200_g_OCANEL_ea51a7750e.jpg</t>
  </si>
  <si>
    <t>3665346227428</t>
  </si>
  <si>
    <t>sku-OCANEL</t>
  </si>
  <si>
    <t>OCANP</t>
  </si>
  <si>
    <t>Cannelle de Ceylan poudre bio - 1 Petit Sachet plante 70g</t>
  </si>
  <si>
    <t>Réconfortante et protectrice, pour allier saveur et équilibre au quotidien Ses principaux bienfaits : renforce les défenses naturelles, élimination des toxines, apaise le stress</t>
  </si>
  <si>
    <t>https://calebasse.com/produits/cannelle-ecorce-morceaux-poudre-bio-5204?product=7532</t>
  </si>
  <si>
    <t>https://res.cloudinary.com/laboratoire-calebasse/image/upload/v1759997101/CANNELLE_DE_CEYLAN_ECORCE_MORCEAUX_POUDRE_BIO_70_g_OCANP_344dda2986.jpg</t>
  </si>
  <si>
    <t>3665346226919</t>
  </si>
  <si>
    <t>sku-OCANP</t>
  </si>
  <si>
    <t>5204</t>
  </si>
  <si>
    <t>OCANPL</t>
  </si>
  <si>
    <t>Cannelle de Ceylan poudre bio - 1 Grand Sachet plante 200g</t>
  </si>
  <si>
    <t>https://calebasse.com/produits/cannelle-ecorce-morceaux-poudre-bio-5204?product=7534</t>
  </si>
  <si>
    <t>https://res.cloudinary.com/laboratoire-calebasse/image/upload/v1754471890/CANNELLE_DE_CEYLAN_ECORCE_MORCEAUX_POUDRE_BIO_200_g_OCANPL_23c2aa4b30.jpg</t>
  </si>
  <si>
    <t>3665346226926</t>
  </si>
  <si>
    <t>sku-OCANPL</t>
  </si>
  <si>
    <t>OCANT</t>
  </si>
  <si>
    <t>Cannelle de Ceylan tuyau entier bio - 1 Petit Sachet plante 50g</t>
  </si>
  <si>
    <t>Pour renforcer l’immunité et le confort digestif Ses principaux bienfaits : contribue à une bonne digestion, favorise le fonctionnement du foie, stimule le foie, stimule le transit intestinal</t>
  </si>
  <si>
    <t>https://calebasse.com/produits/cannelle-tuyau-entier-bio-5189?product=7500</t>
  </si>
  <si>
    <t>https://res.cloudinary.com/laboratoire-calebasse/image/upload/v1754471889/CANNELLE_DE_CEYLAN_TUYAU_ENTIER_BIO_50_g_OCANT_0aa5cb1013.jpg</t>
  </si>
  <si>
    <t>3665346227510</t>
  </si>
  <si>
    <t>sku-OCANT</t>
  </si>
  <si>
    <t>5189</t>
  </si>
  <si>
    <t>OCANTL</t>
  </si>
  <si>
    <t>Cannelle de Ceylan tuyau entier bio - 1 Grand Sachet plante 200g</t>
  </si>
  <si>
    <t>https://calebasse.com/produits/cannelle-tuyau-entier-bio-5189?product=7501</t>
  </si>
  <si>
    <t>https://res.cloudinary.com/laboratoire-calebasse/image/upload/v1754471890/CANNELLE_DE_CEYLAN_TUYAU_ENTIER_BIO_200_g_OCANTL_c0866bfcd5.jpg</t>
  </si>
  <si>
    <t>3665346227527</t>
  </si>
  <si>
    <t>sku-OCANTL</t>
  </si>
  <si>
    <t>OCARO</t>
  </si>
  <si>
    <t>Camomille Romaine fleur entière bio - 1 Petit Sachet plante 50g</t>
  </si>
  <si>
    <t>Relaxante et apaisante, elle aide à favoriser la détente, soutient le confort digestif et purifie l’organisme, pour un bien-être global. Ses principaux bienfaits : aide à mieux vivre les règles, détoxifie l'organisme, soulage les sensibilités de l'estomac</t>
  </si>
  <si>
    <t>https://calebasse.com/produits/camomille-romaine-4301?product=6120</t>
  </si>
  <si>
    <t>https://res.cloudinary.com/laboratoire-calebasse/image/upload/v1771599731/CAMOMILLE_ROMAINE_FLEUR_ENTIERE_BIO_50_g_OCARO_50099_184_fb08c74d6e.jpg</t>
  </si>
  <si>
    <t>3665346107713</t>
  </si>
  <si>
    <t>sku-OCARO</t>
  </si>
  <si>
    <t>4301</t>
  </si>
  <si>
    <t>OCASS</t>
  </si>
  <si>
    <t>Cassis fruit bio - 1 Petit Sachet plante 50g</t>
  </si>
  <si>
    <t>Énergisant et antioxydant, le fruit de cassis est un véritable allié pour renforcer les défenses et soutenir la circulation. Ses principaux bienfaits : anti-oxydant, réduit la fatigue, soutient la circulation et le confort des jambes</t>
  </si>
  <si>
    <t>https://calebasse.com/produits/cassis-4304?product=6124</t>
  </si>
  <si>
    <t>https://res.cloudinary.com/laboratoire-calebasse/image/upload/v1760605522/CASSIS_FRUIT_BIO_50_g_OCASS_7cefa6b565.jpg</t>
  </si>
  <si>
    <t>3665346112526</t>
  </si>
  <si>
    <t>sku-OCASS</t>
  </si>
  <si>
    <t>4304</t>
  </si>
  <si>
    <t>OCASSL</t>
  </si>
  <si>
    <t>Cassis fruit bio - 1 Grand Sachet plante 150g</t>
  </si>
  <si>
    <t>https://calebasse.com/produits/cassis-4304?product=6125</t>
  </si>
  <si>
    <t>https://res.cloudinary.com/laboratoire-calebasse/image/upload/v1760605496/CASSIS_FRUIT_BIO_150_g_OCASSL_44580520cc.jpg</t>
  </si>
  <si>
    <t>3665346112540</t>
  </si>
  <si>
    <t>sku-OCASSL</t>
  </si>
  <si>
    <t>Anti-oxydant; Réduit la fatigue; Soutient la circulation et le confort des jambes</t>
  </si>
  <si>
    <t>OCERF</t>
  </si>
  <si>
    <t>Cerfeuil - 1 Petit Sachet plante 100g</t>
  </si>
  <si>
    <t>Pour soulager les inconforts digestifs. Ses principaux bienfaits : contribue à une bonne digestion, soulage les sensibilités de l'estomac, stimule l'appétit</t>
  </si>
  <si>
    <t>https://calebasse.com/produits/cerfeuil-4305?product=6126</t>
  </si>
  <si>
    <t>https://res.cloudinary.com/laboratoire-calebasse/image/upload/v1746522432/CERFEUIL_100_g_OCERF_04cea63c07.jpg</t>
  </si>
  <si>
    <t>3665346109410</t>
  </si>
  <si>
    <t>sku-OCERF</t>
  </si>
  <si>
    <t>4305</t>
  </si>
  <si>
    <t>OCERFL</t>
  </si>
  <si>
    <t>Cerfeuil - 1 Grand Sachet plante 300g</t>
  </si>
  <si>
    <t>https://calebasse.com/produits/cerfeuil-4305?product=6127</t>
  </si>
  <si>
    <t>https://res.cloudinary.com/laboratoire-calebasse/image/upload/v1663747464/O_cerfeuil_ba9e5a2927.jpg</t>
  </si>
  <si>
    <t>3665346221020</t>
  </si>
  <si>
    <t>sku-OCERFL</t>
  </si>
  <si>
    <t>OCHAR</t>
  </si>
  <si>
    <t>Chardon-Marie graine entière bio - 1 Petit Sachet plante 50g</t>
  </si>
  <si>
    <t>Pour favoriser la digestion et protéger le foie. Ses principaux bienfaits : contribue à une bonne digestion, favorise le fonctionnement du foie, protège la fonction hépatique, stimule le foie</t>
  </si>
  <si>
    <t>https://calebasse.com/produits/chardon-marie-4474?product=6129</t>
  </si>
  <si>
    <t>https://res.cloudinary.com/laboratoire-calebasse/image/upload/v1744901301/CHARDON_MARIE_GRAINE_ENTIERE_BIO_50_g_OCHAR_2025_04_10_a973782c11.jpg</t>
  </si>
  <si>
    <t>3665346109915</t>
  </si>
  <si>
    <t>sku-OCHAR</t>
  </si>
  <si>
    <t>4474</t>
  </si>
  <si>
    <t>OCHARL</t>
  </si>
  <si>
    <t>Chardon-Marie graine entière bio - 1 Grand Sachet plante 200g</t>
  </si>
  <si>
    <t>https://calebasse.com/produits/chardon-marie-4474?product=6128</t>
  </si>
  <si>
    <t>https://res.cloudinary.com/laboratoire-calebasse/image/upload/v1748270992/CHARDON_MARIE_GRAINE_ENTIERE_BIO_200_g_OCHARL_f7fbf65710.jpg</t>
  </si>
  <si>
    <t>3665346220825</t>
  </si>
  <si>
    <t>sku-OCHARL</t>
  </si>
  <si>
    <t>OCHIC</t>
  </si>
  <si>
    <t>Chicorée racine coupée bio - 1 Petit Sachet plante 60g</t>
  </si>
  <si>
    <t>Pour faciliter le processus digestif. Ses principaux bienfaits : détoxifie l'organisme, favorise le confort intestinal, favorise le fonctionnement du foie</t>
  </si>
  <si>
    <t>https://calebasse.com/produits/chicoree-4306?product=6130</t>
  </si>
  <si>
    <t>https://res.cloudinary.com/laboratoire-calebasse/image/upload/v1760606008/CHICOREE_RACINE_COUPEE_BIO_60_g_OCHIC_772b3ac773.jpg</t>
  </si>
  <si>
    <t>3665346110812</t>
  </si>
  <si>
    <t>sku-OCHIC</t>
  </si>
  <si>
    <t>4306</t>
  </si>
  <si>
    <t>OCHICL</t>
  </si>
  <si>
    <t>Chicorée racine coupée bio - 1 Grand Sachet plante 200g</t>
  </si>
  <si>
    <t>https://calebasse.com/produits/chicoree-4306?product=6132</t>
  </si>
  <si>
    <t>https://res.cloudinary.com/laboratoire-calebasse/image/upload/v1760606018/CHICOREE_RACINE_COUPEE_BIO_200_g_OCHICL_5663826a82.jpg</t>
  </si>
  <si>
    <t>3665346110829</t>
  </si>
  <si>
    <t>sku-OCHICL</t>
  </si>
  <si>
    <t>OCHIE</t>
  </si>
  <si>
    <t>Chiendent - 1 Petit Sachet plante 100g</t>
  </si>
  <si>
    <t>Pour détoxifier le foie. Ses principaux bienfaits : contribue à une bonne digestion, favorise le fonctionnement du foie, stimule le foie, stimule le transit intestinal</t>
  </si>
  <si>
    <t>https://calebasse.com/produits/chiendent-4307?product=6131</t>
  </si>
  <si>
    <t>https://res.cloudinary.com/laboratoire-calebasse/image/upload/v1746522528/CHIENDENT_100_g_OCHIE_98403289c9.jpg</t>
  </si>
  <si>
    <t>3665346110911</t>
  </si>
  <si>
    <t>sku-OCHIE</t>
  </si>
  <si>
    <t>4307</t>
  </si>
  <si>
    <t>OCHIGL</t>
  </si>
  <si>
    <t>Chia graine bio - 1 Grand Sachet plante 200g</t>
  </si>
  <si>
    <t>Superaliment ancestral à ajouter dans toute routine santé Ses principaux bienfaits : stimule la circulation sanguine, favorise le confort cardiovasculaire</t>
  </si>
  <si>
    <t>https://calebasse.com/produits/chia-graine-bio-5190?product=7503</t>
  </si>
  <si>
    <t>https://res.cloudinary.com/laboratoire-calebasse/image/upload/v1753800308/CHIA_GRAINE_BIO_200_g_OCHIGL_525a76e3cb.jpg</t>
  </si>
  <si>
    <t>3665346227626</t>
  </si>
  <si>
    <t>sku-OCHIGL</t>
  </si>
  <si>
    <t>5190</t>
  </si>
  <si>
    <t>OCIBO</t>
  </si>
  <si>
    <t>Ciboulette - 1 Petit Sachet plante 100g</t>
  </si>
  <si>
    <t>Pour ouvrir l’appétit et faciliter la digestion. Ses principaux bienfaits : contribue à une bonne digestion, soulage les sensibilités de l'estomac, stimule l'appétit</t>
  </si>
  <si>
    <t>https://calebasse.com/produits/ciboulette-4308?product=6134</t>
  </si>
  <si>
    <t>https://res.cloudinary.com/laboratoire-calebasse/image/upload/v1746522545/CIBOULETTE_100_g_OCIBO_b00c561a30.jpg</t>
  </si>
  <si>
    <t>3665346112915</t>
  </si>
  <si>
    <t>sku-OCIBO</t>
  </si>
  <si>
    <t>4308</t>
  </si>
  <si>
    <t>OCITR</t>
  </si>
  <si>
    <t>Citronnelle - 1 Petit Sachet plante 100g</t>
  </si>
  <si>
    <t>Pour favoriser le confort digestif. Ses principaux bienfaits : contribue à une bonne digestion, réduire les flatulences et ballonnements, soulage les sensibilités de l'estomac</t>
  </si>
  <si>
    <t>https://calebasse.com/produits/citronnelle-4309?product=6136</t>
  </si>
  <si>
    <t>https://res.cloudinary.com/laboratoire-calebasse/image/upload/v1746522570/CITRONNELLE_100_g_OCITR_0663348f72.jpg</t>
  </si>
  <si>
    <t>3665346165614</t>
  </si>
  <si>
    <t>sku-OCITR</t>
  </si>
  <si>
    <t>4309</t>
  </si>
  <si>
    <t>OCONS</t>
  </si>
  <si>
    <t>Consoude racine coupée bio - 1 Petit Sachet plante 50g</t>
  </si>
  <si>
    <t>Pour calmer les sensibilités articulaires. Ses principaux bienfaits : favorise le confort articulaire, soutient la souplesse articulaire, favorise la cicatrisation, apaise les sensibilités articulaires</t>
  </si>
  <si>
    <t>https://calebasse.com/produits/consoude-4310?product=6138</t>
  </si>
  <si>
    <t>https://res.cloudinary.com/laboratoire-calebasse/image/upload/v1753103998/CONSOUDE_RACINE_COUPEE_BIO_50_g_OCONS_821ac0a32b.jpg</t>
  </si>
  <si>
    <t>3665346113110</t>
  </si>
  <si>
    <t>sku-OCONS</t>
  </si>
  <si>
    <t>4310</t>
  </si>
  <si>
    <t>OCONSL</t>
  </si>
  <si>
    <t>Consoude racine coupée bio - 1 Grand Sachet plante 200g</t>
  </si>
  <si>
    <t>https://calebasse.com/produits/consoude-4310?product=6139</t>
  </si>
  <si>
    <t>https://res.cloudinary.com/laboratoire-calebasse/image/upload/v1753104008/CONSOUDE_RACINE_COUPEE_BIO_200_g_OCONSL_57fe9636ab.jpg</t>
  </si>
  <si>
    <t>3665346113127</t>
  </si>
  <si>
    <t>sku-OCONSL</t>
  </si>
  <si>
    <t>OCOQU</t>
  </si>
  <si>
    <t>Pétales de Coquelicot - 1 Petit Sachet plante 50g</t>
  </si>
  <si>
    <t>Pour calmer l’agitation nocturne. Ses principaux bienfaits : facilite l'endormissement, calme le stress passagère, permet un sommeil paisible</t>
  </si>
  <si>
    <t>https://calebasse.com/produits/petales-de-coquelicot-4311?product=6140</t>
  </si>
  <si>
    <t>https://res.cloudinary.com/laboratoire-calebasse/image/upload/v1751624228/PETALES_DE_COQUELICOT_50_g_OCOQU_f8c7487773.jpg</t>
  </si>
  <si>
    <t>3665346112472</t>
  </si>
  <si>
    <t>sku-OCOQU</t>
  </si>
  <si>
    <t>4311</t>
  </si>
  <si>
    <t>OCOQUL</t>
  </si>
  <si>
    <t>Pétales de Coquelicot - 1 Grand Sachet plante 240g</t>
  </si>
  <si>
    <t>https://calebasse.com/produits/petales-de-coquelicot-4311?product=6141</t>
  </si>
  <si>
    <t>https://res.cloudinary.com/laboratoire-calebasse/image/upload/v1751624217/PETALES_DE_COQUELICOT_240_g_OCOQUL_6f9cfa7454.jpg</t>
  </si>
  <si>
    <t>3665346122471</t>
  </si>
  <si>
    <t>sku-OCOQUL</t>
  </si>
  <si>
    <t>OCORI</t>
  </si>
  <si>
    <t>Coriandre feuille coupée bio - 1 Petit Sachet plante 50g</t>
  </si>
  <si>
    <t>Pour stimuler l’appétit et faciliter la digestion. Ses principaux bienfaits : réduire les flatulences et ballonnements, soulage les sensibilités de l'estomac, stimule l'appétit</t>
  </si>
  <si>
    <t>https://calebasse.com/produits/coriandre-4312?product=6142</t>
  </si>
  <si>
    <t>https://res.cloudinary.com/laboratoire-calebasse/image/upload/v1748268268/CORIANDRE_FEUILLE_COUPEE_BIO_50_g_OCORI_a45f7c25a1.jpg</t>
  </si>
  <si>
    <t>3665346113516</t>
  </si>
  <si>
    <t>sku-OCORI</t>
  </si>
  <si>
    <t>4312</t>
  </si>
  <si>
    <t>OCORIL</t>
  </si>
  <si>
    <t>Coriandre feuille coupée bio - 1 Grand Sachet plante 200g</t>
  </si>
  <si>
    <t>https://calebasse.com/produits/coriandre-4312?product=6143</t>
  </si>
  <si>
    <t>https://res.cloudinary.com/laboratoire-calebasse/image/upload/v1748268246/CORIANDRE_FEUILLE_COUPEE_BIO_200_g_OCORIL_48eb12711b.jpg</t>
  </si>
  <si>
    <t>3665346185520</t>
  </si>
  <si>
    <t>sku-OCORIL</t>
  </si>
  <si>
    <t>OCOUG</t>
  </si>
  <si>
    <t>Courge graine entière bio - 1 Petit Sachet plante 80g</t>
  </si>
  <si>
    <t>Naturellement riche et plein de vitalité Ses principaux bienfaits : contribue à une bonne digestion, favorise le fonctionnement du foie, stimule le foie, stimule le transit intestinal</t>
  </si>
  <si>
    <t>https://calebasse.com/produits/courge-graine-entiere-bio-5191?product=7528</t>
  </si>
  <si>
    <t>https://res.cloudinary.com/laboratoire-calebasse/image/upload/v1759997237/COURGE_GRAINE_ENTIERE_BIO_80_g_OCOUG_d08cc2e466.jpg</t>
  </si>
  <si>
    <t>3665346227718</t>
  </si>
  <si>
    <t>sku-OCOUG</t>
  </si>
  <si>
    <t>5191</t>
  </si>
  <si>
    <t>OCOUGL</t>
  </si>
  <si>
    <t>Courge graine entière bio - 1 Grand Sachet plante 200g</t>
  </si>
  <si>
    <t>https://calebasse.com/produits/courge-graine-entiere-bio-5191?product=7504</t>
  </si>
  <si>
    <t>https://res.cloudinary.com/laboratoire-calebasse/image/upload/v1753800337/COURGE_GRAINE_ENTIERE_BIO_200_g_OCOUGL_4a3f785310.jpg</t>
  </si>
  <si>
    <t>3665346227725</t>
  </si>
  <si>
    <t>sku-OCOUGL</t>
  </si>
  <si>
    <t>OCUMI</t>
  </si>
  <si>
    <t>Carvi graine entière bio - 1 Petit Sachet plante 50g</t>
  </si>
  <si>
    <t>Pour apaiser les inconforts intestinaux. Ses principaux bienfaits : contribue à une bonne digestion, réduire les flatulences et ballonnements, soulage les sensibilités de l'estomac</t>
  </si>
  <si>
    <t>https://calebasse.com/produits/cumin-des-pres-carvi-4313?product=6144</t>
  </si>
  <si>
    <t>https://res.cloudinary.com/laboratoire-calebasse/image/upload/v1760604895/CARVI_GRAINE_ENTIERE_BIO_50_g_OCUMI_fc39559d7a.jpg</t>
  </si>
  <si>
    <t>3665346202616</t>
  </si>
  <si>
    <t>sku-OCUMI</t>
  </si>
  <si>
    <t>4313</t>
  </si>
  <si>
    <t>OCUMIL</t>
  </si>
  <si>
    <t>Carvi graine entière bio - 1 Grand Sachet plante 200g</t>
  </si>
  <si>
    <t>https://calebasse.com/produits/cumin-des-pres-carvi-4313?product=6145</t>
  </si>
  <si>
    <t>https://res.cloudinary.com/laboratoire-calebasse/image/upload/v1760604994/CARVI_GRAINE_ENTIERE_BIO_200_g_OCUMIL_229098be88.jpg</t>
  </si>
  <si>
    <t>3665346221228</t>
  </si>
  <si>
    <t>sku-OCUMIL</t>
  </si>
  <si>
    <t>OCUR</t>
  </si>
  <si>
    <t>Curcuma racine coupée bio - 1 Petit Sachet plante 50g</t>
  </si>
  <si>
    <t>Le trésor doré pour éveiller vos sens et dynamiser votre bien-être Ses principaux bienfaits : contribue à une bonne digestion, favorise le fonctionnement du foie, stimule le foie, détoxifie l'organisme</t>
  </si>
  <si>
    <t>https://calebasse.com/produits/curcuma-racine-coupee-bio-5192?product=7505</t>
  </si>
  <si>
    <t>https://res.cloudinary.com/laboratoire-calebasse/image/upload/v1753800367/CURCUMA_RACINE_COUPEE_BIO_50_g_OCUR_c48ce8b31c.jpg</t>
  </si>
  <si>
    <t>3665346226711</t>
  </si>
  <si>
    <t>sku-OCUR</t>
  </si>
  <si>
    <t>5192</t>
  </si>
  <si>
    <t>OCURL</t>
  </si>
  <si>
    <t>Curcuma racine coupée bio - 1 Grand Sachet plante 200g</t>
  </si>
  <si>
    <t>https://calebasse.com/produits/curcuma-racine-coupee-bio-5192?product=7506</t>
  </si>
  <si>
    <t>https://res.cloudinary.com/laboratoire-calebasse/image/upload/v1753800377/CURCUMA_RACINE_COUPEE_BIO_200_g_OCURL_2764729c4d.jpg</t>
  </si>
  <si>
    <t>3665346226728</t>
  </si>
  <si>
    <t>sku-OCURL</t>
  </si>
  <si>
    <t>ODROS</t>
  </si>
  <si>
    <t>Droséras - 1 Petit Sachet plante 100g</t>
  </si>
  <si>
    <t>Pour détoxifier l’appareil respiratoire. Ses principaux bienfaits : détoxifie l'organisme, libère les voies respiratoires</t>
  </si>
  <si>
    <t>https://calebasse.com/produits/droseras-4480?product=6146</t>
  </si>
  <si>
    <t>https://res.cloudinary.com/laboratoire-calebasse/image/upload/v1746522662/DROSERAS_100_g_ODROS_ab6d5bdd96.jpg</t>
  </si>
  <si>
    <t>3665346118016</t>
  </si>
  <si>
    <t>sku-ODROS</t>
  </si>
  <si>
    <t>4480</t>
  </si>
  <si>
    <t>ODROSL</t>
  </si>
  <si>
    <t>Droséras - 1 Grand Sachet plante 300g</t>
  </si>
  <si>
    <t>https://calebasse.com/produits/droseras-4480?product=6147</t>
  </si>
  <si>
    <t>https://res.cloudinary.com/laboratoire-calebasse/image/upload/v1748269878/DROSERAS_300_g_ODROSL_95f485eff6.jpg</t>
  </si>
  <si>
    <t>3665346118023</t>
  </si>
  <si>
    <t>sku-ODROSL</t>
  </si>
  <si>
    <t>OECHI</t>
  </si>
  <si>
    <t>Echinacée purpurea partie aérienne coupée bio - 1 Petit Sachet plante 60g</t>
  </si>
  <si>
    <t>Pour stimuler les défenses naturelles et apaiser les voies respiratoires. Ses principaux bienfaits : aide au confort urinaire, donne du tonus à l'organisme, soutient les défenses naturelles</t>
  </si>
  <si>
    <t>https://calebasse.com/produits/echinacee-4504?product=6148</t>
  </si>
  <si>
    <t>https://res.cloudinary.com/laboratoire-calebasse/image/upload/v1760606461/ECHINACEE_PURPUREA_PARTIE_AERIENNE_COUPEE_BIO_60_g_OECHI_0901c7bb19.jpg</t>
  </si>
  <si>
    <t>3665346118719</t>
  </si>
  <si>
    <t>sku-OECHI</t>
  </si>
  <si>
    <t>4504</t>
  </si>
  <si>
    <t>OECHIL</t>
  </si>
  <si>
    <t>Echinacée purpurea partie aérienne coupée bio - 1 Grand Sachet plante 200g</t>
  </si>
  <si>
    <t>https://calebasse.com/produits/echinacee-4504?product=6149</t>
  </si>
  <si>
    <t>https://res.cloudinary.com/laboratoire-calebasse/image/upload/v1760606410/ECHINACEE_PURPUREA_PARTIE_AERIENNE_COUPEE_BIO_200_g_OECHIL_b4541c6f03.jpg</t>
  </si>
  <si>
    <t>3665346122464</t>
  </si>
  <si>
    <t>sku-OECHIL</t>
  </si>
  <si>
    <t>OEPIL</t>
  </si>
  <si>
    <t>Épilobe - Épilobe - 1 Petit Sachet plante 100g</t>
  </si>
  <si>
    <t xml:space="preserve"> Ses principaux bienfaits : préserve la fonction de la prostate Ses principaux bienfaits : préserve la fonction de la prostate</t>
  </si>
  <si>
    <t>https://calebasse.com/produits/epilobe-epilobe-5048?product=7279</t>
  </si>
  <si>
    <t>https://res.cloudinary.com/laboratoire-calebasse/image/upload/v1751624144/EPILOBE_100_g_OEPIL_653d07dd48.jpg</t>
  </si>
  <si>
    <t>3665346225615</t>
  </si>
  <si>
    <t>sku-OEPIL</t>
  </si>
  <si>
    <t>5048</t>
  </si>
  <si>
    <t>OEUCA</t>
  </si>
  <si>
    <t>Eucalyptus feuille entière bio - 1 Petit Sachet plante 80g</t>
  </si>
  <si>
    <t>Pour soulager les voies respiratoires. Ses principaux bienfaits : détoxifie l'organisme, libère les voies respiratoires</t>
  </si>
  <si>
    <t>https://calebasse.com/produits/eucalyptus-4316?product=6150</t>
  </si>
  <si>
    <t>https://res.cloudinary.com/laboratoire-calebasse/image/upload/v1760606839/EUCALYPTUS_FEUILLE_ENTIERE_BIO_80_g_OEUCA_0065524c00.jpg</t>
  </si>
  <si>
    <t>3665346118917</t>
  </si>
  <si>
    <t>sku-OEUCA</t>
  </si>
  <si>
    <t>4316</t>
  </si>
  <si>
    <t>OEUCAL</t>
  </si>
  <si>
    <t>Eucalyptus feuille entière bio - 1 Grand Sachet plante 200g</t>
  </si>
  <si>
    <t>https://calebasse.com/produits/eucalyptus-4316?product=7604</t>
  </si>
  <si>
    <t>https://res.cloudinary.com/laboratoire-calebasse/image/upload/v1760606601/EUCALYPTUS_FEUILLE_ENTIERE_BIO_200_g_OEUCAL_5c03aeb8f3.jpg</t>
  </si>
  <si>
    <t>3665346118924</t>
  </si>
  <si>
    <t>sku-OEUCAL</t>
  </si>
  <si>
    <t>Détoxifie l'organisme; Libère les voies respiratoires</t>
  </si>
  <si>
    <t>OFRÊN</t>
  </si>
  <si>
    <t>Frêne - 1 Petit Sachet plante 100g</t>
  </si>
  <si>
    <t>Pour retrouver le confort articulaire. Ses principaux bienfaits : contribue à une bonne mobilité, soutient la souplesse articulaire, apaise les sensibilités articulaires</t>
  </si>
  <si>
    <t>https://calebasse.com/produits/frene-4317?product=6152</t>
  </si>
  <si>
    <t>https://res.cloudinary.com/laboratoire-calebasse/image/upload/v1746522801/FRENE_100_g_OFREN_024e95d5ff.jpg</t>
  </si>
  <si>
    <t>3665346120118</t>
  </si>
  <si>
    <t>sku-OFRÊN</t>
  </si>
  <si>
    <t>4317</t>
  </si>
  <si>
    <t>OFRÊNL</t>
  </si>
  <si>
    <t>Frêne - 1 Grand Sachet plante 200g</t>
  </si>
  <si>
    <t>https://calebasse.com/produits/frene-4317?product=6153</t>
  </si>
  <si>
    <t>https://res.cloudinary.com/laboratoire-calebasse/image/upload/v1748269709/FRENE_200_g_OFRENL_e3e0b9b6f6.jpg</t>
  </si>
  <si>
    <t>3665346120125</t>
  </si>
  <si>
    <t>sku-OFRÊNL</t>
  </si>
  <si>
    <t>OGATT</t>
  </si>
  <si>
    <t>Gattilier fruit entier bio - 1 Petit Sachet plante 80g</t>
  </si>
  <si>
    <t>Pour réguler le cycle et soulager le syndrome prémenstruel. Ses principaux bienfaits : soulage les inconforts prémenstruels, favorise l'équilibre féminin, contribue à réguler le cycle, accompagne la transition vers la ménopause</t>
  </si>
  <si>
    <t>https://calebasse.com/produits/gattilier-4318?product=6154</t>
  </si>
  <si>
    <t>https://res.cloudinary.com/laboratoire-calebasse/image/upload/v1760607263/GATTILIER_FRUIT_ENTIER_BIO_80_g_OGATT_3d9e27701e.jpg</t>
  </si>
  <si>
    <t>3665346204511</t>
  </si>
  <si>
    <t>sku-OGATT</t>
  </si>
  <si>
    <t>4318</t>
  </si>
  <si>
    <t>OGATTL</t>
  </si>
  <si>
    <t>Gattilier fruit entier bio - 1 Grand Sachet plante 200g</t>
  </si>
  <si>
    <t>https://calebasse.com/produits/gattilier-4318?product=6155</t>
  </si>
  <si>
    <t>https://res.cloudinary.com/laboratoire-calebasse/image/upload/v1760607285/GATTILIER_FRUIT_ENTIER_BIO_200_g_OGATTL_8e324b467a.jpg</t>
  </si>
  <si>
    <t>3665346221624</t>
  </si>
  <si>
    <t>sku-OGATTL</t>
  </si>
  <si>
    <t>OGINS</t>
  </si>
  <si>
    <t>Ginseng sibérien racine coupé bio - 1 Petit Sachet plante 50g</t>
  </si>
  <si>
    <t>Pour un quotidien plus tonique. Ses principaux bienfaits : facilite l'endormissement, calme le stress passagère, réduit la fatigue</t>
  </si>
  <si>
    <t>https://calebasse.com/produits/ginseng-siberien-racine-coupe-bio-5193?product=7507</t>
  </si>
  <si>
    <t>https://res.cloudinary.com/laboratoire-calebasse/image/upload/v1753800395/GINSENG_SIBERIEN_RACINE_COUPEE_BIO_50_g_OGINS_8cd6540a9a.jpg</t>
  </si>
  <si>
    <t>3665346227817</t>
  </si>
  <si>
    <t>sku-OGINS</t>
  </si>
  <si>
    <t>5193</t>
  </si>
  <si>
    <t>OGINSL</t>
  </si>
  <si>
    <t>Ginseng sibérien racine coupé bio - 1 Grand Sachet plante 200g</t>
  </si>
  <si>
    <t>https://calebasse.com/produits/ginseng-siberien-racine-coupe-bio-5193?product=7508</t>
  </si>
  <si>
    <t>https://res.cloudinary.com/laboratoire-calebasse/image/upload/v1753800405/GINSENG_SIBERIEN_RACINE_COUPEE_BIO_200_g_OGINSL_46e787b873.jpg</t>
  </si>
  <si>
    <t>3665346227824</t>
  </si>
  <si>
    <t>sku-OGINSL</t>
  </si>
  <si>
    <t>OGOYA</t>
  </si>
  <si>
    <t>Goyave - 1 Petit Sachet plante 50g</t>
  </si>
  <si>
    <t>Pour retarder le vieillissement des cellules. Ses principaux bienfaits : chasse la nervosité, retarde le vieillissement cutané, favorise le confort cardiovasculaire</t>
  </si>
  <si>
    <t>https://calebasse.com/produits/goyave-4319?product=6156</t>
  </si>
  <si>
    <t>https://res.cloudinary.com/laboratoire-calebasse/image/upload/v1746522934/GOYAVE_50_g_OGOYA_d9a5084dcd.jpg</t>
  </si>
  <si>
    <t>3665346217818</t>
  </si>
  <si>
    <t>sku-OGOYA</t>
  </si>
  <si>
    <t>4319</t>
  </si>
  <si>
    <t>OGOYAL</t>
  </si>
  <si>
    <t>Goyave - 1 Grand Sachet plante 140g</t>
  </si>
  <si>
    <t>https://calebasse.com/produits/goyave-4319?product=6157</t>
  </si>
  <si>
    <t>https://res.cloudinary.com/laboratoire-calebasse/image/upload/v1748269659/GOYAVE_140_g_OGOYAL_7b171f2fb0.jpg</t>
  </si>
  <si>
    <t>3665346217825</t>
  </si>
  <si>
    <t>sku-OGOYAL</t>
  </si>
  <si>
    <t>OGUAR</t>
  </si>
  <si>
    <t>Guarana graine entière bio - 1 Petit Sachet plante 70g</t>
  </si>
  <si>
    <t>Pour combattre les excès de poids. Ses principaux bienfaits : aide à la perte de poids, donne du tonus à l'organisme</t>
  </si>
  <si>
    <t>https://calebasse.com/produits/guarana-4320?product=6259</t>
  </si>
  <si>
    <t>https://res.cloudinary.com/laboratoire-calebasse/image/upload/v1760607520/GUARANA_GRAINE_ENTIERE_BIO_70_g_OGUAR_71527f14de.jpg</t>
  </si>
  <si>
    <t>3665346123812</t>
  </si>
  <si>
    <t>sku-OGUAR</t>
  </si>
  <si>
    <t>4320</t>
  </si>
  <si>
    <t>OGUARGL</t>
  </si>
  <si>
    <t>Poudre Moulue de Guarana - Minceur &amp; Tonus - 1 Flacon gélules en poudre moulue 50g</t>
  </si>
  <si>
    <t>Pour combattre les excès de poids Ses principaux bienfaits : aide à la perte de poids, donne du tonus à l'organisme</t>
  </si>
  <si>
    <t>https://calebasse.com/produits/extrait-de-guarana-minceur-and-tonus-5230?product=6258</t>
  </si>
  <si>
    <t>https://res.cloudinary.com/laboratoire-calebasse/image/upload/v1762423953/GUARANA_OGUARGL_dc5ac3938d.jpg</t>
  </si>
  <si>
    <t>3665346123850</t>
  </si>
  <si>
    <t>sku-OGUARGL</t>
  </si>
  <si>
    <t>https://res.cloudinary.com/laboratoire-calebasse/image/upload/v1772459250/guarana_replaced_background_1388faf2e1.jpg; https://res.cloudinary.com/laboratoire-calebasse/image/upload/v1772459250/Weixin_Screenshot_20260302143503_a88bf11d6c.jpg; https://res.cloudinary.com/laboratoire-calebasse/image/upload/v1772459250/guarana_replaced_window_af04c19b30.jpg</t>
  </si>
  <si>
    <t>5230</t>
  </si>
  <si>
    <t>OGUARL</t>
  </si>
  <si>
    <t>Guarana graine entière bio - 1 Grand Sachet plante 200g</t>
  </si>
  <si>
    <t>https://calebasse.com/produits/guarana-4320?product=6260</t>
  </si>
  <si>
    <t>https://res.cloudinary.com/laboratoire-calebasse/image/upload/v1760607548/GUARANA_GRAINE_ENTIERE_BIO_200_g_OGUARL_b055b9aa21.jpg</t>
  </si>
  <si>
    <t>3665346222454</t>
  </si>
  <si>
    <t>sku-OGUARL</t>
  </si>
  <si>
    <t>OGUIF</t>
  </si>
  <si>
    <t>Guimauve feuille coupée bio - 1 Petit Sachet plante 70g</t>
  </si>
  <si>
    <t>Pour le confort du système respiratoire. Ses principaux bienfaits : apaise la gorge, libère les voies respiratoires</t>
  </si>
  <si>
    <t>https://calebasse.com/produits/feuilles-de-guimauve-4321?product=6162</t>
  </si>
  <si>
    <t>https://res.cloudinary.com/laboratoire-calebasse/image/upload/v1760607881/GUIMAUVE_FEUILLE_COUPEE_BIO_70_g_OGUIF_1cc584a03f.jpg</t>
  </si>
  <si>
    <t>3665346124710</t>
  </si>
  <si>
    <t>sku-OGUIF</t>
  </si>
  <si>
    <t>4321</t>
  </si>
  <si>
    <t>OGUIFL</t>
  </si>
  <si>
    <t>Guimauve feuille coupée bio - 1 Grand Sachet plante 200g</t>
  </si>
  <si>
    <t>https://calebasse.com/produits/feuilles-de-guimauve-4321?product=6163</t>
  </si>
  <si>
    <t>https://res.cloudinary.com/laboratoire-calebasse/image/upload/v1760607937/GUIMAUVE_FEUILLE_COUPEE_BIO_200_g_OGUIFL_910913409e.jpg</t>
  </si>
  <si>
    <t>3665346220528</t>
  </si>
  <si>
    <t>sku-OGUIFL</t>
  </si>
  <si>
    <t>OGUIR</t>
  </si>
  <si>
    <t>Guimauve racine coupée bio - Racine de Guimauve - 1 Petit Sachet plante 50g</t>
  </si>
  <si>
    <t>https://calebasse.com/produits/racine-de-guimauve-4481?product=6164</t>
  </si>
  <si>
    <t>https://res.cloudinary.com/laboratoire-calebasse/image/upload/v1752671998/GUIMAUVE_RACINE_COUPEE_BIO_50_g_OGUIR_c4ca369d2b.jpg</t>
  </si>
  <si>
    <t>3665346219614</t>
  </si>
  <si>
    <t>sku-OGUIR</t>
  </si>
  <si>
    <t>4481</t>
  </si>
  <si>
    <t>OGUIRL</t>
  </si>
  <si>
    <t>Guimauve racine coupée bio - Racine de Guimauve - 1 Grand Sachet plante 200g</t>
  </si>
  <si>
    <t>https://calebasse.com/produits/racine-de-guimauve-4481?product=6165</t>
  </si>
  <si>
    <t>https://res.cloudinary.com/laboratoire-calebasse/image/upload/v1752672032/GUIMAUVE_RACINE_COUPEE_BIO_200_g_OGUIRL_e9b362fb9a.jpg</t>
  </si>
  <si>
    <t>3665346219621</t>
  </si>
  <si>
    <t>sku-OGUIRL</t>
  </si>
  <si>
    <t>OHAMA</t>
  </si>
  <si>
    <t>Hamamélis - 1 Petit Sachet plante 100g</t>
  </si>
  <si>
    <t>Pour favoriser la circulation veineuse. Ses principaux bienfaits : stimule la circulation sanguine, contribue au confort veineux, soulage les jambes lourdes, atténuer les pertes de sang</t>
  </si>
  <si>
    <t>https://calebasse.com/produits/hamamelis-4323?product=6166</t>
  </si>
  <si>
    <t>https://res.cloudinary.com/laboratoire-calebasse/image/upload/v1746522987/HAMAMELIS_100_g_OHAMA_e0c875166e.jpg</t>
  </si>
  <si>
    <t>3665346125519</t>
  </si>
  <si>
    <t>sku-OHAMA</t>
  </si>
  <si>
    <t>4323</t>
  </si>
  <si>
    <t>OHAMAL</t>
  </si>
  <si>
    <t>Hamamélis - 1 Grand Sachet plante 260g</t>
  </si>
  <si>
    <t>https://calebasse.com/produits/hamamelis-4323?product=6167</t>
  </si>
  <si>
    <t>https://res.cloudinary.com/laboratoire-calebasse/image/upload/v1748269574/HAMAMELIS_260_g_OHAMAL_c47acb400c.jpg</t>
  </si>
  <si>
    <t>3665346222225</t>
  </si>
  <si>
    <t>sku-OHAMAL</t>
  </si>
  <si>
    <t>OHARP</t>
  </si>
  <si>
    <t>Harpagophytum - 1 Petit Sachet plante 100g</t>
  </si>
  <si>
    <t>Pour calmer les sensibilités articulaires. Ses principaux bienfaits : contribue à une bonne mobilité, favorise le confort articulaire, soutient la souplesse articulaire, apaise les sensibilités articulaires</t>
  </si>
  <si>
    <t>https://calebasse.com/produits/harpagophytum-4325?product=6168</t>
  </si>
  <si>
    <t>https://res.cloudinary.com/laboratoire-calebasse/image/upload/v1746523005/HARPAGOPHYTUM_100_g_OHARP_d7ae104be9.jpg</t>
  </si>
  <si>
    <t>3665346125618</t>
  </si>
  <si>
    <t>sku-OHARP</t>
  </si>
  <si>
    <t>4325</t>
  </si>
  <si>
    <t>OHARPL</t>
  </si>
  <si>
    <t>Harpagophytum - 1 Grand Sachet plante 300g</t>
  </si>
  <si>
    <t>https://calebasse.com/produits/harpagophytum-4325?product=6169</t>
  </si>
  <si>
    <t>https://res.cloudinary.com/laboratoire-calebasse/image/upload/v1748269555/HARPAGOPHYTUM_300_g_OHARPL_5f017b1f54.jpg</t>
  </si>
  <si>
    <t>3665346125625</t>
  </si>
  <si>
    <t>sku-OHARPL</t>
  </si>
  <si>
    <t>OHERB</t>
  </si>
  <si>
    <t>Herbe aux Chantres - 1 Petit Sachet plante 100g</t>
  </si>
  <si>
    <t>Pour le confort du système respiratoire. Ses principaux bienfaits : apaise la gorge, libère les voies respiratoires, soulage la voix</t>
  </si>
  <si>
    <t>https://calebasse.com/produits/herbe-aux-chantres-4324?product=6170</t>
  </si>
  <si>
    <t>https://res.cloudinary.com/laboratoire-calebasse/image/upload/v1746523019/HERBE_AUX_CHANTRES_100_g_OHERB_809c833156.jpg</t>
  </si>
  <si>
    <t>3665346127117</t>
  </si>
  <si>
    <t>sku-OHERB</t>
  </si>
  <si>
    <t>4324</t>
  </si>
  <si>
    <t>OHERBL</t>
  </si>
  <si>
    <t>Herbe aux Chantres - 1 Grand Sachet plante 240g</t>
  </si>
  <si>
    <t>https://calebasse.com/produits/herbe-aux-chantres-4324?product=6171</t>
  </si>
  <si>
    <t>https://res.cloudinary.com/laboratoire-calebasse/image/upload/v1748269525/HERBE_AUX_CHANTRES_240_g_OHERBL_482f150e86.jpg</t>
  </si>
  <si>
    <t>3665346127124</t>
  </si>
  <si>
    <t>sku-OHERBL</t>
  </si>
  <si>
    <t>OHIBI</t>
  </si>
  <si>
    <t>Hibiscus fleur coupée bio - 1 Petit Sachet plante 50g</t>
  </si>
  <si>
    <t>Pour favoriser le système digestif. Ses principaux bienfaits : contribue à une bonne digestion, stimule le transit intestinal, stimule l'appétit</t>
  </si>
  <si>
    <t>https://calebasse.com/produits/hibiscus-4326?product=6172</t>
  </si>
  <si>
    <t>https://res.cloudinary.com/laboratoire-calebasse/image/upload/v1744901486/HIBISCUS_FLEUR_COUPEE_BIO_50_g_OHIBI_2025_04_10_ad8a513eb9.jpg</t>
  </si>
  <si>
    <t>3665346203019</t>
  </si>
  <si>
    <t>sku-OHIBI</t>
  </si>
  <si>
    <t>4326</t>
  </si>
  <si>
    <t>OHIBIL</t>
  </si>
  <si>
    <t>Hibiscus fleur coupée bio - 1 Grand Sachet plante 200g</t>
  </si>
  <si>
    <t>https://calebasse.com/produits/hibiscus-4326?product=6173</t>
  </si>
  <si>
    <t>https://res.cloudinary.com/laboratoire-calebasse/image/upload/v1748270973/HIBISCUS_FLEUR_COUPEE_BIO_200_g_OHIBIL_37c3055e84.jpg</t>
  </si>
  <si>
    <t>3665346222829</t>
  </si>
  <si>
    <t>sku-OHIBIL</t>
  </si>
  <si>
    <t>OHOUB</t>
  </si>
  <si>
    <t>Cônes de Houblon - 1 Petit Sachet plante 50g</t>
  </si>
  <si>
    <t>Pour calmer l’agitation nerveuse. Ses principaux bienfaits : facilite l'endormissement, chasse la nervosité, permet un sommeil paisible</t>
  </si>
  <si>
    <t>https://calebasse.com/produits/cones-de-houblon-4327?product=6174</t>
  </si>
  <si>
    <t>https://res.cloudinary.com/laboratoire-calebasse/image/upload/v1751624197/CONES_DE_HOUBLON_50_g_OHOUB_8eed15f191.jpg</t>
  </si>
  <si>
    <t>3665346112441</t>
  </si>
  <si>
    <t>sku-OHOUB</t>
  </si>
  <si>
    <t>4327</t>
  </si>
  <si>
    <t>OHOUBL</t>
  </si>
  <si>
    <t>Cônes de Houblon - 1 Grand Sachet plante 140g</t>
  </si>
  <si>
    <t>https://calebasse.com/produits/cones-de-houblon-4327?product=6175</t>
  </si>
  <si>
    <t>https://res.cloudinary.com/laboratoire-calebasse/image/upload/v1751624181/CONES_DE_HOUBLON_140_g_OHOUBL_996a90c910.jpg</t>
  </si>
  <si>
    <t>3665346122440</t>
  </si>
  <si>
    <t>sku-OHOUBL</t>
  </si>
  <si>
    <t>OHYDR</t>
  </si>
  <si>
    <t>Hydrocotyle - 1 Petit Sachet plante 100g</t>
  </si>
  <si>
    <t>Pour favoriser la circulation sanguine. Ses principaux bienfaits : stimule la circulation sanguine, soulage les jambes lourdes, atténuer les pertes de sang</t>
  </si>
  <si>
    <t>https://calebasse.com/produits/hydrocotyle-4328?product=6176</t>
  </si>
  <si>
    <t>https://res.cloudinary.com/laboratoire-calebasse/image/upload/v1746523066/HYDROCOTYLE_100_g_OHYDR_091ac06bcf.jpg</t>
  </si>
  <si>
    <t>3665346106112</t>
  </si>
  <si>
    <t>sku-OHYDR</t>
  </si>
  <si>
    <t>4328</t>
  </si>
  <si>
    <t>OHYDRL</t>
  </si>
  <si>
    <t>Hydrocotyle - 1 Grand Sachet plante 200g</t>
  </si>
  <si>
    <t>https://calebasse.com/produits/hydrocotyle-4328?product=6177</t>
  </si>
  <si>
    <t>https://res.cloudinary.com/laboratoire-calebasse/image/upload/v1748269495/HYDROCOTYLE_200_g_OHYDRL_5540fdd7f2.jpg</t>
  </si>
  <si>
    <t>3665346106129</t>
  </si>
  <si>
    <t>sku-OHYDRL</t>
  </si>
  <si>
    <t>OISPA</t>
  </si>
  <si>
    <t>Ispaghul - 1 Petit Sachet plante 100g</t>
  </si>
  <si>
    <t>Pour retrouver le confort intestinal. Ses principaux bienfaits : contribue à une bonne digestion, favorise le confort intestinal, stimule le transit intestinal</t>
  </si>
  <si>
    <t>https://calebasse.com/produits/ispaghul-4329?product=6178</t>
  </si>
  <si>
    <t>https://res.cloudinary.com/laboratoire-calebasse/image/upload/v1746523079/ISPAGHUL_100_g_OISPA_e6f10e885f.jpg</t>
  </si>
  <si>
    <t>3665346131312</t>
  </si>
  <si>
    <t>sku-OISPA</t>
  </si>
  <si>
    <t>4329</t>
  </si>
  <si>
    <t>OISPAL</t>
  </si>
  <si>
    <t>Ispaghul - 1 Grand Sachet plante 300g</t>
  </si>
  <si>
    <t>https://calebasse.com/produits/ispaghul-4329?product=6179</t>
  </si>
  <si>
    <t>https://res.cloudinary.com/laboratoire-calebasse/image/upload/v1748269477/ISPAGHUL_300_g_OISPAL_d482fa2a32.jpg</t>
  </si>
  <si>
    <t>3665346131329</t>
  </si>
  <si>
    <t>sku-OISPAL</t>
  </si>
  <si>
    <t>OJACF</t>
  </si>
  <si>
    <t>Jasmin commun fleur bio - 1 Petit Sachet plante 50g</t>
  </si>
  <si>
    <t>Pour apaiser le corps et l’esprit Ses principaux bienfaits : calme le stress passagère, permet un sommeil paisible, améliore l'humeur</t>
  </si>
  <si>
    <t>https://calebasse.com/produits/jasmin-commun-fleur-bio-5194?product=7509</t>
  </si>
  <si>
    <t>https://res.cloudinary.com/laboratoire-calebasse/image/upload/v1753800423/JASMIN_COMMUN_FLEUR_BIO_50_g_OJACF_01266f6e4e.jpg</t>
  </si>
  <si>
    <t>3665346227916</t>
  </si>
  <si>
    <t>sku-OJACF</t>
  </si>
  <si>
    <t>5194</t>
  </si>
  <si>
    <t>OLAUR</t>
  </si>
  <si>
    <t>Laurier - 1 Petit Sachet plante 50g</t>
  </si>
  <si>
    <t>Pour stimuler l’appétit et soulager l’appareil respiratoire. Ses principaux bienfaits : détoxifie l'organisme, réduire les flatulences et ballonnements, libère les voies respiratoires, stimule l'appétit</t>
  </si>
  <si>
    <t>https://calebasse.com/produits/laurier-4330?product=6180</t>
  </si>
  <si>
    <t>https://res.cloudinary.com/laboratoire-calebasse/image/upload/v1748268321/LAURIER_50_g_OLAUR_8b4d30db47.jpg</t>
  </si>
  <si>
    <t>3665346137512</t>
  </si>
  <si>
    <t>sku-OLAUR</t>
  </si>
  <si>
    <t>4330</t>
  </si>
  <si>
    <t>OLAURL</t>
  </si>
  <si>
    <t>Laurier - 1 Grand Sachet plante 160g</t>
  </si>
  <si>
    <t>https://calebasse.com/produits/laurier-4330?product=6181</t>
  </si>
  <si>
    <t>https://res.cloudinary.com/laboratoire-calebasse/image/upload/v1748268387/LAURIER_160_g_OLAURL_3c197ca21c.jpg</t>
  </si>
  <si>
    <t>3665346137529</t>
  </si>
  <si>
    <t>sku-OLAURL</t>
  </si>
  <si>
    <t>OLIN</t>
  </si>
  <si>
    <t>Lin - 1 Petit Sachet plante 100g</t>
  </si>
  <si>
    <t>Pour réguler le transit intestinal. Ses principaux bienfaits : favorise le confort intestinal, soulage les sensibilités de l'estomac, stimule le transit intestinal</t>
  </si>
  <si>
    <t>https://calebasse.com/produits/lin-4331?product=6182</t>
  </si>
  <si>
    <t>https://res.cloudinary.com/laboratoire-calebasse/image/upload/v1746523166/LIN_100_g_OLIN_50cea76b25.jpg</t>
  </si>
  <si>
    <t>3665346204214</t>
  </si>
  <si>
    <t>sku-OLIN</t>
  </si>
  <si>
    <t>4331</t>
  </si>
  <si>
    <t>OLINL</t>
  </si>
  <si>
    <t>Lin - 1 Grand Sachet plante 300g</t>
  </si>
  <si>
    <t>https://calebasse.com/produits/lin-4331?product=6183</t>
  </si>
  <si>
    <t>https://res.cloudinary.com/laboratoire-calebasse/image/upload/v1748269417/LIN_300_g_OLINL_4b4101bf5e.jpg</t>
  </si>
  <si>
    <t>3665346204221</t>
  </si>
  <si>
    <t>sku-OLINL</t>
  </si>
  <si>
    <t>OMADI</t>
  </si>
  <si>
    <t>Marron d'Inde - 1 Petit Sachet plante 100g</t>
  </si>
  <si>
    <t>Pour favoriser la circulation veineuse. Ses principaux bienfaits : stimule la circulation sanguine, contribue au confort veineux, soulage les jambes lourdes, favorise la cicatrisation</t>
  </si>
  <si>
    <t>https://calebasse.com/produits/marron-dinde-4333?product=6184</t>
  </si>
  <si>
    <t>https://res.cloudinary.com/laboratoire-calebasse/image/upload/v1746523182/MARRON_D_INDE_100_g_OMADI_9fa8e385df.jpg</t>
  </si>
  <si>
    <t>3665346142912</t>
  </si>
  <si>
    <t>sku-OMADI</t>
  </si>
  <si>
    <t>4333</t>
  </si>
  <si>
    <t>OMADIL</t>
  </si>
  <si>
    <t>Marron d'Inde - 1 Grand Sachet plante 300g</t>
  </si>
  <si>
    <t>https://calebasse.com/produits/marron-dinde-4333?product=6185</t>
  </si>
  <si>
    <t>https://res.cloudinary.com/laboratoire-calebasse/image/upload/v1748269398/MARRON_D_INDE_300_g_OMADIL_371efe207a.jpg</t>
  </si>
  <si>
    <t>3665346142929</t>
  </si>
  <si>
    <t>sku-OMADIL</t>
  </si>
  <si>
    <t>OMARB</t>
  </si>
  <si>
    <t>Marrube Blanc - 1 Petit Sachet plante 100g</t>
  </si>
  <si>
    <t>Pour soulager les inconforts digestifs. Ses principaux bienfaits : contribue à une bonne digestion, réduire les flatulences et ballonnements</t>
  </si>
  <si>
    <t>https://calebasse.com/produits/marrube-blanc-4332?product=6186</t>
  </si>
  <si>
    <t>https://res.cloudinary.com/laboratoire-calebasse/image/upload/v1746523219/MARRUBE_BLANC_100_g_OMARB_a4dc03b118.jpg</t>
  </si>
  <si>
    <t>3665346143216</t>
  </si>
  <si>
    <t>sku-OMARB</t>
  </si>
  <si>
    <t>4332</t>
  </si>
  <si>
    <t>OMARBL</t>
  </si>
  <si>
    <t>Marrube Blanc - 1 Grand Sachet plante 200g</t>
  </si>
  <si>
    <t>https://calebasse.com/produits/marrube-blanc-4332?product=6187</t>
  </si>
  <si>
    <t>https://res.cloudinary.com/laboratoire-calebasse/image/upload/v1748269363/MARRUBE_BLANC_200_g_OMARBL_753fc39efa.jpg</t>
  </si>
  <si>
    <t>3665346222430</t>
  </si>
  <si>
    <t>sku-OMARBL</t>
  </si>
  <si>
    <t>OMARN</t>
  </si>
  <si>
    <t>Marrube Noir - 1 Petit Sachet plante 100g</t>
  </si>
  <si>
    <t>Pour soulager l’estomac. Ses principaux bienfaits : contribue à une bonne digestion, soulage les sensibilités de l'estomac, soulage les troubles digestifs provoqués par le stress</t>
  </si>
  <si>
    <t>https://calebasse.com/produits/marrube-noir-4334?product=6188</t>
  </si>
  <si>
    <t>https://res.cloudinary.com/laboratoire-calebasse/image/upload/v1746523199/MARRUBE_NOIR_100_g_OMARN_454c9b63d8.jpg</t>
  </si>
  <si>
    <t>3665346214213</t>
  </si>
  <si>
    <t>sku-OMARN</t>
  </si>
  <si>
    <t>4334</t>
  </si>
  <si>
    <t>OMARNL</t>
  </si>
  <si>
    <t>Marrube Noir - 1 Grand Sachet plante 200g</t>
  </si>
  <si>
    <t>https://calebasse.com/produits/marrube-noir-4334?product=6190</t>
  </si>
  <si>
    <t>https://res.cloudinary.com/laboratoire-calebasse/image/upload/v1748269380/MARRUBE_NOIR_200_g_OMARNL_d9f72884e8.jpg</t>
  </si>
  <si>
    <t>3665346214220</t>
  </si>
  <si>
    <t>sku-OMARNL</t>
  </si>
  <si>
    <t>OMELS</t>
  </si>
  <si>
    <t>Mélisse feuille coupée bio - 1 Petit Sachet plante 80g</t>
  </si>
  <si>
    <t>Pour soulager les inconforts digestifs. Ses principaux bienfaits : contribue à une bonne digestion, réduire les flatulences et ballonnements, favorise le fonctionnement du foie, stimule le foie</t>
  </si>
  <si>
    <t>https://calebasse.com/produits/melisse-4337?product=6194</t>
  </si>
  <si>
    <t>https://res.cloudinary.com/laboratoire-calebasse/image/upload/v1744901789/MELISSE_FEUILLE_COUPEE_BIO_80_g_OMELS_2025_04_10_55536908eb.jpg</t>
  </si>
  <si>
    <t>3665346143827</t>
  </si>
  <si>
    <t>sku-OMELS</t>
  </si>
  <si>
    <t>4337</t>
  </si>
  <si>
    <t>OMELSL</t>
  </si>
  <si>
    <t>Mélisse feuille coupée bio - 1 Grand Sachet plante 200g</t>
  </si>
  <si>
    <t>https://calebasse.com/produits/melisse-4337?product=6195</t>
  </si>
  <si>
    <t>https://res.cloudinary.com/laboratoire-calebasse/image/upload/v1748270929/MELISSE_FEUILLE_COUPEE_BIO_200_g_OMELSL_de3c57c7ed.jpg</t>
  </si>
  <si>
    <t>3665346143810</t>
  </si>
  <si>
    <t>sku-OMELSL</t>
  </si>
  <si>
    <t>OMELT</t>
  </si>
  <si>
    <t>Mélilot - 1 Petit Sachet plante 100g</t>
  </si>
  <si>
    <t>Pour favoriser la circulation veineuse. Ses principaux bienfaits : stimule la circulation sanguine, contribue au confort veineux, soulage les jambes lourdes</t>
  </si>
  <si>
    <t>https://calebasse.com/produits/melilot-4336?product=6192</t>
  </si>
  <si>
    <t>https://res.cloudinary.com/laboratoire-calebasse/image/upload/v1746523261/MELILOT_100_g_OMELT_ec8b37365e.jpg</t>
  </si>
  <si>
    <t>3665346206911</t>
  </si>
  <si>
    <t>sku-OMELT</t>
  </si>
  <si>
    <t>4336</t>
  </si>
  <si>
    <t>OMELTL</t>
  </si>
  <si>
    <t>Mélilot - 1 Grand Sachet plante 300g</t>
  </si>
  <si>
    <t>https://calebasse.com/produits/melilot-4336?product=6193</t>
  </si>
  <si>
    <t>https://res.cloudinary.com/laboratoire-calebasse/image/upload/v1748269344/MELILOT_300_g_OMELTL_a039e5cba7.jpg</t>
  </si>
  <si>
    <t>3665346206928</t>
  </si>
  <si>
    <t>sku-OMELTL</t>
  </si>
  <si>
    <t>OMEN</t>
  </si>
  <si>
    <t>Menthe Poivrée partie aérienne coupée bio - 1 Petit Sachet plante 50g</t>
  </si>
  <si>
    <t>Un vent de fraîcheur tonique et digestive dans votre tasse Ses principaux bienfaits : contribue à une bonne digestion, réduire les flatulences et ballonnements, libère les voies respiratoires</t>
  </si>
  <si>
    <t>https://calebasse.com/produits/menthe-poivree-partie-aerienne-coupee-bio-5195?product=7510</t>
  </si>
  <si>
    <t>https://res.cloudinary.com/laboratoire-calebasse/image/upload/v1753800441/MENTHE_POIVREE_PARTIE_AERIENNE_COUPEE_BIO_50_g_OMEN_6f3f82ce64.jpg</t>
  </si>
  <si>
    <t>3665346226810</t>
  </si>
  <si>
    <t>sku-OMEN</t>
  </si>
  <si>
    <t>5195</t>
  </si>
  <si>
    <t>OMENL</t>
  </si>
  <si>
    <t>Menthe Poivrée partie aérienne coupée bio - 1 Grand Sachet plante 200g</t>
  </si>
  <si>
    <t>https://calebasse.com/produits/menthe-poivree-partie-aerienne-coupee-bio-5195?product=7511</t>
  </si>
  <si>
    <t>https://res.cloudinary.com/laboratoire-calebasse/image/upload/v1753800451/MENTHE_POIVREE_PARTIE_AERIENNE_COUPEE_BIO_200_g_OMENL_5b07b73844.jpg</t>
  </si>
  <si>
    <t>3665346226827</t>
  </si>
  <si>
    <t>sku-OMENL</t>
  </si>
  <si>
    <t>OMILL</t>
  </si>
  <si>
    <t>Millepertuis partie aérienne coupée bio - 1 Petit Sachet plante 100g</t>
  </si>
  <si>
    <t>Pour combattre la baisse de moral. Ses principaux bienfaits : facilite l'endormissement, chasse la nervosité, améliore l'humeur</t>
  </si>
  <si>
    <t>https://calebasse.com/produits/millepertuis-4338?product=6196</t>
  </si>
  <si>
    <t>https://res.cloudinary.com/laboratoire-calebasse/image/upload/v1760609148/MILLEPERTUIS_PARTIE_AERIENNE_COUPEE_BIO_100_g_OMILL_1b6f18e474.jpg</t>
  </si>
  <si>
    <t>3665346144114</t>
  </si>
  <si>
    <t>sku-OMILL</t>
  </si>
  <si>
    <t>4338</t>
  </si>
  <si>
    <t>OMILLL</t>
  </si>
  <si>
    <t>Millepertuis partie aérienne coupée bio - 1 Grand Sachet plante 200g</t>
  </si>
  <si>
    <t>https://calebasse.com/produits/millepertuis-4338?product=6197</t>
  </si>
  <si>
    <t>https://res.cloudinary.com/laboratoire-calebasse/image/upload/v1760608230/MILLEPERTUIS_PARTIE_AERIENNE_COUPEE_BIO_200_g_OMILLL_bd3d6b6969.jpg</t>
  </si>
  <si>
    <t>3665346220924</t>
  </si>
  <si>
    <t>sku-OMILLL</t>
  </si>
  <si>
    <t>OMURF</t>
  </si>
  <si>
    <t>Mûrier feuille coupée bio - 1 Petit Sachet feuille coupée 50g</t>
  </si>
  <si>
    <t>Goût subtil, légèrement amer et rafraîchissant. Une feuille ancienne pour accompagner les transitions de saison et alléger le quotidien en douceur. Ses principaux bienfaits : clarifie les poumons et apaise le foie, contrôle du sucre dans le sang, détox douce et naturelle, vision claire et yeux apaisés</t>
  </si>
  <si>
    <t>https://calebasse.com/produits/sang-ye-feuilles-de-murier-3908?product=7512</t>
  </si>
  <si>
    <t>https://res.cloudinary.com/laboratoire-calebasse/image/upload/v1753862513/MURIER_FEUILLE_COUPEE_BIO_50_g_OMURF_3e36b4e2cb.jpg</t>
  </si>
  <si>
    <t>3665346154816</t>
  </si>
  <si>
    <t>sku-OMURF</t>
  </si>
  <si>
    <t>https://res.cloudinary.com/laboratoire-calebasse/image/upload/v1772104926/1_Principal_30d65c597e.jpg; https://res.cloudinary.com/laboratoire-calebasse/image/upload/v1772104926/2_Vertus_cc3476cc3d.jpg; https://res.cloudinary.com/laboratoire-calebasse/image/upload/v1753101277/3_7f0b5fd571.jpg; https://res.cloudinary.com/laboratoire-calebasse/image/upload/v1753101277/4_9f3223c799.jpg; https://res.cloudinary.com/laboratoire-calebasse/image/upload/v1753101277/5_1aa4942733.jpg</t>
  </si>
  <si>
    <t>3908</t>
  </si>
  <si>
    <t>OMURFL</t>
  </si>
  <si>
    <t>Mûrier feuille coupée bio - 1 Grand Sachet plante 200g</t>
  </si>
  <si>
    <t>https://calebasse.com/produits/sang-ye-feuilles-de-murier-3908?product=7513</t>
  </si>
  <si>
    <t>https://res.cloudinary.com/laboratoire-calebasse/image/upload/v1753862526/MURIER_FEUILLE_COUPEE_BIO_200_g_OMURFL_b3c4686873.jpg</t>
  </si>
  <si>
    <t>sku-OMURFL</t>
  </si>
  <si>
    <t>OODBO</t>
  </si>
  <si>
    <t>Oranger bigaradier bouton entier bio - 1 Petit Sachet plante 40g</t>
  </si>
  <si>
    <t>Pour calmer la nervosité et retrouver la sérénité. Ses principaux bienfaits : calme le stress passagère, permet un sommeil paisible, améliore l'humeur</t>
  </si>
  <si>
    <t>https://calebasse.com/produits/boutons-doranger-4341?product=6203</t>
  </si>
  <si>
    <t>https://res.cloudinary.com/laboratoire-calebasse/image/upload/v1760609307/ORANGER_BIGARADIER_BOUTON_ENTIER_BIO_40_g_OODBO_33df2a9ac4.jpg</t>
  </si>
  <si>
    <t>3665346146828</t>
  </si>
  <si>
    <t>sku-OODBO</t>
  </si>
  <si>
    <t>4341</t>
  </si>
  <si>
    <t>OODBOL</t>
  </si>
  <si>
    <t>Oranger bigaradier bouton entier bio - 1 Grand Sachet plante 100g</t>
  </si>
  <si>
    <t>https://calebasse.com/produits/boutons-doranger-4341?product=6202</t>
  </si>
  <si>
    <t>https://res.cloudinary.com/laboratoire-calebasse/image/upload/v1760609438/ORANGER_BIGARADIER_BOUTON_ENTIER_BIO_100_g_OODBOL_d81402adef.jpg</t>
  </si>
  <si>
    <t>3665346214121</t>
  </si>
  <si>
    <t>sku-OODBOL</t>
  </si>
  <si>
    <t>OODFE</t>
  </si>
  <si>
    <t>Feuilles d'Oranger - 1 Petit Sachet plante 100g</t>
  </si>
  <si>
    <t>Pour soulager l’appareil respiratoire. Ses principaux bienfaits : détoxifie l'organisme, libère les voies respiratoires</t>
  </si>
  <si>
    <t>https://calebasse.com/produits/feuilles-doranger-4342?product=6204</t>
  </si>
  <si>
    <t>https://res.cloudinary.com/laboratoire-calebasse/image/upload/v1746522741/FEUILLES_D_ORANGER_100_g_OODFE_1f7a8b07b0.jpg</t>
  </si>
  <si>
    <t>3665346146910</t>
  </si>
  <si>
    <t>sku-OODFE</t>
  </si>
  <si>
    <t>4342</t>
  </si>
  <si>
    <t>OODFEL</t>
  </si>
  <si>
    <t>Feuilles d'Oranger - 1 Grand Sachet plante 300g</t>
  </si>
  <si>
    <t>https://calebasse.com/produits/feuilles-doranger-4342?product=6205</t>
  </si>
  <si>
    <t>https://res.cloudinary.com/laboratoire-calebasse/image/upload/v1748269834/FEUILLES_D_ORANGER_300_g_OODFEL_b9dd064ab8.jpg</t>
  </si>
  <si>
    <t>3665346146927</t>
  </si>
  <si>
    <t>sku-OODFEL</t>
  </si>
  <si>
    <t>OODPE</t>
  </si>
  <si>
    <t>Pétales d'Oranger - 1 Petit Sachet plante 100g</t>
  </si>
  <si>
    <t>Pour calmer la nervosité et favoriser le sommeil. Ses principaux bienfaits : facilite l'endormissement, chasse la nervosité, améliore l'humeur</t>
  </si>
  <si>
    <t>https://calebasse.com/produits/petales-doranger-4343?product=6206</t>
  </si>
  <si>
    <t>https://res.cloudinary.com/laboratoire-calebasse/image/upload/v1746523523/PETALES_D_ORANGER_100_g_OODPE_5b0add3f85.jpg</t>
  </si>
  <si>
    <t>3665346147016</t>
  </si>
  <si>
    <t>sku-OODPE</t>
  </si>
  <si>
    <t>4343</t>
  </si>
  <si>
    <t>OODPEL</t>
  </si>
  <si>
    <t>Pétales d'Oranger - 1 Grand Sachet plante 300g</t>
  </si>
  <si>
    <t>https://calebasse.com/produits/petales-doranger-4343?product=6207</t>
  </si>
  <si>
    <t>https://res.cloudinary.com/laboratoire-calebasse/image/upload/v1748268880/PETALES_D_ORANGER_300_g_OODPEL_a5845e9f32.jpg</t>
  </si>
  <si>
    <t>3665346147023</t>
  </si>
  <si>
    <t>sku-OODPEL</t>
  </si>
  <si>
    <t>OOLIV</t>
  </si>
  <si>
    <t>Olivier - 1 Petit Sachet plante 100g</t>
  </si>
  <si>
    <t>Pour renforcer la santé du coeur. Ses principaux bienfaits : stimule la circulation sanguine, favorise le confort cardiovasculaire, contribue à une tension normale</t>
  </si>
  <si>
    <t>https://calebasse.com/produits/olivier-4339?product=6198</t>
  </si>
  <si>
    <t>https://res.cloudinary.com/laboratoire-calebasse/image/upload/v1746523424/OLIVIER_100_g_OOLIV_b170bf6d76.jpg</t>
  </si>
  <si>
    <t>3665346146613</t>
  </si>
  <si>
    <t>sku-OOLIV</t>
  </si>
  <si>
    <t>4339</t>
  </si>
  <si>
    <t>OOLIVL</t>
  </si>
  <si>
    <t>Olivier - 1 Grand Sachet plante 200g</t>
  </si>
  <si>
    <t>https://calebasse.com/produits/olivier-4339?product=6199</t>
  </si>
  <si>
    <t>https://res.cloudinary.com/laboratoire-calebasse/image/upload/v1748269148/OLIVIER_200_g_OOLIVL_65b3c11b1e.jpg</t>
  </si>
  <si>
    <t>3665346122426</t>
  </si>
  <si>
    <t>sku-OOLIVL</t>
  </si>
  <si>
    <t>OOMZE</t>
  </si>
  <si>
    <t>Zeste d'Orange Amère - 1 Petit Sachet plante 50g</t>
  </si>
  <si>
    <t>Pour stimuler l’appétit et favoriser le bien-être gastro-intestinal. Ses principaux bienfaits : contribue à une bonne digestion, stimule l'appétit</t>
  </si>
  <si>
    <t>https://calebasse.com/produits/zeste-dorange-amere-4340?product=6200</t>
  </si>
  <si>
    <t>https://res.cloudinary.com/laboratoire-calebasse/image/upload/v1746523788/ZESTE_D_ORANGE_AMERE_50_g_OOMZE_4cff5ed21d.jpg</t>
  </si>
  <si>
    <t>3665346203514</t>
  </si>
  <si>
    <t>sku-OOMZE</t>
  </si>
  <si>
    <t>4340</t>
  </si>
  <si>
    <t>OOMZEL</t>
  </si>
  <si>
    <t>Zeste d'Orange Amère - 1 Grand Sachet plante 260g</t>
  </si>
  <si>
    <t>https://calebasse.com/produits/zeste-dorange-amere-4340?product=6201</t>
  </si>
  <si>
    <t>https://res.cloudinary.com/laboratoire-calebasse/image/upload/v1748268645/ZESTE_D_ORANGE_AMERE_260_g_OOMZEL_def3c2506c.jpg</t>
  </si>
  <si>
    <t>3665346203521</t>
  </si>
  <si>
    <t>sku-OOMZEL</t>
  </si>
  <si>
    <t>OORPA</t>
  </si>
  <si>
    <t>Feuilles d'Ortie - 1 Petit Sachet plante 100g</t>
  </si>
  <si>
    <t>Pour soulager les douleurs articulaires. Ses principaux bienfaits : détoxifie l'organisme, contribue à la santé des os, apaise les sensibilités articulaires</t>
  </si>
  <si>
    <t>https://calebasse.com/produits/feuilles-dortie-4345?product=6208</t>
  </si>
  <si>
    <t>https://res.cloudinary.com/laboratoire-calebasse/image/upload/v1746522764/FEUILLES_D_ORTIE_100_g_OORPA_6bd1190020.jpg</t>
  </si>
  <si>
    <t>3665346147214</t>
  </si>
  <si>
    <t>sku-OORPA</t>
  </si>
  <si>
    <t>4345</t>
  </si>
  <si>
    <t>OORPAL</t>
  </si>
  <si>
    <t>Feuilles d'Ortie - 1 Grand Sachet plante 240g</t>
  </si>
  <si>
    <t>https://calebasse.com/produits/feuilles-dortie-4345?product=6209</t>
  </si>
  <si>
    <t>https://res.cloudinary.com/laboratoire-calebasse/image/upload/v1748269815/FEUILLES_D_ORTIE_240_g_OORPAL_ef5f0361fb.jpg</t>
  </si>
  <si>
    <t>3665346219522</t>
  </si>
  <si>
    <t>sku-OORPAL</t>
  </si>
  <si>
    <t>OORPE</t>
  </si>
  <si>
    <t>Ortie Piquante partie aérienne coupée bio - 1 Petit Sachet plante 70g</t>
  </si>
  <si>
    <t>Plante sauvage et revitalisante qui favorise l’élimination Ses principaux bienfaits : aide au confort urinaire, stimule les fonctions éliminatrices, apaise les sensibilités articulaires</t>
  </si>
  <si>
    <t>https://calebasse.com/produits/ortie-piquante-partie-aerienne-coupee-bio-5198?product=7516</t>
  </si>
  <si>
    <t>https://res.cloudinary.com/laboratoire-calebasse/image/upload/v1759997793/ORTIE_PIQUANTE_PARTIE_AERIENNE_COUPEE_BIO_70_g_OORPE_6ed878bc08.jpg</t>
  </si>
  <si>
    <t>3665346226612</t>
  </si>
  <si>
    <t>sku-OORPE</t>
  </si>
  <si>
    <t>5198</t>
  </si>
  <si>
    <t>OORPEL</t>
  </si>
  <si>
    <t>Ortie Piquante partie aérienne coupée bio - 1 Grand Sachet plante 200g</t>
  </si>
  <si>
    <t>https://calebasse.com/produits/ortie-piquante-partie-aerienne-coupee-bio-5198?product=7517</t>
  </si>
  <si>
    <t>https://res.cloudinary.com/laboratoire-calebasse/image/upload/v1753800535/ORTIE_PIQUANTE_PARTIE_AERIENNE_COUPEE_BIO_200_g_OORPEL_bde5c301a5.jpg</t>
  </si>
  <si>
    <t>3665346226629</t>
  </si>
  <si>
    <t>sku-OORPEL</t>
  </si>
  <si>
    <t>OORRA</t>
  </si>
  <si>
    <t>Ortie piquante racine coupée bio - 1 Petit Sachet plante 80g</t>
  </si>
  <si>
    <t>Pour soulager les problèmes liés à la prostate. Ses principaux bienfaits : aide au confort urinaire, stimule les fonctions éliminatrices, préserve la fonction de la prostate</t>
  </si>
  <si>
    <t>https://calebasse.com/produits/racines-dortie-4344?product=6210</t>
  </si>
  <si>
    <t>https://res.cloudinary.com/laboratoire-calebasse/image/upload/v1759997305/ORTIE_PIQUANTE_RACINE_COUPEE_BIO_80_g_OORRA_dc1c47884e.jpg</t>
  </si>
  <si>
    <t>3665346225714</t>
  </si>
  <si>
    <t>sku-OORRA</t>
  </si>
  <si>
    <t>4344</t>
  </si>
  <si>
    <t>OORRAL</t>
  </si>
  <si>
    <t>Ortie piquante racine coupée bio - 1 Grand Sachet plante 200g</t>
  </si>
  <si>
    <t>https://calebasse.com/produits/racines-dortie-4344?product=6211</t>
  </si>
  <si>
    <t>https://res.cloudinary.com/laboratoire-calebasse/image/upload/v1748270914/ORTIE_PIQUANTE_RACINE_COUPEE_BIO_200_g_OORRAL_cc886049c8.jpg</t>
  </si>
  <si>
    <t>3665346225721</t>
  </si>
  <si>
    <t>sku-OORRAL</t>
  </si>
  <si>
    <t>OORTH</t>
  </si>
  <si>
    <t>Orthosiphon - Orthosiphon - 1 Petit Sachet plante 100g</t>
  </si>
  <si>
    <t xml:space="preserve"> Ses principaux bienfaits : aide au confort urinaire, draine les excès d'eau Ses principaux bienfaits : aide au confort urinaire, draine les excès d'eau</t>
  </si>
  <si>
    <t>https://calebasse.com/produits/orthosiphon-orthosiphon-5045?product=7273</t>
  </si>
  <si>
    <t>https://res.cloudinary.com/laboratoire-calebasse/image/upload/v1746523442/ORTHOSIPHON_100_g_OORTH_f70d50ac98.jpg</t>
  </si>
  <si>
    <t>3665346183717</t>
  </si>
  <si>
    <t>sku-OORTH</t>
  </si>
  <si>
    <t>5045</t>
  </si>
  <si>
    <t>OORVF</t>
  </si>
  <si>
    <t>Origan vert feuille bio - 1 Petit Sachet plante 80g</t>
  </si>
  <si>
    <t>Pour détoxifier l’organisme et libérer les voix respiratoires Ses principaux bienfaits : détoxifie l'organisme, libère les voies respiratoires, soulage la voix</t>
  </si>
  <si>
    <t>https://calebasse.com/produits/origan-vert-feuille-bio-5197?product=7514</t>
  </si>
  <si>
    <t>https://res.cloudinary.com/laboratoire-calebasse/image/upload/v1759997261/ORIGAN_VERT_FEUILLE_BIO_80_g_OORVF_3a8a70b42b.jpg</t>
  </si>
  <si>
    <t>3665346228111</t>
  </si>
  <si>
    <t>sku-OORVF</t>
  </si>
  <si>
    <t>5197</t>
  </si>
  <si>
    <t>OORVFL</t>
  </si>
  <si>
    <t>Origan vert feuille bio - 1 Grand Sachet plante 200g</t>
  </si>
  <si>
    <t>https://calebasse.com/produits/origan-vert-feuille-bio-5197?product=7515</t>
  </si>
  <si>
    <t>https://res.cloudinary.com/laboratoire-calebasse/image/upload/v1753800496/ORIGAN_VERT_FEUILLE_BIO_200_g_OORVFL_6b617d2013.jpg</t>
  </si>
  <si>
    <t>3665346228128</t>
  </si>
  <si>
    <t>sku-OORVFL</t>
  </si>
  <si>
    <t>OPADC</t>
  </si>
  <si>
    <t>Pavot de Californie - 1 Petit Sachet plante 100g</t>
  </si>
  <si>
    <t>Pour améliorer la qualité des nuits. Ses principaux bienfaits : facilite l'endormissement, améliore la qualité du sommeil, chasse la nervosité</t>
  </si>
  <si>
    <t>https://calebasse.com/produits/pavot-de-californie-4485?product=6217</t>
  </si>
  <si>
    <t>https://res.cloudinary.com/laboratoire-calebasse/image/upload/v1746523496/PAVOT_DE_CALIFORNIE_100_g_OPADC_4f1858b432.jpg</t>
  </si>
  <si>
    <t>3665346148211</t>
  </si>
  <si>
    <t>sku-OPADC</t>
  </si>
  <si>
    <t>4485</t>
  </si>
  <si>
    <t>OPAGR</t>
  </si>
  <si>
    <t>Graines de Pavot - 1 Petit Sachet plante 100g</t>
  </si>
  <si>
    <t>Pour renforcer la santé cardiovasculaire. Ses principaux bienfaits : soutient les défenses naturelles, favorise la cicatrisation, retarde le vieillissement cutané, favorise le confort cardiovasculaire</t>
  </si>
  <si>
    <t>https://calebasse.com/produits/graines-de-pavot-4349?product=6219</t>
  </si>
  <si>
    <t>https://res.cloudinary.com/laboratoire-calebasse/image/upload/v1746522955/GRAINES_DE_PAVOT_100_g_OPAGR_2c58194a82.jpg</t>
  </si>
  <si>
    <t>3665346148112</t>
  </si>
  <si>
    <t>sku-OPAGR</t>
  </si>
  <si>
    <t>4349</t>
  </si>
  <si>
    <t>OPAPA</t>
  </si>
  <si>
    <t>Papayer - 1 Petit Sachet plante 100g</t>
  </si>
  <si>
    <t>Pour améliorer la digestion et faciliter l’élimination. Ses principaux bienfaits : contribue à une bonne digestion, réduire les flatulences et ballonnements, stimule le transit intestinal</t>
  </si>
  <si>
    <t>https://calebasse.com/produits/papayer-4346?product=6213</t>
  </si>
  <si>
    <t>https://res.cloudinary.com/laboratoire-calebasse/image/upload/v1746523471/PAPAYER_100_g_OPAPA_fba1ef0207.jpg</t>
  </si>
  <si>
    <t>3665346147818</t>
  </si>
  <si>
    <t>sku-OPAPA</t>
  </si>
  <si>
    <t>4346</t>
  </si>
  <si>
    <t>OPAPAL</t>
  </si>
  <si>
    <t>Papayer - 1 Grand Sachet plante 240g</t>
  </si>
  <si>
    <t>https://calebasse.com/produits/papayer-4346?product=6212</t>
  </si>
  <si>
    <t>https://res.cloudinary.com/laboratoire-calebasse/image/upload/v1748268982/PAPAYER_240_g_OPAPAL_2ec555faca.jpg</t>
  </si>
  <si>
    <t>3665346147825</t>
  </si>
  <si>
    <t>sku-OPAPAL</t>
  </si>
  <si>
    <t>OPASS</t>
  </si>
  <si>
    <t>Passiflore partie aérienne coupée bio - 1 Petit Sachet plante 80g</t>
  </si>
  <si>
    <t>Pour calmer l’anxiété et améliorer le sommeil. Ses principaux bienfaits : facilite l'endormissement, améliore la qualité du sommeil, chasse la nervosité</t>
  </si>
  <si>
    <t>https://calebasse.com/produits/passiflore-4503?product=6214</t>
  </si>
  <si>
    <t>https://res.cloudinary.com/laboratoire-calebasse/image/upload/v1744901895/PASSIFLORE_PARTIE_AERIENNE_COUPEE_BIO_200_g_OPASSL_2025_04_10_b37953be37.jpg</t>
  </si>
  <si>
    <t>3665346147917</t>
  </si>
  <si>
    <t>sku-OPASS</t>
  </si>
  <si>
    <t>4503</t>
  </si>
  <si>
    <t>OPASSL</t>
  </si>
  <si>
    <t>Passiflore partie aérienne coupée bio - 1 Grand Sachet plante 200g</t>
  </si>
  <si>
    <t>https://calebasse.com/produits/passiflore-4503?product=6216</t>
  </si>
  <si>
    <t>https://res.cloudinary.com/laboratoire-calebasse/image/upload/v1748270895/PASSIFLORE_PARTIE_AERIENNE_COUPEE_BIO_200_g_OPASSL_fff91dcfc6.jpg</t>
  </si>
  <si>
    <t>3665346147924</t>
  </si>
  <si>
    <t>sku-OPASSL</t>
  </si>
  <si>
    <t>OPENS</t>
  </si>
  <si>
    <t>Pensée sauvage - 1 Petit Sachet plante 100g</t>
  </si>
  <si>
    <t xml:space="preserve"> Ses principaux bienfaits : améliore l'apparence de la peau, contribue à une bonne digestion Ses principaux bienfaits : améliore l'apparence de la peau, contribue à une bonne digestion</t>
  </si>
  <si>
    <t>https://calebasse.com/produits/pensee-sauvage-5046?product=7275</t>
  </si>
  <si>
    <t>https://res.cloudinary.com/laboratoire-calebasse/image/upload/v1746523508/PENSEE_SAUVAGE_100_g_OPENS_b72caa6854.jpg</t>
  </si>
  <si>
    <t>3665346225813</t>
  </si>
  <si>
    <t>sku-OPENS</t>
  </si>
  <si>
    <t>5046</t>
  </si>
  <si>
    <t>OPENSL</t>
  </si>
  <si>
    <t>Pensée sauvage - 1 Grand Sachet plante 300g</t>
  </si>
  <si>
    <t>https://calebasse.com/produits/pensee-sauvage-5046?product=7276</t>
  </si>
  <si>
    <t>https://res.cloudinary.com/laboratoire-calebasse/image/upload/v1748268945/PENSEE_SAUVAGE_300_g_OPENSL_1d6db47ab9.jpg</t>
  </si>
  <si>
    <t>3665346225820</t>
  </si>
  <si>
    <t>sku-OPENSL</t>
  </si>
  <si>
    <t>OPETI</t>
  </si>
  <si>
    <t>Petit-Houx - 1 Petit Sachet plante 100g</t>
  </si>
  <si>
    <t>Pour retrouver le confort veineux. Ses principaux bienfaits : stimule la circulation sanguine, contribue au confort veineux, soulage les jambes lourdes, atténuer les pertes de sang</t>
  </si>
  <si>
    <t>https://calebasse.com/produits/petit-houx-4350?product=6222</t>
  </si>
  <si>
    <t>https://res.cloudinary.com/laboratoire-calebasse/image/upload/v1746523553/PETIT_HOUX_100_g_OPETI_cc24b282a9.jpg</t>
  </si>
  <si>
    <t>3665346207116</t>
  </si>
  <si>
    <t>sku-OPETI</t>
  </si>
  <si>
    <t>4350</t>
  </si>
  <si>
    <t>OPRPA</t>
  </si>
  <si>
    <t>Prêle partie aérienne coupée bio - 1 Petit Sachet plante 50g</t>
  </si>
  <si>
    <t>Pour préserver beauté, souplesse et vitalité au fil des années Ses principaux bienfaits : retarde le vieillissement cutané, améliore l'apparence de la peau</t>
  </si>
  <si>
    <t>https://calebasse.com/produits/prele-partie-aerienne-coupee-bio-5199?product=7518</t>
  </si>
  <si>
    <t>https://res.cloudinary.com/laboratoire-calebasse/image/upload/v1753800552/PRELE_PARTIE_AERIENNE_COUPEE_BIO_50_g_OPRPA_04265f2d91.jpg</t>
  </si>
  <si>
    <t>3665346228210</t>
  </si>
  <si>
    <t>sku-OPRPA</t>
  </si>
  <si>
    <t>5199</t>
  </si>
  <si>
    <t>OPRPAL</t>
  </si>
  <si>
    <t>Prêle partie aérienne coupée bio - 1 Grand Sachet plante 150g</t>
  </si>
  <si>
    <t>https://calebasse.com/produits/prele-partie-aerienne-coupee-bio-5199?product=7519</t>
  </si>
  <si>
    <t>https://res.cloudinary.com/laboratoire-calebasse/image/upload/v1759997882/PRELE_PARTIE_AERIENNE_COUPEE_BIO_150_g_OPRPAL_78b83b211d.jpg</t>
  </si>
  <si>
    <t>3665346228227</t>
  </si>
  <si>
    <t>sku-OPRPAL</t>
  </si>
  <si>
    <t>OPSYL</t>
  </si>
  <si>
    <t>Psyllium noir graine entière bio - 1 Petit Sachet plante 70g</t>
  </si>
  <si>
    <t>Pour réguler le transit intestinal. Ses principaux bienfaits : favorise le confort intestinal, stimule le transit intestinal, calme la diarrhée</t>
  </si>
  <si>
    <t>https://calebasse.com/produits/psyllium-4353?product=6224</t>
  </si>
  <si>
    <t>https://res.cloudinary.com/laboratoire-calebasse/image/upload/v1760609717/PSYLLIUM_NOIR_GRAINE_ENTIERE_BIO_70_g_OPSYL_f4e0dd99c9.jpg</t>
  </si>
  <si>
    <t>3665346149119</t>
  </si>
  <si>
    <t>sku-OPSYL</t>
  </si>
  <si>
    <t>4353</t>
  </si>
  <si>
    <t>OPSYLL</t>
  </si>
  <si>
    <t>Psyllium noir graine entière bio - 1 Grand Sachet plante 200g</t>
  </si>
  <si>
    <t>https://calebasse.com/produits/psyllium-4353?product=6225</t>
  </si>
  <si>
    <t>https://res.cloudinary.com/laboratoire-calebasse/image/upload/v1760609775/PSYLLIUM_NOIR_GRAINE_ENTIERE_BIO_200_g_OPSYLL_9f06bc2a27.jpg</t>
  </si>
  <si>
    <t>3665346222522</t>
  </si>
  <si>
    <t>sku-OPSYLL</t>
  </si>
  <si>
    <t>OQUEU</t>
  </si>
  <si>
    <t>Queues de Cerise - 1 Petit Sachet plante 100g</t>
  </si>
  <si>
    <t>Pour détoxifier l’appareil urinaire. Ses principaux bienfaits : détoxifie l'organisme, aide au confort urinaire, stimule les fonctions éliminatrices</t>
  </si>
  <si>
    <t>https://calebasse.com/produits/queues-de-cerise-4351?product=6226</t>
  </si>
  <si>
    <t>https://res.cloudinary.com/laboratoire-calebasse/image/upload/v1746523590/QUEUES_DE_CERISE_100_g_OQUEU_d8abdbf265.jpg</t>
  </si>
  <si>
    <t>3665346152010</t>
  </si>
  <si>
    <t>sku-OQUEU</t>
  </si>
  <si>
    <t>4351</t>
  </si>
  <si>
    <t>OQUEUL</t>
  </si>
  <si>
    <t>Queues de Cerise - 1 Grand Sachet plante 300g</t>
  </si>
  <si>
    <t>https://calebasse.com/produits/queues-de-cerise-4351?product=6227</t>
  </si>
  <si>
    <t>https://res.cloudinary.com/laboratoire-calebasse/image/upload/v1748268821/QUEUES_DE_CERISE_300_g_OQUEUL_233676c229.jpg</t>
  </si>
  <si>
    <t>3665346152027</t>
  </si>
  <si>
    <t>sku-OQUEUL</t>
  </si>
  <si>
    <t>ORADI</t>
  </si>
  <si>
    <t>Radis noir racine coupée bio - 1 Petit Sachet plante 80g</t>
  </si>
  <si>
    <t>Pour soulager les inconforts digestifs et tonifier le foie. Ses principaux bienfaits : réduire les flatulences et ballonnements, favorise le fonctionnement du foie, stimule le foie</t>
  </si>
  <si>
    <t>https://calebasse.com/produits/radis-noir-4352?product=6228</t>
  </si>
  <si>
    <t>https://res.cloudinary.com/laboratoire-calebasse/image/upload/v1744901986/RADIS_NOIR_RACINE_COUPEE_BIO_80_g_ORADI_2025_04_10psd_aa06b345d1.jpg</t>
  </si>
  <si>
    <t>3665346152119</t>
  </si>
  <si>
    <t>sku-ORADI</t>
  </si>
  <si>
    <t>4352</t>
  </si>
  <si>
    <t>ORADIL</t>
  </si>
  <si>
    <t>Radis noir racine coupée bio - 1 Grand Sachet plante 200g</t>
  </si>
  <si>
    <t>https://calebasse.com/produits/radis-noir-4352?product=6229</t>
  </si>
  <si>
    <t>https://res.cloudinary.com/laboratoire-calebasse/image/upload/v1748270873/RADIS_NOIR_RACINE_COUPEE_BIO_200_g_ORADIL_8aeada0580.jpg</t>
  </si>
  <si>
    <t>3665346222423</t>
  </si>
  <si>
    <t>sku-ORADIL</t>
  </si>
  <si>
    <t>ORANT</t>
  </si>
  <si>
    <t>Ratanhia - 1 Petit Sachet plante 100g</t>
  </si>
  <si>
    <t>Pour calmer les saignements anaux. Ses principaux bienfaits : stimule la circulation sanguine, contribue au confort veineux, soulage les jambes lourdes, atténuer les pertes de sang</t>
  </si>
  <si>
    <t>https://calebasse.com/produits/ratanhia-4356?product=6232</t>
  </si>
  <si>
    <t>https://res.cloudinary.com/laboratoire-calebasse/image/upload/v1746523635/RATANHIA_100_g_ORANT_e711735a77.jpg</t>
  </si>
  <si>
    <t>3665346225912</t>
  </si>
  <si>
    <t>sku-ORANT</t>
  </si>
  <si>
    <t>4356</t>
  </si>
  <si>
    <t>ORANTL</t>
  </si>
  <si>
    <t>Ratanhia - 1 Grand Sachet plante 300g</t>
  </si>
  <si>
    <t>https://calebasse.com/produits/ratanhia-4356?product=6233</t>
  </si>
  <si>
    <t>https://res.cloudinary.com/laboratoire-calebasse/image/upload/v1748268798/RATANHIA_300_g_ORANTL_b1c870c6c3.jpg</t>
  </si>
  <si>
    <t>3665346225929</t>
  </si>
  <si>
    <t>sku-ORANTL</t>
  </si>
  <si>
    <t>ORÉGL</t>
  </si>
  <si>
    <t>Réglisse bâton entier bio - 1 Petit Sachet plante 60g</t>
  </si>
  <si>
    <t>Pour stimuler la fonction hépatique. Ses principaux bienfaits : soulage les sensibilités de l'estomac, favorise le fonctionnement du foie, protège la fonction hépatique, stimule le foie</t>
  </si>
  <si>
    <t>https://calebasse.com/produits/batons-de-reglisse-4355?product=6234</t>
  </si>
  <si>
    <t>https://res.cloudinary.com/laboratoire-calebasse/image/upload/v1744902037/REGLISSE_BATON_ENTIER_BIO_60_g_OREGL_2025_04_10_598bbebc61.jpg</t>
  </si>
  <si>
    <t>3665346221112</t>
  </si>
  <si>
    <t>sku-ORÉGL</t>
  </si>
  <si>
    <t>4355</t>
  </si>
  <si>
    <t>ORÉGL3</t>
  </si>
  <si>
    <t>Réglisse bâton entier bio - 1 Grand Sachet plante 200g</t>
  </si>
  <si>
    <t>https://calebasse.com/produits/batons-de-reglisse-4355?product=6235</t>
  </si>
  <si>
    <t>https://res.cloudinary.com/laboratoire-calebasse/image/upload/v1748270855/REGLISSE_BATON_ENTIER_BIO_200_g_OREGL_3_020e7925dd.jpg</t>
  </si>
  <si>
    <t>3665346221129</t>
  </si>
  <si>
    <t>sku-ORÉGL3</t>
  </si>
  <si>
    <t>OREIN</t>
  </si>
  <si>
    <t>Reine-des-Près - 1 Petit Sachet plante 100g</t>
  </si>
  <si>
    <t>Pour soulager les sensibilités articulaires. Ses principaux bienfaits : détoxifie l'organisme, décontracte les muscles, apaise les sensibilités articulaires</t>
  </si>
  <si>
    <t>https://calebasse.com/produits/reine-des-pres-4357?product=6236</t>
  </si>
  <si>
    <t>https://res.cloudinary.com/laboratoire-calebasse/image/upload/v1746523665/REINE_DES_PRES_100_g_OREIN_e273858005.jpg</t>
  </si>
  <si>
    <t>3665346152515</t>
  </si>
  <si>
    <t>sku-OREIN</t>
  </si>
  <si>
    <t>4357</t>
  </si>
  <si>
    <t>OREINL</t>
  </si>
  <si>
    <t>Reine-des-Près - 1 Grand Sachet plante 300g</t>
  </si>
  <si>
    <t>https://calebasse.com/produits/reine-des-pres-4357?product=6237</t>
  </si>
  <si>
    <t>https://res.cloudinary.com/laboratoire-calebasse/image/upload/v1748268784/REINE_DES_PRES_300_g_OREINL_e3f3253ba5.jpg</t>
  </si>
  <si>
    <t>3665346152522</t>
  </si>
  <si>
    <t>sku-OREINL</t>
  </si>
  <si>
    <t>OROMA</t>
  </si>
  <si>
    <t>Romarin - 1 Petit Sachet plante 100g</t>
  </si>
  <si>
    <t>https://calebasse.com/produits/romarin-4358?product=6239</t>
  </si>
  <si>
    <t>https://res.cloudinary.com/laboratoire-calebasse/image/upload/v1746523681/ROMARIN_100_g_OROMA_0d611b23b0.jpg</t>
  </si>
  <si>
    <t>3665346153512</t>
  </si>
  <si>
    <t>sku-OROMA</t>
  </si>
  <si>
    <t>4358</t>
  </si>
  <si>
    <t>OROMAL</t>
  </si>
  <si>
    <t>Romarin - 1 Grand Sachet plante 300g</t>
  </si>
  <si>
    <t>https://calebasse.com/produits/romarin-4358?product=6238</t>
  </si>
  <si>
    <t>https://res.cloudinary.com/laboratoire-calebasse/image/upload/v1748268768/ROMARIN_300_g_OROMAL_e9671c42b2.jpg</t>
  </si>
  <si>
    <t>3665346153529</t>
  </si>
  <si>
    <t>sku-OROMAL</t>
  </si>
  <si>
    <t>OSAMF</t>
  </si>
  <si>
    <t>Sarriette des montagne feuille entière bio - 1 Petit Sachet plante 50g</t>
  </si>
  <si>
    <t>Pour stimuler vos défenses et retrouver tonus et légèreté Ses principaux bienfaits : renforce les défenses naturelles, favorise le confort intestinal, donne du tonus à l'organisme</t>
  </si>
  <si>
    <t>https://calebasse.com/produits/sarriette-des-montagne-feuille-entiere-bio-5200?product=7520</t>
  </si>
  <si>
    <t>https://res.cloudinary.com/laboratoire-calebasse/image/upload/v1753800578/SARRIETTE_DES_MONTAGNE_FEUILLE_ENTIERE_BIO_50_g_OSAMF_9f5161a2e1.jpg</t>
  </si>
  <si>
    <t>3665346227213</t>
  </si>
  <si>
    <t>sku-OSAMF</t>
  </si>
  <si>
    <t>5200</t>
  </si>
  <si>
    <t>OSAMFL</t>
  </si>
  <si>
    <t>Sarriette des montagne feuille entière bio - 1 Grand Sachet plante 200g</t>
  </si>
  <si>
    <t>https://calebasse.com/produits/sarriette-des-montagne-feuille-entiere-bio-5200?product=7521</t>
  </si>
  <si>
    <t>https://res.cloudinary.com/laboratoire-calebasse/image/upload/v1753800587/SARRIETTE_DES_MONTAGNE_FEUILLE_ENTIERE_BIO_200_g_OSAMFL_dbbafa5754.jpg</t>
  </si>
  <si>
    <t>3665346227220</t>
  </si>
  <si>
    <t>sku-OSAMFL</t>
  </si>
  <si>
    <t>OSAUG</t>
  </si>
  <si>
    <t>Sauge officinale feuille coupée bio - 1 Petit Sachet plante 50g</t>
  </si>
  <si>
    <t>Pour mieux vivre l'entrée en ménopause. Ses principaux bienfaits : contribue à réguler le cycle, accompagne la transition vers la ménopause, soulage les inconforts ménopausiques</t>
  </si>
  <si>
    <t>https://calebasse.com/produits/sauge-4360?product=6242</t>
  </si>
  <si>
    <t>https://res.cloudinary.com/laboratoire-calebasse/image/upload/v1744902119/SAUGE_OFFICINALE_FEUILLE_COUPEE_BIO_50_g_OSAUG_2025_04_10_4d96820ef8.jpg</t>
  </si>
  <si>
    <t>3665346155011</t>
  </si>
  <si>
    <t>sku-OSAUG</t>
  </si>
  <si>
    <t>4360</t>
  </si>
  <si>
    <t>OSAUGL</t>
  </si>
  <si>
    <t>Sauge officinale feuille coupée bio - 1 Grand Sachet plante 200g</t>
  </si>
  <si>
    <t>https://calebasse.com/produits/sauge-4360?product=6243</t>
  </si>
  <si>
    <t>https://res.cloudinary.com/laboratoire-calebasse/image/upload/v1748270648/SAUGE_OFFICINALE_FEUILLE_COUPEE_BIO_200_g_OSAUGL_9b8271044c.jpg</t>
  </si>
  <si>
    <t>3665346155028</t>
  </si>
  <si>
    <t>sku-OSAUGL</t>
  </si>
  <si>
    <t>OSAUL</t>
  </si>
  <si>
    <t>Saule - 1 Petit Sachet plante 100g</t>
  </si>
  <si>
    <t>Pour apaiser les articulations sensibles. Ses principaux bienfaits : favorise le confort articulaire, apaise les sensibilités articulaires</t>
  </si>
  <si>
    <t>https://calebasse.com/produits/saule-4362?product=6244</t>
  </si>
  <si>
    <t>https://res.cloudinary.com/laboratoire-calebasse/image/upload/v1746523698/SAULE_100_g_OSAUL_5cd923784e.jpg</t>
  </si>
  <si>
    <t>3665346155110</t>
  </si>
  <si>
    <t>sku-OSAUL</t>
  </si>
  <si>
    <t>4362</t>
  </si>
  <si>
    <t>OSUR</t>
  </si>
  <si>
    <t>Sureau fruit bio - 1 Petit Sachet plante 50g</t>
  </si>
  <si>
    <t>Superaliment pour renforcer les défenses et purifier l’organisme Ses principaux bienfaits : soutient les défenses naturelles, détoxifie l'organisme</t>
  </si>
  <si>
    <t>https://calebasse.com/produits/sureau-fruit-bio-5202?product=7524</t>
  </si>
  <si>
    <t>https://res.cloudinary.com/laboratoire-calebasse/image/upload/v1753800633/SUREAU_FRUIT_BIO_50_g_OSUR_6d6e18c7a0.jpg</t>
  </si>
  <si>
    <t>3665346227015</t>
  </si>
  <si>
    <t>sku-OSUR</t>
  </si>
  <si>
    <t>5202</t>
  </si>
  <si>
    <t>OSURF</t>
  </si>
  <si>
    <t>Sureau fleur tamisée bio - 1 Petit Sachet plante 50g</t>
  </si>
  <si>
    <t>Un geste doux pour éliminer et retrouver la légèreté Ses principaux bienfaits : détoxifie l'organisme, stimule les fonctions éliminatrices, aide au confort urinaire</t>
  </si>
  <si>
    <t>https://calebasse.com/produits/sureau-fleur-tamisee-bio-5201?product=7522</t>
  </si>
  <si>
    <t>https://res.cloudinary.com/laboratoire-calebasse/image/upload/v1753800605/SUREAU_FLEUR_TAMISEE_BIO_50_g_OSURF_5f4fdef888.jpg</t>
  </si>
  <si>
    <t>3665346227114</t>
  </si>
  <si>
    <t>sku-OSURF</t>
  </si>
  <si>
    <t>5201</t>
  </si>
  <si>
    <t>OSURFL</t>
  </si>
  <si>
    <t>Sureau fleur tamisée bio - 1 Grand Sachet plante 150g</t>
  </si>
  <si>
    <t>https://calebasse.com/produits/sureau-fleur-tamisee-bio-5201?product=7523</t>
  </si>
  <si>
    <t>https://res.cloudinary.com/laboratoire-calebasse/image/upload/v1759997930/SUREAU_FLEUR_TAMISEE_BIO_150_g_OSURFL_828d736c22.jpg</t>
  </si>
  <si>
    <t>3665346227121</t>
  </si>
  <si>
    <t>sku-OSURFL</t>
  </si>
  <si>
    <t>OSURL</t>
  </si>
  <si>
    <t>Sureau fruit bio - 1 Grand Sachet plante 200g</t>
  </si>
  <si>
    <t>https://calebasse.com/produits/sureau-fruit-bio-5202?product=7525</t>
  </si>
  <si>
    <t>https://res.cloudinary.com/laboratoire-calebasse/image/upload/v1753800642/SUREAU_FRUIT_BIO_200_g_OSURL_4073e009c0.jpg</t>
  </si>
  <si>
    <t>3665346227022</t>
  </si>
  <si>
    <t>sku-OSURL</t>
  </si>
  <si>
    <t>OTHCF</t>
  </si>
  <si>
    <t>Thym citron feuille entière bio - 1 Petit Sachet plante 30g</t>
  </si>
  <si>
    <t>Pour apaiser la gorge et libérer la respiration Ses principaux bienfaits : apaise la gorge, libère les voies respiratoires, soulage la voix</t>
  </si>
  <si>
    <t>https://calebasse.com/produits/thym-citron-feuille-entiere-bio-5203?product=7527</t>
  </si>
  <si>
    <t>https://res.cloudinary.com/laboratoire-calebasse/image/upload/v1753800657/THYM_CITRON_FEUILLE_ENTIERE_BIO_30_g_OTHCF_5b34224e7a.jpg</t>
  </si>
  <si>
    <t>3665346226513</t>
  </si>
  <si>
    <t>sku-OTHCF</t>
  </si>
  <si>
    <t>5203</t>
  </si>
  <si>
    <t>OTHCFL</t>
  </si>
  <si>
    <t>Thym citron feuille entière bio - 1 Grand Sachet plante 100g</t>
  </si>
  <si>
    <t>https://calebasse.com/produits/thym-citron-feuille-entiere-bio-5203?product=7526</t>
  </si>
  <si>
    <t>https://res.cloudinary.com/laboratoire-calebasse/image/upload/v1753800667/THYM_CITRON_FEUILLE_ENTIERE_BIO_100_g_OTHCFL_dd607b9303.jpg</t>
  </si>
  <si>
    <t>3665346226520</t>
  </si>
  <si>
    <t>sku-OTHCFL</t>
  </si>
  <si>
    <t>OTHYM</t>
  </si>
  <si>
    <t>Thym feuille entière bio - 1 Petit Sachet plante 50g</t>
  </si>
  <si>
    <t>https://calebasse.com/produits/thym-4361?product=6246</t>
  </si>
  <si>
    <t>https://res.cloudinary.com/laboratoire-calebasse/image/upload/v1753881995/THYM_FEUILLE_ENTIERE_BIO_50_g_OTHYM_e8f9977baa.jpg</t>
  </si>
  <si>
    <t>3665346103319</t>
  </si>
  <si>
    <t>sku-OTHYM</t>
  </si>
  <si>
    <t>4361</t>
  </si>
  <si>
    <t>OTHYML</t>
  </si>
  <si>
    <t>Thym feuille entière bio - 1 Grand Sachet plante 200g</t>
  </si>
  <si>
    <t>https://calebasse.com/produits/thym-4361?product=6247</t>
  </si>
  <si>
    <t>https://res.cloudinary.com/laboratoire-calebasse/image/upload/v1753882073/THYM_FEUILLE_ENTIERE_BIO_200_g_OTHYML_1d7d6154a7.jpg</t>
  </si>
  <si>
    <t>3665346221822</t>
  </si>
  <si>
    <t>sku-OTHYML</t>
  </si>
  <si>
    <t>OTLAU</t>
  </si>
  <si>
    <t>Tilleul rouge aubier coupé bio - 1 Petit Sachet plante 80g</t>
  </si>
  <si>
    <t>Pour apaiser les inconforts digestifs. Ses principaux bienfaits : contribue à une bonne digestion, soulage les sensibilités de l'estomac, favorise le fonctionnement du foie, stimule le foie</t>
  </si>
  <si>
    <t>https://calebasse.com/produits/tilleul-aubier-4363?product=6248</t>
  </si>
  <si>
    <t>https://res.cloudinary.com/laboratoire-calebasse/image/upload/v1748268300/TILLEUL_ROUGE_AUBIER_COUPE_BIO_80_g_OTLAU_c6bfa86dcb.jpg</t>
  </si>
  <si>
    <t>3665346161715</t>
  </si>
  <si>
    <t>sku-OTLAU</t>
  </si>
  <si>
    <t>4363</t>
  </si>
  <si>
    <t>OTLAUL</t>
  </si>
  <si>
    <t>Tilleul rouge aubier coupé bio - 1 Grand Sachet plante 200g</t>
  </si>
  <si>
    <t>https://calebasse.com/produits/tilleul-aubier-4363?product=6249</t>
  </si>
  <si>
    <t>https://res.cloudinary.com/laboratoire-calebasse/image/upload/v1748268284/TILLEUL_ROUGE_AUBIER_COUPE_BIO_200_g_OTLAUL_8aad30e866.jpg</t>
  </si>
  <si>
    <t>3665346221723</t>
  </si>
  <si>
    <t>sku-OTLAUL</t>
  </si>
  <si>
    <t>OTLBR</t>
  </si>
  <si>
    <t>Tilleul bractée entière bio - 1 Petit Sachet plante 60g</t>
  </si>
  <si>
    <t>Pour calmer la nervosité et favoriser le repos. Ses principaux bienfaits : réduit la fatigue, facilite l'endormissement, chasse la nervosité</t>
  </si>
  <si>
    <t>https://calebasse.com/produits/bractees-de-tilleul-4364?product=6250</t>
  </si>
  <si>
    <t>https://res.cloudinary.com/laboratoire-calebasse/image/upload/v1760609989/TILLEUL_BRACTEE_ENTIERE_BIO_60_g_OTLBR_a6ebec3480.jpg</t>
  </si>
  <si>
    <t>3665346161814</t>
  </si>
  <si>
    <t>sku-OTLBR</t>
  </si>
  <si>
    <t>4364</t>
  </si>
  <si>
    <t>OTLBRL</t>
  </si>
  <si>
    <t>Tilleul bractée entière bio - 1 Grand Sachet plante 150g</t>
  </si>
  <si>
    <t>https://calebasse.com/produits/bractees-de-tilleul-4364?product=7607</t>
  </si>
  <si>
    <t>https://res.cloudinary.com/laboratoire-calebasse/image/upload/v1760609984/TILLEUL_BRACTEE_ENTIERE_BIO_150_g_OTLBRL_945ae00967.jpg</t>
  </si>
  <si>
    <t>3665346161821</t>
  </si>
  <si>
    <t>sku-OTLBRL</t>
  </si>
  <si>
    <t>Réduit la fatigue; Facilite l'endormissement; Chasse la nervosité</t>
  </si>
  <si>
    <t>OVALÉ</t>
  </si>
  <si>
    <t>Valériane racine coupée bio - 1 Petit Sachet plante 80g</t>
  </si>
  <si>
    <t>Pour calmer la nervosité et améliorer le sommeil. Ses principaux bienfaits : facilite l'endormissement, améliore la qualité du sommeil, chasse la nervosité</t>
  </si>
  <si>
    <t>https://calebasse.com/produits/valeriane-4365?product=6251</t>
  </si>
  <si>
    <t>https://res.cloudinary.com/laboratoire-calebasse/image/upload/v1759997961/VALERIANE_RACINE_COUPEE_BIO_80_g_OVALE_595a9138d6.jpg</t>
  </si>
  <si>
    <t>3665346162811</t>
  </si>
  <si>
    <t>sku-OVALÉ</t>
  </si>
  <si>
    <t>4365</t>
  </si>
  <si>
    <t>OVALÉL</t>
  </si>
  <si>
    <t>Valériane racine coupée bio - 1 Grand Sachet plante 200g</t>
  </si>
  <si>
    <t>https://calebasse.com/produits/valeriane-4365?product=6254</t>
  </si>
  <si>
    <t>https://res.cloudinary.com/laboratoire-calebasse/image/upload/v1752842602/VALERIANE_RACINE_COUPEE_BIO_200_g_OVALEL_b42413dd70.jpg</t>
  </si>
  <si>
    <t>3665346221327</t>
  </si>
  <si>
    <t>sku-OVALÉL</t>
  </si>
  <si>
    <t>OVERV</t>
  </si>
  <si>
    <t>Verveine odorante feuille brisure bio - 1 Petit Sachet plante 70g</t>
  </si>
  <si>
    <t>Pour apaiser le stress et la nervosité. Ses principaux bienfaits : chasse la nervosité, soulage les troubles digestifs provoqués par le stress</t>
  </si>
  <si>
    <t>https://calebasse.com/produits/verveine-odorante-4367?product=6257</t>
  </si>
  <si>
    <t>https://res.cloudinary.com/laboratoire-calebasse/image/upload/v1760610241/VERVEINE_ODORANTE_FEUILLE_BRISURE_BIO_70_g_OVERV_a5f96fac7d.jpg</t>
  </si>
  <si>
    <t>3665346202012</t>
  </si>
  <si>
    <t>sku-OVERV</t>
  </si>
  <si>
    <t>4367</t>
  </si>
  <si>
    <t>OVERVL</t>
  </si>
  <si>
    <t>Verveine odorante feuille brisure bio - 1 Grand Sachet plante 200g</t>
  </si>
  <si>
    <t>https://calebasse.com/produits/verveine-odorante-4367?product=7608</t>
  </si>
  <si>
    <t>https://res.cloudinary.com/laboratoire-calebasse/image/upload/v1760610237/VERVEINE_ODORANTE_FEUILLE_BRISURE_BIO_200_g_OVERVL_92ab38463b.jpg</t>
  </si>
  <si>
    <t>3665346202029</t>
  </si>
  <si>
    <t>sku-OVERVL</t>
  </si>
  <si>
    <t>Chasse la nervosité; Soulage les troubles digestifs provoqués par le stress</t>
  </si>
  <si>
    <t>OVIGN</t>
  </si>
  <si>
    <t>Vigne Rouge - 1 Petit Sachet plante 100g</t>
  </si>
  <si>
    <t>Pour combattre la mauvaise circulation sanguine. Ses principaux bienfaits : stimule la circulation sanguine, contribue au confort veineux, soulage les jambes lourdes</t>
  </si>
  <si>
    <t>https://calebasse.com/produits/vigne-rouge-4366?product=6255</t>
  </si>
  <si>
    <t>https://res.cloudinary.com/laboratoire-calebasse/image/upload/v1748268683/VIGNE_ROUGE_100_g_OVIGN_82dbcd9db4.jpg</t>
  </si>
  <si>
    <t>3665346163016</t>
  </si>
  <si>
    <t>sku-OVIGN</t>
  </si>
  <si>
    <t>4366</t>
  </si>
  <si>
    <t>OVIGNL</t>
  </si>
  <si>
    <t>Vigne Rouge - 1 Grand Sachet plante 260g</t>
  </si>
  <si>
    <t>https://calebasse.com/produits/vigne-rouge-4366?product=6256</t>
  </si>
  <si>
    <t>https://res.cloudinary.com/laboratoire-calebasse/image/upload/v1759402428/VIGNE_ROUGE_260_g_OVIGNL_e8a8d4ecc9.jpg</t>
  </si>
  <si>
    <t>3665346163023</t>
  </si>
  <si>
    <t>sku-OVIGNL</t>
  </si>
  <si>
    <t>post</t>
  </si>
  <si>
    <t>Poster herbier DNMTC - 1 Poster</t>
  </si>
  <si>
    <t>Grand poster herbier de pharmacopée chinoise</t>
  </si>
  <si>
    <t>https://calebasse.com/produits/poster-herbier-dnmtc-4424?product=6414</t>
  </si>
  <si>
    <t>https://res.cloudinary.com/laboratoire-calebasse/image/upload/v1634201201/poster_7e33e3ab59.jpg</t>
  </si>
  <si>
    <t>sku-post</t>
  </si>
  <si>
    <t>4424</t>
  </si>
  <si>
    <t>TJ</t>
  </si>
  <si>
    <t>Pectine de pêche - Tao jiao - 1 Flacon plante 100g</t>
  </si>
  <si>
    <t>Pour favoriser la digestion. Ses principaux bienfaits : favorise le confort intestinal, contribue au confort cutané</t>
  </si>
  <si>
    <t>https://calebasse.com/produits/tao-jiao-pectine-de-peche-4680?product=6818</t>
  </si>
  <si>
    <t>https://res.cloudinary.com/laboratoire-calebasse/image/upload/v1754487771/tao_jiao_1671580a70.jpg</t>
  </si>
  <si>
    <t>sku-TJ</t>
  </si>
  <si>
    <t>4680</t>
  </si>
  <si>
    <t>XJYD</t>
  </si>
  <si>
    <t>Filtres à thé jetables - Yi ci xing cha bao - 1 lot : 100 filtres</t>
  </si>
  <si>
    <t>Pour faciliter la préparation des thés en vrac.</t>
  </si>
  <si>
    <t>https://calebasse.com/produits/yi-ci-xing-cha-bao-filtres-a-the-jetables-4790?product=6991</t>
  </si>
  <si>
    <t>https://res.cloudinary.com/laboratoire-calebasse/image/upload/v1681223818/chayedai2_daf119cf31.jpg</t>
  </si>
  <si>
    <t>sku-XJYD</t>
  </si>
  <si>
    <t>4790</t>
  </si>
  <si>
    <t>XXFBH100</t>
  </si>
  <si>
    <t>Bo he - 1 Flacon poudre moulue 100g</t>
  </si>
  <si>
    <t>Réservé aux professionnels uniquement</t>
  </si>
  <si>
    <t>https://calebasse.com/produits/bo-he-4754?product=6932</t>
  </si>
  <si>
    <t>https://res.cloudinary.com/laboratoire-calebasse/image/upload/v1677060917/bohe100_a84a4827f4.jpg</t>
  </si>
  <si>
    <t>sku-XXFBH100</t>
  </si>
  <si>
    <t>Santé &amp; Bien-être &gt; Alimentation fonctionnelle &gt; Boissons &amp; Poudres bien-être &gt; EXAD</t>
  </si>
  <si>
    <t>4754</t>
  </si>
  <si>
    <t>XXFBH300</t>
  </si>
  <si>
    <t>Bo he - 1 Flacon poudre moulue 300g</t>
  </si>
  <si>
    <t>https://calebasse.com/produits/bo-he-4754?product=6933</t>
  </si>
  <si>
    <t>https://res.cloudinary.com/laboratoire-calebasse/image/upload/v1677061319/bohe_45a0b5b81c.jpg</t>
  </si>
  <si>
    <t>sku-XXFBH300</t>
  </si>
  <si>
    <t>XXFBLG100</t>
  </si>
  <si>
    <t>Ban lan gen - 1 Flacon poudre moulue 100g</t>
  </si>
  <si>
    <t>https://calebasse.com/produits/ban-lan-gen-4750?product=6924</t>
  </si>
  <si>
    <t>https://res.cloudinary.com/laboratoire-calebasse/image/upload/v1677058063/banlangen100_50685a93d2.jpg</t>
  </si>
  <si>
    <t>sku-XXFBLG100</t>
  </si>
  <si>
    <t>4750</t>
  </si>
  <si>
    <t>XXFBLG300</t>
  </si>
  <si>
    <t>Ban lan gen - 1 Flacon poudre moulue 300g</t>
  </si>
  <si>
    <t>https://calebasse.com/produits/ban-lan-gen-4750?product=6925</t>
  </si>
  <si>
    <t>https://res.cloudinary.com/laboratoire-calebasse/image/upload/v1677058089/banlangen_107af001b0.jpg</t>
  </si>
  <si>
    <t>sku-XXFBLG300</t>
  </si>
  <si>
    <t>XXFBSY300</t>
  </si>
  <si>
    <t>Bai shao yao - 1 Flacon poudre moulue 300g</t>
  </si>
  <si>
    <t>https://calebasse.com/produits/bai-shao-yao-4769?product=6963</t>
  </si>
  <si>
    <t>https://res.cloudinary.com/laboratoire-calebasse/image/upload/v1677072373/baishaoyao_d305a00c45.jpg</t>
  </si>
  <si>
    <t>sku-XXFBSY300</t>
  </si>
  <si>
    <t>4769</t>
  </si>
  <si>
    <t>XXFCBZ300</t>
  </si>
  <si>
    <t>Chao bai zhu - 1 Flacon poudre moulue 300g</t>
  </si>
  <si>
    <t>https://calebasse.com/produits/chao-bai-zhu-4752?product=6929</t>
  </si>
  <si>
    <t>https://res.cloudinary.com/laboratoire-calebasse/image/upload/v1677060532/chaobaizhu_dcbe0ba65f.jpg</t>
  </si>
  <si>
    <t>sku-XXFCBZ300</t>
  </si>
  <si>
    <t>4752</t>
  </si>
  <si>
    <t>XXFCSY100</t>
  </si>
  <si>
    <t>Chi shao yao - 1 Flacon poudre moulue 100g</t>
  </si>
  <si>
    <t>https://calebasse.com/produits/chi-shao-yao-4780?product=6981</t>
  </si>
  <si>
    <t>https://res.cloudinary.com/laboratoire-calebasse/image/upload/v1677598834/chishaoyao_704b95a488.jpg</t>
  </si>
  <si>
    <t>sku-XXFCSY100</t>
  </si>
  <si>
    <t>4780</t>
  </si>
  <si>
    <t>XXFCSY300</t>
  </si>
  <si>
    <t>Chi shao yao - 1 Flacon poudre moulue 300g</t>
  </si>
  <si>
    <t>https://calebasse.com/produits/chi-shao-yao-4780?product=6980</t>
  </si>
  <si>
    <t>https://res.cloudinary.com/laboratoire-calebasse/image/upload/v1677598806/chishaoyao_1_338cfc682f.jpg</t>
  </si>
  <si>
    <t>sku-XXFCSY300</t>
  </si>
  <si>
    <t>XXFCX100</t>
  </si>
  <si>
    <t>Chuan xiong - 1 Flacon poudre moulue 100g</t>
  </si>
  <si>
    <t>https://calebasse.com/produits/chuan-xiong-4767?product=6958</t>
  </si>
  <si>
    <t>https://res.cloudinary.com/laboratoire-calebasse/image/upload/v1677067161/chuanxiong100_bbe96533d8.jpg</t>
  </si>
  <si>
    <t>sku-XXFCX100</t>
  </si>
  <si>
    <t>4767</t>
  </si>
  <si>
    <t>XXFCX300</t>
  </si>
  <si>
    <t>Chuan xiong - 1 Flacon poudre moulue 300g</t>
  </si>
  <si>
    <t>https://calebasse.com/produits/chuan-xiong-4767?product=6959</t>
  </si>
  <si>
    <t>https://res.cloudinary.com/laboratoire-calebasse/image/upload/v1677067214/chuanxiong_71f9e700f5.jpg</t>
  </si>
  <si>
    <t>sku-XXFCX300</t>
  </si>
  <si>
    <t>XXFDH100</t>
  </si>
  <si>
    <t>Du huo - 1 Flacon poudre moulue 100g</t>
  </si>
  <si>
    <t>https://calebasse.com/produits/du-huo-4764?product=6952</t>
  </si>
  <si>
    <t>https://res.cloudinary.com/laboratoire-calebasse/image/upload/v1677065994/duhuo100_bc54e30d90.jpg</t>
  </si>
  <si>
    <t>sku-XXFDH100</t>
  </si>
  <si>
    <t>4764</t>
  </si>
  <si>
    <t>XXFDH300</t>
  </si>
  <si>
    <t>Du huo - 1 Flacon poudre moulue 300g</t>
  </si>
  <si>
    <t>https://calebasse.com/produits/du-huo-4764?product=6953</t>
  </si>
  <si>
    <t>https://res.cloudinary.com/laboratoire-calebasse/image/upload/v1677066169/duhuo_f6961c4f1b.jpg</t>
  </si>
  <si>
    <t>sku-XXFDH300</t>
  </si>
  <si>
    <t>XXFDZ300</t>
  </si>
  <si>
    <t>Du zhong - 1 Flacon poudre moulue 300g</t>
  </si>
  <si>
    <t>https://calebasse.com/produits/du-zhong-4760?product=6945</t>
  </si>
  <si>
    <t>https://res.cloudinary.com/laboratoire-calebasse/image/upload/v1677064188/duzhong_bf1ba68ccf.jpg</t>
  </si>
  <si>
    <t>sku-XXFDZ300</t>
  </si>
  <si>
    <t>4760</t>
  </si>
  <si>
    <t>XXFFL100</t>
  </si>
  <si>
    <t>Fu ling - 1 Flacon poudre moulue 100g</t>
  </si>
  <si>
    <t>https://calebasse.com/produits/fu-ling-4756?product=6936</t>
  </si>
  <si>
    <t>https://res.cloudinary.com/laboratoire-calebasse/image/upload/v1677061609/fuling100_72a150f60f.jpg</t>
  </si>
  <si>
    <t>sku-XXFFL100</t>
  </si>
  <si>
    <t>4756</t>
  </si>
  <si>
    <t>XXFFL300</t>
  </si>
  <si>
    <t>Fu ling - 1 Flacon poudre moulue 300g</t>
  </si>
  <si>
    <t>https://calebasse.com/produits/fu-ling-4756?product=6937</t>
  </si>
  <si>
    <t>https://res.cloudinary.com/laboratoire-calebasse/image/upload/v1677061781/fuling_9a44cd41d5.jpg</t>
  </si>
  <si>
    <t>sku-XXFFL300</t>
  </si>
  <si>
    <t>XXFGG300</t>
  </si>
  <si>
    <t>Ge gen - 1 Flacon poudre moulue 300g</t>
  </si>
  <si>
    <t>https://calebasse.com/produits/ge-gen-4765?product=6955</t>
  </si>
  <si>
    <t>https://res.cloudinary.com/laboratoire-calebasse/image/upload/v1677066286/gegen_b23f1275f2.jpg</t>
  </si>
  <si>
    <t>sku-XXFGG300</t>
  </si>
  <si>
    <t>4765</t>
  </si>
  <si>
    <t>XXFGLR100</t>
  </si>
  <si>
    <t>Gua lou ren - 1 Flacon poudre moulue 100g</t>
  </si>
  <si>
    <t>https://calebasse.com/produits/gua-lou-ren-4773?product=6970</t>
  </si>
  <si>
    <t>https://res.cloudinary.com/laboratoire-calebasse/image/upload/v1677072675/gualouren100_9e42ec6937.jpg</t>
  </si>
  <si>
    <t>sku-XXFGLR100</t>
  </si>
  <si>
    <t>4773</t>
  </si>
  <si>
    <t>XXFGLR300</t>
  </si>
  <si>
    <t>Gua lou ren - 1 Flacon poudre moulue 300g</t>
  </si>
  <si>
    <t>https://calebasse.com/produits/gua-lou-ren-4773?product=6971</t>
  </si>
  <si>
    <t>https://res.cloudinary.com/laboratoire-calebasse/image/upload/v1677072702/gualouren_eefc5db134.jpg</t>
  </si>
  <si>
    <t>sku-XXFGLR300</t>
  </si>
  <si>
    <t>XXFGZ100</t>
  </si>
  <si>
    <t>Gui zhi - 1 Flacon poudre moulue 100g</t>
  </si>
  <si>
    <t>https://calebasse.com/produits/gui-zhi-4768?product=6960</t>
  </si>
  <si>
    <t>https://res.cloudinary.com/laboratoire-calebasse/image/upload/v1677072265/guizhi100_4679f443c8.jpg</t>
  </si>
  <si>
    <t>sku-XXFGZ100</t>
  </si>
  <si>
    <t>4768</t>
  </si>
  <si>
    <t>XXFGZ300</t>
  </si>
  <si>
    <t>Gui zhi - 1 Flacon poudre moulue 300g</t>
  </si>
  <si>
    <t>https://calebasse.com/produits/gui-zhi-4768?product=6961</t>
  </si>
  <si>
    <t>https://res.cloudinary.com/laboratoire-calebasse/image/upload/v1677072301/guizhi_4a7172536a.jpg</t>
  </si>
  <si>
    <t>sku-XXFGZ300</t>
  </si>
  <si>
    <t>XXFHFS100</t>
  </si>
  <si>
    <t>Hai fu shi - 1 Flacon poudre moulue 100g</t>
  </si>
  <si>
    <t>https://calebasse.com/produits/hai-fu-shi-4749?product=6922</t>
  </si>
  <si>
    <t>https://res.cloudinary.com/laboratoire-calebasse/image/upload/v1677079115/haifushi100_a89707f1fc.jpg</t>
  </si>
  <si>
    <t>sku-XXFHFS100</t>
  </si>
  <si>
    <t>4749</t>
  </si>
  <si>
    <t>XXFHFS300</t>
  </si>
  <si>
    <t>Hai fu shi - 1 Flacon poudre moulue 300g</t>
  </si>
  <si>
    <t>https://calebasse.com/produits/hai-fu-shi-4749?product=6923</t>
  </si>
  <si>
    <t>https://res.cloudinary.com/laboratoire-calebasse/image/upload/v1677057730/haifushi_a76b5b3fc5.jpg</t>
  </si>
  <si>
    <t>sku-XXFHFS300</t>
  </si>
  <si>
    <t>XXFHH100</t>
  </si>
  <si>
    <t>Hong hua - 1 Flacon poudre moulue 100g</t>
  </si>
  <si>
    <t>https://calebasse.com/produits/hong-hua-4781?product=6982</t>
  </si>
  <si>
    <t>https://res.cloudinary.com/laboratoire-calebasse/image/upload/v1677599932/honghua_55e48794b1.jpg</t>
  </si>
  <si>
    <t>sku-XXFHH100</t>
  </si>
  <si>
    <t>4781</t>
  </si>
  <si>
    <t>XXFHH300</t>
  </si>
  <si>
    <t>Hong hua - 1 Flacon poudre moulue 300g</t>
  </si>
  <si>
    <t>https://calebasse.com/produits/hong-hua-4781?product=6983</t>
  </si>
  <si>
    <t>https://res.cloudinary.com/laboratoire-calebasse/image/upload/v1677599961/honghua_1_02cd26fc13.jpg</t>
  </si>
  <si>
    <t>sku-XXFHH300</t>
  </si>
  <si>
    <t>XXFHP100</t>
  </si>
  <si>
    <t>Hou po - 1 Flacon poudre moulue 100g</t>
  </si>
  <si>
    <t>https://calebasse.com/produits/hou-pu-4751?product=6926</t>
  </si>
  <si>
    <t>https://res.cloudinary.com/laboratoire-calebasse/image/upload/v1677060127/houpu100_fc69a932f3.jpg</t>
  </si>
  <si>
    <t>sku-XXFHP100</t>
  </si>
  <si>
    <t>4751</t>
  </si>
  <si>
    <t>XXFHP300</t>
  </si>
  <si>
    <t>Hou po - 1 Flacon poudre moulue 300g</t>
  </si>
  <si>
    <t>https://calebasse.com/produits/hou-pu-4751?product=6927</t>
  </si>
  <si>
    <t>https://res.cloudinary.com/laboratoire-calebasse/image/upload/v1677060227/houpu_2747a50852.jpg</t>
  </si>
  <si>
    <t>sku-XXFHP300</t>
  </si>
  <si>
    <t>XXFHPX100</t>
  </si>
  <si>
    <t>Hai piao xiao - 1 Flacon poudre moulue 100g</t>
  </si>
  <si>
    <t>https://calebasse.com/produits/hai-piao-xiao-4755?product=6934</t>
  </si>
  <si>
    <t>https://res.cloudinary.com/laboratoire-calebasse/image/upload/v1677079174/haipiaoxiao_2fa3ae45bf.jpg</t>
  </si>
  <si>
    <t>sku-XXFHPX100</t>
  </si>
  <si>
    <t>4755</t>
  </si>
  <si>
    <t>XXFHPX300</t>
  </si>
  <si>
    <t>Hai piao xiao - 1 Flacon poudre moulue 300g</t>
  </si>
  <si>
    <t>https://calebasse.com/produits/hai-piao-xiao-4755?product=6935</t>
  </si>
  <si>
    <t>https://res.cloudinary.com/laboratoire-calebasse/image/upload/v1677061500/haipiaoxiao_b7a78bfdc0.jpg</t>
  </si>
  <si>
    <t>sku-XXFHPX300</t>
  </si>
  <si>
    <t>XXFHQ100</t>
  </si>
  <si>
    <t>Huang qi - 1 Flacon poudre moulue 100g</t>
  </si>
  <si>
    <t>https://calebasse.com/produits/huang-qi-4759?product=6942</t>
  </si>
  <si>
    <t>https://res.cloudinary.com/laboratoire-calebasse/image/upload/v1677079279/huangqi_6ad61cc1bf.jpg</t>
  </si>
  <si>
    <t>sku-XXFHQ100</t>
  </si>
  <si>
    <t>4759</t>
  </si>
  <si>
    <t>XXFHQ300</t>
  </si>
  <si>
    <t>Huang qi - 1 Flacon poudre moulue 300g</t>
  </si>
  <si>
    <t>https://calebasse.com/produits/huang-qi-4759?product=6943</t>
  </si>
  <si>
    <t>https://res.cloudinary.com/laboratoire-calebasse/image/upload/v1677063901/huangqi_9d4d44864a.jpg</t>
  </si>
  <si>
    <t>sku-XXFHQ300</t>
  </si>
  <si>
    <t>XXFJG100</t>
  </si>
  <si>
    <t>Jie geng - 1 Flacon poudre moulue 100g</t>
  </si>
  <si>
    <t>https://calebasse.com/produits/jie-geng-4744?product=6912</t>
  </si>
  <si>
    <t>https://res.cloudinary.com/laboratoire-calebasse/image/upload/v1677079342/jiegeng100_699f7f4e9e.jpg</t>
  </si>
  <si>
    <t>sku-XXFJG100</t>
  </si>
  <si>
    <t>4744</t>
  </si>
  <si>
    <t>XXFJG300</t>
  </si>
  <si>
    <t>Jie geng - 1 Flacon poudre moulue 300g</t>
  </si>
  <si>
    <t>https://calebasse.com/produits/jie-geng-4744?product=6913</t>
  </si>
  <si>
    <t>https://res.cloudinary.com/laboratoire-calebasse/image/upload/v1677056326/jiegeng_7cd1d5137a.jpg</t>
  </si>
  <si>
    <t>sku-XXFJG300</t>
  </si>
  <si>
    <t>XXFJSX100</t>
  </si>
  <si>
    <t>Jiao san xian - 1 Flacon poudre moulue 100g</t>
  </si>
  <si>
    <t>https://calebasse.com/produits/jiao-san-xian-4762?product=6948</t>
  </si>
  <si>
    <t>https://res.cloudinary.com/laboratoire-calebasse/image/upload/v1677079314/jiaosanxian100_9245bd0006.jpg</t>
  </si>
  <si>
    <t>sku-XXFJSX100</t>
  </si>
  <si>
    <t>4762</t>
  </si>
  <si>
    <t>XXFJSX300</t>
  </si>
  <si>
    <t>Jiao san xian - 1 Flacon poudre moulue 300g</t>
  </si>
  <si>
    <t>https://calebasse.com/produits/jiao-san-xian-4762?product=6949</t>
  </si>
  <si>
    <t>https://res.cloudinary.com/laboratoire-calebasse/image/upload/v1677064394/jiaosanxian_5f8d8c66f9.jpg</t>
  </si>
  <si>
    <t>sku-XXFJSX300</t>
  </si>
  <si>
    <t>XXFLQ100</t>
  </si>
  <si>
    <t>Lian qiao - 1 Flacon poudre moulue 100g</t>
  </si>
  <si>
    <t>https://calebasse.com/produits/lian-qiao-4774?product=6972</t>
  </si>
  <si>
    <t>https://res.cloudinary.com/laboratoire-calebasse/image/upload/v1677072730/lianqiao_3255c3b677.jpg</t>
  </si>
  <si>
    <t>sku-XXFLQ100</t>
  </si>
  <si>
    <t>4774</t>
  </si>
  <si>
    <t>XXFLQ300</t>
  </si>
  <si>
    <t>Lian qiao - 1 Flacon poudre moulue 300g</t>
  </si>
  <si>
    <t>https://calebasse.com/produits/lian-qiao-4774?product=6973</t>
  </si>
  <si>
    <t>https://res.cloudinary.com/laboratoire-calebasse/image/upload/v1677072874/lianqiao_cd1047c4d6.jpg</t>
  </si>
  <si>
    <t>sku-XXFLQ300</t>
  </si>
  <si>
    <t>XXFMYS100</t>
  </si>
  <si>
    <t>Mai ya sheng - 1 Flacon poudre moulue 100g</t>
  </si>
  <si>
    <t>https://calebasse.com/produits/mai-ya-sheng-4753?product=6930</t>
  </si>
  <si>
    <t>https://res.cloudinary.com/laboratoire-calebasse/image/upload/v1677079366/maiyashen100_f7da3a84de.jpg</t>
  </si>
  <si>
    <t>sku-XXFMYS100</t>
  </si>
  <si>
    <t>4753</t>
  </si>
  <si>
    <t>XXFMYS300</t>
  </si>
  <si>
    <t>Mai ya sheng - 1 Flacon poudre moulue 300g</t>
  </si>
  <si>
    <t>https://calebasse.com/produits/mai-ya-sheng-4753?product=6931</t>
  </si>
  <si>
    <t>https://res.cloudinary.com/laboratoire-calebasse/image/upload/v1677060740/shengmaiya_477446cc00.jpg</t>
  </si>
  <si>
    <t>sku-XXFMYS300</t>
  </si>
  <si>
    <t>XXFPGY100</t>
  </si>
  <si>
    <t>Pu gong ying - 1 Flacon poudre moulue 100g</t>
  </si>
  <si>
    <t>https://calebasse.com/produits/pu-gong-ying-4758?product=6940</t>
  </si>
  <si>
    <t>https://res.cloudinary.com/laboratoire-calebasse/image/upload/v1677063167/pugongying100_fb36592626.jpg</t>
  </si>
  <si>
    <t>sku-XXFPGY100</t>
  </si>
  <si>
    <t>4758</t>
  </si>
  <si>
    <t>XXFPGY300</t>
  </si>
  <si>
    <t>Pu gong ying - 1 Flacon poudre moulue 300g</t>
  </si>
  <si>
    <t>https://calebasse.com/produits/pu-gong-ying-4758?product=6941</t>
  </si>
  <si>
    <t>https://res.cloudinary.com/laboratoire-calebasse/image/upload/v1677063338/pugongying_2242450eb5.jpg</t>
  </si>
  <si>
    <t>sku-XXFPGY300</t>
  </si>
  <si>
    <t>XXFPL100</t>
  </si>
  <si>
    <t>Pei lan - 1 Flacon poudre moulue 100g</t>
  </si>
  <si>
    <t>https://calebasse.com/produits/pei-lan-4770?product=6964</t>
  </si>
  <si>
    <t>https://res.cloudinary.com/laboratoire-calebasse/image/upload/v1677079386/peilan_f4161b6a61.jpg</t>
  </si>
  <si>
    <t>sku-XXFPL100</t>
  </si>
  <si>
    <t>4770</t>
  </si>
  <si>
    <t>XXFPL300</t>
  </si>
  <si>
    <t>Pei lan - 1 Flacon poudre moulue 300g</t>
  </si>
  <si>
    <t>https://calebasse.com/produits/pei-lan-4770?product=6965</t>
  </si>
  <si>
    <t>https://res.cloudinary.com/laboratoire-calebasse/image/upload/v1677072476/peilan_a868e74403.jpg</t>
  </si>
  <si>
    <t>sku-XXFPL300</t>
  </si>
  <si>
    <t>XXFQH100</t>
  </si>
  <si>
    <t>Qiang huo - 1 Flacon poudre moulue 100g</t>
  </si>
  <si>
    <t>https://calebasse.com/produits/qiang-huo-4757?product=6938</t>
  </si>
  <si>
    <t>https://res.cloudinary.com/laboratoire-calebasse/image/upload/v1677079420/qianghuo100_cb824c6b9d.jpg</t>
  </si>
  <si>
    <t>sku-XXFQH100</t>
  </si>
  <si>
    <t>4757</t>
  </si>
  <si>
    <t>XXFQH300</t>
  </si>
  <si>
    <t>Qiang huo - 1 Flacon poudre moulue 300g</t>
  </si>
  <si>
    <t>https://calebasse.com/produits/qiang-huo-4757?product=6939</t>
  </si>
  <si>
    <t>https://res.cloudinary.com/laboratoire-calebasse/image/upload/v1677063083/qianghuo_a9d3ec08fd.jpg</t>
  </si>
  <si>
    <t>sku-XXFQH300</t>
  </si>
  <si>
    <t>XXFQHAO</t>
  </si>
  <si>
    <t>Armoise chinoise - Qing Hao - 1 Flacon poudre moulue 100g</t>
  </si>
  <si>
    <t>https://calebasse.com/produits/qing-hao-20240717?product=7334</t>
  </si>
  <si>
    <t>https://res.cloudinary.com/laboratoire-calebasse/image/upload/v1725742759/Qing_hao_moulu_100g_e92223867f.jpg</t>
  </si>
  <si>
    <t>sku-XXFQHAO</t>
  </si>
  <si>
    <t>5095</t>
  </si>
  <si>
    <t>XXFRG100</t>
  </si>
  <si>
    <t>Rou gui - 1 Flacon poudre moulue 100g</t>
  </si>
  <si>
    <t>Réservé aux professionnels uniquement.</t>
  </si>
  <si>
    <t>https://calebasse.com/produits/rou-gui-4779?product=6978</t>
  </si>
  <si>
    <t>https://res.cloudinary.com/laboratoire-calebasse/image/upload/v1677598722/rougui_10be31c41d.jpg</t>
  </si>
  <si>
    <t>sku-XXFRG100</t>
  </si>
  <si>
    <t>4779</t>
  </si>
  <si>
    <t>XXFRG300</t>
  </si>
  <si>
    <t>Rou gui - 1 Flacon poudre moulue 300g</t>
  </si>
  <si>
    <t>https://calebasse.com/produits/rou-gui-4779?product=6979</t>
  </si>
  <si>
    <t>https://res.cloudinary.com/laboratoire-calebasse/image/upload/v1677598756/rougui_1_5655b15883.jpg</t>
  </si>
  <si>
    <t>sku-XXFRG300</t>
  </si>
  <si>
    <t>XXFSBZ300</t>
  </si>
  <si>
    <t>Bai Zhu Sheng - 1 Flacon poudre moulue 300g</t>
  </si>
  <si>
    <t>https://calebasse.com/produits/bai-zhu-sheng-4782?product=6984</t>
  </si>
  <si>
    <t>https://res.cloudinary.com/laboratoire-calebasse/image/upload/v1677600037/shengbaizhu_1_f5bf394779.jpg</t>
  </si>
  <si>
    <t>sku-XXFSBZ300</t>
  </si>
  <si>
    <t>4782</t>
  </si>
  <si>
    <t>XXFSCP100</t>
  </si>
  <si>
    <t>Shi chang pu - 1 Flacon poudre moulue 100g</t>
  </si>
  <si>
    <t>https://calebasse.com/produits/shi-chang-pu-4745?product=6914</t>
  </si>
  <si>
    <t>https://res.cloudinary.com/laboratoire-calebasse/image/upload/v1677079443/shichangpu100_1842ccb111.jpg</t>
  </si>
  <si>
    <t>sku-XXFSCP100</t>
  </si>
  <si>
    <t>4745</t>
  </si>
  <si>
    <t>XXFSCP300</t>
  </si>
  <si>
    <t>Shi chang pu - 1 Flacon poudre moulue 300g</t>
  </si>
  <si>
    <t>https://calebasse.com/produits/shi-chang-pu-4745?product=6915</t>
  </si>
  <si>
    <t>https://res.cloudinary.com/laboratoire-calebasse/image/upload/v1677056709/shichangpu_674a8bf2e5.jpg</t>
  </si>
  <si>
    <t>sku-XXFSCP300</t>
  </si>
  <si>
    <t>XXFWWZ100</t>
  </si>
  <si>
    <t>Wu wei zi - 1 Flacon poudre moulue 100g</t>
  </si>
  <si>
    <t>https://calebasse.com/produits/wu-wei-zi-4763?product=6950</t>
  </si>
  <si>
    <t>https://res.cloudinary.com/laboratoire-calebasse/image/upload/v1677079471/wuweizi100_31ba48f5e8.jpg</t>
  </si>
  <si>
    <t>sku-XXFWWZ100</t>
  </si>
  <si>
    <t>4763</t>
  </si>
  <si>
    <t>XXFWWZ300</t>
  </si>
  <si>
    <t>Wu wei zi - 1 Flacon poudre moulue 300g</t>
  </si>
  <si>
    <t>https://calebasse.com/produits/wu-wei-zi-4763?product=6951</t>
  </si>
  <si>
    <t>https://res.cloudinary.com/laboratoire-calebasse/image/upload/v1677064474/wuweizi_c5487fa584.jpg</t>
  </si>
  <si>
    <t>sku-XXFWWZ300</t>
  </si>
  <si>
    <t>XXFXF100</t>
  </si>
  <si>
    <t>Xiang fu - 1 Flacon poudre moulue 100g</t>
  </si>
  <si>
    <t>https://calebasse.com/produits/xiang-fu-4743?product=6910</t>
  </si>
  <si>
    <t>https://res.cloudinary.com/laboratoire-calebasse/image/upload/v1677079491/xiangfu_8e477d9eb7.jpg</t>
  </si>
  <si>
    <t>sku-XXFXF100</t>
  </si>
  <si>
    <t>4743</t>
  </si>
  <si>
    <t>XXFXF300</t>
  </si>
  <si>
    <t>Xiang fu - 1 Flacon poudre moulue 300g</t>
  </si>
  <si>
    <t>https://calebasse.com/produits/xiang-fu-4743?product=6911</t>
  </si>
  <si>
    <t>https://res.cloudinary.com/laboratoire-calebasse/image/upload/v1677056024/xiangfu_e2bbdfc7a6.jpg</t>
  </si>
  <si>
    <t>sku-XXFXF300</t>
  </si>
  <si>
    <t>XXFYJT100</t>
  </si>
  <si>
    <t>Ye jiao teng - 1 Flacon poudre moulue 100g</t>
  </si>
  <si>
    <t>https://calebasse.com/produits/ye-jiao-teng-4748?product=6920</t>
  </si>
  <si>
    <t>https://res.cloudinary.com/laboratoire-calebasse/image/upload/v1677079520/yejiaoteng100_b7d47ef86d.jpg</t>
  </si>
  <si>
    <t>sku-XXFYJT100</t>
  </si>
  <si>
    <t>4748</t>
  </si>
  <si>
    <t>XXFYJT300</t>
  </si>
  <si>
    <t>Ye jiao teng - 1 Flacon poudre moulue 300g</t>
  </si>
  <si>
    <t>https://calebasse.com/produits/ye-jiao-teng-4748?product=6921</t>
  </si>
  <si>
    <t>https://res.cloudinary.com/laboratoire-calebasse/image/upload/v1677057613/yejiaoteng_d596ccc2b9.jpg</t>
  </si>
  <si>
    <t>sku-XXFYJT300</t>
  </si>
  <si>
    <t>XXFYMC100</t>
  </si>
  <si>
    <t>Yi mu cao - 1 Flacon poudre moulue 100g</t>
  </si>
  <si>
    <t>https://calebasse.com/produits/yi-mu-cao-4771?product=6966</t>
  </si>
  <si>
    <t>https://res.cloudinary.com/laboratoire-calebasse/image/upload/v1677166582/yimucao100_fda58ff397.jpg</t>
  </si>
  <si>
    <t>sku-XXFYMC100</t>
  </si>
  <si>
    <t>4771</t>
  </si>
  <si>
    <t>XXFYMC300</t>
  </si>
  <si>
    <t>Yi mu cao - 1 Flacon poudre moulue 300g</t>
  </si>
  <si>
    <t>https://calebasse.com/produits/yi-mu-cao-4771?product=6967</t>
  </si>
  <si>
    <t>https://res.cloudinary.com/laboratoire-calebasse/image/upload/v1677166868/yimucao_3643ecc143.jpg</t>
  </si>
  <si>
    <t>sku-XXFYMC300</t>
  </si>
  <si>
    <t>XXFZBM100</t>
  </si>
  <si>
    <t>Zhe bei mu - 1 Flacon poudre moulue 100g</t>
  </si>
  <si>
    <t>https://calebasse.com/produits/zhe-bei-mu-4746?product=6916</t>
  </si>
  <si>
    <t>https://res.cloudinary.com/laboratoire-calebasse/image/upload/v1677079570/zhebeimu_9ec7b6d3d3.jpg</t>
  </si>
  <si>
    <t>sku-XXFZBM100</t>
  </si>
  <si>
    <t>4746</t>
  </si>
  <si>
    <t>XXFZBM300</t>
  </si>
  <si>
    <t>Zhe bei mu - 1 Flacon poudre moulue 300g</t>
  </si>
  <si>
    <t>https://calebasse.com/produits/zhe-bei-mu-4746?product=6917</t>
  </si>
  <si>
    <t>https://res.cloudinary.com/laboratoire-calebasse/image/upload/v1677057036/zhebeimu_4066de842f.jpg</t>
  </si>
  <si>
    <t>sku-XXFZBM300</t>
  </si>
  <si>
    <t>XXFZM100</t>
  </si>
  <si>
    <t>Zhi mu - 1 Flacon poudre moulue 100g</t>
  </si>
  <si>
    <t>https://calebasse.com/produits/zhi-mu-4766?product=6956</t>
  </si>
  <si>
    <t>https://res.cloudinary.com/laboratoire-calebasse/image/upload/v1677079590/zhimu100_fba4b5b6ea.jpg</t>
  </si>
  <si>
    <t>sku-XXFZM100</t>
  </si>
  <si>
    <t>4766</t>
  </si>
  <si>
    <t>XXFZM300</t>
  </si>
  <si>
    <t>Zhi mu - 1 Flacon poudre moulue 300g</t>
  </si>
  <si>
    <t>https://calebasse.com/produits/zhi-mu-4766?product=6957</t>
  </si>
  <si>
    <t>https://res.cloudinary.com/laboratoire-calebasse/image/upload/v1677067105/zhimu_110be348b9.jpg</t>
  </si>
  <si>
    <t>sku-XXFZM300</t>
  </si>
  <si>
    <t>XXFZSY100</t>
  </si>
  <si>
    <t>Zi shi ying - 1 Flacon poudre moulue 100g</t>
  </si>
  <si>
    <t>https://calebasse.com/produits/zi-shi-ying-4761?product=6946</t>
  </si>
  <si>
    <t>https://res.cloudinary.com/laboratoire-calebasse/image/upload/v1677079613/zishiying100_9a2d68ff59.jpg</t>
  </si>
  <si>
    <t>sku-XXFZSY100</t>
  </si>
  <si>
    <t>4761</t>
  </si>
  <si>
    <t>XXFZSY300</t>
  </si>
  <si>
    <t>Zi shi ying - 1 Flacon poudre moulue 300g</t>
  </si>
  <si>
    <t>https://calebasse.com/produits/zi-shi-ying-4761?product=6947</t>
  </si>
  <si>
    <t>https://res.cloudinary.com/laboratoire-calebasse/image/upload/v1677064247/zishiying_60c1fe568a.jpg</t>
  </si>
  <si>
    <t>sku-XXFZSY300</t>
  </si>
  <si>
    <t>XYS</t>
  </si>
  <si>
    <t>Racine de Ginseng américain - Xi yang shen - 1 Flacon plante 50g</t>
  </si>
  <si>
    <t>Pour retrouver la forme. Ses principaux bienfaits : tonifie le qi, donne du tonus à l'organisme, libère les voies respiratoires</t>
  </si>
  <si>
    <t>https://calebasse.com/produits/xi-yang-shen-racine-de-ginseng-americain-4690?product=6825</t>
  </si>
  <si>
    <t>https://res.cloudinary.com/laboratoire-calebasse/image/upload/v1754487813/xi_yang_shen_04e6ee7b4e.jpg</t>
  </si>
  <si>
    <t>sku-XYS</t>
  </si>
  <si>
    <t>4690</t>
  </si>
  <si>
    <t>ADGCP</t>
  </si>
  <si>
    <t>Angélique chinoise racines - Dang gui - 1 flacon de poudre concentrée - 100g</t>
  </si>
  <si>
    <t>Pour retrouver le confort après le cycle. Ses principaux bienfaits : favorise l’équilibre féminin, contribue à la récupération après les règles, réduit la fatigue</t>
  </si>
  <si>
    <t>https://calebasse.com/produits/dang-gui-angelique-chinoise-3756?product=4119</t>
  </si>
  <si>
    <t>https://res.cloudinary.com/laboratoire-calebasse/image/upload/v1760543199/ANGELIQUE_CHINOISE_ADGCP_892e38d364.jpg</t>
  </si>
  <si>
    <t>3665346228838</t>
  </si>
  <si>
    <t>3756</t>
  </si>
  <si>
    <t>ADGGL</t>
  </si>
  <si>
    <t>Angélique chinoise racines - Dang gui - 1 flacon de 100 gélules - 50g</t>
  </si>
  <si>
    <t>https://calebasse.com/produits/dang-gui-angelique-chinoise-3756?product=4118</t>
  </si>
  <si>
    <t>https://res.cloudinary.com/laboratoire-calebasse/image/upload/v1760543219/ANGELIQUE_CHINOISE_ADGGL_5add95f0fc.jpg</t>
  </si>
  <si>
    <t>3665346228852</t>
  </si>
  <si>
    <t>AGHX2</t>
  </si>
  <si>
    <t>Osmanthus - Gui Hua - 2 Petits Sachets plantes 50g</t>
  </si>
  <si>
    <t>https://calebasse.com/produits/gui-hua-olivier-odorant-3794?product=7539</t>
  </si>
  <si>
    <t>https://res.cloudinary.com/laboratoire-calebasse/image/upload/v1756368437/Bundle_AGHX_2_69f95d0d6f.jpg</t>
  </si>
  <si>
    <t>AGQZ+BASC+D083</t>
  </si>
  <si>
    <t>Kit Essentiels Quotidiens - Vitalité, Clarté &amp; Sommeil - 1 Kit Essentiels Quotidiens - Vitalité, Clarté &amp; Sommeil (rouge)</t>
  </si>
  <si>
    <t>L’essentiel à intégrer dans votre routine quotidienne pour rester en forme et équilibré tout au long de l’année. Ses principaux bienfaits : plus d’énergie, moins de stress, anti-fatigue en renforçant le qi, renforce les défenses naturelles, améliore la concentration et la clarté mentale</t>
  </si>
  <si>
    <t>https://calebasse.com/produits/kit-essentiels-back-to-work-5209?product=7631</t>
  </si>
  <si>
    <t>https://res.cloudinary.com/laboratoire-calebasse/image/upload/v1763386159/Kit_Essentiels_Quotidiens_Vitalite_Clarte_and_Sommeil_2_8c5a6d1dc6.jpg</t>
  </si>
  <si>
    <t>5209</t>
  </si>
  <si>
    <t>AHHUAX2</t>
  </si>
  <si>
    <t>Fleurs de Carthame - Hong hua - 2 Petits Sachets plantes de 50g</t>
  </si>
  <si>
    <t>https://calebasse.com/produits/hong-hua-fleurs-de-carthame-3836?product=7629</t>
  </si>
  <si>
    <t>https://res.cloudinary.com/laboratoire-calebasse/image/upload/v1763029373/_0b67758dea.jpg</t>
  </si>
  <si>
    <t>ALZXX3</t>
  </si>
  <si>
    <t>Germes de lotus - Lian zi xin - 3 Flacons plante de 50g</t>
  </si>
  <si>
    <t>https://calebasse.com/produits/lian-zi-xin-germes-de-lotus-3854?product=4441</t>
  </si>
  <si>
    <t>https://res.cloudinary.com/laboratoire-calebasse/image/upload/v1763028707/_5ffd406554.jpg</t>
  </si>
  <si>
    <t>AMGH+AJGL</t>
  </si>
  <si>
    <t>Boutons de Rose - Douceur, légèreté &amp; circulation intérieure - Mei gui hua - Bundle : 1 sachet de boutons de Rose et 1 sachet d'herbe de l'immortalité</t>
  </si>
  <si>
    <t>https://calebasse.com/produits/mei-gui-hua-boutons-de-rose-3872?product=7667</t>
  </si>
  <si>
    <t>https://res.cloudinary.com/laboratoire-calebasse/image/upload/v1771930825/AMGH_AJGL_5a1bc06846.jpg</t>
  </si>
  <si>
    <t>AQSMYZX2</t>
  </si>
  <si>
    <t>Gruau aux Jujubes et Lys - Qu shi mei yan zhou - 2 Sachets plantes 100g</t>
  </si>
  <si>
    <t>https://calebasse.com/produits/qu-shi-mei-yan-zhou-gruau-aux-jujubes-et-lys-4692?product=7659</t>
  </si>
  <si>
    <t>https://res.cloudinary.com/laboratoire-calebasse/image/upload/v1768904357/AQSMYZX_2_3a3bc99dbb.jpg</t>
  </si>
  <si>
    <t>ASGSYZX3</t>
  </si>
  <si>
    <t>Gruau au trio de champignon - 3 Petits Sachets plantes 100g</t>
  </si>
  <si>
    <t>Ses principaux bienfaits : stimule la circulation sanguine, soutient les défenses naturelles, donne du tonus à l'organisme, stimule la mémoire et les capacités intellectuelles Ses principaux bienfaits : stimule la circulation sanguine, soutient les défenses naturelles, donne du tonus à l'organisme, stimule la mémoire et les capacités intellectuelles</t>
  </si>
  <si>
    <t>https://calebasse.com/produits/gruau-au-trio-de-champignon-4532?product=7616</t>
  </si>
  <si>
    <t>https://res.cloudinary.com/laboratoire-calebasse/image/upload/v1762425084/_4fbcd3e272.jpg</t>
  </si>
  <si>
    <t>ASYCP</t>
  </si>
  <si>
    <t>Igname - Shan yao - 1 flacon de poudre concentrée - 100g</t>
  </si>
  <si>
    <t>https://calebasse.com/produits/shan-yao-igname-3913?product=4666</t>
  </si>
  <si>
    <t>https://res.cloudinary.com/laboratoire-calebasse/image/upload/v1704448190/A_shanyao_CP_5634d8189e.jpg</t>
  </si>
  <si>
    <t>3665346229033</t>
  </si>
  <si>
    <t>BXSCX4</t>
  </si>
  <si>
    <t>Tisane digestive détox - Xiao shi cha - 4 Sachets plantes de 100g</t>
  </si>
  <si>
    <t>https://calebasse.com/produits/xiao-shi-cha-tisane-digestive-detox-5091?product=7622</t>
  </si>
  <si>
    <t>https://res.cloudinary.com/laboratoire-calebasse/image/upload/v1763024975/_92630dfdf5.jpg</t>
  </si>
  <si>
    <t>CBYPX2</t>
  </si>
  <si>
    <t>Formule Respiration - Bi yan pian - 2 flacons de 100 gélules - 100g</t>
  </si>
  <si>
    <t>https://calebasse.com/produits/bi-yan-pian-4022?product=7455</t>
  </si>
  <si>
    <t>https://res.cloudinary.com/laboratoire-calebasse/image/upload/v1742827638/respiration_x_2_720_ae9c747f50.jpg</t>
  </si>
  <si>
    <t>COF-28ANS-1</t>
  </si>
  <si>
    <t>Kits - Saveurs &amp; Vitalité du quotidien - Kit Féminin</t>
  </si>
  <si>
    <t>Un concentré de bien-être pour traverser chaque saison en pleine forme. Ses principaux bienfaits : apporte vitalité et bonne humeur, soutient la digestion et l’équilibre interne, nourrit le sang et hydrate naturellement, offre un plaisir sain et réconfortant chaque jour</t>
  </si>
  <si>
    <t>https://calebasse.com/produits/surprise-du-jour-28-anniversaire-calebasse-5222?product=7600</t>
  </si>
  <si>
    <t>https://res.cloudinary.com/laboratoire-calebasse/image/upload/v1760371472/kit_feminin_1_e3a1fab98d.jpg</t>
  </si>
  <si>
    <t>5222</t>
  </si>
  <si>
    <t>COF-28ANS-2</t>
  </si>
  <si>
    <t>Kits - Saveurs &amp; Vitalité du quotidien - Kit Anti-fatigue</t>
  </si>
  <si>
    <t>https://calebasse.com/produits/surprise-du-jour-28-anniversaire-calebasse-5222?product=7602</t>
  </si>
  <si>
    <t>https://res.cloudinary.com/laboratoire-calebasse/image/upload/v1760536291/pack_produit_3_039910894b.jpg</t>
  </si>
  <si>
    <t>COF-28ANS-3</t>
  </si>
  <si>
    <t>Kits - Saveurs &amp; Vitalité du quotidien - Kit Gourmand</t>
  </si>
  <si>
    <t>https://calebasse.com/produits/surprise-du-jour-28-anniversaire-calebasse-5222?product=7603</t>
  </si>
  <si>
    <t>https://res.cloudinary.com/laboratoire-calebasse/image/upload/v1760536614/pack_produit_2_42776ce94c.jpg</t>
  </si>
  <si>
    <t>COF-ESG</t>
  </si>
  <si>
    <t>Coffret Épure Detox - SuperGreen - 1 Coffret Épure Detox après les fêtes - SuperGreen</t>
  </si>
  <si>
    <t>Épure Detox - SuperGreen invite le vert dans votre quotidien : Fraîche, directe, minérale — elle réveille, rééquilibre et redonne de l’élan, un rituel simple pour repartir sur de bonnes bases. Ses principaux bienfaits : effet alcalinisant et détox doux, facilite la digestion et allège l’estomac, antioxydant et anti-fatigue, contribue à équilibrer le sucre</t>
  </si>
  <si>
    <t>https://calebasse.com/produits/coffret-de-noel-esprit-supergreen-5236?product=7647</t>
  </si>
  <si>
    <t>https://res.cloudinary.com/laboratoire-calebasse/image/upload/v1765374130/1_2_45289c36d9.jpg</t>
  </si>
  <si>
    <t>https://res.cloudinary.com/laboratoire-calebasse/image/upload/v1765372521/2_30cb808644.jpg; https://res.cloudinary.com/laboratoire-calebasse/image/upload/v1765374098/3_a0a3a0adab.jpg; https://res.cloudinary.com/laboratoire-calebasse/image/upload/v1765372382/4_e04e47eb4f.jpg; https://res.cloudinary.com/laboratoire-calebasse/image/upload/v1765372382/5_88252e2077.jpg</t>
  </si>
  <si>
    <t>5236</t>
  </si>
  <si>
    <t>COF-ESGX2</t>
  </si>
  <si>
    <t>Coffret Épure Detox - SuperGreen - 2 Coffrets Épure Detox après les fêtes - SuperGreen</t>
  </si>
  <si>
    <t>https://calebasse.com/produits/coffret-de-noel-esprit-supergreen-5236?product=7648</t>
  </si>
  <si>
    <t>COF-PRINTEMPS</t>
  </si>
  <si>
    <t>Coffret Éveil du Printemps - 1 Coffret Éveil du Printemps - Confort respiratoire</t>
  </si>
  <si>
    <t>L’essentiel printemps pour laisser l’hiver derrière soi, alléger le corps et accueillir le renouveau avec plus de souffle, d’élan et de clarté. Ses principaux bienfaits : allège le corps après l’hiver, soutient la respiration saisonnière, aide à remettre l’énergie en mouvement, accompagne le renouveau du printemps, spécialement pensé pour retrouver plus de vitalité</t>
  </si>
  <si>
    <t>https://calebasse.com/produits/coffret-eveil-du-printemps-souffle-legerete-and-renouveau-5252?product=7675</t>
  </si>
  <si>
    <t>https://res.cloudinary.com/laboratoire-calebasse/image/upload/v1773334442/Printemps_produits_B_fond_blanc_e188f89392.jpg</t>
  </si>
  <si>
    <t>https://res.cloudinary.com/laboratoire-calebasse/image/upload/v1773412283/vitalite_d78e25bc70.jpg; https://res.cloudinary.com/laboratoire-calebasse/image/upload/v1773225472/COFFRET_EVEIL_DU_PRINTEMPS_1_84f6095bd0.jpg</t>
  </si>
  <si>
    <t>5252</t>
  </si>
  <si>
    <t>COF-PRINTEMPS2</t>
  </si>
  <si>
    <t>Coffret Éveil du Printemps - 1 Coffret Éveil du Printemps - Vitalité</t>
  </si>
  <si>
    <t>https://calebasse.com/produits/coffret-eveil-du-printemps-souffle-legerete-and-renouveau-5252?product=7676</t>
  </si>
  <si>
    <t>https://res.cloudinary.com/laboratoire-calebasse/image/upload/v1773334457/Printemps_produits_A_fond_blanc_d3a3d4f04e.jpg</t>
  </si>
  <si>
    <t>COF-VECX2</t>
  </si>
  <si>
    <t>Coffret Voyage en Chine - Rituel &amp; Tradition - 2 Coffrets Voyage en Chine</t>
  </si>
  <si>
    <t>https://calebasse.com/produits/coffret-de-noel-voyage-en-chine?product=7646</t>
  </si>
  <si>
    <t>https://res.cloudinary.com/laboratoire-calebasse/image/upload/v1769091659/Nouvel_An_Chinoise_2026_porte_1080_X1080_px_2_f94c9e4a7a.jpg</t>
  </si>
  <si>
    <t>COFBEAUTEX2</t>
  </si>
  <si>
    <t>Coffret Beauté à la Chinoise – Éclat &amp; Détente - &lt;strong style="color:#BF2623;"&gt;Offre exclusive 2026 :&lt;/strong&gt; 2 coffrets beauté + 4 ventouses offertes</t>
  </si>
  <si>
    <t>https://calebasse.com/produits/coffret-beaute-de-noel-eclat-and-detente-5231?product=7644</t>
  </si>
  <si>
    <t>https://res.cloudinary.com/laboratoire-calebasse/image/upload/v1765207065/bundle_2_1ff877ebbc.jpg</t>
  </si>
  <si>
    <t>COFMTC</t>
  </si>
  <si>
    <t>Coffret Découverte de la MTC - Initiation &amp; Forme - 1 Coffret Découverte de la MTC</t>
  </si>
  <si>
    <t>Un coffret qui allie tradition, douceur et modernité, pensé pour découvrir la Médecine Traditionnelle Chinoise ou l’intégrer naturellement à son quotidien. Ses principaux bienfaits : réchauffe le corps, soulage les tensions du corps, favorise une circulation fluide et harmonieuse, calme l’esprit</t>
  </si>
  <si>
    <t>https://calebasse.com/produits/coffret-de-noel-decouverte-de-la-mtc-5233?product=7635</t>
  </si>
  <si>
    <t>https://res.cloudinary.com/laboratoire-calebasse/image/upload/v1766741158/Coffret_MTC_1080_d7ecca02b7.jpg</t>
  </si>
  <si>
    <t>https://res.cloudinary.com/laboratoire-calebasse/image/upload/v1764001979/2_89e9ab69ed.jpg</t>
  </si>
  <si>
    <t>5233</t>
  </si>
  <si>
    <t>D009CP</t>
  </si>
  <si>
    <t>Formule Santé des os - Jian gu qu shi wan - 1 flacon de poudre concentrée - 100g</t>
  </si>
  <si>
    <t>Pour maintenir la santé des articulations et des os. Ses principaux bienfaits : contribue à la santé des os, apaise les sensibilités articulaires</t>
  </si>
  <si>
    <t>https://calebasse.com/produits/jian-gu-qu-shi-wan-formule-sante-des-os-4215?product=5818</t>
  </si>
  <si>
    <t>https://res.cloudinary.com/laboratoire-calebasse/image/upload/v1753104800/SANTE_DES_OS_D009_CP_04a42c56db.jpg</t>
  </si>
  <si>
    <t>3665346360934</t>
  </si>
  <si>
    <t>4215</t>
  </si>
  <si>
    <t>D011X3</t>
  </si>
  <si>
    <t>Trésor de la femme - Nü bao - Bundle de 3 flacons de 100 gélules</t>
  </si>
  <si>
    <t>https://calebasse.com/produits/nu-bao-tresor-de-la-femme-4559?product=7591</t>
  </si>
  <si>
    <t>https://res.cloudinary.com/laboratoire-calebasse/image/upload/v1759740118/3_TRESOR_DE_LA_FEMME_gl_d18d144c2e.jpg</t>
  </si>
  <si>
    <t>D054+BQSZMB</t>
  </si>
  <si>
    <t>Formule Calme &amp; Détente - Stress et surmenage - An Shen Wan - Bundle : 1 formule Calme &amp; Détente + 1 Bain de pieds pour sommeil</t>
  </si>
  <si>
    <t>https://calebasse.com/produits/san-shen-shuang-dong-tang-formule-stress-et-surmenage-4409?product=7669</t>
  </si>
  <si>
    <t>https://res.cloudinary.com/laboratoire-calebasse/image/upload/v1771938417/D054_BQSZMBL_727fc0c55b.jpg</t>
  </si>
  <si>
    <t>D084</t>
  </si>
  <si>
    <t>Anti-ivresse - Hu Gan Jie Jiu Fang - 1 boîte de 20 sachets (6g)</t>
  </si>
  <si>
    <t>Formule concentrée en sachets, qui associe extraits végétaux, antioxydants et micronutriments pour accompagner l’organisme lors des lendemains festifs et soutenir l’équilibre interne Ses principaux bienfaits : soutient le confort hépatique, favorise la clarté et la sensation de légèreté au réveil, soutient l’équilibre digestif après les excès, contribue à réduire la fatigue passagère</t>
  </si>
  <si>
    <t>https://calebasse.com/produits/hu-gan-jie-jiu-fang-anti-ivresse-5249?product=7665</t>
  </si>
  <si>
    <t>https://res.cloudinary.com/laboratoire-calebasse/image/upload/v1771929790/2_1c59b5f788.jpg</t>
  </si>
  <si>
    <t>3665346370759</t>
  </si>
  <si>
    <t>https://res.cloudinary.com/laboratoire-calebasse/image/upload/v1771930001/1_1fde33ea9d.jpg; https://res.cloudinary.com/laboratoire-calebasse/image/upload/v1771930002/3_0de5e46654.jpg; https://res.cloudinary.com/laboratoire-calebasse/image/upload/v1771930002/4_2120d5a6d2.jpg; https://res.cloudinary.com/laboratoire-calebasse/image/upload/v1771930001/5_976cb73548.jpg</t>
  </si>
  <si>
    <t>5249</t>
  </si>
  <si>
    <t>MA112+MA411</t>
  </si>
  <si>
    <t>Boite de moxibustion avec fumée légère - Ai jiu he - 1 lot</t>
  </si>
  <si>
    <t>https://calebasse.com/produits/ai-jiu-he-boite-de-moxibustion-sans-fumee-4607?product=7673</t>
  </si>
  <si>
    <t>https://res.cloudinary.com/laboratoire-calebasse/image/upload/v1773063345/boite_moxa_et_sac_moxa_f5f2b94fc3.jpg</t>
  </si>
  <si>
    <t>MA213-YL</t>
  </si>
  <si>
    <t>Aiguilles sans tube - 0,18 x 13 mm - 100 aiguilles siliconées avec anneaux - Yun Long</t>
  </si>
  <si>
    <t>https://calebasse.com/produits/100-aiguilles-sans-tube-018-x-13-mm-4576?product=7559</t>
  </si>
  <si>
    <t>https://res.cloudinary.com/laboratoire-calebasse/image/upload/v1758553106/S_0_18_13mm_2237917386.jpg</t>
  </si>
  <si>
    <t>MA213X11-YL</t>
  </si>
  <si>
    <t>Aiguilles sans tube - 0,18 x 13 mm - 10 boîtes d'anguilles siliconées avec anneaux - Yun Long + 1 gratuite</t>
  </si>
  <si>
    <t>https://calebasse.com/produits/100-aiguilles-sans-tube-018-x-13-mm-4576?product=7560</t>
  </si>
  <si>
    <t>MA231-YL</t>
  </si>
  <si>
    <t>Aiguilles sans tube -0,22 x 40 mm - 100 aiguilles siliconées avec anneaux - Yun Long</t>
  </si>
  <si>
    <t>https://calebasse.com/produits/100-aiguilles-sans-tube-022-x-40-mm-4583?product=7545</t>
  </si>
  <si>
    <t>https://res.cloudinary.com/laboratoire-calebasse/image/upload/v1758614631/M_0_22_40mm_3bed89f1ca.jpg</t>
  </si>
  <si>
    <t>MA231X11-YL</t>
  </si>
  <si>
    <t>Aiguilles sans tube -0,22 x 40 mm - 10 boîtes d'anguilles siliconées avec anneaux - Yun Long + 1 gratuite</t>
  </si>
  <si>
    <t>https://calebasse.com/produits/100-aiguilles-sans-tube-022-x-40-mm-4583?product=7546</t>
  </si>
  <si>
    <t>MA233-YL</t>
  </si>
  <si>
    <t>Aiguilles sans tube -0,25 x 25 mm - 100 aiguilles siliconées avec anneaux - Yun Long</t>
  </si>
  <si>
    <t>https://calebasse.com/produits/100-aiguilles-sans-tube-025-x-25-mm-4587?product=7588</t>
  </si>
  <si>
    <t>https://res.cloudinary.com/laboratoire-calebasse/image/upload/v1758632907/S_0_25_25mm_2_651833c2ff.jpg</t>
  </si>
  <si>
    <t>MA233X11-YL</t>
  </si>
  <si>
    <t>Aiguilles sans tube -0,25 x 25 mm - 10 boîtes d'anguilles siliconées avec anneaux - Yun Long + 1 gratuite</t>
  </si>
  <si>
    <t>https://calebasse.com/produits/100-aiguilles-sans-tube-025-x-25-mm-4587?product=7589</t>
  </si>
  <si>
    <t>MA243-YL</t>
  </si>
  <si>
    <t>Aiguilles sans tube -0,25 x 40 mm - 100 aiguilles siliconées avec anneaux - Yun long</t>
  </si>
  <si>
    <t>https://calebasse.com/produits/100-aiguilles-sans-tube-025-x-40-mm-4592?product=7543</t>
  </si>
  <si>
    <t>https://res.cloudinary.com/laboratoire-calebasse/image/upload/v1758553104/M_0_25_40mm_10b222c034.jpg</t>
  </si>
  <si>
    <t>MA243X11-YL</t>
  </si>
  <si>
    <t>Aiguilles sans tube -0,25 x 40 mm - 10 boîtes d’aiguilles siliconées avec anneaux - Yun Long + 1 gratuite</t>
  </si>
  <si>
    <t>https://calebasse.com/produits/100-aiguilles-sans-tube-025-x-40-mm-4592?product=7544</t>
  </si>
  <si>
    <t>MA251-YL</t>
  </si>
  <si>
    <t>Aiguilles sans tube -0,30 x 40 mm - 100 aiguilles siliconées avec anneaux - Yun Long</t>
  </si>
  <si>
    <t>https://calebasse.com/produits/100-aiguilles-sans-tube-030-x-40-mm-4593?product=7549</t>
  </si>
  <si>
    <t>https://res.cloudinary.com/laboratoire-calebasse/image/upload/v1758553104/M_0_30_40mm_7b26bf9131.jpg</t>
  </si>
  <si>
    <t>MA251X11-YL</t>
  </si>
  <si>
    <t>Aiguilles sans tube -0,30 x 40 mm - 10 boîtes d'anguilles siliconées avec anneaux - Yun Long + 1 gratuite</t>
  </si>
  <si>
    <t>https://calebasse.com/produits/100-aiguilles-sans-tube-030-x-40-mm-4593?product=7550</t>
  </si>
  <si>
    <t>MA284-YL</t>
  </si>
  <si>
    <t>Aiguilles d'acupuncture sans tube 0,35 x 60 mm - 100 aiguilles siliconées avec anneaux - Yun Long</t>
  </si>
  <si>
    <t>https://calebasse.com/produits/100-aiguilles-dacupuncture-sans-tube-035-x-60-mm-4605?product=7572</t>
  </si>
  <si>
    <t>https://res.cloudinary.com/laboratoire-calebasse/image/upload/v1758553104/L_0_35_60mm_a127f67b76.jpg</t>
  </si>
  <si>
    <t>MA284X11-YL</t>
  </si>
  <si>
    <t>Aiguilles d'acupuncture sans tube 0,35 x 60 mm - 10 boîtes d'anguilles siliconées avec anneaux - Yun Long + 1 gratuite</t>
  </si>
  <si>
    <t>https://calebasse.com/produits/100-aiguilles-dacupuncture-sans-tube-035-x-60-mm-4605?product=7573</t>
  </si>
  <si>
    <t>MA322x11</t>
  </si>
  <si>
    <t>Marteau fleur de prunier aiguilles 7 étoiles - 12 têtes de rechanges inclues - Mei hua zhen - 10 boîtes d’aiguilles siliconées + 1 gratuite</t>
  </si>
  <si>
    <t>https://calebasse.com/produits/mei-hua-zhen-marteau-fleur-de-prunier-aiguilles-7-etoiles-12-tetes-de-rechanges-inclues-4455?product=6478</t>
  </si>
  <si>
    <t>https://res.cloudinary.com/laboratoire-calebasse/image/upload/v1654242048/pifuzhen_6597f55aaf.jpg</t>
  </si>
  <si>
    <t>4455</t>
  </si>
  <si>
    <t>MA394-YL</t>
  </si>
  <si>
    <t>Aiguilles couteau -0,35 x 50 mm - 100 aiguilles siliconées avec anneaux - Yun Long</t>
  </si>
  <si>
    <t>https://calebasse.com/produits/100-aiguilles-couteau-035-x-50-mm-4651?product=7555</t>
  </si>
  <si>
    <t>https://res.cloudinary.com/laboratoire-calebasse/image/upload/v1758878231/M_0_3550mm_d6f1041464.jpg</t>
  </si>
  <si>
    <t>MA394X10-YL</t>
  </si>
  <si>
    <t>Aiguilles couteau -0,35 x 50 mm - 10 boîtes d'anguilles siliconées avec anneaux - Yun Long + 1 gratuite</t>
  </si>
  <si>
    <t>https://calebasse.com/produits/100-aiguilles-couteau-035-x-50-mm-4651?product=7556</t>
  </si>
  <si>
    <t>MA396-YL</t>
  </si>
  <si>
    <t>Aiguilles couteau -0,50 x 40 mm - 100 aiguilles siliconées avec anneaux - Yun Long</t>
  </si>
  <si>
    <t>https://calebasse.com/produits/100-aiguilles-couteau-050-x-40-mm-4653?product=7561</t>
  </si>
  <si>
    <t>https://res.cloudinary.com/laboratoire-calebasse/image/upload/v1758878225/M_0_5040mm_707b198a80.jpg</t>
  </si>
  <si>
    <t>MA396X10-YL</t>
  </si>
  <si>
    <t>Aiguilles couteau -0,50 x 40 mm - 10 boîtes d'anguilles siliconées avec anneaux - Yun Long + 1 gratuite</t>
  </si>
  <si>
    <t>https://calebasse.com/produits/100-aiguilles-couteau-050-x-40-mm-4653?product=7562</t>
  </si>
  <si>
    <t>MA397-YL</t>
  </si>
  <si>
    <t>Aiguilles couteau -0,50 x 50 mm - 100 aiguilles siliconées avec anneaux - Yun Long</t>
  </si>
  <si>
    <t>https://calebasse.com/produits/100-aiguilles-couteau-050-x-50-mm-4654?product=7574</t>
  </si>
  <si>
    <t>https://res.cloudinary.com/laboratoire-calebasse/image/upload/v1758878224/M_0_5050mm_1f2ff3051f.jpg</t>
  </si>
  <si>
    <t>MA397X10-YL</t>
  </si>
  <si>
    <t>Aiguilles couteau -0,50 x 50 mm - 10 boîtes d'anguilles siliconées avec anneaux - Yun Long + 1 gratuite</t>
  </si>
  <si>
    <t>https://calebasse.com/produits/100-aiguilles-couteau-050-x-50-mm-4654?product=7575</t>
  </si>
  <si>
    <t>MA398-YL</t>
  </si>
  <si>
    <t>Aiguilles couteau -0,50 x 60 mm - 100 aiguilles siliconées avec anneaux - Yun Long</t>
  </si>
  <si>
    <t>https://calebasse.com/produits/100-aiguilles-couteau-050-x-60-mm-4655?product=7576</t>
  </si>
  <si>
    <t>https://res.cloudinary.com/laboratoire-calebasse/image/upload/v1758878225/L_0_5060mm_3fa7c7d0fb.jpg</t>
  </si>
  <si>
    <t>MA398X10-YL</t>
  </si>
  <si>
    <t>Aiguilles couteau -0,50 x 60 mm - 10 boîtes d'anguilles siliconées avec anneaux - Yun Long + 1 gratuite</t>
  </si>
  <si>
    <t>https://calebasse.com/produits/100-aiguilles-couteau-050-x-60-mm-4655?product=7577</t>
  </si>
  <si>
    <t>MA399-YL</t>
  </si>
  <si>
    <t>Aiguilles couteau -0,50 x 75 mm - 100 aiguilles siliconées avec anneaux - Yun Long</t>
  </si>
  <si>
    <t>https://calebasse.com/produits/100-aiguilles-couteau-050-x-75-mm-4656?product=7563</t>
  </si>
  <si>
    <t>https://res.cloudinary.com/laboratoire-calebasse/image/upload/v1758878228/L_0_5075mm_68a053a18c.jpg</t>
  </si>
  <si>
    <t>MA399X10-YL</t>
  </si>
  <si>
    <t>Aiguilles couteau -0,50 x 75 mm - 10 boîtes d'anguilles siliconées avec anneaux - Yun Long + 1 gratuite</t>
  </si>
  <si>
    <t>https://calebasse.com/produits/100-aiguilles-couteau-050-x-75-mm-4656?product=7564</t>
  </si>
  <si>
    <t>MA400-YL</t>
  </si>
  <si>
    <t>Aiguilles couteau -0,60 x 40 mm - 100 aiguilles siliconées avec anneaux - Yun Long</t>
  </si>
  <si>
    <t>https://calebasse.com/produits/100-aiguilles-couteau-060-x-40-mm-4657?product=7578</t>
  </si>
  <si>
    <t>https://res.cloudinary.com/laboratoire-calebasse/image/upload/v1758878227/M_0_6040mm_23915e9988.jpg</t>
  </si>
  <si>
    <t>MA400X10-YL</t>
  </si>
  <si>
    <t>Aiguilles couteau -0,60 x 40 mm - 10 boîtes d'anguilles siliconées avec anneaux - Yun Long + 1 gratuite</t>
  </si>
  <si>
    <t>https://calebasse.com/produits/100-aiguilles-couteau-060-x-40-mm-4657?product=7579</t>
  </si>
  <si>
    <t>MA401-YL</t>
  </si>
  <si>
    <t>Aiguilles couteau -0,60 x 50 mm - 100 aiguilles siliconées avec anneaux - Yun Long</t>
  </si>
  <si>
    <t>https://calebasse.com/produits/100-aiguilles-couteau-060-x-50-mm-4658?product=7568</t>
  </si>
  <si>
    <t>https://res.cloudinary.com/laboratoire-calebasse/image/upload/v1758878228/M_0_6050mm_39086bb674.jpg</t>
  </si>
  <si>
    <t>MA401X10-YL</t>
  </si>
  <si>
    <t>Aiguilles couteau -0,60 x 50 mm - 10 boîtes d'anguilles siliconées avec anneaux - Yun Long + 1 gratuite</t>
  </si>
  <si>
    <t>https://calebasse.com/produits/100-aiguilles-couteau-060-x-50-mm-4658?product=7569</t>
  </si>
  <si>
    <t>MA402-YL</t>
  </si>
  <si>
    <t>Aiguilles couteau -0,60 x 75 mm - 100 aiguilles siliconées avec anneaux - Yun Long</t>
  </si>
  <si>
    <t>https://calebasse.com/produits/100-aiguilles-couteau-060-x-75-mm-4659?product=7580</t>
  </si>
  <si>
    <t>https://res.cloudinary.com/laboratoire-calebasse/image/upload/v1758878229/L_0_6075mm_fbba4b66ca.jpg</t>
  </si>
  <si>
    <t>MA402X10-YL</t>
  </si>
  <si>
    <t>Aiguilles couteau -0,60 x 75 mm - 10 boîtes d'anguilles siliconées avec anneaux - Yun Long + 1 gratuite</t>
  </si>
  <si>
    <t>https://calebasse.com/produits/100-aiguilles-couteau-060-x-75-mm-4659?product=7581</t>
  </si>
  <si>
    <t>MA403-YL</t>
  </si>
  <si>
    <t>Aiguilles couteau -0,40 x 50 mm - 100 aiguilles siliconées avec anneaux - Yun Long</t>
  </si>
  <si>
    <t>https://calebasse.com/produits/100-aiguilles-couteau-040-x-50-mm-4660?product=7570</t>
  </si>
  <si>
    <t>https://res.cloudinary.com/laboratoire-calebasse/image/upload/v1758878224/M_0_4050mm_ece0baae96.jpg</t>
  </si>
  <si>
    <t>MA403X10-YL</t>
  </si>
  <si>
    <t>Aiguilles couteau -0,40 x 50 mm - 10 boîtes d'anguilles siliconées avec anneaux - Yun Long + 1 gratuite</t>
  </si>
  <si>
    <t>https://calebasse.com/produits/100-aiguilles-couteau-040-x-50-mm-4660?product=7571</t>
  </si>
  <si>
    <t>MA404-YL</t>
  </si>
  <si>
    <t>Aiguilles couteau -0,40 x 25 mm - 100 aiguilles siliconées avec anneaux - Yun Long</t>
  </si>
  <si>
    <t>https://calebasse.com/produits/100-aiguilles-couteau-040-x-25-mm-4661?product=7553</t>
  </si>
  <si>
    <t>https://res.cloudinary.com/laboratoire-calebasse/image/upload/v1758878229/S_0_4025mm_de78122386.jpg</t>
  </si>
  <si>
    <t>MA404X10-YL</t>
  </si>
  <si>
    <t>Aiguilles couteau -0,40 x 25 mm - 10 boîtes d'anguilles siliconées avec anneaux - Yun Long + 1 gratuite</t>
  </si>
  <si>
    <t>https://calebasse.com/produits/100-aiguilles-couteau-040-x-25-mm-4661?product=7554</t>
  </si>
  <si>
    <t>MA405-YL</t>
  </si>
  <si>
    <t>Aiguilles couteau -0,35 x 75 mm - 100 aiguilles siliconées avec anneaux - Yun Long</t>
  </si>
  <si>
    <t>https://calebasse.com/produits/100-aiguilles-couteau-035-x-75-mm-4662?product=7566</t>
  </si>
  <si>
    <t>https://res.cloudinary.com/laboratoire-calebasse/image/upload/v1758878225/L_0_3575mm_2726f8610a.jpg</t>
  </si>
  <si>
    <t>MA405X10-YL</t>
  </si>
  <si>
    <t>Aiguilles couteau -0,35 x 75 mm - 10 boîtes d'anguilles siliconées avec anneaux - Yun Long + 1 gratuite</t>
  </si>
  <si>
    <t>https://calebasse.com/produits/100-aiguilles-couteau-035-x-75-mm-4662?product=7567</t>
  </si>
  <si>
    <t>MA406-YL</t>
  </si>
  <si>
    <t>Aiguilles couteau -0,40 x 15 mm - 100 aiguilles siliconées avec anneaux - Yun Long</t>
  </si>
  <si>
    <t>https://calebasse.com/produits/100-aiguilles-couteau-040-x-15-mm-4663?product=7557</t>
  </si>
  <si>
    <t>https://res.cloudinary.com/laboratoire-calebasse/image/upload/v1758878229/S_0_4015mm_02f3b92243.jpg</t>
  </si>
  <si>
    <t>MA531-YL</t>
  </si>
  <si>
    <t>Aiguilles avec tube -0,20 x 25 mm - 500 aiguilles siliconées sans anneaux - Yun Long</t>
  </si>
  <si>
    <t>https://calebasse.com/produits/500-aiguilles-avec-tube-020-x-25-mm-4417?product=7551</t>
  </si>
  <si>
    <t>https://res.cloudinary.com/laboratoire-calebasse/image/upload/v1758553128/S_0_2025mm_4db6783bc6.jpg</t>
  </si>
  <si>
    <t>MA531X11-YL</t>
  </si>
  <si>
    <t>Aiguilles avec tube -0,20 x 25 mm - 10 boîtes d'anguilles siliconées sans anneaux - Yun Long + 1 gratuite</t>
  </si>
  <si>
    <t>https://calebasse.com/produits/500-aiguilles-avec-tube-020-x-25-mm-4417?product=7552</t>
  </si>
  <si>
    <t>MA532-YL</t>
  </si>
  <si>
    <t>Aiguilles avec tube -0,20 x 40 mm - 500 aiguilles siliconées sans anneaux - Yun Long</t>
  </si>
  <si>
    <t>https://calebasse.com/produits/500-aiguilles-avec-tube-020-x-40-mm-4414?product=7541</t>
  </si>
  <si>
    <t>https://res.cloudinary.com/laboratoire-calebasse/image/upload/v1758553129/M_0_2040mm_fd46691a9e.jpg</t>
  </si>
  <si>
    <t>MA532X11-YL</t>
  </si>
  <si>
    <t>Aiguilles avec tube -0,20 x 40 mm - 10 boîtes d'anguilles siliconées sans anneaux - Yun Long + 1 gratuite</t>
  </si>
  <si>
    <t>https://calebasse.com/produits/500-aiguilles-avec-tube-020-x-40-mm-4414?product=7542</t>
  </si>
  <si>
    <t>MA551-YL</t>
  </si>
  <si>
    <t>Aiguilles avec tube -0,25 x 25 mm - 500 aiguilles siliconées sans anneaux - Yun Long</t>
  </si>
  <si>
    <t>https://calebasse.com/produits/500-aiguilles-avec-tube-025-x-25-mm-4415?product=7547</t>
  </si>
  <si>
    <t>https://res.cloudinary.com/laboratoire-calebasse/image/upload/v1754468685/aiguilles_yunlong_02525_sku_97dc8c6403.jpg</t>
  </si>
  <si>
    <t>MA551X11-YL</t>
  </si>
  <si>
    <t>Aiguilles avec tube -0,25 x 25 mm - 10 boîtes d'anguilles siliconées sans anneaux - Yun Long + 1 gratuite</t>
  </si>
  <si>
    <t>https://calebasse.com/produits/500-aiguilles-avec-tube-025-x-25-mm-4415?product=7548</t>
  </si>
  <si>
    <t>MA561-YL</t>
  </si>
  <si>
    <t>Aiguilles avec tube -0,25 x 60 mm - 500 aiguilles siliconées sans anneaux - Yun Long</t>
  </si>
  <si>
    <t>https://calebasse.com/produits/500-aiguilles-avec-tube-025-x-60-mm-4621?product=7586</t>
  </si>
  <si>
    <t>https://res.cloudinary.com/laboratoire-calebasse/image/upload/v1758553129/L_0_2560mm_9ccc9bf46b.jpg</t>
  </si>
  <si>
    <t>MA561X10-YL</t>
  </si>
  <si>
    <t>Aiguilles avec tube -0,25 x 60 mm - 10 boîtes d'anguilles siliconées sans anneaux - Yun Long + 1 gratuite</t>
  </si>
  <si>
    <t>https://calebasse.com/produits/500-aiguilles-avec-tube-025-x-60-mm-4621?product=7587</t>
  </si>
  <si>
    <t>MA644-TBCOUPE</t>
  </si>
  <si>
    <t>Moxa supérieur coupé - Origine Tongbai &amp; chaleur stable - Ai Zhu - 1 boîte de 54 pièces</t>
  </si>
  <si>
    <t>https://calebasse.com/produits/sui-gong-tong-ai-ai-zhu-moxa-superieur-coupe-origine-tongbai-and-chaleur-stable-5241?product=7654</t>
  </si>
  <si>
    <t>https://res.cloudinary.com/laboratoire-calebasse/image/upload/v1769677693/_658748fac2.jpg</t>
  </si>
  <si>
    <t>https://res.cloudinary.com/laboratoire-calebasse/image/upload/v1768314277/1_3ce97bbad7.jpg; https://res.cloudinary.com/laboratoire-calebasse/image/upload/v1768315195/_92a83a609c.jpg</t>
  </si>
  <si>
    <t>5241</t>
  </si>
  <si>
    <t>MA644-TBMINI</t>
  </si>
  <si>
    <t>Moxa supérieur mini - Origine Tongbai &amp; chaleur stable - Ai Li - 1 boîte de 200 pièces</t>
  </si>
  <si>
    <t>https://calebasse.com/produits/sui-gong-tong-ai-ai-li-moxa-superieur-mini-origine-tongbai-and-chaleur-stable-5240?product=7653</t>
  </si>
  <si>
    <t>https://res.cloudinary.com/laboratoire-calebasse/image/upload/v1769677694/_74e474ea58.jpg</t>
  </si>
  <si>
    <t>https://res.cloudinary.com/laboratoire-calebasse/image/upload/v1768312062/1_8ac0c0942f.jpg; https://res.cloudinary.com/laboratoire-calebasse/image/upload/v1768311774/_6de11c66b9.jpg</t>
  </si>
  <si>
    <t>5240</t>
  </si>
  <si>
    <t>MA644-TBVRAC</t>
  </si>
  <si>
    <t>Moxa supérieur en vrac - Origine Tongbai &amp; chaleur stable - Ai Rong - 1 boîte de 300g</t>
  </si>
  <si>
    <t>https://calebasse.com/produits/sui-gong-tong-ai-ai-rong-moxa-superieur-en-vrac-origine-tongbai-and-chaleur-stable-5243?product=7655</t>
  </si>
  <si>
    <t>https://res.cloudinary.com/laboratoire-calebasse/image/upload/v1769677694/_58f8a25588.jpg</t>
  </si>
  <si>
    <t>https://res.cloudinary.com/laboratoire-calebasse/image/upload/v1768318293/1_2fd6ec7f30.jpg; https://res.cloudinary.com/laboratoire-calebasse/image/upload/v1768319469/_efa2924acf.jpg</t>
  </si>
  <si>
    <t>5243</t>
  </si>
  <si>
    <t>MA645-NYBTN</t>
  </si>
  <si>
    <t>Moxa essentiel bâtonnet - Origine Nanyang &amp; chaleur douce - Ai Tiao - 1 boîte de 10 bâtonnets</t>
  </si>
  <si>
    <t>Originaire de Nanyang (Chine), ce moxa est travaillé selon une méthode traditionnelle sur meule en pierre, offrant une chaleur douce et naturelle, idéal pour une pratique quotidienne de la moxibustion. Ses principaux bienfaits : tonifier le yang et dissiper le froid, réguler la circulation du qi et du sang, chauffer et faire circuler les méridiens, décontracte les muscles, détendre le corps</t>
  </si>
  <si>
    <t>https://calebasse.com/produits/nan-yang-shi-mo-ai-ai-tiao-moxa-essentiel-batonnet-origine-nanyang-and-chaleur-douce-5239?product=7652</t>
  </si>
  <si>
    <t>https://res.cloudinary.com/laboratoire-calebasse/image/upload/v1769677698/_5f6905d1b7.jpg</t>
  </si>
  <si>
    <t>https://res.cloudinary.com/laboratoire-calebasse/image/upload/v1768303755/1_914d53989d.jpg; https://res.cloudinary.com/laboratoire-calebasse/image/upload/v1768305171/_e57ecb5170.jpg</t>
  </si>
  <si>
    <t>5239</t>
  </si>
  <si>
    <t>MA645-NYCOUPE</t>
  </si>
  <si>
    <t>Moxa essentiel coupé - Origine Nanyang &amp; chaleur douce - Ai Zhu - 1 boîte de 54 pièces</t>
  </si>
  <si>
    <t>Originaire de Nanyang (Chine), ce moxa est travaillé selon une méthode traditionnelle sur moulin en pierre, offrant une chaleur douce et naturelle, idéal pour une pratique quotidienne de la moxibustion. Ses principaux bienfaits : tonifier le yang et dissiper le froid, réguler la circulation du qi et du sang, chauffer et faire circuler les méridiens, décontracte les muscles, détendre le corps</t>
  </si>
  <si>
    <t>https://calebasse.com/produits/nan-yang-shi-mo-ai-ai-zhu-moxa-essentiel-coupe-origine-nanyang-and-chaleur-douce-5238?product=7651</t>
  </si>
  <si>
    <t>https://res.cloudinary.com/laboratoire-calebasse/image/upload/v1769677693/_c1fca429a0.jpg</t>
  </si>
  <si>
    <t>https://res.cloudinary.com/laboratoire-calebasse/image/upload/v1768300567/1_cc129a3028.jpg; https://res.cloudinary.com/laboratoire-calebasse/image/upload/v1768300608/_7a67e80f85.jpg</t>
  </si>
  <si>
    <t>5238</t>
  </si>
  <si>
    <t>MA645-NYMINI</t>
  </si>
  <si>
    <t>Moxa essentiel mini - Origine Nanyang &amp; chaleur douce - Ai Li - 1 boîte de 200 pièces</t>
  </si>
  <si>
    <t>https://calebasse.com/produits/nan-yang-shi-mo-ai-ai-li-moxa-essentiel-mini-origine-nanyang-and-chaleur-douce-5237?product=7650</t>
  </si>
  <si>
    <t>https://res.cloudinary.com/laboratoire-calebasse/image/upload/v1769677693/_42d05c8587.jpg</t>
  </si>
  <si>
    <t>https://res.cloudinary.com/laboratoire-calebasse/image/upload/v1768300130/1_97d79a8ccd.jpg; https://res.cloudinary.com/laboratoire-calebasse/image/upload/v1768299320/_23a6863931.jpg</t>
  </si>
  <si>
    <t>5237</t>
  </si>
  <si>
    <t>MA646-NYBT</t>
  </si>
  <si>
    <t>Moxa premium bâton - Origine Nanyang &amp; chaleur profonde - Lei Huo Jiu - 1 bâton</t>
  </si>
  <si>
    <t>Élaboré à partir d’armoise de Nanyang (Chine) affinée 5 ans et travaillé sur meule de pierre, ce moxa premium diffuse une chaleur profonde, douce et durable, idéale pour des pratiques de moxibustion approfondies et exigeantes. Ses principaux bienfaits : tonifier le yang et dissiper le froid, réguler la circulation du qi et du sang, chauffer et faire circuler les méridiens, décontracte les muscles, détendre le corps</t>
  </si>
  <si>
    <t>https://calebasse.com/produits/sheng-er-you-ye-lei-huo-jiu-moxa-premium-baton-origine-nanyang-and-chaleur-profonde-5245?product=7657</t>
  </si>
  <si>
    <t>https://res.cloudinary.com/laboratoire-calebasse/image/upload/v1769677694/_78a77ab94e.jpg</t>
  </si>
  <si>
    <t>https://res.cloudinary.com/laboratoire-calebasse/image/upload/v1768381239/1_04ff8e57cf.jpg; https://res.cloudinary.com/laboratoire-calebasse/image/upload/v1768382795/_f7a7583f96.jpg</t>
  </si>
  <si>
    <t>5245</t>
  </si>
  <si>
    <t>MA646-NYBTN</t>
  </si>
  <si>
    <t>Moxa premium bâtonnet - Origine Nanyang &amp; chaleur profonde - Ai Tiao - 1 boîte de 10 bâtonnets</t>
  </si>
  <si>
    <t>https://calebasse.com/produits/sheng-er-you-ye-ai-tiao-moxa-premium-batonnet-origine-nanyang-and-chaleur-profonde-5244?product=7656</t>
  </si>
  <si>
    <t>https://res.cloudinary.com/laboratoire-calebasse/image/upload/v1769677899/_65952e9308.jpg</t>
  </si>
  <si>
    <t>https://res.cloudinary.com/laboratoire-calebasse/image/upload/v1768379372/1_7285864eaa.jpg; https://res.cloudinary.com/laboratoire-calebasse/image/upload/v1768380287/_8b522931f6.jpg</t>
  </si>
  <si>
    <t>5244</t>
  </si>
  <si>
    <t>MA646-NYVRAC</t>
  </si>
  <si>
    <t>Moxa premium en vrac - Origine Nanyang &amp; chaleur profonde - Ai Rong - 1 boîte de 100g</t>
  </si>
  <si>
    <t>https://calebasse.com/produits/sheng-er-you-ye-ai-rong-moxa-premium-en-vrac-origine-nanyang-and-chaleur-profonde-5246?product=7658</t>
  </si>
  <si>
    <t>https://res.cloudinary.com/laboratoire-calebasse/image/upload/v1769677696/_ac2b318863.jpg</t>
  </si>
  <si>
    <t>https://res.cloudinary.com/laboratoire-calebasse/image/upload/v1768385429/1_446c7ca57c.jpg; https://res.cloudinary.com/laboratoire-calebasse/image/upload/v1768386135/_5b94eab1c3.jpg</t>
  </si>
  <si>
    <t>5246</t>
  </si>
  <si>
    <t>MA953</t>
  </si>
  <si>
    <t>Marteau de massage en tissu et aux graines de plantes - 1 marteau rose</t>
  </si>
  <si>
    <t>https://calebasse.com/produits/yang-shen-chui-marteau-de-massage-en-tissu-et-graines-de-plantes-5012?product=7229</t>
  </si>
  <si>
    <t>https://res.cloudinary.com/laboratoire-calebasse/image/upload/v1701356642/Chuichui_rouge_afa5104859.jpg</t>
  </si>
  <si>
    <t>MA955</t>
  </si>
  <si>
    <t>Marteau de massage en tissu et aux poudres aromatiques - 1 marteau orange</t>
  </si>
  <si>
    <t>Un accessoire traditionnel garni de graines naturelles pour un massage tonique et profond qui stimule la circulation et détend les muscles. Ses principaux bienfaits : apaise le mental, libère les tensions en profondeur, réduit le stress et la fatigue</t>
  </si>
  <si>
    <t>https://calebasse.com/produits/marteau-de-massage-en-tissu-et-aux-poudres-aromatiques-5225?product=7597</t>
  </si>
  <si>
    <t>https://res.cloudinary.com/laboratoire-calebasse/image/upload/v1760085550/orange_3f4d5e8147.jpg</t>
  </si>
  <si>
    <t>5225</t>
  </si>
  <si>
    <t>MA956</t>
  </si>
  <si>
    <t>Marteau de massage en tissu et aux poudres aromatiques - 1 marteau vert</t>
  </si>
  <si>
    <t>https://calebasse.com/produits/marteau-de-massage-en-tissu-et-aux-poudres-aromatiques-5225?product=7598</t>
  </si>
  <si>
    <t>https://res.cloudinary.com/laboratoire-calebasse/image/upload/v1760085597/vert_4c6e5ac03e.jpg</t>
  </si>
  <si>
    <t>MA957</t>
  </si>
  <si>
    <t>Pilulier hebdomadaire - Votre compagnon de tous les jours pour une semaine organisée - 1 boîte</t>
  </si>
  <si>
    <t>Simplifiez votre routine santé avec ce pilulier hebdomadaire pratique et élégant, conçu pour vous aider à gérer vos prises de compléments alimentaires et vitamines en toute sérénité. Ses principaux bienfaits : fermeture hermétique et ouverture fluide, capacité généreuse, format compact et léger</t>
  </si>
  <si>
    <t>https://calebasse.com/produits/pilulier-hebdomadaire-votre-compagnon-de-tous-les-jours-pour-une-semaine-organisee-5224?product=7601</t>
  </si>
  <si>
    <t>https://res.cloudinary.com/laboratoire-calebasse/image/upload/v1760514275/3_cdbed8114b.jpg</t>
  </si>
  <si>
    <t>https://res.cloudinary.com/laboratoire-calebasse/image/upload/v1760457784/1_87579fd280.jpg; https://res.cloudinary.com/laboratoire-calebasse/image/upload/v1760457785/2_63222b8a95.jpg; https://res.cloudinary.com/laboratoire-calebasse/image/upload/v1760457779/3_7a338fc727.jpg; https://res.cloudinary.com/laboratoire-calebasse/image/upload/v1760457784/4_5ca7443cf7.jpg; https://res.cloudinary.com/laboratoire-calebasse/image/upload/v1760457784/4_2_205258496d.jpg; https://res.cloudinary.com/laboratoire-calebasse/image/upload/v1760457785/4_1_c4612de5ba.jpg</t>
  </si>
  <si>
    <t>5224</t>
  </si>
  <si>
    <t>MA958</t>
  </si>
  <si>
    <t>Marteau de massage en tissu et aux poudres aromatiques - 1 marteau bleu</t>
  </si>
  <si>
    <t>https://calebasse.com/produits/marteau-de-massage-en-tissu-et-aux-poudres-aromatiques-5225?product=7606</t>
  </si>
  <si>
    <t>https://res.cloudinary.com/laboratoire-calebasse/image/upload/v1760608630/bleu_daf0e0ec12.jpg</t>
  </si>
  <si>
    <t>OCAROL</t>
  </si>
  <si>
    <t>Camomille Romaine fleur entière bio - 1 Grand Sachet plante 125g</t>
  </si>
  <si>
    <t>https://calebasse.com/produits/camomille-romaine-4301?product=6121</t>
  </si>
  <si>
    <t>https://res.cloudinary.com/laboratoire-calebasse/image/upload/v1771599739/CAMOMILLE_ROMAINE_FLEUR_ENTIERE_BIO_125_g_OCAROL_50099_184_d566449063.jpg</t>
  </si>
  <si>
    <t>OEUCE</t>
  </si>
  <si>
    <t>Eucalyptus feuille coupée bio - 1 Petit Sachet plante 70g</t>
  </si>
  <si>
    <t>Purifiant et rafraîchissant, l’eucalyptus est une plante emblématique reconnue pour ses vertus respiratoires et détoxifiantes. Ses principaux bienfaits : détoxifie l'organisme, libère les voies respiratoires, rafraîchissant et apaisant</t>
  </si>
  <si>
    <t>https://calebasse.com/produits/eucalyptus-feuille-coupee-bio-5227?product=7605</t>
  </si>
  <si>
    <t>https://res.cloudinary.com/laboratoire-calebasse/image/upload/v1761657246/EUCALYPTUS_FEUILLE_COUPEE_BIO_70_g_OEUCE_c232b37e18.jpg</t>
  </si>
  <si>
    <t>3665346218013</t>
  </si>
  <si>
    <t>5227</t>
  </si>
  <si>
    <t>OEUCEL</t>
  </si>
  <si>
    <t>Eucalyptus feuille coupée bio - 1 Grand Sachet plante 200g</t>
  </si>
  <si>
    <t>https://calebasse.com/produits/eucalyptus-feuille-coupee-bio-5227?product=7611</t>
  </si>
  <si>
    <t>https://res.cloudinary.com/laboratoire-calebasse/image/upload/v1761657394/EUCALYPTUS_FEUILLE_COUPEE_BIO_200_g_OEUCEL_f8d6f893f3.jpg</t>
  </si>
  <si>
    <t>3665346218020</t>
  </si>
  <si>
    <t>OMAUF</t>
  </si>
  <si>
    <t>Mauve fleur entière bio - 1 Petit Sachet plante 40g</t>
  </si>
  <si>
    <t>Douce et apaisante, la mauve est une plante reconnue pour son action calmante sur la digestion et la respiration. Ses principaux bienfaits : apaise les irritations digestives, soulage la constipation légère, calme les inflammations de la bouche, de la gorge et des gencives, favorise le confort intestinal et digestif</t>
  </si>
  <si>
    <t>https://calebasse.com/produits/mauve-feuille-entiere-bio-5228?product=7612</t>
  </si>
  <si>
    <t>https://res.cloudinary.com/laboratoire-calebasse/image/upload/v1761660815/MAUVE_FLEUR_ENTIERE_BIO_40_g_OMAUF_3a6d62f113.jpg</t>
  </si>
  <si>
    <t>3665346229613</t>
  </si>
  <si>
    <t>5228</t>
  </si>
  <si>
    <t>OMAUFL</t>
  </si>
  <si>
    <t>Mauve fleur entière bio - 1 Grand Sachet plante 100g</t>
  </si>
  <si>
    <t>https://calebasse.com/produits/mauve-feuille-entiere-bio-5228?product=7613</t>
  </si>
  <si>
    <t>https://res.cloudinary.com/laboratoire-calebasse/image/upload/v1761660852/MAUVE_FLEUR_ENTIERE_BIO_100_g_OMAUFL_5132650e72.jpg</t>
  </si>
  <si>
    <t>3665346229620</t>
  </si>
  <si>
    <t>ORODA</t>
  </si>
  <si>
    <t>Rose de Damas bouton entier bio - 1 Petit Sachet plante 50g</t>
  </si>
  <si>
    <t>Un véritable élixir de bien-être pour le corps et l’esprit. Son parfum envoûtant apaise les tensions, favorise la détente et rayonne jusque sur la peau. Ses principaux bienfaits : apaise le stress et favorise un sommeil réparateur, soutient la digestion et allège les ballonnements, contribue à l’éclat et au confort de la peau</t>
  </si>
  <si>
    <t>https://calebasse.com/produits/rose-de-damas-bouton-entier-bio-5229?product=7614</t>
  </si>
  <si>
    <t>https://res.cloudinary.com/laboratoire-calebasse/image/upload/v1761661922/ROSE_DE_DAMAS_BOUTON_ENTIER_BIO_50_g_ORODA_cbfa1da2ac.jpg</t>
  </si>
  <si>
    <t>3665346229712</t>
  </si>
  <si>
    <t>5229</t>
  </si>
  <si>
    <t>ORODAL</t>
  </si>
  <si>
    <t>Rose de Damas bouton entier bio - 1 Grand Sachet plante 150g</t>
  </si>
  <si>
    <t>https://calebasse.com/produits/rose-de-damas-bouton-entier-bio-5229?product=7615</t>
  </si>
  <si>
    <t>https://res.cloudinary.com/laboratoire-calebasse/image/upload/v1761661959/ROSE_DE_DAMAS_BOUTON_ENTIER_BIO_150_g_ORODAL_73ab426fdf.jpg</t>
  </si>
  <si>
    <t>3665346229729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</si>
</sst>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 EUR&quot;"/>
  </numFmts>
  <fonts count="16">
    <font>
      <sz val="10.0"/>
      <color rgb="FF000000"/>
      <name val="Arial"/>
      <scheme val="minor"/>
    </font>
    <font>
      <u/>
      <sz val="11.0"/>
      <color rgb="FF0000FF"/>
    </font>
    <font>
      <b/>
      <u/>
      <sz val="11.0"/>
      <color rgb="FF1155CC"/>
      <name val="Arial"/>
    </font>
    <font>
      <sz val="11.0"/>
      <color theme="1"/>
      <name val="Arial"/>
      <scheme val="minor"/>
    </font>
    <font>
      <color theme="1"/>
      <name val="Calibri"/>
    </font>
    <font>
      <color theme="1"/>
      <name val="Arial"/>
    </font>
    <font>
      <u/>
      <color rgb="FF0000FF"/>
      <name val="Calibri"/>
    </font>
    <font>
      <u/>
      <color rgb="FF0000FF"/>
      <name val="Calibri"/>
    </font>
    <font>
      <sz val="12.0"/>
      <color theme="1"/>
      <name val="Arial"/>
    </font>
    <font>
      <color theme="1"/>
      <name val="Arial"/>
      <scheme val="minor"/>
    </font>
    <font>
      <u/>
      <color rgb="FF0000FF"/>
      <name val="Arial"/>
    </font>
    <font>
      <u/>
      <color theme="1"/>
      <name val="Calibri"/>
    </font>
    <font>
      <u/>
      <color theme="1"/>
      <name val="Calibri"/>
    </font>
    <font>
      <sz val="11.0"/>
      <color theme="1"/>
      <name val="Calibri"/>
    </font>
    <font>
      <u/>
      <sz val="11.0"/>
      <color rgb="FF0000FF"/>
      <name val="Calibri"/>
    </font>
    <font>
      <u/>
      <sz val="11.0"/>
      <color rgb="FF0000FF"/>
      <name val="Calibri"/>
    </font>
  </fonts>
  <fills count="4">
    <fill>
      <patternFill patternType="none"/>
    </fill>
    <fill>
      <patternFill patternType="lightGray"/>
    </fill>
    <fill>
      <patternFill patternType="solid">
        <fgColor rgb="FFD9D9D9"/>
        <bgColor rgb="FFD9D9D9"/>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164" xfId="0" applyAlignment="1" applyFont="1" applyNumberFormat="1">
      <alignment vertical="bottom"/>
    </xf>
    <xf borderId="0" fillId="2" fontId="3" numFmtId="0" xfId="0" applyAlignment="1" applyFont="1">
      <alignment horizontal="left" vertical="center"/>
    </xf>
    <xf borderId="0" fillId="2" fontId="3" numFmtId="0" xfId="0" applyAlignment="1" applyFont="1">
      <alignment horizontal="left" readingOrder="0" vertical="center"/>
    </xf>
    <xf borderId="0" fillId="0" fontId="4" numFmtId="0" xfId="0" applyAlignment="1" applyFont="1">
      <alignment vertical="bottom"/>
    </xf>
    <xf borderId="0" fillId="0" fontId="5" numFmtId="0" xfId="0" applyAlignment="1" applyFont="1">
      <alignment vertical="bottom"/>
    </xf>
    <xf borderId="0" fillId="0" fontId="6" numFmtId="164" xfId="0" applyAlignment="1" applyFont="1" applyNumberFormat="1">
      <alignment vertical="bottom"/>
    </xf>
    <xf borderId="0" fillId="0" fontId="7" numFmtId="0" xfId="0" applyAlignment="1" applyFont="1">
      <alignment vertical="bottom"/>
    </xf>
    <xf borderId="0" fillId="0" fontId="4" numFmtId="164" xfId="0" applyAlignment="1" applyFont="1" applyNumberFormat="1">
      <alignment horizontal="right" vertical="bottom"/>
    </xf>
    <xf borderId="0" fillId="0" fontId="5" numFmtId="164" xfId="0" applyAlignment="1" applyFont="1" applyNumberFormat="1">
      <alignment vertical="bottom"/>
    </xf>
    <xf borderId="0" fillId="3" fontId="8" numFmtId="0" xfId="0" applyAlignment="1" applyFill="1" applyFont="1">
      <alignment horizontal="right" vertical="top"/>
    </xf>
    <xf borderId="0" fillId="0" fontId="4" numFmtId="0" xfId="0" applyAlignment="1" applyFont="1">
      <alignment horizontal="right" vertical="bottom"/>
    </xf>
    <xf borderId="0" fillId="0" fontId="4" numFmtId="0" xfId="0" applyAlignment="1" applyFont="1">
      <alignment horizontal="right" readingOrder="0" vertical="bottom"/>
    </xf>
    <xf borderId="0" fillId="0" fontId="9" numFmtId="0" xfId="0" applyFont="1"/>
    <xf borderId="0" fillId="0" fontId="10" numFmtId="0" xfId="0" applyAlignment="1" applyFont="1">
      <alignment vertical="bottom"/>
    </xf>
    <xf borderId="0" fillId="0" fontId="11" numFmtId="0" xfId="0" applyAlignment="1" applyFont="1">
      <alignment vertical="bottom"/>
    </xf>
    <xf borderId="0" fillId="0" fontId="4" numFmtId="0" xfId="0" applyAlignment="1" applyFont="1">
      <alignment readingOrder="0" vertical="bottom"/>
    </xf>
    <xf borderId="0" fillId="0" fontId="12" numFmtId="164" xfId="0" applyAlignment="1" applyFont="1" applyNumberFormat="1">
      <alignment vertical="bottom"/>
    </xf>
    <xf borderId="0" fillId="0" fontId="13" numFmtId="0" xfId="0" applyAlignment="1" applyFont="1">
      <alignment vertical="bottom"/>
    </xf>
    <xf borderId="0" fillId="0" fontId="14" numFmtId="164" xfId="0" applyAlignment="1" applyFont="1" applyNumberFormat="1">
      <alignment vertical="bottom"/>
    </xf>
    <xf borderId="0" fillId="0" fontId="15" numFmtId="0" xfId="0" applyAlignment="1" applyFont="1">
      <alignment vertical="bottom"/>
    </xf>
    <xf borderId="0" fillId="0" fontId="13"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res.cloudinary.com/laboratoire-calebasse/image/upload/v1746534437/POIVRE_DE_SICHUAN_QING_100_g_AHJ_788a6499b0.jpg" TargetMode="External"/><Relationship Id="rId391" Type="http://schemas.openxmlformats.org/officeDocument/2006/relationships/hyperlink" Target="https://calebasse.com/produits/hua-jiao-qing-poivre-de-sichuan-qing-5032?product=7267" TargetMode="External"/><Relationship Id="rId390" Type="http://schemas.openxmlformats.org/officeDocument/2006/relationships/hyperlink" Target="https://res.cloudinary.com/laboratoire-calebasse/image/upload/v1747062561/POIVRE_DU_SICHUAN_MA_300_g_AHJML_420fcc3916.jpg" TargetMode="External"/><Relationship Id="rId2180" Type="http://schemas.openxmlformats.org/officeDocument/2006/relationships/hyperlink" Target="https://res.cloudinary.com/laboratoire-calebasse/image/upload/v1675689137/tuina_anmo_ab1a5ec14e.jpg" TargetMode="External"/><Relationship Id="rId2181" Type="http://schemas.openxmlformats.org/officeDocument/2006/relationships/hyperlink" Target="https://calebasse.com/produits/livre-phytotherapie-chinoise-les-combinaisons-efficaces-4735?product=6891" TargetMode="External"/><Relationship Id="rId2182" Type="http://schemas.openxmlformats.org/officeDocument/2006/relationships/hyperlink" Target="https://res.cloudinary.com/laboratoire-calebasse/image/upload/v1675689535/zhongyao_6283d0e671.jpg" TargetMode="External"/><Relationship Id="rId2183" Type="http://schemas.openxmlformats.org/officeDocument/2006/relationships/hyperlink" Target="https://calebasse.com/produits/livre-maladies-et-symptomes-en-medecine-chinoise-volume-1-a-8-4738?product=6893" TargetMode="External"/><Relationship Id="rId385" Type="http://schemas.openxmlformats.org/officeDocument/2006/relationships/hyperlink" Target="https://res.cloudinary.com/laboratoire-calebasse/image/upload/v1747064136/CORDEE_DES_MONTAGNES_300_g_AHJL_a98d09e970.jpg" TargetMode="External"/><Relationship Id="rId2184" Type="http://schemas.openxmlformats.org/officeDocument/2006/relationships/hyperlink" Target="https://res.cloudinary.com/laboratoire-calebasse/image/upload/v1675690111/maladies_symptomes_1_13defc07ac.jpg" TargetMode="External"/><Relationship Id="rId384" Type="http://schemas.openxmlformats.org/officeDocument/2006/relationships/hyperlink" Target="https://calebasse.com/produits/huang-jing-cordee-des-montagnes-3812?product=4323" TargetMode="External"/><Relationship Id="rId2185" Type="http://schemas.openxmlformats.org/officeDocument/2006/relationships/hyperlink" Target="https://calebasse.com/produits/livre-maladies-et-symptomes-en-medecine-chinoise-volume-1-a-8-4738?product=6894" TargetMode="External"/><Relationship Id="rId383" Type="http://schemas.openxmlformats.org/officeDocument/2006/relationships/hyperlink" Target="https://res.cloudinary.com/laboratoire-calebasse/image/upload/v1747064726/POIVRE_NOIR_300_g_AHJHL_031ea8651f.jpg" TargetMode="External"/><Relationship Id="rId2186" Type="http://schemas.openxmlformats.org/officeDocument/2006/relationships/hyperlink" Target="https://res.cloudinary.com/laboratoire-calebasse/image/upload/v1675690546/maladies_symptomes_2_b15244eb5b.jpg" TargetMode="External"/><Relationship Id="rId382" Type="http://schemas.openxmlformats.org/officeDocument/2006/relationships/hyperlink" Target="https://calebasse.com/produits/hei-hu-jiao-poivre-noir-3814?product=4296" TargetMode="External"/><Relationship Id="rId2187" Type="http://schemas.openxmlformats.org/officeDocument/2006/relationships/hyperlink" Target="https://calebasse.com/produits/livre-maladies-et-symptomes-en-medecine-chinoise-volume-1-a-8-4738?product=6895" TargetMode="External"/><Relationship Id="rId389" Type="http://schemas.openxmlformats.org/officeDocument/2006/relationships/hyperlink" Target="https://calebasse.com/produits/hua-jiao-ma-poivre-du-sichuan-ma-5033?product=7266" TargetMode="External"/><Relationship Id="rId2188" Type="http://schemas.openxmlformats.org/officeDocument/2006/relationships/hyperlink" Target="https://res.cloudinary.com/laboratoire-calebasse/image/upload/v1675690826/MALADIES_SYMPTOMES_3_f19661e2fb.jpg" TargetMode="External"/><Relationship Id="rId388" Type="http://schemas.openxmlformats.org/officeDocument/2006/relationships/hyperlink" Target="https://res.cloudinary.com/laboratoire-calebasse/image/upload/v1746534967/POIVRE_DU_SICHUAN_MA_100_g_AHJM_baf2ff2838.jpg" TargetMode="External"/><Relationship Id="rId2189" Type="http://schemas.openxmlformats.org/officeDocument/2006/relationships/hyperlink" Target="https://calebasse.com/produits/livre-maladies-et-symptomes-en-medecine-chinoise-volume-1-a-8-4738?product=6896" TargetMode="External"/><Relationship Id="rId387" Type="http://schemas.openxmlformats.org/officeDocument/2006/relationships/hyperlink" Target="https://calebasse.com/produits/hua-jiao-ma-poivre-du-sichuan-ma-5033?product=7265" TargetMode="External"/><Relationship Id="rId386" Type="http://schemas.openxmlformats.org/officeDocument/2006/relationships/hyperlink" Target="https://res.cloudinary.com/laboratoire-calebasse/image/upload/v1753101211/6_4555a90c55.jpg" TargetMode="External"/><Relationship Id="rId381" Type="http://schemas.openxmlformats.org/officeDocument/2006/relationships/hyperlink" Target="https://res.cloudinary.com/laboratoire-calebasse/image/upload/v1634201200/A_hujiaoheigl_96e2f1380a.jpg" TargetMode="External"/><Relationship Id="rId380" Type="http://schemas.openxmlformats.org/officeDocument/2006/relationships/hyperlink" Target="https://calebasse.com/produits/hei-hu-jiao-poivre-noir-3814?product=6385" TargetMode="External"/><Relationship Id="rId379" Type="http://schemas.openxmlformats.org/officeDocument/2006/relationships/hyperlink" Target="https://res.cloudinary.com/laboratoire-calebasse/image/upload/v1746535256/POIVRE_NOIR_100_g_AHJH_e6c6c208a8.jpg" TargetMode="External"/><Relationship Id="rId2170" Type="http://schemas.openxmlformats.org/officeDocument/2006/relationships/hyperlink" Target="https://res.cloudinary.com/laboratoire-calebasse/image/upload/v1675684006/phytotherapie_chinoise_3563fed71a.jpg" TargetMode="External"/><Relationship Id="rId2171" Type="http://schemas.openxmlformats.org/officeDocument/2006/relationships/hyperlink" Target="https://calebasse.com/produits/livre-traitements-anti-rides-4730?product=6886" TargetMode="External"/><Relationship Id="rId2172" Type="http://schemas.openxmlformats.org/officeDocument/2006/relationships/hyperlink" Target="https://res.cloudinary.com/laboratoire-calebasse/image/upload/v1675684498/shen_dao_70d3e3f9f8.jpg" TargetMode="External"/><Relationship Id="rId374" Type="http://schemas.openxmlformats.org/officeDocument/2006/relationships/hyperlink" Target="https://calebasse.com/produits/bai-hu-jiao-poivre-blanc-4500?product=7256" TargetMode="External"/><Relationship Id="rId2173" Type="http://schemas.openxmlformats.org/officeDocument/2006/relationships/hyperlink" Target="https://calebasse.com/produits/livre-acupuncture-les-points-essentiels-4731?product=6887" TargetMode="External"/><Relationship Id="rId373" Type="http://schemas.openxmlformats.org/officeDocument/2006/relationships/hyperlink" Target="https://res.cloudinary.com/laboratoire-calebasse/image/upload/v1746526795/POIVRE_BLANC_100_g_AHJB_e410819fdd.jpg" TargetMode="External"/><Relationship Id="rId2174" Type="http://schemas.openxmlformats.org/officeDocument/2006/relationships/hyperlink" Target="https://res.cloudinary.com/laboratoire-calebasse/image/upload/v1675684796/jingqishen_cbd312cd27.jpg" TargetMode="External"/><Relationship Id="rId372" Type="http://schemas.openxmlformats.org/officeDocument/2006/relationships/hyperlink" Target="https://calebasse.com/produits/bai-hu-jiao-poivre-blanc-4500?product=4295" TargetMode="External"/><Relationship Id="rId2175" Type="http://schemas.openxmlformats.org/officeDocument/2006/relationships/hyperlink" Target="https://calebasse.com/produits/livre-prescrire-les-substances-medicinales-chinoise-preparees-4732?product=6888" TargetMode="External"/><Relationship Id="rId371" Type="http://schemas.openxmlformats.org/officeDocument/2006/relationships/hyperlink" Target="https://res.cloudinary.com/laboratoire-calebasse/image/upload/v1746535022/CORDEE_DES_MONTAGNES_100_g_AHJ_045113aaf8.jpg" TargetMode="External"/><Relationship Id="rId2176" Type="http://schemas.openxmlformats.org/officeDocument/2006/relationships/hyperlink" Target="https://res.cloudinary.com/laboratoire-calebasse/image/upload/v1675688640/paozhi_46c1d862b2.jpg" TargetMode="External"/><Relationship Id="rId378" Type="http://schemas.openxmlformats.org/officeDocument/2006/relationships/hyperlink" Target="https://calebasse.com/produits/hei-hu-jiao-poivre-noir-3814?product=4294" TargetMode="External"/><Relationship Id="rId2177" Type="http://schemas.openxmlformats.org/officeDocument/2006/relationships/hyperlink" Target="https://calebasse.com/produits/livre-troubles-psychiques-en-medecine-chinoise-4733?product=6889" TargetMode="External"/><Relationship Id="rId377" Type="http://schemas.openxmlformats.org/officeDocument/2006/relationships/hyperlink" Target="https://res.cloudinary.com/laboratoire-calebasse/image/upload/v1747133282/POIVRE_BLANC_300_g_AHJBL_e2086fd858.jpg" TargetMode="External"/><Relationship Id="rId2178" Type="http://schemas.openxmlformats.org/officeDocument/2006/relationships/hyperlink" Target="https://res.cloudinary.com/laboratoire-calebasse/image/upload/v1675688879/troubles_psyghiques_en_medecine_chinoise_7ee7535e64.jpg" TargetMode="External"/><Relationship Id="rId376" Type="http://schemas.openxmlformats.org/officeDocument/2006/relationships/hyperlink" Target="https://calebasse.com/produits/bai-hu-jiao-poivre-blanc-4500?product=4297" TargetMode="External"/><Relationship Id="rId2179" Type="http://schemas.openxmlformats.org/officeDocument/2006/relationships/hyperlink" Target="https://calebasse.com/produits/livre-tuina-anmo-les-methodes-de-mains-et-protocoles-du-massage-energetique-chinois-4734?product=6890" TargetMode="External"/><Relationship Id="rId375" Type="http://schemas.openxmlformats.org/officeDocument/2006/relationships/hyperlink" Target="https://res.cloudinary.com/laboratoire-calebasse/image/upload/v1706544875/A_hujiaobai_GL_7c0da94b86.jpg" TargetMode="External"/><Relationship Id="rId2190" Type="http://schemas.openxmlformats.org/officeDocument/2006/relationships/hyperlink" Target="https://res.cloudinary.com/laboratoire-calebasse/image/upload/v1675690950/MALADIES_SYMPTOMES_4_b59f48ecd1.jpg" TargetMode="External"/><Relationship Id="rId2191" Type="http://schemas.openxmlformats.org/officeDocument/2006/relationships/hyperlink" Target="https://calebasse.com/produits/livre-maladies-et-symptomes-en-medecine-chinoise-volume-1-a-8-4738?product=6897" TargetMode="External"/><Relationship Id="rId2192" Type="http://schemas.openxmlformats.org/officeDocument/2006/relationships/hyperlink" Target="https://res.cloudinary.com/laboratoire-calebasse/image/upload/v1675691008/maladies_symptomes_5_077e1e8f48.jpg" TargetMode="External"/><Relationship Id="rId2193" Type="http://schemas.openxmlformats.org/officeDocument/2006/relationships/hyperlink" Target="https://calebasse.com/produits/livre-maladies-et-symptomes-en-medecine-chinoise-volume-1-a-8-4738?product=6898" TargetMode="External"/><Relationship Id="rId2194" Type="http://schemas.openxmlformats.org/officeDocument/2006/relationships/hyperlink" Target="https://res.cloudinary.com/laboratoire-calebasse/image/upload/v1675691146/maladies_symptomes_6_ea6b3fff4e.jpg" TargetMode="External"/><Relationship Id="rId396" Type="http://schemas.openxmlformats.org/officeDocument/2006/relationships/hyperlink" Target="https://res.cloudinary.com/laboratoire-calebasse/image/upload/v1746527415/RHODIOLA_100_g_AHJT_148c604b34.jpg" TargetMode="External"/><Relationship Id="rId2195" Type="http://schemas.openxmlformats.org/officeDocument/2006/relationships/hyperlink" Target="https://calebasse.com/produits/livre-maladies-et-symptomes-en-medecine-chinoise-volume-1-a-8-4738?product=6899" TargetMode="External"/><Relationship Id="rId395" Type="http://schemas.openxmlformats.org/officeDocument/2006/relationships/hyperlink" Target="https://calebasse.com/produits/hong-jing-tian-rhodiola-3830?product=4272" TargetMode="External"/><Relationship Id="rId2196" Type="http://schemas.openxmlformats.org/officeDocument/2006/relationships/hyperlink" Target="https://res.cloudinary.com/laboratoire-calebasse/image/upload/v1675691236/maladies_symptomes_7_e07753d3fe.jpg" TargetMode="External"/><Relationship Id="rId394" Type="http://schemas.openxmlformats.org/officeDocument/2006/relationships/hyperlink" Target="https://res.cloudinary.com/laboratoire-calebasse/image/upload/v1748272139/POIVRE_DE_SICHUAN_QING_300_g_AHJQL_07283b0322.jpg" TargetMode="External"/><Relationship Id="rId2197" Type="http://schemas.openxmlformats.org/officeDocument/2006/relationships/hyperlink" Target="https://calebasse.com/produits/livre-maladies-et-symptomes-en-medecine-chinoise-volume-1-a-8-4738?product=6900" TargetMode="External"/><Relationship Id="rId393" Type="http://schemas.openxmlformats.org/officeDocument/2006/relationships/hyperlink" Target="https://calebasse.com/produits/hua-jiao-qing-poivre-de-sichuan-qing-5032?product=7268" TargetMode="External"/><Relationship Id="rId2198" Type="http://schemas.openxmlformats.org/officeDocument/2006/relationships/hyperlink" Target="https://res.cloudinary.com/laboratoire-calebasse/image/upload/v1675691287/maladies_symptomes_8_4ce49087c4.jpg" TargetMode="External"/><Relationship Id="rId2199" Type="http://schemas.openxmlformats.org/officeDocument/2006/relationships/hyperlink" Target="https://calebasse.com/produits/livre-la-procreation-naturellement-assistee-4739?product=6901" TargetMode="External"/><Relationship Id="rId399" Type="http://schemas.openxmlformats.org/officeDocument/2006/relationships/hyperlink" Target="https://calebasse.com/produits/hong-jing-tian-rhodiola-3830?product=4278" TargetMode="External"/><Relationship Id="rId398" Type="http://schemas.openxmlformats.org/officeDocument/2006/relationships/hyperlink" Target="https://res.cloudinary.com/laboratoire-calebasse/image/upload/v1634201105/A_hongjingtiancp_2819a53bbb.jpg" TargetMode="External"/><Relationship Id="rId397" Type="http://schemas.openxmlformats.org/officeDocument/2006/relationships/hyperlink" Target="https://calebasse.com/produits/hong-jing-tian-rhodiola-3830?product=4275" TargetMode="External"/><Relationship Id="rId1730" Type="http://schemas.openxmlformats.org/officeDocument/2006/relationships/hyperlink" Target="https://calebasse.com/produits/nong-suo-yang-rong-wan-4111?product=5401" TargetMode="External"/><Relationship Id="rId1731" Type="http://schemas.openxmlformats.org/officeDocument/2006/relationships/hyperlink" Target="https://res.cloudinary.com/laboratoire-calebasse/image/upload/v1753352572/NONG_SUO_YANG_RONG_WAN_CNSYRWCP_4c7bb5633e.jpg" TargetMode="External"/><Relationship Id="rId1732" Type="http://schemas.openxmlformats.org/officeDocument/2006/relationships/hyperlink" Target="https://calebasse.com/produits/coffret-cadeau-calebasse-5027?product=7536" TargetMode="External"/><Relationship Id="rId1733" Type="http://schemas.openxmlformats.org/officeDocument/2006/relationships/hyperlink" Target="https://res.cloudinary.com/laboratoire-calebasse/image/upload/v1755003751/box_428ec10a39.jpg" TargetMode="External"/><Relationship Id="rId1734" Type="http://schemas.openxmlformats.org/officeDocument/2006/relationships/hyperlink" Target="https://calebasse.com/produits/pack-decouverte-supergreens-trouvez-votre-allie-vert-ideal-5226?product=7609" TargetMode="External"/><Relationship Id="rId1735" Type="http://schemas.openxmlformats.org/officeDocument/2006/relationships/hyperlink" Target="https://res.cloudinary.com/laboratoire-calebasse/image/upload/v1761031682/_94cf35bb61.jpg" TargetMode="External"/><Relationship Id="rId1736" Type="http://schemas.openxmlformats.org/officeDocument/2006/relationships/hyperlink" Target="https://res.cloudinary.com/laboratoire-calebasse/image/upload/v1765211056/4_4939017567.jpg" TargetMode="External"/><Relationship Id="rId1737" Type="http://schemas.openxmlformats.org/officeDocument/2006/relationships/hyperlink" Target="https://calebasse.com/produits/yang-sheng-hua-he-coffret-de-fleurs-a-infuser-4742?product=6440" TargetMode="External"/><Relationship Id="rId1738" Type="http://schemas.openxmlformats.org/officeDocument/2006/relationships/hyperlink" Target="https://res.cloudinary.com/laboratoire-calebasse/image/upload/v1715344170/Coffret_de_fleurs_c0d1b4021b.png" TargetMode="External"/><Relationship Id="rId1739" Type="http://schemas.openxmlformats.org/officeDocument/2006/relationships/hyperlink" Target="https://calebasse.com/produits/duo-rose-quartz-5158?product=7443" TargetMode="External"/><Relationship Id="rId1720" Type="http://schemas.openxmlformats.org/officeDocument/2006/relationships/hyperlink" Target="https://calebasse.com/produits/multicuiseur-electrique-en-porcelaine-5030?product=7252" TargetMode="External"/><Relationship Id="rId1721" Type="http://schemas.openxmlformats.org/officeDocument/2006/relationships/hyperlink" Target="https://res.cloudinary.com/laboratoire-calebasse/image/upload/v1722249961/guo_1_8_L_f1e9f345fd.jpg" TargetMode="External"/><Relationship Id="rId1722" Type="http://schemas.openxmlformats.org/officeDocument/2006/relationships/hyperlink" Target="https://calebasse.com/produits/multicuiseur-electrique-en-porcelaine-5030?product=7253" TargetMode="External"/><Relationship Id="rId1723" Type="http://schemas.openxmlformats.org/officeDocument/2006/relationships/hyperlink" Target="https://res.cloudinary.com/laboratoire-calebasse/image/upload/v1722250015/guo_3_8_L_d0b6035007.jpg" TargetMode="External"/><Relationship Id="rId1724" Type="http://schemas.openxmlformats.org/officeDocument/2006/relationships/hyperlink" Target="https://calebasse.com/produits/nao-li-bao-wan-4109?product=5392" TargetMode="External"/><Relationship Id="rId1725" Type="http://schemas.openxmlformats.org/officeDocument/2006/relationships/hyperlink" Target="https://res.cloudinary.com/laboratoire-calebasse/image/upload/v1753352533/NAO_LI_BAO_WAN_CNLBW_427ee39006.jpg" TargetMode="External"/><Relationship Id="rId1726" Type="http://schemas.openxmlformats.org/officeDocument/2006/relationships/hyperlink" Target="https://calebasse.com/produits/nao-li-bao-wan-4109?product=5394" TargetMode="External"/><Relationship Id="rId1727" Type="http://schemas.openxmlformats.org/officeDocument/2006/relationships/hyperlink" Target="https://res.cloudinary.com/laboratoire-calebasse/image/upload/v1753352544/NAO_LI_BAO_WAN_CNLBWCP_86c181a161.jpg" TargetMode="External"/><Relationship Id="rId1728" Type="http://schemas.openxmlformats.org/officeDocument/2006/relationships/hyperlink" Target="https://calebasse.com/produits/nong-suo-yang-rong-wan-4111?product=5400" TargetMode="External"/><Relationship Id="rId1729" Type="http://schemas.openxmlformats.org/officeDocument/2006/relationships/hyperlink" Target="https://res.cloudinary.com/laboratoire-calebasse/image/upload/v1753352561/NONG_SUO_YANG_RONG_WAN_CNSYRW_5d72338ed0.jpg" TargetMode="External"/><Relationship Id="rId1752" Type="http://schemas.openxmlformats.org/officeDocument/2006/relationships/hyperlink" Target="https://res.cloudinary.com/laboratoire-calebasse/image/upload/v1753352648/PING_WEI_SAN_CPWSCP_0fe3c3d43f.jpg" TargetMode="External"/><Relationship Id="rId1753" Type="http://schemas.openxmlformats.org/officeDocument/2006/relationships/hyperlink" Target="https://calebasse.com/produits/qing-dan-hua-shi-wan-4122?product=5445" TargetMode="External"/><Relationship Id="rId1754" Type="http://schemas.openxmlformats.org/officeDocument/2006/relationships/hyperlink" Target="https://res.cloudinary.com/laboratoire-calebasse/image/upload/v1753352800/QING_DAN_HUA_SHI_WAN_CQDHSW_e6fb3df078.jpg" TargetMode="External"/><Relationship Id="rId1755" Type="http://schemas.openxmlformats.org/officeDocument/2006/relationships/hyperlink" Target="https://calebasse.com/produits/qing-dan-hua-shi-wan-4122?product=5446" TargetMode="External"/><Relationship Id="rId1756" Type="http://schemas.openxmlformats.org/officeDocument/2006/relationships/hyperlink" Target="https://res.cloudinary.com/laboratoire-calebasse/image/upload/v1753352812/QING_DAN_HUA_SHI_WAN_CQDHSWCP_ca9aa5854f.jpg" TargetMode="External"/><Relationship Id="rId1757" Type="http://schemas.openxmlformats.org/officeDocument/2006/relationships/hyperlink" Target="https://calebasse.com/produits/qing-fei-zhi-ke-wan-4491?product=5456" TargetMode="External"/><Relationship Id="rId1758" Type="http://schemas.openxmlformats.org/officeDocument/2006/relationships/hyperlink" Target="https://res.cloudinary.com/laboratoire-calebasse/image/upload/v1753352863/QING_FEI_ZHI_KE_WAN_CQFZKW_da48780946.jpg" TargetMode="External"/><Relationship Id="rId1759" Type="http://schemas.openxmlformats.org/officeDocument/2006/relationships/hyperlink" Target="https://calebasse.com/produits/qing-fei-zhi-ke-wan-4491?product=5457" TargetMode="External"/><Relationship Id="rId1750" Type="http://schemas.openxmlformats.org/officeDocument/2006/relationships/hyperlink" Target="https://res.cloudinary.com/laboratoire-calebasse/image/upload/v1753352636/PING_WEI_SAN_CPWS_c545ae052b.jpg" TargetMode="External"/><Relationship Id="rId1751" Type="http://schemas.openxmlformats.org/officeDocument/2006/relationships/hyperlink" Target="https://calebasse.com/produits/ping-wei-san-4114?product=5413" TargetMode="External"/><Relationship Id="rId1741" Type="http://schemas.openxmlformats.org/officeDocument/2006/relationships/hyperlink" Target="https://calebasse.com/produits/pi-pa-qing-fei-yin-4389?product=6323" TargetMode="External"/><Relationship Id="rId1742" Type="http://schemas.openxmlformats.org/officeDocument/2006/relationships/hyperlink" Target="https://res.cloudinary.com/laboratoire-calebasse/image/upload/v1753352586/PI_PA_QING_FEI_YIN_CPPQFY_d0625ae74b.jpg" TargetMode="External"/><Relationship Id="rId1743" Type="http://schemas.openxmlformats.org/officeDocument/2006/relationships/hyperlink" Target="https://calebasse.com/produits/pi-pa-qing-fei-yin-4389?product=6325" TargetMode="External"/><Relationship Id="rId1744" Type="http://schemas.openxmlformats.org/officeDocument/2006/relationships/hyperlink" Target="https://res.cloudinary.com/laboratoire-calebasse/image/upload/v1753352597/PI_PA_QING_FEI_YIN_CPPQFYCP_817d56de4b.jpg" TargetMode="External"/><Relationship Id="rId1745" Type="http://schemas.openxmlformats.org/officeDocument/2006/relationships/hyperlink" Target="https://calebasse.com/produits/pian-tou-tong-wan-4113?product=5407" TargetMode="External"/><Relationship Id="rId1746" Type="http://schemas.openxmlformats.org/officeDocument/2006/relationships/hyperlink" Target="https://res.cloudinary.com/laboratoire-calebasse/image/upload/v1753352611/PIAN_TOU_TONG_WAN_CPTTW_42076e0edf.jpg" TargetMode="External"/><Relationship Id="rId1747" Type="http://schemas.openxmlformats.org/officeDocument/2006/relationships/hyperlink" Target="https://calebasse.com/produits/pian-tou-tong-wan-4113?product=5410" TargetMode="External"/><Relationship Id="rId1748" Type="http://schemas.openxmlformats.org/officeDocument/2006/relationships/hyperlink" Target="https://res.cloudinary.com/laboratoire-calebasse/image/upload/v1753352622/PIAN_TOU_TONG_WAN_CPTTWCP_2e13fecae2.jpg" TargetMode="External"/><Relationship Id="rId1749" Type="http://schemas.openxmlformats.org/officeDocument/2006/relationships/hyperlink" Target="https://calebasse.com/produits/ping-wei-san-4114?product=5412" TargetMode="External"/><Relationship Id="rId1740" Type="http://schemas.openxmlformats.org/officeDocument/2006/relationships/hyperlink" Target="https://res.cloudinary.com/laboratoire-calebasse/image/upload/v1739186082/5_W0_A1762_99288103aa.jpg" TargetMode="External"/><Relationship Id="rId1710" Type="http://schemas.openxmlformats.org/officeDocument/2006/relationships/hyperlink" Target="https://res.cloudinary.com/laboratoire-calebasse/image/upload/v1733750133/kit_serenite_43a6918917.jpg" TargetMode="External"/><Relationship Id="rId1711" Type="http://schemas.openxmlformats.org/officeDocument/2006/relationships/hyperlink" Target="https://calebasse.com/produits/hong-wai-xian-deng-lampe-infrarouge-a-une-tete-4990?product=7200" TargetMode="External"/><Relationship Id="rId1712" Type="http://schemas.openxmlformats.org/officeDocument/2006/relationships/hyperlink" Target="https://res.cloudinary.com/laboratoire-calebasse/image/upload/v1755011338/CN_003_Modele_essentiel_03de2eac42.jpg" TargetMode="External"/><Relationship Id="rId1713" Type="http://schemas.openxmlformats.org/officeDocument/2006/relationships/hyperlink" Target="https://res.cloudinary.com/laboratoire-calebasse/image/upload/v1755011041/Modele_essentiel_VS_modele_avance_bbd29a9de7.jpg" TargetMode="External"/><Relationship Id="rId1714" Type="http://schemas.openxmlformats.org/officeDocument/2006/relationships/hyperlink" Target="https://calebasse.com/produits/hong-wai-xian-deng-lampe-infrarouge-a-une-tete-4990?product=7377" TargetMode="External"/><Relationship Id="rId1715" Type="http://schemas.openxmlformats.org/officeDocument/2006/relationships/hyperlink" Target="https://res.cloudinary.com/laboratoire-calebasse/image/upload/v1732201053/2_dcefa76f57.jpg" TargetMode="External"/><Relationship Id="rId1716" Type="http://schemas.openxmlformats.org/officeDocument/2006/relationships/hyperlink" Target="https://res.cloudinary.com/laboratoire-calebasse/image/upload/v1755011041/Modele_essentiel_VS_modele_avance_bbd29a9de7.jpg" TargetMode="External"/><Relationship Id="rId1717" Type="http://schemas.openxmlformats.org/officeDocument/2006/relationships/hyperlink" Target="https://calebasse.com/produits/hong-wai-xian-deng-lampe-infrarouge-a-une-tete-4990?product=7378" TargetMode="External"/><Relationship Id="rId1718" Type="http://schemas.openxmlformats.org/officeDocument/2006/relationships/hyperlink" Target="https://res.cloudinary.com/laboratoire-calebasse/image/upload/v1755011364/CN_005_Modele_avance_75cbcbc3f5.jpg" TargetMode="External"/><Relationship Id="rId1719" Type="http://schemas.openxmlformats.org/officeDocument/2006/relationships/hyperlink" Target="https://res.cloudinary.com/laboratoire-calebasse/image/upload/v1755011041/Modele_essentiel_VS_modele_avance_bbd29a9de7.jpg" TargetMode="External"/><Relationship Id="rId1700" Type="http://schemas.openxmlformats.org/officeDocument/2006/relationships/hyperlink" Target="https://res.cloudinary.com/laboratoire-calebasse/image/upload/v1634201139/C_mingmudihuangwan_8ce1b93239.jpg" TargetMode="External"/><Relationship Id="rId1701" Type="http://schemas.openxmlformats.org/officeDocument/2006/relationships/hyperlink" Target="https://calebasse.com/produits/ming-mu-di-huang-wan-4106?product=5382" TargetMode="External"/><Relationship Id="rId1702" Type="http://schemas.openxmlformats.org/officeDocument/2006/relationships/hyperlink" Target="https://res.cloudinary.com/laboratoire-calebasse/image/upload/v1753104644/MING_MU_DI_HUANG_WAN_CMMDHWCP_Poudre_cb72c93cd0.jpg" TargetMode="External"/><Relationship Id="rId1703" Type="http://schemas.openxmlformats.org/officeDocument/2006/relationships/hyperlink" Target="https://calebasse.com/produits/zhe-die-an-mo-chuang-table-de-massage-pliable-en-bois-avec-oreiller-et-taie-housse-incluse-mousse-de-8-cm-depaisseur-4980?product=7188" TargetMode="External"/><Relationship Id="rId1704" Type="http://schemas.openxmlformats.org/officeDocument/2006/relationships/hyperlink" Target="https://res.cloudinary.com/laboratoire-calebasse/image/upload/v1753870747/60_48935673d7.jpg" TargetMode="External"/><Relationship Id="rId1705" Type="http://schemas.openxmlformats.org/officeDocument/2006/relationships/hyperlink" Target="https://res.cloudinary.com/laboratoire-calebasse/image/upload/v1753870784/Web_1920_36_0cbc60a245.jpg" TargetMode="External"/><Relationship Id="rId1706" Type="http://schemas.openxmlformats.org/officeDocument/2006/relationships/hyperlink" Target="https://calebasse.com/produits/zhe-die-an-mo-chuang-table-de-massage-pliable-en-bois-avec-oreiller-et-taie-housse-incluse-mousse-de-8-cm-depaisseur-4980?product=7189" TargetMode="External"/><Relationship Id="rId1707" Type="http://schemas.openxmlformats.org/officeDocument/2006/relationships/hyperlink" Target="https://res.cloudinary.com/laboratoire-calebasse/image/upload/v1753870758/70_6394a39efe.jpg" TargetMode="External"/><Relationship Id="rId1708" Type="http://schemas.openxmlformats.org/officeDocument/2006/relationships/hyperlink" Target="https://res.cloudinary.com/laboratoire-calebasse/image/upload/v1753870784/Web_1920_36_0cbc60a245.jpg" TargetMode="External"/><Relationship Id="rId1709" Type="http://schemas.openxmlformats.org/officeDocument/2006/relationships/hyperlink" Target="https://calebasse.com/produits/kit-espace-serenite-5021?product=7239" TargetMode="External"/><Relationship Id="rId40" Type="http://schemas.openxmlformats.org/officeDocument/2006/relationships/hyperlink" Target="https://res.cloudinary.com/laboratoire-calebasse/image/upload/v1634201111/A_bajitiancp_6cdb42fd74.jpg" TargetMode="External"/><Relationship Id="rId3513" Type="http://schemas.openxmlformats.org/officeDocument/2006/relationships/hyperlink" Target="https://res.cloudinary.com/laboratoire-calebasse/image/upload/v1746523747/VERVEINE_ODORANTE_50_g_OVERV_520d02096f.jpg" TargetMode="External"/><Relationship Id="rId3512" Type="http://schemas.openxmlformats.org/officeDocument/2006/relationships/hyperlink" Target="https://calebasse.com/produits/verveine-odorante-4367?product=6257" TargetMode="External"/><Relationship Id="rId42" Type="http://schemas.openxmlformats.org/officeDocument/2006/relationships/hyperlink" Target="https://res.cloudinary.com/laboratoire-calebasse/image/upload/v1634201092/A_bajitiangl_4e189f6b89.jpg" TargetMode="External"/><Relationship Id="rId3515" Type="http://schemas.openxmlformats.org/officeDocument/2006/relationships/hyperlink" Target="https://res.cloudinary.com/laboratoire-calebasse/image/upload/v1760610237/VERVEINE_ODORANTE_FEUILLE_BRISURE_BIO_200_g_OVERVL_92ab38463b.jpg" TargetMode="External"/><Relationship Id="rId41" Type="http://schemas.openxmlformats.org/officeDocument/2006/relationships/hyperlink" Target="https://calebasse.com/produits/ba-ji-tian-racines-de-morinne-4433?product=3958" TargetMode="External"/><Relationship Id="rId3514" Type="http://schemas.openxmlformats.org/officeDocument/2006/relationships/hyperlink" Target="https://calebasse.com/produits/verveine-odorante-4367?product=7608" TargetMode="External"/><Relationship Id="rId44" Type="http://schemas.openxmlformats.org/officeDocument/2006/relationships/hyperlink" Target="https://res.cloudinary.com/laboratoire-calebasse/image/upload/v1747133368/MORINNE_RACINE_300_g_ABJTL_322a5a8ee6.jpg" TargetMode="External"/><Relationship Id="rId3517" Type="http://schemas.openxmlformats.org/officeDocument/2006/relationships/hyperlink" Target="https://res.cloudinary.com/laboratoire-calebasse/image/upload/v1748268683/VIGNE_ROUGE_100_g_OVIGN_82dbcd9db4.jpg" TargetMode="External"/><Relationship Id="rId43" Type="http://schemas.openxmlformats.org/officeDocument/2006/relationships/hyperlink" Target="https://calebasse.com/produits/ba-ji-tian-racines-de-morinne-4433?product=3961" TargetMode="External"/><Relationship Id="rId3516" Type="http://schemas.openxmlformats.org/officeDocument/2006/relationships/hyperlink" Target="https://calebasse.com/produits/vigne-rouge-4366?product=6255" TargetMode="External"/><Relationship Id="rId46" Type="http://schemas.openxmlformats.org/officeDocument/2006/relationships/hyperlink" Target="https://res.cloudinary.com/laboratoire-calebasse/image/upload/v1746526859/MOUTARDE_BLANCHE_GRAINES_100_g_ABJZ_e06663c07f.jpg" TargetMode="External"/><Relationship Id="rId3519" Type="http://schemas.openxmlformats.org/officeDocument/2006/relationships/hyperlink" Target="https://res.cloudinary.com/laboratoire-calebasse/image/upload/v1634201163/O_vignerouge3_af4c2cb36b.jpg" TargetMode="External"/><Relationship Id="rId45" Type="http://schemas.openxmlformats.org/officeDocument/2006/relationships/hyperlink" Target="https://calebasse.com/produits/bai-jie-zi-graines-de-moutarde-blanche-3753?product=4009" TargetMode="External"/><Relationship Id="rId3518" Type="http://schemas.openxmlformats.org/officeDocument/2006/relationships/hyperlink" Target="https://calebasse.com/produits/vigne-rouge-4366?product=6256" TargetMode="External"/><Relationship Id="rId48" Type="http://schemas.openxmlformats.org/officeDocument/2006/relationships/hyperlink" Target="https://res.cloudinary.com/laboratoire-calebasse/image/upload/v1634201111/A_baijiezicp_011c8b35f5.jpg" TargetMode="External"/><Relationship Id="rId47" Type="http://schemas.openxmlformats.org/officeDocument/2006/relationships/hyperlink" Target="https://calebasse.com/produits/bai-jie-zi-graines-de-moutarde-blanche-3753?product=4008" TargetMode="External"/><Relationship Id="rId49" Type="http://schemas.openxmlformats.org/officeDocument/2006/relationships/hyperlink" Target="https://calebasse.com/produits/bai-jie-zi-graines-de-moutarde-blanche-3753?product=4020" TargetMode="External"/><Relationship Id="rId3511" Type="http://schemas.openxmlformats.org/officeDocument/2006/relationships/hyperlink" Target="https://res.cloudinary.com/laboratoire-calebasse/image/upload/v1752842602/VALERIANE_RACINE_COUPEE_BIO_200_g_OVALEL_b42413dd70.jpg" TargetMode="External"/><Relationship Id="rId3510" Type="http://schemas.openxmlformats.org/officeDocument/2006/relationships/hyperlink" Target="https://calebasse.com/produits/valeriane-4365?product=6254" TargetMode="External"/><Relationship Id="rId3502" Type="http://schemas.openxmlformats.org/officeDocument/2006/relationships/hyperlink" Target="https://calebasse.com/produits/tilleul-aubier-4363?product=6249" TargetMode="External"/><Relationship Id="rId3501" Type="http://schemas.openxmlformats.org/officeDocument/2006/relationships/hyperlink" Target="https://res.cloudinary.com/laboratoire-calebasse/image/upload/v1748268300/TILLEUL_ROUGE_AUBIER_COUPE_BIO_80_g_OTLAU_c6bfa86dcb.jpg" TargetMode="External"/><Relationship Id="rId31" Type="http://schemas.openxmlformats.org/officeDocument/2006/relationships/hyperlink" Target="https://calebasse.com/produits/bai-hua-she-she-cao-herbe-de-hedyote-4776?product=3970" TargetMode="External"/><Relationship Id="rId3504" Type="http://schemas.openxmlformats.org/officeDocument/2006/relationships/hyperlink" Target="https://calebasse.com/produits/bractees-de-tilleul-4364?product=6250" TargetMode="External"/><Relationship Id="rId30" Type="http://schemas.openxmlformats.org/officeDocument/2006/relationships/hyperlink" Target="https://res.cloudinary.com/laboratoire-calebasse/image/upload/v1747062338/MENTHE_POIVREE_150_g_ABHL_aaecb9c874.jpg" TargetMode="External"/><Relationship Id="rId3503" Type="http://schemas.openxmlformats.org/officeDocument/2006/relationships/hyperlink" Target="https://res.cloudinary.com/laboratoire-calebasse/image/upload/v1748268284/TILLEUL_ROUGE_AUBIER_COUPE_BIO_200_g_OTLAUL_8aad30e866.jpg" TargetMode="External"/><Relationship Id="rId33" Type="http://schemas.openxmlformats.org/officeDocument/2006/relationships/hyperlink" Target="https://calebasse.com/produits/ba-jiao-hui-xiang-anis-etoile-3743?product=3964" TargetMode="External"/><Relationship Id="rId3506" Type="http://schemas.openxmlformats.org/officeDocument/2006/relationships/hyperlink" Target="https://calebasse.com/produits/bractees-de-tilleul-4364?product=7607" TargetMode="External"/><Relationship Id="rId32" Type="http://schemas.openxmlformats.org/officeDocument/2006/relationships/hyperlink" Target="https://res.cloudinary.com/laboratoire-calebasse/image/upload/v1746526874/HEDYOTE_50_g_ABHS_d39c07bd20.jpg" TargetMode="External"/><Relationship Id="rId3505" Type="http://schemas.openxmlformats.org/officeDocument/2006/relationships/hyperlink" Target="https://res.cloudinary.com/laboratoire-calebasse/image/upload/v1746522299/BRACTEES_DE_TILLEUL_50_g_OTLBR_2554ba269c.jpg" TargetMode="External"/><Relationship Id="rId35" Type="http://schemas.openxmlformats.org/officeDocument/2006/relationships/hyperlink" Target="https://calebasse.com/produits/ba-jiao-hui-xiang-anis-etoile-3743?product=3944" TargetMode="External"/><Relationship Id="rId3508" Type="http://schemas.openxmlformats.org/officeDocument/2006/relationships/hyperlink" Target="https://calebasse.com/produits/valeriane-4365?product=6251" TargetMode="External"/><Relationship Id="rId34" Type="http://schemas.openxmlformats.org/officeDocument/2006/relationships/hyperlink" Target="https://res.cloudinary.com/laboratoire-calebasse/image/upload/v1752221273/ANIS_ETOILE_100_g_ABJH_60912f8651.jpg" TargetMode="External"/><Relationship Id="rId3507" Type="http://schemas.openxmlformats.org/officeDocument/2006/relationships/hyperlink" Target="https://res.cloudinary.com/laboratoire-calebasse/image/upload/v1760609984/TILLEUL_BRACTEE_ENTIERE_BIO_150_g_OTLBRL_945ae00967.jpg" TargetMode="External"/><Relationship Id="rId3509" Type="http://schemas.openxmlformats.org/officeDocument/2006/relationships/hyperlink" Target="https://res.cloudinary.com/laboratoire-calebasse/image/upload/v1752842572/VALERIANE_RACINE_COUPEE_BIO_50_g_OVALE_934471e5e8.jpg" TargetMode="External"/><Relationship Id="rId37" Type="http://schemas.openxmlformats.org/officeDocument/2006/relationships/hyperlink" Target="https://calebasse.com/produits/ba-ji-tian-racines-de-morinne-4433?product=3954" TargetMode="External"/><Relationship Id="rId36" Type="http://schemas.openxmlformats.org/officeDocument/2006/relationships/hyperlink" Target="https://res.cloudinary.com/laboratoire-calebasse/image/upload/v1752221295/ANIS_ETOILE_300_g_ABJHL_127ad7c251.jpg" TargetMode="External"/><Relationship Id="rId39" Type="http://schemas.openxmlformats.org/officeDocument/2006/relationships/hyperlink" Target="https://calebasse.com/produits/ba-ji-tian-racines-de-morinne-4433?product=3955" TargetMode="External"/><Relationship Id="rId38" Type="http://schemas.openxmlformats.org/officeDocument/2006/relationships/hyperlink" Target="https://res.cloudinary.com/laboratoire-calebasse/image/upload/v1746525034/MORINNE_RACINE_50_g_ABJT_851b47583d.jpg" TargetMode="External"/><Relationship Id="rId3500" Type="http://schemas.openxmlformats.org/officeDocument/2006/relationships/hyperlink" Target="https://calebasse.com/produits/tilleul-aubier-4363?product=6248" TargetMode="External"/><Relationship Id="rId2203" Type="http://schemas.openxmlformats.org/officeDocument/2006/relationships/hyperlink" Target="https://calebasse.com/produits/livre-a-la-decouverte-de-la-dietetique-chinoise-4778?product=6976" TargetMode="External"/><Relationship Id="rId3535" Type="http://schemas.openxmlformats.org/officeDocument/2006/relationships/hyperlink" Target="https://calebasse.com/produits/chao-bai-zhu-4752?product=6929" TargetMode="External"/><Relationship Id="rId2204" Type="http://schemas.openxmlformats.org/officeDocument/2006/relationships/hyperlink" Target="https://res.cloudinary.com/laboratoire-calebasse/image/upload/v1677504499/A_la_decouverte_de_la_dietetique_chinoise_1_59366d07eb.jpg" TargetMode="External"/><Relationship Id="rId3534" Type="http://schemas.openxmlformats.org/officeDocument/2006/relationships/hyperlink" Target="https://res.cloudinary.com/laboratoire-calebasse/image/upload/v1677072373/baishaoyao_d305a00c45.jpg" TargetMode="External"/><Relationship Id="rId20" Type="http://schemas.openxmlformats.org/officeDocument/2006/relationships/hyperlink" Target="https://res.cloudinary.com/laboratoire-calebasse/image/upload/v1746526928/BULBE_DE_LYS_100_g_ABHE_89d21ce79a.jpg" TargetMode="External"/><Relationship Id="rId2205" Type="http://schemas.openxmlformats.org/officeDocument/2006/relationships/hyperlink" Target="https://calebasse.com/produits/livre-la-dietetique-du-tao-4777?product=6977" TargetMode="External"/><Relationship Id="rId3537" Type="http://schemas.openxmlformats.org/officeDocument/2006/relationships/hyperlink" Target="https://calebasse.com/produits/chi-shao-yao-4780?product=6981" TargetMode="External"/><Relationship Id="rId2206" Type="http://schemas.openxmlformats.org/officeDocument/2006/relationships/hyperlink" Target="https://res.cloudinary.com/laboratoire-calebasse/image/upload/v1677498740/La_dietetique_du_Tao_f618d6555e.jpg" TargetMode="External"/><Relationship Id="rId3536" Type="http://schemas.openxmlformats.org/officeDocument/2006/relationships/hyperlink" Target="https://res.cloudinary.com/laboratoire-calebasse/image/upload/v1677060532/chaobaizhu_dcbe0ba65f.jpg" TargetMode="External"/><Relationship Id="rId22" Type="http://schemas.openxmlformats.org/officeDocument/2006/relationships/hyperlink" Target="https://res.cloudinary.com/laboratoire-calebasse/image/upload/v1634201092/A_baihecp_09c3d9148b.jpg" TargetMode="External"/><Relationship Id="rId2207" Type="http://schemas.openxmlformats.org/officeDocument/2006/relationships/hyperlink" Target="https://calebasse.com/produits/livre-lacupuncture-pratiquee-en-chine-4787?product=6989" TargetMode="External"/><Relationship Id="rId3539" Type="http://schemas.openxmlformats.org/officeDocument/2006/relationships/hyperlink" Target="https://calebasse.com/produits/chi-shao-yao-4780?product=6980" TargetMode="External"/><Relationship Id="rId21" Type="http://schemas.openxmlformats.org/officeDocument/2006/relationships/hyperlink" Target="https://calebasse.com/produits/bai-he-bulbe-de-lys-3747?product=3968" TargetMode="External"/><Relationship Id="rId2208" Type="http://schemas.openxmlformats.org/officeDocument/2006/relationships/hyperlink" Target="https://res.cloudinary.com/laboratoire-calebasse/image/upload/v1679388805/l_acupuncture_pratiquee_en_chine1_47da400ec6.jpg" TargetMode="External"/><Relationship Id="rId3538" Type="http://schemas.openxmlformats.org/officeDocument/2006/relationships/hyperlink" Target="https://res.cloudinary.com/laboratoire-calebasse/image/upload/v1677598834/chishaoyao_704b95a488.jpg" TargetMode="External"/><Relationship Id="rId24" Type="http://schemas.openxmlformats.org/officeDocument/2006/relationships/hyperlink" Target="https://res.cloudinary.com/laboratoire-calebasse/image/upload/v1634201111/A_baihegl_7350a1a1e6.jpg" TargetMode="External"/><Relationship Id="rId2209" Type="http://schemas.openxmlformats.org/officeDocument/2006/relationships/hyperlink" Target="https://calebasse.com/produits/livre-accompagnement-psycho-emotionnel-selon-la-tradition-chinoise-4810?product=6992" TargetMode="External"/><Relationship Id="rId23" Type="http://schemas.openxmlformats.org/officeDocument/2006/relationships/hyperlink" Target="https://calebasse.com/produits/bai-he-bulbe-de-lys-3747?product=3993" TargetMode="External"/><Relationship Id="rId26" Type="http://schemas.openxmlformats.org/officeDocument/2006/relationships/hyperlink" Target="https://res.cloudinary.com/laboratoire-calebasse/image/upload/v1747133184/BULBE_DE_LYS_300_g_ABHEL_a41dd7af5d.jpg" TargetMode="External"/><Relationship Id="rId25" Type="http://schemas.openxmlformats.org/officeDocument/2006/relationships/hyperlink" Target="https://calebasse.com/produits/bai-he-bulbe-de-lys-3747?product=3965" TargetMode="External"/><Relationship Id="rId28" Type="http://schemas.openxmlformats.org/officeDocument/2006/relationships/hyperlink" Target="https://res.cloudinary.com/laboratoire-calebasse/image/upload/v1746526940/LYS_FLEUR_50_g_ABHH_480ce59d71.jpg" TargetMode="External"/><Relationship Id="rId27" Type="http://schemas.openxmlformats.org/officeDocument/2006/relationships/hyperlink" Target="https://calebasse.com/produits/bai-he-hua-fleurs-de-lys-3744?product=3992" TargetMode="External"/><Relationship Id="rId3531" Type="http://schemas.openxmlformats.org/officeDocument/2006/relationships/hyperlink" Target="https://calebasse.com/produits/ban-lan-gen-4750?product=6925" TargetMode="External"/><Relationship Id="rId29" Type="http://schemas.openxmlformats.org/officeDocument/2006/relationships/hyperlink" Target="https://calebasse.com/produits/bo-he-menthe-poivree-3768?product=4026" TargetMode="External"/><Relationship Id="rId2200" Type="http://schemas.openxmlformats.org/officeDocument/2006/relationships/hyperlink" Target="https://res.cloudinary.com/laboratoire-calebasse/image/upload/v1676278359/la_procreation_naturellement_assistee_31b8f41c06.jpg" TargetMode="External"/><Relationship Id="rId3530" Type="http://schemas.openxmlformats.org/officeDocument/2006/relationships/hyperlink" Target="https://res.cloudinary.com/laboratoire-calebasse/image/upload/v1677058063/banlangen100_50685a93d2.jpg" TargetMode="External"/><Relationship Id="rId2201" Type="http://schemas.openxmlformats.org/officeDocument/2006/relationships/hyperlink" Target="https://calebasse.com/produits/livre-les-essentiels-de-la-matiere-medicale-en-pharmacopee-chinoise-4741?product=6902" TargetMode="External"/><Relationship Id="rId3533" Type="http://schemas.openxmlformats.org/officeDocument/2006/relationships/hyperlink" Target="https://calebasse.com/produits/bai-shao-yao-4769?product=6963" TargetMode="External"/><Relationship Id="rId2202" Type="http://schemas.openxmlformats.org/officeDocument/2006/relationships/hyperlink" Target="https://res.cloudinary.com/laboratoire-calebasse/image/upload/v1676278664/les_essentiels_de_la_matiere_medicale_en_pharmacopee_chinoise_dc3d96f689.jpg" TargetMode="External"/><Relationship Id="rId3532" Type="http://schemas.openxmlformats.org/officeDocument/2006/relationships/hyperlink" Target="https://res.cloudinary.com/laboratoire-calebasse/image/upload/v1677058089/banlangen_107af001b0.jpg" TargetMode="External"/><Relationship Id="rId3524" Type="http://schemas.openxmlformats.org/officeDocument/2006/relationships/hyperlink" Target="https://res.cloudinary.com/laboratoire-calebasse/image/upload/v1681223818/chayedai2_daf119cf31.jpg" TargetMode="External"/><Relationship Id="rId3523" Type="http://schemas.openxmlformats.org/officeDocument/2006/relationships/hyperlink" Target="https://res.cloudinary.com/laboratoire-calebasse/image/upload/v1754487771/tao_jiao_1671580a70.jpg" TargetMode="External"/><Relationship Id="rId3526" Type="http://schemas.openxmlformats.org/officeDocument/2006/relationships/hyperlink" Target="https://res.cloudinary.com/laboratoire-calebasse/image/upload/v1677060917/bohe100_a84a4827f4.jpg" TargetMode="External"/><Relationship Id="rId3525" Type="http://schemas.openxmlformats.org/officeDocument/2006/relationships/hyperlink" Target="https://calebasse.com/produits/bo-he-4754?product=6932" TargetMode="External"/><Relationship Id="rId11" Type="http://schemas.openxmlformats.org/officeDocument/2006/relationships/hyperlink" Target="https://calebasse.com/produits/bai-dou-kou-graines-de-cardamome-3746?product=3990" TargetMode="External"/><Relationship Id="rId3528" Type="http://schemas.openxmlformats.org/officeDocument/2006/relationships/hyperlink" Target="https://res.cloudinary.com/laboratoire-calebasse/image/upload/v1677061319/bohe_45a0b5b81c.jpg" TargetMode="External"/><Relationship Id="rId10" Type="http://schemas.openxmlformats.org/officeDocument/2006/relationships/hyperlink" Target="https://res.cloudinary.com/laboratoire-calebasse/image/upload/v1746526912/GRAINES_DE_CARDAMOME_50_g_ABDK_27a09b3ae1.jpg" TargetMode="External"/><Relationship Id="rId3527" Type="http://schemas.openxmlformats.org/officeDocument/2006/relationships/hyperlink" Target="https://calebasse.com/produits/bo-he-4754?product=6933" TargetMode="External"/><Relationship Id="rId13" Type="http://schemas.openxmlformats.org/officeDocument/2006/relationships/hyperlink" Target="https://calebasse.com/produits/bai-dou-kou-graines-de-cardamome-3746?product=3956" TargetMode="External"/><Relationship Id="rId12" Type="http://schemas.openxmlformats.org/officeDocument/2006/relationships/hyperlink" Target="https://res.cloudinary.com/laboratoire-calebasse/image/upload/v1634201104/A_baidoukoucp_e4c45664ed.jpg" TargetMode="External"/><Relationship Id="rId3529" Type="http://schemas.openxmlformats.org/officeDocument/2006/relationships/hyperlink" Target="https://calebasse.com/produits/ban-lan-gen-4750?product=6924" TargetMode="External"/><Relationship Id="rId15" Type="http://schemas.openxmlformats.org/officeDocument/2006/relationships/hyperlink" Target="https://calebasse.com/produits/bai-dou-kou-graines-de-cardamome-3746?product=3962" TargetMode="External"/><Relationship Id="rId14" Type="http://schemas.openxmlformats.org/officeDocument/2006/relationships/hyperlink" Target="https://res.cloudinary.com/laboratoire-calebasse/image/upload/v1634201098/A_baidoukougl_d564adc816.jpg" TargetMode="External"/><Relationship Id="rId17" Type="http://schemas.openxmlformats.org/officeDocument/2006/relationships/hyperlink" Target="https://calebasse.com/produits/bo-he-menthe-poivree-3768?product=3971" TargetMode="External"/><Relationship Id="rId16" Type="http://schemas.openxmlformats.org/officeDocument/2006/relationships/hyperlink" Target="https://res.cloudinary.com/laboratoire-calebasse/image/upload/v1747133345/GRAINES_DE_CARDAMOME_300_g_ABDKL_889b2eba2d.jpg" TargetMode="External"/><Relationship Id="rId19" Type="http://schemas.openxmlformats.org/officeDocument/2006/relationships/hyperlink" Target="https://calebasse.com/produits/bai-he-bulbe-de-lys-3747?product=3953" TargetMode="External"/><Relationship Id="rId3520" Type="http://schemas.openxmlformats.org/officeDocument/2006/relationships/hyperlink" Target="https://calebasse.com/produits/poster-herbier-dnmtc-4424?product=6414" TargetMode="External"/><Relationship Id="rId18" Type="http://schemas.openxmlformats.org/officeDocument/2006/relationships/hyperlink" Target="https://res.cloudinary.com/laboratoire-calebasse/image/upload/v1746528880/MENTHE_POIVREE_50_g_ABH_ccfa797589.jpg" TargetMode="External"/><Relationship Id="rId3522" Type="http://schemas.openxmlformats.org/officeDocument/2006/relationships/hyperlink" Target="https://calebasse.com/produits/tao-jiao-pectine-de-peche-4680?product=6818" TargetMode="External"/><Relationship Id="rId3521" Type="http://schemas.openxmlformats.org/officeDocument/2006/relationships/hyperlink" Target="https://res.cloudinary.com/laboratoire-calebasse/image/upload/v1634201201/poster_7e33e3ab59.jpg" TargetMode="External"/><Relationship Id="rId84" Type="http://schemas.openxmlformats.org/officeDocument/2006/relationships/hyperlink" Target="https://res.cloudinary.com/laboratoire-calebasse/image/upload/v1747133115/RENOUEE_DES_OISEAUX_150_g_ABXL_525da8e0f8.jpg" TargetMode="External"/><Relationship Id="rId1774" Type="http://schemas.openxmlformats.org/officeDocument/2006/relationships/hyperlink" Target="https://res.cloudinary.com/laboratoire-calebasse/image/upload/v1753352924/QING_QI_HUA_TAN_WAN_CQQHTW_0965b39a70.jpg" TargetMode="External"/><Relationship Id="rId83" Type="http://schemas.openxmlformats.org/officeDocument/2006/relationships/hyperlink" Target="https://calebasse.com/produits/bian-xu-renouee-des-oiseaux-3767?product=4025" TargetMode="External"/><Relationship Id="rId1775" Type="http://schemas.openxmlformats.org/officeDocument/2006/relationships/hyperlink" Target="https://calebasse.com/produits/qing-qi-hua-tan-wan-4127?product=5466" TargetMode="External"/><Relationship Id="rId86" Type="http://schemas.openxmlformats.org/officeDocument/2006/relationships/hyperlink" Target="https://res.cloudinary.com/laboratoire-calebasse/image/upload/v1746529034/GRUAU_AUX_CINQ_ROUGES_100_g_ABXWHZ_3fdc4542b8.jpg" TargetMode="External"/><Relationship Id="rId1776" Type="http://schemas.openxmlformats.org/officeDocument/2006/relationships/hyperlink" Target="https://res.cloudinary.com/laboratoire-calebasse/image/upload/v1753352935/QING_QI_HUA_TAN_WAN_CQQHTWCP_461ee5e028.jpg" TargetMode="External"/><Relationship Id="rId85" Type="http://schemas.openxmlformats.org/officeDocument/2006/relationships/hyperlink" Target="https://calebasse.com/produits/bu-xue-wu-hong-zhou-gruau-au-longan-et-arachides-4674?product=6813" TargetMode="External"/><Relationship Id="rId1777" Type="http://schemas.openxmlformats.org/officeDocument/2006/relationships/hyperlink" Target="https://calebasse.com/produits/qin-yin-tang-4716?product=6861" TargetMode="External"/><Relationship Id="rId88" Type="http://schemas.openxmlformats.org/officeDocument/2006/relationships/hyperlink" Target="https://res.cloudinary.com/laboratoire-calebasse/image/upload/v1753347367/_90b6d1b492.jpg" TargetMode="External"/><Relationship Id="rId1778" Type="http://schemas.openxmlformats.org/officeDocument/2006/relationships/hyperlink" Target="https://res.cloudinary.com/laboratoire-calebasse/image/upload/v1675075324/C_qinyintang_27ab0c5718.jpg" TargetMode="External"/><Relationship Id="rId87" Type="http://schemas.openxmlformats.org/officeDocument/2006/relationships/hyperlink" Target="https://calebasse.com/produits/bu-xue-wu-hong-zhou-gruau-au-longan-et-arachides-4674?product=7370" TargetMode="External"/><Relationship Id="rId1779" Type="http://schemas.openxmlformats.org/officeDocument/2006/relationships/hyperlink" Target="https://calebasse.com/produits/run-chang-wan-4492?product=5480" TargetMode="External"/><Relationship Id="rId89" Type="http://schemas.openxmlformats.org/officeDocument/2006/relationships/hyperlink" Target="https://calebasse.com/produits/bai-zhu-chao-rhizome-datractylode-preparee-3757?product=3988" TargetMode="External"/><Relationship Id="rId80" Type="http://schemas.openxmlformats.org/officeDocument/2006/relationships/hyperlink" Target="https://res.cloudinary.com/laboratoire-calebasse/image/upload/v1634201098/A_bianxucp_109114f17a.jpg" TargetMode="External"/><Relationship Id="rId82" Type="http://schemas.openxmlformats.org/officeDocument/2006/relationships/hyperlink" Target="https://res.cloudinary.com/laboratoire-calebasse/image/upload/v1634201092/A_bianxugl_04ada46cba.jpg" TargetMode="External"/><Relationship Id="rId81" Type="http://schemas.openxmlformats.org/officeDocument/2006/relationships/hyperlink" Target="https://calebasse.com/produits/bian-xu-renouee-des-oiseaux-3767?product=4022" TargetMode="External"/><Relationship Id="rId1770" Type="http://schemas.openxmlformats.org/officeDocument/2006/relationships/hyperlink" Target="https://res.cloudinary.com/laboratoire-calebasse/image/upload/v1753352664/QIAN_LIE_XIAN_WAN_CQLXW_b483b79ea5.jpg" TargetMode="External"/><Relationship Id="rId1771" Type="http://schemas.openxmlformats.org/officeDocument/2006/relationships/hyperlink" Target="https://calebasse.com/produits/qian-lie-xian-wan-4121?product=5438" TargetMode="External"/><Relationship Id="rId1772" Type="http://schemas.openxmlformats.org/officeDocument/2006/relationships/hyperlink" Target="https://res.cloudinary.com/laboratoire-calebasse/image/upload/v1753352781/QIAN_LIE_XIAN_WAN_CQLXWCP_0e95517593.jpg" TargetMode="External"/><Relationship Id="rId1773" Type="http://schemas.openxmlformats.org/officeDocument/2006/relationships/hyperlink" Target="https://calebasse.com/produits/qing-qi-hua-tan-wan-4127?product=5464" TargetMode="External"/><Relationship Id="rId73" Type="http://schemas.openxmlformats.org/officeDocument/2006/relationships/hyperlink" Target="https://calebasse.com/produits/bei-sha-shen-racines-de-glehnia-5092?product=7329" TargetMode="External"/><Relationship Id="rId1763" Type="http://schemas.openxmlformats.org/officeDocument/2006/relationships/hyperlink" Target="https://calebasse.com/produits/qi-ju-di-huang-wan-4115?product=5418" TargetMode="External"/><Relationship Id="rId72" Type="http://schemas.openxmlformats.org/officeDocument/2006/relationships/hyperlink" Target="https://res.cloudinary.com/laboratoire-calebasse/image/upload/v1747133219/PIVOINE_BLANCHE_RACINES_300_g_ABSL_27b54478af.jpg" TargetMode="External"/><Relationship Id="rId1764" Type="http://schemas.openxmlformats.org/officeDocument/2006/relationships/hyperlink" Target="https://res.cloudinary.com/laboratoire-calebasse/image/upload/v1753104752/QI_JU_DI_HUANG_WAN_CQJDHWCP_da930a48ee.jpg" TargetMode="External"/><Relationship Id="rId75" Type="http://schemas.openxmlformats.org/officeDocument/2006/relationships/hyperlink" Target="https://calebasse.com/produits/bei-sha-shen-racines-de-glehnia-5092?product=7330" TargetMode="External"/><Relationship Id="rId1765" Type="http://schemas.openxmlformats.org/officeDocument/2006/relationships/hyperlink" Target="https://calebasse.com/produits/qing-kong-tang-4126?product=5460" TargetMode="External"/><Relationship Id="rId74" Type="http://schemas.openxmlformats.org/officeDocument/2006/relationships/hyperlink" Target="https://res.cloudinary.com/laboratoire-calebasse/image/upload/v1746524477/RACINES_DE_GLEHNIA_100_g_ABSS_47e4320560.jpg" TargetMode="External"/><Relationship Id="rId1766" Type="http://schemas.openxmlformats.org/officeDocument/2006/relationships/hyperlink" Target="https://res.cloudinary.com/laboratoire-calebasse/image/upload/v1753352896/QING_KONG_TANG_CQKT_3c8e30b3e2.jpg" TargetMode="External"/><Relationship Id="rId77" Type="http://schemas.openxmlformats.org/officeDocument/2006/relationships/hyperlink" Target="https://calebasse.com/produits/bian-xu-renouee-des-oiseaux-3767?product=4007" TargetMode="External"/><Relationship Id="rId1767" Type="http://schemas.openxmlformats.org/officeDocument/2006/relationships/hyperlink" Target="https://calebasse.com/produits/qing-kong-tang-4126?product=5461" TargetMode="External"/><Relationship Id="rId76" Type="http://schemas.openxmlformats.org/officeDocument/2006/relationships/hyperlink" Target="https://res.cloudinary.com/laboratoire-calebasse/image/upload/v1746629394/RACINES_DE_GLEHNIA_300_g_ABSSL_9e5a758941.jpg" TargetMode="External"/><Relationship Id="rId1768" Type="http://schemas.openxmlformats.org/officeDocument/2006/relationships/hyperlink" Target="https://res.cloudinary.com/laboratoire-calebasse/image/upload/v1753352907/QING_KONG_TANG_CQKTCP_9a8267ba00.jpg" TargetMode="External"/><Relationship Id="rId79" Type="http://schemas.openxmlformats.org/officeDocument/2006/relationships/hyperlink" Target="https://calebasse.com/produits/bian-xu-renouee-des-oiseaux-3767?product=4017" TargetMode="External"/><Relationship Id="rId1769" Type="http://schemas.openxmlformats.org/officeDocument/2006/relationships/hyperlink" Target="https://calebasse.com/produits/qian-lie-xian-wan-4121?product=5436" TargetMode="External"/><Relationship Id="rId78" Type="http://schemas.openxmlformats.org/officeDocument/2006/relationships/hyperlink" Target="https://res.cloudinary.com/laboratoire-calebasse/image/upload/v1746528821/RENOUEE_DES_OISEAUX_50_g_ABX_9d55bf6e10.jpg" TargetMode="External"/><Relationship Id="rId71" Type="http://schemas.openxmlformats.org/officeDocument/2006/relationships/hyperlink" Target="https://calebasse.com/produits/bai-shao-yao-pivoine-blanche-4441?product=3983" TargetMode="External"/><Relationship Id="rId70" Type="http://schemas.openxmlformats.org/officeDocument/2006/relationships/hyperlink" Target="https://res.cloudinary.com/laboratoire-calebasse/image/upload/v1698323656/A_baishao_36b6399116.jpg" TargetMode="External"/><Relationship Id="rId1760" Type="http://schemas.openxmlformats.org/officeDocument/2006/relationships/hyperlink" Target="https://res.cloudinary.com/laboratoire-calebasse/image/upload/v1753352882/QING_FEI_ZHI_KE_WAN_CQFZKWCP_cd729a2b79.jpg" TargetMode="External"/><Relationship Id="rId1761" Type="http://schemas.openxmlformats.org/officeDocument/2006/relationships/hyperlink" Target="https://calebasse.com/produits/qi-ju-di-huang-wan-4115?product=5416" TargetMode="External"/><Relationship Id="rId1762" Type="http://schemas.openxmlformats.org/officeDocument/2006/relationships/hyperlink" Target="https://res.cloudinary.com/laboratoire-calebasse/image/upload/v1753104742/QI_JU_DI_HUANG_WAN_CQJDHW_35302ea04a.jpg" TargetMode="External"/><Relationship Id="rId62" Type="http://schemas.openxmlformats.org/officeDocument/2006/relationships/hyperlink" Target="https://res.cloudinary.com/laboratoire-calebasse/image/upload/v1752221871/RACINES_D_IMPERATE_100_g_ABMG_b2d7b46b01.jpg" TargetMode="External"/><Relationship Id="rId1796" Type="http://schemas.openxmlformats.org/officeDocument/2006/relationships/hyperlink" Target="https://res.cloudinary.com/laboratoire-calebasse/image/upload/v1634201224/C_shuganheweiwan_e05f299f92.jpg" TargetMode="External"/><Relationship Id="rId61" Type="http://schemas.openxmlformats.org/officeDocument/2006/relationships/hyperlink" Target="https://calebasse.com/produits/bai-mao-gen-racines-dimperate-3752?product=3982" TargetMode="External"/><Relationship Id="rId1797" Type="http://schemas.openxmlformats.org/officeDocument/2006/relationships/hyperlink" Target="https://calebasse.com/produits/shu-gan-he-wei-wan-4148?product=5546" TargetMode="External"/><Relationship Id="rId64" Type="http://schemas.openxmlformats.org/officeDocument/2006/relationships/hyperlink" Target="https://res.cloudinary.com/laboratoire-calebasse/image/upload/v1752221859/RACINES_D_IMPERATE_300_g_ABMGL_428cfeb0e4.jpg" TargetMode="External"/><Relationship Id="rId1798" Type="http://schemas.openxmlformats.org/officeDocument/2006/relationships/hyperlink" Target="https://res.cloudinary.com/laboratoire-calebasse/image/upload/v1753105733/SHU_GAN_HE_WEI_WAN_CSGHWWCP_Poudre_14335011d5.jpg" TargetMode="External"/><Relationship Id="rId63" Type="http://schemas.openxmlformats.org/officeDocument/2006/relationships/hyperlink" Target="https://calebasse.com/produits/bai-mao-gen-racines-dimperate-3752?product=3979" TargetMode="External"/><Relationship Id="rId1799" Type="http://schemas.openxmlformats.org/officeDocument/2006/relationships/hyperlink" Target="https://calebasse.com/produits/shu-gan-wan-4147?product=5548" TargetMode="External"/><Relationship Id="rId66" Type="http://schemas.openxmlformats.org/officeDocument/2006/relationships/hyperlink" Target="https://res.cloudinary.com/laboratoire-calebasse/image/upload/v1746526837/PIVOINE_BLANCHE_RACINES_100_g_ABS_c842208875.jpg" TargetMode="External"/><Relationship Id="rId65" Type="http://schemas.openxmlformats.org/officeDocument/2006/relationships/hyperlink" Target="https://calebasse.com/produits/bai-shao-yao-pivoine-blanche-4441?product=4012" TargetMode="External"/><Relationship Id="rId68" Type="http://schemas.openxmlformats.org/officeDocument/2006/relationships/hyperlink" Target="https://res.cloudinary.com/laboratoire-calebasse/image/upload/v1698324109/A_Baishaoyaocp_60d8555672.jpg" TargetMode="External"/><Relationship Id="rId67" Type="http://schemas.openxmlformats.org/officeDocument/2006/relationships/hyperlink" Target="https://calebasse.com/produits/bai-shao-yao-pivoine-blanche-4441?product=4015" TargetMode="External"/><Relationship Id="rId60" Type="http://schemas.openxmlformats.org/officeDocument/2006/relationships/hyperlink" Target="https://res.cloudinary.com/laboratoire-calebasse/image/upload/v1747133162/GRAND_INDIGO_300_g_ABLGL_ef1240fc72.jpg" TargetMode="External"/><Relationship Id="rId69" Type="http://schemas.openxmlformats.org/officeDocument/2006/relationships/hyperlink" Target="https://calebasse.com/produits/bai-shao-yao-pivoine-blanche-4441?product=4003" TargetMode="External"/><Relationship Id="rId1790" Type="http://schemas.openxmlformats.org/officeDocument/2006/relationships/hyperlink" Target="https://res.cloudinary.com/laboratoire-calebasse/image/upload/v1753105677/SHOU_FU_JIANG_ZHI_JIAN_FEI_WAN_CSFJZJFWCP_Poudre_745fae6a72.jpg" TargetMode="External"/><Relationship Id="rId1791" Type="http://schemas.openxmlformats.org/officeDocument/2006/relationships/hyperlink" Target="https://calebasse.com/produits/shao-fu-zhu-yu-tang-4479?product=5508" TargetMode="External"/><Relationship Id="rId1792" Type="http://schemas.openxmlformats.org/officeDocument/2006/relationships/hyperlink" Target="https://res.cloudinary.com/laboratoire-calebasse/image/upload/v1753353025/SHAO_FU_ZHU_YU_TANG_CSFZYT_351803302b.jpg" TargetMode="External"/><Relationship Id="rId1793" Type="http://schemas.openxmlformats.org/officeDocument/2006/relationships/hyperlink" Target="https://calebasse.com/produits/shao-fu-zhu-yu-tang-4479?product=5510" TargetMode="External"/><Relationship Id="rId1794" Type="http://schemas.openxmlformats.org/officeDocument/2006/relationships/hyperlink" Target="https://res.cloudinary.com/laboratoire-calebasse/image/upload/v1753353035/SHAO_FU_ZHU_YU_TANG_CSFZYTCP_fd4a80640c.jpg" TargetMode="External"/><Relationship Id="rId1795" Type="http://schemas.openxmlformats.org/officeDocument/2006/relationships/hyperlink" Target="https://calebasse.com/produits/shu-gan-he-wei-wan-4148?product=5545" TargetMode="External"/><Relationship Id="rId51" Type="http://schemas.openxmlformats.org/officeDocument/2006/relationships/hyperlink" Target="https://calebasse.com/produits/bai-jie-zi-graines-de-moutarde-blanche-3753?product=3994" TargetMode="External"/><Relationship Id="rId1785" Type="http://schemas.openxmlformats.org/officeDocument/2006/relationships/hyperlink" Target="https://calebasse.com/produits/shi-du-qing-jiao-nang-4144?product=5535" TargetMode="External"/><Relationship Id="rId50" Type="http://schemas.openxmlformats.org/officeDocument/2006/relationships/hyperlink" Target="https://res.cloudinary.com/laboratoire-calebasse/image/upload/v1634201098/A_baijiezigl_ce0e066883.jpg" TargetMode="External"/><Relationship Id="rId1786" Type="http://schemas.openxmlformats.org/officeDocument/2006/relationships/hyperlink" Target="https://res.cloudinary.com/laboratoire-calebasse/image/upload/v1753353137/SHI_DU_QING_JIAO_NANG_CSDQJNCP_b0234ddb4d.jpg" TargetMode="External"/><Relationship Id="rId53" Type="http://schemas.openxmlformats.org/officeDocument/2006/relationships/hyperlink" Target="https://calebasse.com/produits/ban-lan-gen-grand-indigo-3763?product=3984" TargetMode="External"/><Relationship Id="rId1787" Type="http://schemas.openxmlformats.org/officeDocument/2006/relationships/hyperlink" Target="https://calebasse.com/produits/shou-fu-jiang-zhi-jian-fei-wan-4145?product=5540" TargetMode="External"/><Relationship Id="rId52" Type="http://schemas.openxmlformats.org/officeDocument/2006/relationships/hyperlink" Target="https://res.cloudinary.com/laboratoire-calebasse/image/upload/v1752221836/MOUTARDE_BLANCHE_GRAINES_300_g_ABJZL_e627459e8b.jpg" TargetMode="External"/><Relationship Id="rId1788" Type="http://schemas.openxmlformats.org/officeDocument/2006/relationships/hyperlink" Target="https://res.cloudinary.com/laboratoire-calebasse/image/upload/v1753105691/SHOU_FU_JIANG_ZHI_JIAN_FEI_WAN_CSFJZJFW_Gelule_62a01f7061.jpg" TargetMode="External"/><Relationship Id="rId55" Type="http://schemas.openxmlformats.org/officeDocument/2006/relationships/hyperlink" Target="https://calebasse.com/produits/ban-lan-gen-grand-indigo-3763?product=3995" TargetMode="External"/><Relationship Id="rId1789" Type="http://schemas.openxmlformats.org/officeDocument/2006/relationships/hyperlink" Target="https://calebasse.com/produits/shou-fu-jiang-zhi-jian-fei-wan-4145?product=5542" TargetMode="External"/><Relationship Id="rId54" Type="http://schemas.openxmlformats.org/officeDocument/2006/relationships/hyperlink" Target="https://res.cloudinary.com/laboratoire-calebasse/image/upload/v1746525491/GRAND_INDIGO_100_g_ABLG_93191938a7.jpg" TargetMode="External"/><Relationship Id="rId57" Type="http://schemas.openxmlformats.org/officeDocument/2006/relationships/hyperlink" Target="https://calebasse.com/produits/ban-lan-gen-grand-indigo-3763?product=3978" TargetMode="External"/><Relationship Id="rId56" Type="http://schemas.openxmlformats.org/officeDocument/2006/relationships/hyperlink" Target="https://res.cloudinary.com/laboratoire-calebasse/image/upload/v1634201111/A_banlangencp_a3164f0928.jpg" TargetMode="External"/><Relationship Id="rId59" Type="http://schemas.openxmlformats.org/officeDocument/2006/relationships/hyperlink" Target="https://calebasse.com/produits/ban-lan-gen-grand-indigo-3763?product=3996" TargetMode="External"/><Relationship Id="rId58" Type="http://schemas.openxmlformats.org/officeDocument/2006/relationships/hyperlink" Target="https://res.cloudinary.com/laboratoire-calebasse/image/upload/v1634201097/A_banlangengl_61b506611a.jpg" TargetMode="External"/><Relationship Id="rId1780" Type="http://schemas.openxmlformats.org/officeDocument/2006/relationships/hyperlink" Target="https://res.cloudinary.com/laboratoire-calebasse/image/upload/v1634201113/C_runchangwan_c36af6a6b0.jpg" TargetMode="External"/><Relationship Id="rId1781" Type="http://schemas.openxmlformats.org/officeDocument/2006/relationships/hyperlink" Target="https://calebasse.com/produits/run-chang-wan-4492?product=5482" TargetMode="External"/><Relationship Id="rId1782" Type="http://schemas.openxmlformats.org/officeDocument/2006/relationships/hyperlink" Target="https://res.cloudinary.com/laboratoire-calebasse/image/upload/v1634201115/C_runchangwancp_0d25e5f7ea.jpg" TargetMode="External"/><Relationship Id="rId1783" Type="http://schemas.openxmlformats.org/officeDocument/2006/relationships/hyperlink" Target="https://calebasse.com/produits/shi-du-qing-jiao-nang-4144?product=5532" TargetMode="External"/><Relationship Id="rId1784" Type="http://schemas.openxmlformats.org/officeDocument/2006/relationships/hyperlink" Target="https://res.cloudinary.com/laboratoire-calebasse/image/upload/v1753353125/SHI_DU_QING_JIAO_NANG_CSDQJN_30a63a8eb1.jpg" TargetMode="External"/><Relationship Id="rId2269" Type="http://schemas.openxmlformats.org/officeDocument/2006/relationships/hyperlink" Target="https://calebasse.com/produits/livre-manuel-pratique-de-psychoenergetique-chinoise-4804?product=7022" TargetMode="External"/><Relationship Id="rId349" Type="http://schemas.openxmlformats.org/officeDocument/2006/relationships/hyperlink" Target="https://res.cloudinary.com/laboratoire-calebasse/image/upload/v1746525886/SOPHORA_DU_JAPON_100_g_AHHM_a012ffa58f.jpg" TargetMode="External"/><Relationship Id="rId348" Type="http://schemas.openxmlformats.org/officeDocument/2006/relationships/hyperlink" Target="https://calebasse.com/produits/huai-hua-mi-sophora-du-japon-3822?product=4316" TargetMode="External"/><Relationship Id="rId347" Type="http://schemas.openxmlformats.org/officeDocument/2006/relationships/hyperlink" Target="https://res.cloudinary.com/laboratoire-calebasse/image/upload/v1746528750/LOTUS_FLEUR_50_g_AHH_9976d6c72f.jpg" TargetMode="External"/><Relationship Id="rId346" Type="http://schemas.openxmlformats.org/officeDocument/2006/relationships/hyperlink" Target="https://calebasse.com/produits/he-hua-fleurs-de-lotus-3815?product=4236" TargetMode="External"/><Relationship Id="rId3591" Type="http://schemas.openxmlformats.org/officeDocument/2006/relationships/hyperlink" Target="https://calebasse.com/produits/jiao-san-xian-4762?product=6949" TargetMode="External"/><Relationship Id="rId2260" Type="http://schemas.openxmlformats.org/officeDocument/2006/relationships/hyperlink" Target="https://res.cloudinary.com/laboratoire-calebasse/image/upload/v1684847800/les_second_printemps_7b1951cdd9.jpg" TargetMode="External"/><Relationship Id="rId3590" Type="http://schemas.openxmlformats.org/officeDocument/2006/relationships/hyperlink" Target="https://res.cloudinary.com/laboratoire-calebasse/image/upload/v1677079314/jiaosanxian100_9245bd0006.jpg" TargetMode="External"/><Relationship Id="rId341" Type="http://schemas.openxmlformats.org/officeDocument/2006/relationships/hyperlink" Target="https://calebasse.com/produits/baies-de-goji-noir-premium-le-roi-des-anthocyanines-5149?product=7422" TargetMode="External"/><Relationship Id="rId2261" Type="http://schemas.openxmlformats.org/officeDocument/2006/relationships/hyperlink" Target="https://calebasse.com/produits/livre-les-sources-paysannes-de-la-medecine-chinoise-4797?product=7018" TargetMode="External"/><Relationship Id="rId3593" Type="http://schemas.openxmlformats.org/officeDocument/2006/relationships/hyperlink" Target="https://calebasse.com/produits/lian-qiao-4774?product=6972" TargetMode="External"/><Relationship Id="rId340" Type="http://schemas.openxmlformats.org/officeDocument/2006/relationships/hyperlink" Target="https://res.cloudinary.com/laboratoire-calebasse/image/upload/v1663151758/A_haifengteng_052c95f538.jpg" TargetMode="External"/><Relationship Id="rId2262" Type="http://schemas.openxmlformats.org/officeDocument/2006/relationships/hyperlink" Target="https://res.cloudinary.com/laboratoire-calebasse/image/upload/v1684848154/les_sources_paysannes_de_la_medecine_chinoise_fcce08a920.jpg" TargetMode="External"/><Relationship Id="rId3592" Type="http://schemas.openxmlformats.org/officeDocument/2006/relationships/hyperlink" Target="https://res.cloudinary.com/laboratoire-calebasse/image/upload/v1677064394/jiaosanxian_5f8d8c66f9.jpg" TargetMode="External"/><Relationship Id="rId2263" Type="http://schemas.openxmlformats.org/officeDocument/2006/relationships/hyperlink" Target="https://calebasse.com/produits/livre-les-tresors-de-la-medecine-chinoise-pour-le-monde-daujourdhui-4793?product=7019" TargetMode="External"/><Relationship Id="rId3595" Type="http://schemas.openxmlformats.org/officeDocument/2006/relationships/hyperlink" Target="https://calebasse.com/produits/lian-qiao-4774?product=6973" TargetMode="External"/><Relationship Id="rId2264" Type="http://schemas.openxmlformats.org/officeDocument/2006/relationships/hyperlink" Target="https://res.cloudinary.com/laboratoire-calebasse/image/upload/v1684848322/les_tresors_de_la_medecine_chinoise_pour_le_monde_d_aujourd_hui_cf8d926dd8.jpg" TargetMode="External"/><Relationship Id="rId3594" Type="http://schemas.openxmlformats.org/officeDocument/2006/relationships/hyperlink" Target="https://res.cloudinary.com/laboratoire-calebasse/image/upload/v1677072730/lianqiao_3255c3b677.jpg" TargetMode="External"/><Relationship Id="rId345" Type="http://schemas.openxmlformats.org/officeDocument/2006/relationships/hyperlink" Target="https://res.cloudinary.com/laboratoire-calebasse/image/upload/v1736242430/Instagram_post_1_538f271c38.jpg,https://res.cloudinary.com/laboratoire-calebasse/image/upload/v1736242430/Instagram_post_3_ccf97480d4.jpg,https://res.cloudinary.com/laboratoire-calebasse/image/upload/v1736242430/Instagram_post_2_37d1add9a9.jpg,https://res.cloudinary.com/laboratoire-calebasse/image/upload/v1736242430/Instagram_post_4_49b8b78048.jpg,https://res.cloudinary.com/laboratoire-calebasse/image/upload/v1755770012/Goji_noir_compare_r_1_e0f18e42ab.png" TargetMode="External"/><Relationship Id="rId2265" Type="http://schemas.openxmlformats.org/officeDocument/2006/relationships/hyperlink" Target="https://calebasse.com/produits/livre-les-trois-piliers-de-la-sante-4830?product=7020" TargetMode="External"/><Relationship Id="rId3597" Type="http://schemas.openxmlformats.org/officeDocument/2006/relationships/hyperlink" Target="https://calebasse.com/produits/mai-ya-sheng-4753?product=6930" TargetMode="External"/><Relationship Id="rId344" Type="http://schemas.openxmlformats.org/officeDocument/2006/relationships/hyperlink" Target="https://res.cloudinary.com/laboratoire-calebasse/image/upload/v1755769567/BAIES_DE_GOJI_NOIRES_XL_100_g_AHGQ_XL_a00206b1ef.jpg" TargetMode="External"/><Relationship Id="rId2266" Type="http://schemas.openxmlformats.org/officeDocument/2006/relationships/hyperlink" Target="https://res.cloudinary.com/laboratoire-calebasse/image/upload/v1684848608/les_trois_piliers_de_la_sante_500e0fa23a.jpg" TargetMode="External"/><Relationship Id="rId3596" Type="http://schemas.openxmlformats.org/officeDocument/2006/relationships/hyperlink" Target="https://res.cloudinary.com/laboratoire-calebasse/image/upload/v1677072874/lianqiao_cd1047c4d6.jpg" TargetMode="External"/><Relationship Id="rId343" Type="http://schemas.openxmlformats.org/officeDocument/2006/relationships/hyperlink" Target="https://calebasse.com/produits/baies-de-goji-noir-premium-le-roi-des-anthocyanines-5149?product=7537" TargetMode="External"/><Relationship Id="rId2267" Type="http://schemas.openxmlformats.org/officeDocument/2006/relationships/hyperlink" Target="https://calebasse.com/produits/livre-lexique-des-termes-utiles-en-mtc-4842?product=7021" TargetMode="External"/><Relationship Id="rId3599" Type="http://schemas.openxmlformats.org/officeDocument/2006/relationships/hyperlink" Target="https://calebasse.com/produits/mai-ya-sheng-4753?product=6931" TargetMode="External"/><Relationship Id="rId342" Type="http://schemas.openxmlformats.org/officeDocument/2006/relationships/hyperlink" Target="https://res.cloudinary.com/laboratoire-calebasse/image/upload/v1746535241/BAIES_DE_GOJI_NOIRES_100_g_AHGQ_25b0f1a07a.jpg" TargetMode="External"/><Relationship Id="rId2268" Type="http://schemas.openxmlformats.org/officeDocument/2006/relationships/hyperlink" Target="https://res.cloudinary.com/laboratoire-calebasse/image/upload/v1684849030/lexique_des_termes_utiles_en_mtc_0658fbd9e3.jpg" TargetMode="External"/><Relationship Id="rId3598" Type="http://schemas.openxmlformats.org/officeDocument/2006/relationships/hyperlink" Target="https://res.cloudinary.com/laboratoire-calebasse/image/upload/v1677079366/maiyashen100_f7da3a84de.jpg" TargetMode="External"/><Relationship Id="rId2258" Type="http://schemas.openxmlformats.org/officeDocument/2006/relationships/hyperlink" Target="https://res.cloudinary.com/laboratoire-calebasse/image/upload/v1684847550/les_quatre_piliers_de_la_medecine_chinoise_c6f7ca6e07.jpg" TargetMode="External"/><Relationship Id="rId2259" Type="http://schemas.openxmlformats.org/officeDocument/2006/relationships/hyperlink" Target="https://calebasse.com/produits/livre-le-second-printemps-4796?product=7017" TargetMode="External"/><Relationship Id="rId3589" Type="http://schemas.openxmlformats.org/officeDocument/2006/relationships/hyperlink" Target="https://calebasse.com/produits/jiao-san-xian-4762?product=6948" TargetMode="External"/><Relationship Id="rId338" Type="http://schemas.openxmlformats.org/officeDocument/2006/relationships/hyperlink" Target="https://res.cloudinary.com/laboratoire-calebasse/image/upload/v1746526185/LIANE_DE_POIVRE_JAPONAIS_100_g_AHFT_3496ab2962.jpg" TargetMode="External"/><Relationship Id="rId337" Type="http://schemas.openxmlformats.org/officeDocument/2006/relationships/hyperlink" Target="https://calebasse.com/produits/hai-feng-teng-liane-de-poivre-japonais-3811?product=4226" TargetMode="External"/><Relationship Id="rId336" Type="http://schemas.openxmlformats.org/officeDocument/2006/relationships/hyperlink" Target="https://res.cloudinary.com/laboratoire-calebasse/image/upload/v1747064861/TIGES_DE_CANNELLE_300_g_AGZL_4df82889bf.jpg" TargetMode="External"/><Relationship Id="rId335" Type="http://schemas.openxmlformats.org/officeDocument/2006/relationships/hyperlink" Target="https://calebasse.com/produits/gui-zhi-tiges-de-cannelle-4509?product=4221" TargetMode="External"/><Relationship Id="rId3580" Type="http://schemas.openxmlformats.org/officeDocument/2006/relationships/hyperlink" Target="https://res.cloudinary.com/laboratoire-calebasse/image/upload/v1677061500/haipiaoxiao_b7a78bfdc0.jpg" TargetMode="External"/><Relationship Id="rId339" Type="http://schemas.openxmlformats.org/officeDocument/2006/relationships/hyperlink" Target="https://calebasse.com/produits/hai-feng-teng-liane-de-poivre-japonais-3811?product=4227" TargetMode="External"/><Relationship Id="rId330" Type="http://schemas.openxmlformats.org/officeDocument/2006/relationships/hyperlink" Target="https://res.cloudinary.com/laboratoire-calebasse/image/upload/v1747132494/GRIFFE_DE_CHAT_240_g_AGTL_01e55cbcb2.jpg" TargetMode="External"/><Relationship Id="rId2250" Type="http://schemas.openxmlformats.org/officeDocument/2006/relationships/hyperlink" Target="https://res.cloudinary.com/laboratoire-calebasse/image/upload/v1684845943/le_livre_du_do_in_b63604af08.jpg" TargetMode="External"/><Relationship Id="rId3582" Type="http://schemas.openxmlformats.org/officeDocument/2006/relationships/hyperlink" Target="https://res.cloudinary.com/laboratoire-calebasse/image/upload/v1677079279/huangqi_6ad61cc1bf.jpg" TargetMode="External"/><Relationship Id="rId2251" Type="http://schemas.openxmlformats.org/officeDocument/2006/relationships/hyperlink" Target="https://calebasse.com/produits/livre-les-101-notions-cles-de-la-medecine-chinoise-4798?product=7013" TargetMode="External"/><Relationship Id="rId3581" Type="http://schemas.openxmlformats.org/officeDocument/2006/relationships/hyperlink" Target="https://calebasse.com/produits/huang-qi-4759?product=6942" TargetMode="External"/><Relationship Id="rId2252" Type="http://schemas.openxmlformats.org/officeDocument/2006/relationships/hyperlink" Target="https://res.cloudinary.com/laboratoire-calebasse/image/upload/v1684846340/les_101_notions_cles_de_la_medecine_chinoise_d8c66661e7.jpg" TargetMode="External"/><Relationship Id="rId3584" Type="http://schemas.openxmlformats.org/officeDocument/2006/relationships/hyperlink" Target="https://res.cloudinary.com/laboratoire-calebasse/image/upload/v1677063901/huangqi_9d4d44864a.jpg" TargetMode="External"/><Relationship Id="rId2253" Type="http://schemas.openxmlformats.org/officeDocument/2006/relationships/hyperlink" Target="https://calebasse.com/produits/livre-les-bienfaits-des-huiles-essentielles-selon-les-principes-de-la-medecine-chinoise-4792?product=7014" TargetMode="External"/><Relationship Id="rId3583" Type="http://schemas.openxmlformats.org/officeDocument/2006/relationships/hyperlink" Target="https://calebasse.com/produits/huang-qi-4759?product=6943" TargetMode="External"/><Relationship Id="rId334" Type="http://schemas.openxmlformats.org/officeDocument/2006/relationships/hyperlink" Target="https://res.cloudinary.com/laboratoire-calebasse/image/upload/v1634201104/A_guizhigl_b349909e71.jpg" TargetMode="External"/><Relationship Id="rId2254" Type="http://schemas.openxmlformats.org/officeDocument/2006/relationships/hyperlink" Target="https://res.cloudinary.com/laboratoire-calebasse/image/upload/v1684846686/les_bienfaits_des_huiles_essentielles_e017448b65.jpg" TargetMode="External"/><Relationship Id="rId3586" Type="http://schemas.openxmlformats.org/officeDocument/2006/relationships/hyperlink" Target="https://res.cloudinary.com/laboratoire-calebasse/image/upload/v1677079342/jiegeng100_699f7f4e9e.jpg" TargetMode="External"/><Relationship Id="rId333" Type="http://schemas.openxmlformats.org/officeDocument/2006/relationships/hyperlink" Target="https://calebasse.com/produits/gui-zhi-tiges-de-cannelle-4509?product=4224" TargetMode="External"/><Relationship Id="rId2255" Type="http://schemas.openxmlformats.org/officeDocument/2006/relationships/hyperlink" Target="https://calebasse.com/produits/livre-les-maux-en-mains-4794?product=7015" TargetMode="External"/><Relationship Id="rId3585" Type="http://schemas.openxmlformats.org/officeDocument/2006/relationships/hyperlink" Target="https://calebasse.com/produits/jie-geng-4744?product=6912" TargetMode="External"/><Relationship Id="rId332" Type="http://schemas.openxmlformats.org/officeDocument/2006/relationships/hyperlink" Target="https://res.cloudinary.com/laboratoire-calebasse/image/upload/v1746525552/TIGES_DE_CANNELLE_100_g_AGZ_d33cb04620.jpg" TargetMode="External"/><Relationship Id="rId2256" Type="http://schemas.openxmlformats.org/officeDocument/2006/relationships/hyperlink" Target="https://res.cloudinary.com/laboratoire-calebasse/image/upload/v1684847179/les_maux_en_mains_6b11975209.jpg" TargetMode="External"/><Relationship Id="rId3588" Type="http://schemas.openxmlformats.org/officeDocument/2006/relationships/hyperlink" Target="https://res.cloudinary.com/laboratoire-calebasse/image/upload/v1677056326/jiegeng_7cd1d5137a.jpg" TargetMode="External"/><Relationship Id="rId331" Type="http://schemas.openxmlformats.org/officeDocument/2006/relationships/hyperlink" Target="https://calebasse.com/produits/gui-zhi-tiges-de-cannelle-4509?product=4220" TargetMode="External"/><Relationship Id="rId2257" Type="http://schemas.openxmlformats.org/officeDocument/2006/relationships/hyperlink" Target="https://calebasse.com/produits/livre-les-quatre-piliers-de-la-medecine-chinoise-4820?product=7016" TargetMode="External"/><Relationship Id="rId3587" Type="http://schemas.openxmlformats.org/officeDocument/2006/relationships/hyperlink" Target="https://calebasse.com/produits/jie-geng-4744?product=6913" TargetMode="External"/><Relationship Id="rId370" Type="http://schemas.openxmlformats.org/officeDocument/2006/relationships/hyperlink" Target="https://calebasse.com/produits/huang-jing-cordee-des-montagnes-3812?product=4322" TargetMode="External"/><Relationship Id="rId369" Type="http://schemas.openxmlformats.org/officeDocument/2006/relationships/hyperlink" Target="https://res.cloudinary.com/laboratoire-calebasse/image/upload/v1634201104/A_honghuagl_dd67efe6a8.jpg" TargetMode="External"/><Relationship Id="rId368" Type="http://schemas.openxmlformats.org/officeDocument/2006/relationships/hyperlink" Target="https://calebasse.com/produits/hong-hua-fleurs-de-carthame-3836?product=4269" TargetMode="External"/><Relationship Id="rId2280" Type="http://schemas.openxmlformats.org/officeDocument/2006/relationships/hyperlink" Target="https://res.cloudinary.com/laboratoire-calebasse/image/upload/v1684852010/pediatrie_b58a44f39a.jpg" TargetMode="External"/><Relationship Id="rId2281" Type="http://schemas.openxmlformats.org/officeDocument/2006/relationships/hyperlink" Target="https://calebasse.com/produits/livre-cahiers-cliniques-dacupuncture-n4-4833?product=7028" TargetMode="External"/><Relationship Id="rId2282" Type="http://schemas.openxmlformats.org/officeDocument/2006/relationships/hyperlink" Target="https://res.cloudinary.com/laboratoire-calebasse/image/upload/v1684852189/rhumatologie4_bf59beb84c.jpg" TargetMode="External"/><Relationship Id="rId363" Type="http://schemas.openxmlformats.org/officeDocument/2006/relationships/hyperlink" Target="https://res.cloudinary.com/laboratoire-calebasse/image/upload/v1747064800/ECORCE_D_ARBRE_A_SOIE_300_g_AHHPL_6294bb12ea.jpg" TargetMode="External"/><Relationship Id="rId2283" Type="http://schemas.openxmlformats.org/officeDocument/2006/relationships/hyperlink" Target="https://calebasse.com/produits/livre-cahiers-cliniques-dacupuncture-n7-4837?product=7029" TargetMode="External"/><Relationship Id="rId362" Type="http://schemas.openxmlformats.org/officeDocument/2006/relationships/hyperlink" Target="https://calebasse.com/produits/he-huan-pi-ecorce-darbre-a-soie-3817?product=4245" TargetMode="External"/><Relationship Id="rId2284" Type="http://schemas.openxmlformats.org/officeDocument/2006/relationships/hyperlink" Target="https://res.cloudinary.com/laboratoire-calebasse/image/upload/v1684852544/orl7_e50b2f56fc.jpg" TargetMode="External"/><Relationship Id="rId361" Type="http://schemas.openxmlformats.org/officeDocument/2006/relationships/hyperlink" Target="https://res.cloudinary.com/laboratoire-calebasse/image/upload/v1634201110/A_hehuanpigl_42045a02dc.jpg" TargetMode="External"/><Relationship Id="rId2285" Type="http://schemas.openxmlformats.org/officeDocument/2006/relationships/hyperlink" Target="https://calebasse.com/produits/livre-petit-ventre-heureux-attend-un-bebe-4806?product=7030" TargetMode="External"/><Relationship Id="rId360" Type="http://schemas.openxmlformats.org/officeDocument/2006/relationships/hyperlink" Target="https://calebasse.com/produits/he-huan-pi-ecorce-darbre-a-soie-3817?product=4248" TargetMode="External"/><Relationship Id="rId2286" Type="http://schemas.openxmlformats.org/officeDocument/2006/relationships/hyperlink" Target="https://res.cloudinary.com/laboratoire-calebasse/image/upload/v1684852958/petit_ventre_heureux_c40fdf992e.jpg" TargetMode="External"/><Relationship Id="rId367" Type="http://schemas.openxmlformats.org/officeDocument/2006/relationships/hyperlink" Target="https://res.cloudinary.com/laboratoire-calebasse/image/upload/v1634201105/A_honghuacp_c7eb177837.jpg" TargetMode="External"/><Relationship Id="rId2287" Type="http://schemas.openxmlformats.org/officeDocument/2006/relationships/hyperlink" Target="https://calebasse.com/produits/livre-pharmacopee-chinoise-le-livre-de-reference-pour-se-soigner-au-naturel-4845?product=7031" TargetMode="External"/><Relationship Id="rId366" Type="http://schemas.openxmlformats.org/officeDocument/2006/relationships/hyperlink" Target="https://calebasse.com/produits/hong-hua-fleurs-de-carthame-3836?product=4268" TargetMode="External"/><Relationship Id="rId2288" Type="http://schemas.openxmlformats.org/officeDocument/2006/relationships/hyperlink" Target="https://res.cloudinary.com/laboratoire-calebasse/image/upload/v1684854234/pharmacopee_chinoise_9ac83e165d.jpg" TargetMode="External"/><Relationship Id="rId365" Type="http://schemas.openxmlformats.org/officeDocument/2006/relationships/hyperlink" Target="https://res.cloudinary.com/laboratoire-calebasse/image/upload/v1746527444/FLEURS_DE_CARTHAME_50_g_AHHUA_b871d9d18c.jpg" TargetMode="External"/><Relationship Id="rId2289" Type="http://schemas.openxmlformats.org/officeDocument/2006/relationships/hyperlink" Target="https://calebasse.com/produits/livre-sarreter-de-fumer-avec-1-seance-dacupuncture-4808?product=7032" TargetMode="External"/><Relationship Id="rId364" Type="http://schemas.openxmlformats.org/officeDocument/2006/relationships/hyperlink" Target="https://calebasse.com/produits/hong-hua-fleurs-de-carthame-3836?product=4266" TargetMode="External"/><Relationship Id="rId95" Type="http://schemas.openxmlformats.org/officeDocument/2006/relationships/hyperlink" Target="https://calebasse.com/produits/bai-zhu-chao-rhizome-datractylode-preparee-3757?product=3998" TargetMode="External"/><Relationship Id="rId94" Type="http://schemas.openxmlformats.org/officeDocument/2006/relationships/hyperlink" Target="https://res.cloudinary.com/laboratoire-calebasse/image/upload/v1634201104/A_baizhuchaogl_c84f57d384.jpg" TargetMode="External"/><Relationship Id="rId97" Type="http://schemas.openxmlformats.org/officeDocument/2006/relationships/hyperlink" Target="https://calebasse.com/produits/bai-zhi-angelique-dahurienne-3750?product=3976" TargetMode="External"/><Relationship Id="rId96" Type="http://schemas.openxmlformats.org/officeDocument/2006/relationships/hyperlink" Target="https://res.cloudinary.com/laboratoire-calebasse/image/upload/v1747133053/RHIZOME_D_ATRACTYLODE_PREPAREE_300_g_ABZCL_bbd60aa1ea.jpg" TargetMode="External"/><Relationship Id="rId99" Type="http://schemas.openxmlformats.org/officeDocument/2006/relationships/hyperlink" Target="https://calebasse.com/produits/bai-zhi-angelique-dahurienne-3750?product=3973" TargetMode="External"/><Relationship Id="rId98" Type="http://schemas.openxmlformats.org/officeDocument/2006/relationships/hyperlink" Target="https://res.cloudinary.com/laboratoire-calebasse/image/upload/v1634201111/A_baizhicp_1575c28118.jpg" TargetMode="External"/><Relationship Id="rId91" Type="http://schemas.openxmlformats.org/officeDocument/2006/relationships/hyperlink" Target="https://calebasse.com/produits/bai-zhu-chao-rhizome-datractylode-preparee-3757?product=3977" TargetMode="External"/><Relationship Id="rId90" Type="http://schemas.openxmlformats.org/officeDocument/2006/relationships/hyperlink" Target="https://res.cloudinary.com/laboratoire-calebasse/image/upload/v1746526361/RHIZOME_D_ATRACTYLODE_PREPAREE_100_g_ABZC_0825896ba5.jpg" TargetMode="External"/><Relationship Id="rId93" Type="http://schemas.openxmlformats.org/officeDocument/2006/relationships/hyperlink" Target="https://calebasse.com/produits/bai-zhu-chao-rhizome-datractylode-preparee-3757?product=3999" TargetMode="External"/><Relationship Id="rId92" Type="http://schemas.openxmlformats.org/officeDocument/2006/relationships/hyperlink" Target="https://res.cloudinary.com/laboratoire-calebasse/image/upload/v1634201092/A_baizhuchaocp_635043199c.jpg" TargetMode="External"/><Relationship Id="rId359" Type="http://schemas.openxmlformats.org/officeDocument/2006/relationships/hyperlink" Target="https://res.cloudinary.com/laboratoire-calebasse/image/upload/v1634201104/A_hehuanpicp_fd637758f3.jpg" TargetMode="External"/><Relationship Id="rId358" Type="http://schemas.openxmlformats.org/officeDocument/2006/relationships/hyperlink" Target="https://calebasse.com/produits/he-huan-pi-ecorce-darbre-a-soie-3817?product=4246" TargetMode="External"/><Relationship Id="rId357" Type="http://schemas.openxmlformats.org/officeDocument/2006/relationships/hyperlink" Target="https://res.cloudinary.com/laboratoire-calebasse/image/upload/v1746524570/ECORCE_D_ARBRE_A_SOIE_100_g_AHHP_2adb3ae8b6.jpg" TargetMode="External"/><Relationship Id="rId2270" Type="http://schemas.openxmlformats.org/officeDocument/2006/relationships/hyperlink" Target="https://res.cloudinary.com/laboratoire-calebasse/image/upload/v1684849534/manuel_pratique_de_psychoenergetique_chinoise_c4128d525b.jpg" TargetMode="External"/><Relationship Id="rId2271" Type="http://schemas.openxmlformats.org/officeDocument/2006/relationships/hyperlink" Target="https://calebasse.com/produits/livre-medecine-chinoise-soins-et-remedes-de-bonne-sante-dhier-et-daujourdhui-4843?product=7023" TargetMode="External"/><Relationship Id="rId352" Type="http://schemas.openxmlformats.org/officeDocument/2006/relationships/hyperlink" Target="https://calebasse.com/produits/huai-hua-mi-sophora-du-japon-3822?product=4320" TargetMode="External"/><Relationship Id="rId2272" Type="http://schemas.openxmlformats.org/officeDocument/2006/relationships/hyperlink" Target="https://res.cloudinary.com/laboratoire-calebasse/image/upload/v1684849878/medecine_chinoise_68c0ab09ab.jpg" TargetMode="External"/><Relationship Id="rId351" Type="http://schemas.openxmlformats.org/officeDocument/2006/relationships/hyperlink" Target="https://res.cloudinary.com/laboratoire-calebasse/image/upload/v1634201110/A_huaihuamicp_7e54fec55b.jpg" TargetMode="External"/><Relationship Id="rId2273" Type="http://schemas.openxmlformats.org/officeDocument/2006/relationships/hyperlink" Target="https://calebasse.com/produits/livre-medecine-traditionnelle-chinoise-4812?product=7024" TargetMode="External"/><Relationship Id="rId350" Type="http://schemas.openxmlformats.org/officeDocument/2006/relationships/hyperlink" Target="https://calebasse.com/produits/huai-hua-mi-sophora-du-japon-3822?product=4317" TargetMode="External"/><Relationship Id="rId2274" Type="http://schemas.openxmlformats.org/officeDocument/2006/relationships/hyperlink" Target="https://res.cloudinary.com/laboratoire-calebasse/image/upload/v1684850435/medecine_traditionnelle_chinoise_d33ff6d315.jpg" TargetMode="External"/><Relationship Id="rId2275" Type="http://schemas.openxmlformats.org/officeDocument/2006/relationships/hyperlink" Target="https://calebasse.com/produits/livre-cahiers-cliniques-dacupuncture-n9-4844?product=7025" TargetMode="External"/><Relationship Id="rId356" Type="http://schemas.openxmlformats.org/officeDocument/2006/relationships/hyperlink" Target="https://calebasse.com/produits/he-huan-pi-ecorce-darbre-a-soie-3817?product=4244" TargetMode="External"/><Relationship Id="rId2276" Type="http://schemas.openxmlformats.org/officeDocument/2006/relationships/hyperlink" Target="https://res.cloudinary.com/laboratoire-calebasse/image/upload/v1684850610/neurologue9_43ac9ae9de.jpg" TargetMode="External"/><Relationship Id="rId355" Type="http://schemas.openxmlformats.org/officeDocument/2006/relationships/hyperlink" Target="https://res.cloudinary.com/laboratoire-calebasse/image/upload/v1747064151/SOPHORA_DU_JAPON_300_g_AHHML_e2be10e93a.jpg" TargetMode="External"/><Relationship Id="rId2277" Type="http://schemas.openxmlformats.org/officeDocument/2006/relationships/hyperlink" Target="https://calebasse.com/produits/livre-cahiers-cliniques-dacupuncture-n8-4835?product=7026" TargetMode="External"/><Relationship Id="rId354" Type="http://schemas.openxmlformats.org/officeDocument/2006/relationships/hyperlink" Target="https://calebasse.com/produits/huai-hua-mi-sophora-du-japon-3822?product=4319" TargetMode="External"/><Relationship Id="rId2278" Type="http://schemas.openxmlformats.org/officeDocument/2006/relationships/hyperlink" Target="https://res.cloudinary.com/laboratoire-calebasse/image/upload/v1684851801/ophtalmologie8_3a00338577.jpg" TargetMode="External"/><Relationship Id="rId353" Type="http://schemas.openxmlformats.org/officeDocument/2006/relationships/hyperlink" Target="https://res.cloudinary.com/laboratoire-calebasse/image/upload/v1634201110/A_huaihuamigl_e080c30564.jpg" TargetMode="External"/><Relationship Id="rId2279" Type="http://schemas.openxmlformats.org/officeDocument/2006/relationships/hyperlink" Target="https://calebasse.com/produits/livre-cahiers-cliniques-dacupuncture-n1-4836?product=7027" TargetMode="External"/><Relationship Id="rId2225" Type="http://schemas.openxmlformats.org/officeDocument/2006/relationships/hyperlink" Target="https://calebasse.com/produits/livre-cahiers-cliniques-dacupuncture-n3-4839?product=7000" TargetMode="External"/><Relationship Id="rId3557" Type="http://schemas.openxmlformats.org/officeDocument/2006/relationships/hyperlink" Target="https://calebasse.com/produits/gua-lou-ren-4773?product=6970" TargetMode="External"/><Relationship Id="rId2226" Type="http://schemas.openxmlformats.org/officeDocument/2006/relationships/hyperlink" Target="https://res.cloudinary.com/laboratoire-calebasse/image/upload/v1684144292/douleur3_1_6ac89fe858.jpg" TargetMode="External"/><Relationship Id="rId3556" Type="http://schemas.openxmlformats.org/officeDocument/2006/relationships/hyperlink" Target="https://res.cloudinary.com/laboratoire-calebasse/image/upload/v1677066286/gegen_b23f1275f2.jpg" TargetMode="External"/><Relationship Id="rId2227" Type="http://schemas.openxmlformats.org/officeDocument/2006/relationships/hyperlink" Target="https://calebasse.com/produits/livre-procedes-subtils-des-mouvements-de-letoile-alcor-4803?product=7001" TargetMode="External"/><Relationship Id="rId3559" Type="http://schemas.openxmlformats.org/officeDocument/2006/relationships/hyperlink" Target="https://calebasse.com/produits/gua-lou-ren-4773?product=6971" TargetMode="External"/><Relationship Id="rId2228" Type="http://schemas.openxmlformats.org/officeDocument/2006/relationships/hyperlink" Target="https://res.cloudinary.com/laboratoire-calebasse/image/upload/v1684144914/fu_xing_jue_3958e7f064.jpg" TargetMode="External"/><Relationship Id="rId3558" Type="http://schemas.openxmlformats.org/officeDocument/2006/relationships/hyperlink" Target="https://res.cloudinary.com/laboratoire-calebasse/image/upload/v1677072675/gualouren100_9e42ec6937.jpg" TargetMode="External"/><Relationship Id="rId2229" Type="http://schemas.openxmlformats.org/officeDocument/2006/relationships/hyperlink" Target="https://calebasse.com/produits/livre-cahiers-cliniques-dacupuncture-n2-4840?product=7002" TargetMode="External"/><Relationship Id="rId305" Type="http://schemas.openxmlformats.org/officeDocument/2006/relationships/hyperlink" Target="https://calebasse.com/produits/gao-liang-jiang-galangal-3780?product=4188" TargetMode="External"/><Relationship Id="rId304" Type="http://schemas.openxmlformats.org/officeDocument/2006/relationships/hyperlink" Target="https://res.cloudinary.com/laboratoire-calebasse/image/upload/v1746534575/GALANGAL_100_g_AGLJ_21a35e1e6e.jpg" TargetMode="External"/><Relationship Id="rId303" Type="http://schemas.openxmlformats.org/officeDocument/2006/relationships/hyperlink" Target="https://calebasse.com/produits/gao-liang-jiang-galangal-3780?product=4186" TargetMode="External"/><Relationship Id="rId302" Type="http://schemas.openxmlformats.org/officeDocument/2006/relationships/hyperlink" Target="https://res.cloudinary.com/laboratoire-calebasse/image/upload/v1751623914/HERBE_DE_DESMODIUM_150_g_AGJQL_87ba676f21.jpg" TargetMode="External"/><Relationship Id="rId309" Type="http://schemas.openxmlformats.org/officeDocument/2006/relationships/hyperlink" Target="https://calebasse.com/produits/gao-liang-jiang-galangal-3780?product=4187" TargetMode="External"/><Relationship Id="rId308" Type="http://schemas.openxmlformats.org/officeDocument/2006/relationships/hyperlink" Target="https://res.cloudinary.com/laboratoire-calebasse/image/upload/v1634201104/A_gaoliangjianggl_8fbc1826e0.jpg" TargetMode="External"/><Relationship Id="rId307" Type="http://schemas.openxmlformats.org/officeDocument/2006/relationships/hyperlink" Target="https://calebasse.com/produits/gao-liang-jiang-galangal-3780?product=4191" TargetMode="External"/><Relationship Id="rId306" Type="http://schemas.openxmlformats.org/officeDocument/2006/relationships/hyperlink" Target="https://res.cloudinary.com/laboratoire-calebasse/image/upload/v1634201104/A_gaoliangjiangcp_5cfd012ac0.jpg" TargetMode="External"/><Relationship Id="rId3551" Type="http://schemas.openxmlformats.org/officeDocument/2006/relationships/hyperlink" Target="https://calebasse.com/produits/fu-ling-4756?product=6936" TargetMode="External"/><Relationship Id="rId2220" Type="http://schemas.openxmlformats.org/officeDocument/2006/relationships/hyperlink" Target="https://res.cloudinary.com/laboratoire-calebasse/image/upload/v1684142687/atlas_didactique_d_acupuncture_traditionnelle_7ac0815983.jpg" TargetMode="External"/><Relationship Id="rId3550" Type="http://schemas.openxmlformats.org/officeDocument/2006/relationships/hyperlink" Target="https://res.cloudinary.com/laboratoire-calebasse/image/upload/v1677064188/duzhong_bf1ba68ccf.jpg" TargetMode="External"/><Relationship Id="rId301" Type="http://schemas.openxmlformats.org/officeDocument/2006/relationships/hyperlink" Target="https://calebasse.com/produits/guang-jin-qian-cao-herbe-de-desmodium-3791?product=4217" TargetMode="External"/><Relationship Id="rId2221" Type="http://schemas.openxmlformats.org/officeDocument/2006/relationships/hyperlink" Target="https://calebasse.com/produits/livre-aux-sources-de-la-medecine-chinoise-4799?product=6998" TargetMode="External"/><Relationship Id="rId3553" Type="http://schemas.openxmlformats.org/officeDocument/2006/relationships/hyperlink" Target="https://calebasse.com/produits/fu-ling-4756?product=6937" TargetMode="External"/><Relationship Id="rId300" Type="http://schemas.openxmlformats.org/officeDocument/2006/relationships/hyperlink" Target="https://res.cloudinary.com/laboratoire-calebasse/image/upload/v1751623935/HERBE_DE_DESMODIUM_50_g_AGJQ_799f0533c9.jpg" TargetMode="External"/><Relationship Id="rId2222" Type="http://schemas.openxmlformats.org/officeDocument/2006/relationships/hyperlink" Target="https://res.cloudinary.com/laboratoire-calebasse/image/upload/v1684143031/aux_sources_de_la_medecine_chinoise_097b22a0d2.jpg" TargetMode="External"/><Relationship Id="rId3552" Type="http://schemas.openxmlformats.org/officeDocument/2006/relationships/hyperlink" Target="https://res.cloudinary.com/laboratoire-calebasse/image/upload/v1677061609/fuling100_72a150f60f.jpg" TargetMode="External"/><Relationship Id="rId2223" Type="http://schemas.openxmlformats.org/officeDocument/2006/relationships/hyperlink" Target="https://calebasse.com/produits/livre-cahiers-cliniques-dacupuncture-n6-4834?product=6999" TargetMode="External"/><Relationship Id="rId3555" Type="http://schemas.openxmlformats.org/officeDocument/2006/relationships/hyperlink" Target="https://calebasse.com/produits/ge-gen-4765?product=6955" TargetMode="External"/><Relationship Id="rId2224" Type="http://schemas.openxmlformats.org/officeDocument/2006/relationships/hyperlink" Target="https://res.cloudinary.com/laboratoire-calebasse/image/upload/v1684143812/dermatologie6_5a5bfd3d80.jpg" TargetMode="External"/><Relationship Id="rId3554" Type="http://schemas.openxmlformats.org/officeDocument/2006/relationships/hyperlink" Target="https://res.cloudinary.com/laboratoire-calebasse/image/upload/v1677061781/fuling_9a44cd41d5.jpg" TargetMode="External"/><Relationship Id="rId2214" Type="http://schemas.openxmlformats.org/officeDocument/2006/relationships/hyperlink" Target="https://res.cloudinary.com/laboratoire-calebasse/image/upload/v1684141554/apercus_de_medecine_chinoise_traditionnelle_e19a6d9077.jpg" TargetMode="External"/><Relationship Id="rId3546" Type="http://schemas.openxmlformats.org/officeDocument/2006/relationships/hyperlink" Target="https://res.cloudinary.com/laboratoire-calebasse/image/upload/v1677065994/duhuo100_bc54e30d90.jpg" TargetMode="External"/><Relationship Id="rId2215" Type="http://schemas.openxmlformats.org/officeDocument/2006/relationships/hyperlink" Target="https://calebasse.com/produits/livre-a-la-decouverte-de-laromatherapie-energetique-chinoise-4809?product=6995" TargetMode="External"/><Relationship Id="rId3545" Type="http://schemas.openxmlformats.org/officeDocument/2006/relationships/hyperlink" Target="https://calebasse.com/produits/du-huo-4764?product=6952" TargetMode="External"/><Relationship Id="rId2216" Type="http://schemas.openxmlformats.org/officeDocument/2006/relationships/hyperlink" Target="https://res.cloudinary.com/laboratoire-calebasse/image/upload/v1684142031/a_la_decouberte_de_l_aromatherapie_energetique_chinoise_94a33172e1.jpg" TargetMode="External"/><Relationship Id="rId3548" Type="http://schemas.openxmlformats.org/officeDocument/2006/relationships/hyperlink" Target="https://res.cloudinary.com/laboratoire-calebasse/image/upload/v1677066169/duhuo_f6961c4f1b.jpg" TargetMode="External"/><Relationship Id="rId2217" Type="http://schemas.openxmlformats.org/officeDocument/2006/relationships/hyperlink" Target="https://calebasse.com/produits/livre-atlas-dacupuncture-pratique-et-aide-memoire-du-praticien-4802?product=6996" TargetMode="External"/><Relationship Id="rId3547" Type="http://schemas.openxmlformats.org/officeDocument/2006/relationships/hyperlink" Target="https://calebasse.com/produits/du-huo-4764?product=6953" TargetMode="External"/><Relationship Id="rId2218" Type="http://schemas.openxmlformats.org/officeDocument/2006/relationships/hyperlink" Target="https://res.cloudinary.com/laboratoire-calebasse/image/upload/v1684142293/atlas_d_acupuncture_pratique_et_aide_memoire_du_praticien_0494203698.jpg" TargetMode="External"/><Relationship Id="rId2219" Type="http://schemas.openxmlformats.org/officeDocument/2006/relationships/hyperlink" Target="https://calebasse.com/produits/livre-atlas-didactique-dacupuncture-traditionnelle-4823?product=6997" TargetMode="External"/><Relationship Id="rId3549" Type="http://schemas.openxmlformats.org/officeDocument/2006/relationships/hyperlink" Target="https://calebasse.com/produits/du-zhong-4760?product=6945" TargetMode="External"/><Relationship Id="rId3540" Type="http://schemas.openxmlformats.org/officeDocument/2006/relationships/hyperlink" Target="https://res.cloudinary.com/laboratoire-calebasse/image/upload/v1677598806/chishaoyao_1_338cfc682f.jpg" TargetMode="External"/><Relationship Id="rId2210" Type="http://schemas.openxmlformats.org/officeDocument/2006/relationships/hyperlink" Target="https://res.cloudinary.com/laboratoire-calebasse/image/upload/v1684140426/accompagnement_psycho_emotionnel_bcfb647c70.jpg" TargetMode="External"/><Relationship Id="rId3542" Type="http://schemas.openxmlformats.org/officeDocument/2006/relationships/hyperlink" Target="https://res.cloudinary.com/laboratoire-calebasse/image/upload/v1677067161/chuanxiong100_bbe96533d8.jpg" TargetMode="External"/><Relationship Id="rId2211" Type="http://schemas.openxmlformats.org/officeDocument/2006/relationships/hyperlink" Target="https://calebasse.com/produits/livre-acuponcture-pratique-le-yi-jing-et-ses-applications-4805?product=6993" TargetMode="External"/><Relationship Id="rId3541" Type="http://schemas.openxmlformats.org/officeDocument/2006/relationships/hyperlink" Target="https://calebasse.com/produits/chuan-xiong-4767?product=6958" TargetMode="External"/><Relationship Id="rId2212" Type="http://schemas.openxmlformats.org/officeDocument/2006/relationships/hyperlink" Target="https://res.cloudinary.com/laboratoire-calebasse/image/upload/v1684141137/acuponctuer_pratique_cc0262635b.jpg" TargetMode="External"/><Relationship Id="rId3544" Type="http://schemas.openxmlformats.org/officeDocument/2006/relationships/hyperlink" Target="https://res.cloudinary.com/laboratoire-calebasse/image/upload/v1677067214/chuanxiong_71f9e700f5.jpg" TargetMode="External"/><Relationship Id="rId2213" Type="http://schemas.openxmlformats.org/officeDocument/2006/relationships/hyperlink" Target="https://calebasse.com/produits/livre-apercus-de-medecine-chinoise-traditionnelle-4821?product=6994" TargetMode="External"/><Relationship Id="rId3543" Type="http://schemas.openxmlformats.org/officeDocument/2006/relationships/hyperlink" Target="https://calebasse.com/produits/chuan-xiong-4767?product=6959" TargetMode="External"/><Relationship Id="rId2247" Type="http://schemas.openxmlformats.org/officeDocument/2006/relationships/hyperlink" Target="https://calebasse.com/produits/livre-le-guide-du-bien-etre-selon-la-medecine-chinoise-4827?product=7011" TargetMode="External"/><Relationship Id="rId3579" Type="http://schemas.openxmlformats.org/officeDocument/2006/relationships/hyperlink" Target="https://calebasse.com/produits/hai-piao-xiao-4755?product=6935" TargetMode="External"/><Relationship Id="rId2248" Type="http://schemas.openxmlformats.org/officeDocument/2006/relationships/hyperlink" Target="https://res.cloudinary.com/laboratoire-calebasse/image/upload/v1684845628/le_guide_du_bien_etre_selon_la_medecine_chinoise_63248b5ef6.jpg" TargetMode="External"/><Relationship Id="rId3578" Type="http://schemas.openxmlformats.org/officeDocument/2006/relationships/hyperlink" Target="https://res.cloudinary.com/laboratoire-calebasse/image/upload/v1677079174/haipiaoxiao_2fa3ae45bf.jpg" TargetMode="External"/><Relationship Id="rId2249" Type="http://schemas.openxmlformats.org/officeDocument/2006/relationships/hyperlink" Target="https://calebasse.com/produits/livre-le-livre-du-do-in-4825?product=7012" TargetMode="External"/><Relationship Id="rId327" Type="http://schemas.openxmlformats.org/officeDocument/2006/relationships/hyperlink" Target="https://calebasse.com/produits/gou-teng-griffe-de-chat-3765?product=4204" TargetMode="External"/><Relationship Id="rId326" Type="http://schemas.openxmlformats.org/officeDocument/2006/relationships/hyperlink" Target="https://res.cloudinary.com/laboratoire-calebasse/image/upload/v1751624277/GRIFFE_DE_CHAT_100_g_AGT_364f823acc.jpg" TargetMode="External"/><Relationship Id="rId325" Type="http://schemas.openxmlformats.org/officeDocument/2006/relationships/hyperlink" Target="https://calebasse.com/produits/gou-teng-griffe-de-chat-3765?product=4202" TargetMode="External"/><Relationship Id="rId324" Type="http://schemas.openxmlformats.org/officeDocument/2006/relationships/hyperlink" Target="https://res.cloudinary.com/laboratoire-calebasse/image/upload/v1747132459/FOUGERE_DES_PANIERS_240_g_AGSBL_a7f000e2ad.jpg" TargetMode="External"/><Relationship Id="rId329" Type="http://schemas.openxmlformats.org/officeDocument/2006/relationships/hyperlink" Target="https://calebasse.com/produits/gou-teng-griffe-de-chat-3765?product=4200" TargetMode="External"/><Relationship Id="rId328" Type="http://schemas.openxmlformats.org/officeDocument/2006/relationships/hyperlink" Target="https://res.cloudinary.com/laboratoire-calebasse/image/upload/v1634201104/A_goutenggl_a70c3453d3.jpg" TargetMode="External"/><Relationship Id="rId3571" Type="http://schemas.openxmlformats.org/officeDocument/2006/relationships/hyperlink" Target="https://calebasse.com/produits/hong-hua-4781?product=6983" TargetMode="External"/><Relationship Id="rId2240" Type="http://schemas.openxmlformats.org/officeDocument/2006/relationships/hyperlink" Target="https://res.cloudinary.com/laboratoire-calebasse/image/upload/v1684844388/la_cuisine_des_4_saisons_selon_la_medecine_chinoise_43604c0527.jpg" TargetMode="External"/><Relationship Id="rId3570" Type="http://schemas.openxmlformats.org/officeDocument/2006/relationships/hyperlink" Target="https://res.cloudinary.com/laboratoire-calebasse/image/upload/v1677599932/honghua_55e48794b1.jpg" TargetMode="External"/><Relationship Id="rId2241" Type="http://schemas.openxmlformats.org/officeDocument/2006/relationships/hyperlink" Target="https://calebasse.com/produits/livre-la-medecine-des-ventouses-4801?product=7008" TargetMode="External"/><Relationship Id="rId3573" Type="http://schemas.openxmlformats.org/officeDocument/2006/relationships/hyperlink" Target="https://calebasse.com/produits/hou-pu-4751?product=6926" TargetMode="External"/><Relationship Id="rId2242" Type="http://schemas.openxmlformats.org/officeDocument/2006/relationships/hyperlink" Target="https://res.cloudinary.com/laboratoire-calebasse/image/upload/v1684844806/la_medecine_des_ventouses_6966ed9d1d.jpg" TargetMode="External"/><Relationship Id="rId3572" Type="http://schemas.openxmlformats.org/officeDocument/2006/relationships/hyperlink" Target="https://res.cloudinary.com/laboratoire-calebasse/image/upload/v1677599961/honghua_1_02cd26fc13.jpg" TargetMode="External"/><Relationship Id="rId323" Type="http://schemas.openxmlformats.org/officeDocument/2006/relationships/hyperlink" Target="https://calebasse.com/produits/gu-sui-bu-fougere-des-paniers-3792?product=4208" TargetMode="External"/><Relationship Id="rId2243" Type="http://schemas.openxmlformats.org/officeDocument/2006/relationships/hyperlink" Target="https://calebasse.com/produits/livre-lart-de-soigner-4811?product=7009" TargetMode="External"/><Relationship Id="rId3575" Type="http://schemas.openxmlformats.org/officeDocument/2006/relationships/hyperlink" Target="https://calebasse.com/produits/hou-pu-4751?product=6927" TargetMode="External"/><Relationship Id="rId322" Type="http://schemas.openxmlformats.org/officeDocument/2006/relationships/hyperlink" Target="https://res.cloudinary.com/laboratoire-calebasse/image/upload/v1746534560/FOUGERE_DES_PANIERS_100_g_AGSB_57d7918e80.jpg" TargetMode="External"/><Relationship Id="rId2244" Type="http://schemas.openxmlformats.org/officeDocument/2006/relationships/hyperlink" Target="https://res.cloudinary.com/laboratoire-calebasse/image/upload/v1684845123/l_art_de_saigner_243791c1b3.jpg" TargetMode="External"/><Relationship Id="rId3574" Type="http://schemas.openxmlformats.org/officeDocument/2006/relationships/hyperlink" Target="https://res.cloudinary.com/laboratoire-calebasse/image/upload/v1677060127/houpu100_fc69a932f3.jpg" TargetMode="External"/><Relationship Id="rId321" Type="http://schemas.openxmlformats.org/officeDocument/2006/relationships/hyperlink" Target="https://calebasse.com/produits/gu-sui-bu-fougere-des-paniers-3792?product=4207" TargetMode="External"/><Relationship Id="rId2245" Type="http://schemas.openxmlformats.org/officeDocument/2006/relationships/hyperlink" Target="https://calebasse.com/produits/livre-la-symphonie-des-meridiens-du-corps-4829?product=7010" TargetMode="External"/><Relationship Id="rId3577" Type="http://schemas.openxmlformats.org/officeDocument/2006/relationships/hyperlink" Target="https://calebasse.com/produits/hai-piao-xiao-4755?product=6934" TargetMode="External"/><Relationship Id="rId320" Type="http://schemas.openxmlformats.org/officeDocument/2006/relationships/hyperlink" Target="https://res.cloudinary.com/laboratoire-calebasse/image/upload/v1747132480/BAIES_DE_GOJI_600_g_AGQZL_45f2c54569.jpg" TargetMode="External"/><Relationship Id="rId2246" Type="http://schemas.openxmlformats.org/officeDocument/2006/relationships/hyperlink" Target="https://res.cloudinary.com/laboratoire-calebasse/image/upload/v1684845375/la_sym_phonie_des_meridiens_du_corps_fce3f9eb69.jpg" TargetMode="External"/><Relationship Id="rId3576" Type="http://schemas.openxmlformats.org/officeDocument/2006/relationships/hyperlink" Target="https://res.cloudinary.com/laboratoire-calebasse/image/upload/v1677060227/houpu_2747a50852.jpg" TargetMode="External"/><Relationship Id="rId2236" Type="http://schemas.openxmlformats.org/officeDocument/2006/relationships/hyperlink" Target="https://res.cloudinary.com/laboratoire-calebasse/image/upload/v1684147078/gynecologie_dc22646a93.jpg" TargetMode="External"/><Relationship Id="rId3568" Type="http://schemas.openxmlformats.org/officeDocument/2006/relationships/hyperlink" Target="https://res.cloudinary.com/laboratoire-calebasse/image/upload/v1677057730/haifushi_a76b5b3fc5.jpg" TargetMode="External"/><Relationship Id="rId2237" Type="http://schemas.openxmlformats.org/officeDocument/2006/relationships/hyperlink" Target="https://calebasse.com/produits/livre-huiles-essentielles-associees-aux-points-dacupuncture-4826?product=7006" TargetMode="External"/><Relationship Id="rId3567" Type="http://schemas.openxmlformats.org/officeDocument/2006/relationships/hyperlink" Target="https://calebasse.com/produits/hai-fu-shi-4749?product=6923" TargetMode="External"/><Relationship Id="rId2238" Type="http://schemas.openxmlformats.org/officeDocument/2006/relationships/hyperlink" Target="https://res.cloudinary.com/laboratoire-calebasse/image/upload/v1684844109/huiles_essentielles_associee_aux_points_d_acupuctuer_cac87170d3.jpg" TargetMode="External"/><Relationship Id="rId2239" Type="http://schemas.openxmlformats.org/officeDocument/2006/relationships/hyperlink" Target="https://calebasse.com/produits/livre-la-cuisine-des-4-saisons-selon-la-medecine-chinoise-4795?product=7007" TargetMode="External"/><Relationship Id="rId3569" Type="http://schemas.openxmlformats.org/officeDocument/2006/relationships/hyperlink" Target="https://calebasse.com/produits/hong-hua-4781?product=6982" TargetMode="External"/><Relationship Id="rId316" Type="http://schemas.openxmlformats.org/officeDocument/2006/relationships/hyperlink" Target="https://res.cloudinary.com/laboratoire-calebasse/image/upload/v1634201105/A_gouqizicp_4f82f55b59.jpg" TargetMode="External"/><Relationship Id="rId315" Type="http://schemas.openxmlformats.org/officeDocument/2006/relationships/hyperlink" Target="https://calebasse.com/produits/extrait-de-baies-de-goji-61110?product=4196" TargetMode="External"/><Relationship Id="rId314" Type="http://schemas.openxmlformats.org/officeDocument/2006/relationships/hyperlink" Target="https://res.cloudinary.com/laboratoire-calebasse/image/upload/v1744961828/eveil_du_printempsx2_f8154a7e8a.png" TargetMode="External"/><Relationship Id="rId313" Type="http://schemas.openxmlformats.org/officeDocument/2006/relationships/hyperlink" Target="https://calebasse.com/produits/tisane-eveil-du-printemps-chrysantheme-et-baies-de-goji?product=7459" TargetMode="External"/><Relationship Id="rId319" Type="http://schemas.openxmlformats.org/officeDocument/2006/relationships/hyperlink" Target="https://calebasse.com/produits/gou-qi-zi-baies-de-goji-3832?product=4195" TargetMode="External"/><Relationship Id="rId318" Type="http://schemas.openxmlformats.org/officeDocument/2006/relationships/hyperlink" Target="https://res.cloudinary.com/laboratoire-calebasse/image/upload/v1634201104/A_gouqizigl_8a5e2ae976.jpg" TargetMode="External"/><Relationship Id="rId317" Type="http://schemas.openxmlformats.org/officeDocument/2006/relationships/hyperlink" Target="https://calebasse.com/produits/extrait-de-baies-de-goji-61110?product=4198" TargetMode="External"/><Relationship Id="rId3560" Type="http://schemas.openxmlformats.org/officeDocument/2006/relationships/hyperlink" Target="https://res.cloudinary.com/laboratoire-calebasse/image/upload/v1677072702/gualouren_eefc5db134.jpg" TargetMode="External"/><Relationship Id="rId2230" Type="http://schemas.openxmlformats.org/officeDocument/2006/relationships/hyperlink" Target="https://res.cloudinary.com/laboratoire-calebasse/image/upload/v1684145338/gastro_enterologie_aa9e48c8c4.jpg" TargetMode="External"/><Relationship Id="rId3562" Type="http://schemas.openxmlformats.org/officeDocument/2006/relationships/hyperlink" Target="https://res.cloudinary.com/laboratoire-calebasse/image/upload/v1677072265/guizhi100_4679f443c8.jpg" TargetMode="External"/><Relationship Id="rId2231" Type="http://schemas.openxmlformats.org/officeDocument/2006/relationships/hyperlink" Target="https://calebasse.com/produits/livre-guide-pratique-des-moxas-chinois-4816?product=7003" TargetMode="External"/><Relationship Id="rId3561" Type="http://schemas.openxmlformats.org/officeDocument/2006/relationships/hyperlink" Target="https://calebasse.com/produits/gui-zhi-4768?product=6960" TargetMode="External"/><Relationship Id="rId312" Type="http://schemas.openxmlformats.org/officeDocument/2006/relationships/hyperlink" Target="https://res.cloudinary.com/laboratoire-calebasse/image/upload/v1746525522/BAIES_DE_GOJI_200_g_AGQZ_5b69fbc46a.jpg" TargetMode="External"/><Relationship Id="rId2232" Type="http://schemas.openxmlformats.org/officeDocument/2006/relationships/hyperlink" Target="https://res.cloudinary.com/laboratoire-calebasse/image/upload/v1684146626/guide_pratique_moxas_chinois_a490228832.jpg" TargetMode="External"/><Relationship Id="rId3564" Type="http://schemas.openxmlformats.org/officeDocument/2006/relationships/hyperlink" Target="https://res.cloudinary.com/laboratoire-calebasse/image/upload/v1677072301/guizhi_4a7172536a.jpg" TargetMode="External"/><Relationship Id="rId311" Type="http://schemas.openxmlformats.org/officeDocument/2006/relationships/hyperlink" Target="https://calebasse.com/produits/gou-qi-zi-baies-de-goji-3832?product=4194" TargetMode="External"/><Relationship Id="rId2233" Type="http://schemas.openxmlformats.org/officeDocument/2006/relationships/hyperlink" Target="https://calebasse.com/produits/livre-guide-therapeutique-acupuncture-4828?product=7004" TargetMode="External"/><Relationship Id="rId3563" Type="http://schemas.openxmlformats.org/officeDocument/2006/relationships/hyperlink" Target="https://calebasse.com/produits/gui-zhi-4768?product=6961" TargetMode="External"/><Relationship Id="rId310" Type="http://schemas.openxmlformats.org/officeDocument/2006/relationships/hyperlink" Target="https://res.cloudinary.com/laboratoire-calebasse/image/upload/v1747132527/GALANGAL_300_g_AGLJL_d848c471a6.jpg" TargetMode="External"/><Relationship Id="rId2234" Type="http://schemas.openxmlformats.org/officeDocument/2006/relationships/hyperlink" Target="https://res.cloudinary.com/laboratoire-calebasse/image/upload/v1684146859/guide_therapeutique_acupunctuer_67f46ebfbb.jpg" TargetMode="External"/><Relationship Id="rId3566" Type="http://schemas.openxmlformats.org/officeDocument/2006/relationships/hyperlink" Target="https://res.cloudinary.com/laboratoire-calebasse/image/upload/v1677079115/haifushi100_a89707f1fc.jpg" TargetMode="External"/><Relationship Id="rId2235" Type="http://schemas.openxmlformats.org/officeDocument/2006/relationships/hyperlink" Target="https://calebasse.com/produits/livre-cahiers-cliniques-dacupuncture-n5-4832?product=7005" TargetMode="External"/><Relationship Id="rId3565" Type="http://schemas.openxmlformats.org/officeDocument/2006/relationships/hyperlink" Target="https://calebasse.com/produits/hai-fu-shi-4749?product=6922" TargetMode="External"/><Relationship Id="rId297" Type="http://schemas.openxmlformats.org/officeDocument/2006/relationships/hyperlink" Target="https://calebasse.com/produits/gan-jiang-gingembre-3793?product=4182" TargetMode="External"/><Relationship Id="rId296" Type="http://schemas.openxmlformats.org/officeDocument/2006/relationships/hyperlink" Target="https://res.cloudinary.com/laboratoire-calebasse/image/upload/v1746529111/CHRYSANTHEME_GONG_100_g_AGJH_e3d45df02c.jpg" TargetMode="External"/><Relationship Id="rId295" Type="http://schemas.openxmlformats.org/officeDocument/2006/relationships/hyperlink" Target="https://calebasse.com/produits/ju-hua-gong-boutons-de-chrysantheme-gong-5053?product=7281" TargetMode="External"/><Relationship Id="rId294" Type="http://schemas.openxmlformats.org/officeDocument/2006/relationships/hyperlink" Target="https://res.cloudinary.com/laboratoire-calebasse/image/upload/v1634201104/A_ganjianggl_0a944ea26c.jpg" TargetMode="External"/><Relationship Id="rId299" Type="http://schemas.openxmlformats.org/officeDocument/2006/relationships/hyperlink" Target="https://calebasse.com/produits/guang-jin-qian-cao-herbe-de-desmodium-3791?product=4215" TargetMode="External"/><Relationship Id="rId298" Type="http://schemas.openxmlformats.org/officeDocument/2006/relationships/hyperlink" Target="https://res.cloudinary.com/laboratoire-calebasse/image/upload/v1747132560/GINGEMBRE_300_g_AGJL_20df7d9298.jpg" TargetMode="External"/><Relationship Id="rId271" Type="http://schemas.openxmlformats.org/officeDocument/2006/relationships/hyperlink" Target="https://calebasse.com/produits/gan-cao-reglisse-3795?product=4174" TargetMode="External"/><Relationship Id="rId270" Type="http://schemas.openxmlformats.org/officeDocument/2006/relationships/hyperlink" Target="https://res.cloudinary.com/laboratoire-calebasse/image/upload/v1746529047/FRAMBOISIER_FRUIT_100_g_AFPZ_8e5563aefb.jpg" TargetMode="External"/><Relationship Id="rId269" Type="http://schemas.openxmlformats.org/officeDocument/2006/relationships/hyperlink" Target="https://calebasse.com/produits/fu-pen-zi-framboisier-fruit-framboise-5159?product=7441" TargetMode="External"/><Relationship Id="rId264" Type="http://schemas.openxmlformats.org/officeDocument/2006/relationships/hyperlink" Target="https://res.cloudinary.com/laboratoire-calebasse/image/upload/v1703089120/A_fuling_GL_d549694479.jpg" TargetMode="External"/><Relationship Id="rId263" Type="http://schemas.openxmlformats.org/officeDocument/2006/relationships/hyperlink" Target="https://calebasse.com/produits/fu-ling-poria-3787?product=4172" TargetMode="External"/><Relationship Id="rId262" Type="http://schemas.openxmlformats.org/officeDocument/2006/relationships/hyperlink" Target="https://res.cloudinary.com/laboratoire-calebasse/image/upload/v1703089096/A_fuling_CP_eb4a7738a5.jpg" TargetMode="External"/><Relationship Id="rId261" Type="http://schemas.openxmlformats.org/officeDocument/2006/relationships/hyperlink" Target="https://calebasse.com/produits/fu-ling-poria-3787?product=4169" TargetMode="External"/><Relationship Id="rId268" Type="http://schemas.openxmlformats.org/officeDocument/2006/relationships/hyperlink" Target="https://res.cloudinary.com/laboratoire-calebasse/image/upload/v1753347034/_3f5556c10b.jpg" TargetMode="External"/><Relationship Id="rId267" Type="http://schemas.openxmlformats.org/officeDocument/2006/relationships/hyperlink" Target="https://calebasse.com/produits/fu-ling-poria-3787?product=7366" TargetMode="External"/><Relationship Id="rId266" Type="http://schemas.openxmlformats.org/officeDocument/2006/relationships/hyperlink" Target="https://res.cloudinary.com/laboratoire-calebasse/image/upload/v1747132588/PORIA_300_g_AFLL_4233253754.jpg" TargetMode="External"/><Relationship Id="rId265" Type="http://schemas.openxmlformats.org/officeDocument/2006/relationships/hyperlink" Target="https://calebasse.com/produits/fu-ling-poria-3787?product=4168" TargetMode="External"/><Relationship Id="rId260" Type="http://schemas.openxmlformats.org/officeDocument/2006/relationships/hyperlink" Target="https://res.cloudinary.com/laboratoire-calebasse/image/upload/v1746528209/PORIA_100_g_AFL_ab8d6e908b.jpg" TargetMode="External"/><Relationship Id="rId259" Type="http://schemas.openxmlformats.org/officeDocument/2006/relationships/hyperlink" Target="https://calebasse.com/produits/fu-ling-poria-3787?product=4167" TargetMode="External"/><Relationship Id="rId258" Type="http://schemas.openxmlformats.org/officeDocument/2006/relationships/hyperlink" Target="https://res.cloudinary.com/laboratoire-calebasse/image/upload/v1751623781/SILERE_300_g_AFFL_ce00baed89.jpg" TargetMode="External"/><Relationship Id="rId2290" Type="http://schemas.openxmlformats.org/officeDocument/2006/relationships/hyperlink" Target="https://calebasse.com/produits/livre-a-la-decouverte-de-lacupuncture-spatio-temporelle-4815?product=7033" TargetMode="External"/><Relationship Id="rId2291" Type="http://schemas.openxmlformats.org/officeDocument/2006/relationships/hyperlink" Target="https://res.cloudinary.com/laboratoire-calebasse/image/upload/v1684854820/spatio_temporelle_61431dbab9.jpg" TargetMode="External"/><Relationship Id="rId2292" Type="http://schemas.openxmlformats.org/officeDocument/2006/relationships/hyperlink" Target="https://calebasse.com/produits/livre-vade-mecum-dacupuncture-traditionnelle-4807?product=7034" TargetMode="External"/><Relationship Id="rId2293" Type="http://schemas.openxmlformats.org/officeDocument/2006/relationships/hyperlink" Target="https://res.cloudinary.com/laboratoire-calebasse/image/upload/v1684854981/vade_mecum_d_acupunture_traditionnelle_f4eeb3e383.jpg" TargetMode="External"/><Relationship Id="rId253" Type="http://schemas.openxmlformats.org/officeDocument/2006/relationships/hyperlink" Target="https://calebasse.com/produits/fang-feng-silere-3839?product=4164" TargetMode="External"/><Relationship Id="rId2294" Type="http://schemas.openxmlformats.org/officeDocument/2006/relationships/hyperlink" Target="https://calebasse.com/produits/livre-la-bible-de-la-medecine-chinoise-4822?product=7035" TargetMode="External"/><Relationship Id="rId252" Type="http://schemas.openxmlformats.org/officeDocument/2006/relationships/hyperlink" Target="https://res.cloudinary.com/laboratoire-calebasse/image/upload/v1751623792/SILERE_100_g_AFF_6558eaa653.jpg" TargetMode="External"/><Relationship Id="rId2295" Type="http://schemas.openxmlformats.org/officeDocument/2006/relationships/hyperlink" Target="https://res.cloudinary.com/laboratoire-calebasse/image/upload/v1684855293/la_bible_de_la_medecine_chinoise_7caff9996d.jpg" TargetMode="External"/><Relationship Id="rId251" Type="http://schemas.openxmlformats.org/officeDocument/2006/relationships/hyperlink" Target="https://calebasse.com/produits/fang-feng-silere-3839?product=4162" TargetMode="External"/><Relationship Id="rId2296" Type="http://schemas.openxmlformats.org/officeDocument/2006/relationships/hyperlink" Target="https://calebasse.com/produits/livre-se-connaitre-pour-mieux-se-comprendre-grace-a-lenergetique-chinoise-4800?product=7036" TargetMode="External"/><Relationship Id="rId250" Type="http://schemas.openxmlformats.org/officeDocument/2006/relationships/hyperlink" Target="https://res.cloudinary.com/laboratoire-calebasse/image/upload/v1747132715/CENTIPEDE_140_g_AEBSL_db51243baa.jpg" TargetMode="External"/><Relationship Id="rId2297" Type="http://schemas.openxmlformats.org/officeDocument/2006/relationships/hyperlink" Target="https://res.cloudinary.com/laboratoire-calebasse/image/upload/v1684855451/se_connaitre_pour_mieux_se_comprendre_grace_a_l_energetique_chinoise_f7353bfefd.jpg" TargetMode="External"/><Relationship Id="rId257" Type="http://schemas.openxmlformats.org/officeDocument/2006/relationships/hyperlink" Target="https://calebasse.com/produits/fang-feng-silere-3839?product=4163" TargetMode="External"/><Relationship Id="rId2298" Type="http://schemas.openxmlformats.org/officeDocument/2006/relationships/hyperlink" Target="https://calebasse.com/produits/livre-soigner-la-depression-par-la-medecine-chinoise-4814?product=7037" TargetMode="External"/><Relationship Id="rId256" Type="http://schemas.openxmlformats.org/officeDocument/2006/relationships/hyperlink" Target="https://res.cloudinary.com/laboratoire-calebasse/image/upload/v1678966256/A_fangfeng_GL_2a277c153d.jpg" TargetMode="External"/><Relationship Id="rId2299" Type="http://schemas.openxmlformats.org/officeDocument/2006/relationships/hyperlink" Target="https://res.cloudinary.com/laboratoire-calebasse/image/upload/v1684855631/soigner_la_depression_par_la_medecine_chinoise_7bd1c87351.jpg" TargetMode="External"/><Relationship Id="rId255" Type="http://schemas.openxmlformats.org/officeDocument/2006/relationships/hyperlink" Target="https://calebasse.com/produits/fang-feng-silere-3839?product=4166" TargetMode="External"/><Relationship Id="rId254" Type="http://schemas.openxmlformats.org/officeDocument/2006/relationships/hyperlink" Target="https://res.cloudinary.com/laboratoire-calebasse/image/upload/v1678966408/A_fangfeng_CP_c2c76765f0.jpg" TargetMode="External"/><Relationship Id="rId293" Type="http://schemas.openxmlformats.org/officeDocument/2006/relationships/hyperlink" Target="https://calebasse.com/produits/gan-jiang-gingembre-3793?product=4184" TargetMode="External"/><Relationship Id="rId292" Type="http://schemas.openxmlformats.org/officeDocument/2006/relationships/hyperlink" Target="https://res.cloudinary.com/laboratoire-calebasse/image/upload/v1634201105/A_ganjiangcp_8259bb7e62.jpg" TargetMode="External"/><Relationship Id="rId291" Type="http://schemas.openxmlformats.org/officeDocument/2006/relationships/hyperlink" Target="https://calebasse.com/produits/gan-jiang-gingembre-3793?product=4181" TargetMode="External"/><Relationship Id="rId290" Type="http://schemas.openxmlformats.org/officeDocument/2006/relationships/hyperlink" Target="https://res.cloudinary.com/laboratoire-calebasse/image/upload/v1746529080/MALTE_DU_BERGER_50_g_AGJC_4a306189f8.jpg" TargetMode="External"/><Relationship Id="rId286" Type="http://schemas.openxmlformats.org/officeDocument/2006/relationships/hyperlink" Target="https://res.cloudinary.com/laboratoire-calebasse/image/upload/v1752239994/OSMANTHUS_50_g_AGH_2f507a586d.jpg" TargetMode="External"/><Relationship Id="rId285" Type="http://schemas.openxmlformats.org/officeDocument/2006/relationships/hyperlink" Target="https://calebasse.com/produits/gui-hua-olivier-odorant-3794?product=4218" TargetMode="External"/><Relationship Id="rId284" Type="http://schemas.openxmlformats.org/officeDocument/2006/relationships/hyperlink" Target="https://res.cloudinary.com/laboratoire-calebasse/image/upload/v1747132509/RACINES_DE_KUDZU_300_g_AGGL_568891e004.jpg" TargetMode="External"/><Relationship Id="rId283" Type="http://schemas.openxmlformats.org/officeDocument/2006/relationships/hyperlink" Target="https://calebasse.com/produits/ge-gen-racines-de-kudzu-3842?product=4192" TargetMode="External"/><Relationship Id="rId289" Type="http://schemas.openxmlformats.org/officeDocument/2006/relationships/hyperlink" Target="https://calebasse.com/produits/gu-jing-cao-malte-du-berger-3808?product=4209" TargetMode="External"/><Relationship Id="rId288" Type="http://schemas.openxmlformats.org/officeDocument/2006/relationships/hyperlink" Target="https://res.cloudinary.com/laboratoire-calebasse/image/upload/v1746525057/GINGEMBRE_100_g_AGJ_cd7160edcb.jpg" TargetMode="External"/><Relationship Id="rId287" Type="http://schemas.openxmlformats.org/officeDocument/2006/relationships/hyperlink" Target="https://calebasse.com/produits/gan-jiang-gingembre-3793?product=4180" TargetMode="External"/><Relationship Id="rId282" Type="http://schemas.openxmlformats.org/officeDocument/2006/relationships/hyperlink" Target="https://res.cloudinary.com/laboratoire-calebasse/image/upload/v1706541400/A_gegen_GL_f13ca0a6fd.jpg" TargetMode="External"/><Relationship Id="rId281" Type="http://schemas.openxmlformats.org/officeDocument/2006/relationships/hyperlink" Target="https://calebasse.com/produits/ge-gen-racines-de-kudzu-3842?product=7255" TargetMode="External"/><Relationship Id="rId280" Type="http://schemas.openxmlformats.org/officeDocument/2006/relationships/hyperlink" Target="https://res.cloudinary.com/laboratoire-calebasse/image/upload/v1746528835/RACINES_DE_KUDZU_100_g_AGG_f4659731f2.jpg" TargetMode="External"/><Relationship Id="rId275" Type="http://schemas.openxmlformats.org/officeDocument/2006/relationships/hyperlink" Target="https://calebasse.com/produits/ren-shen-hua-fleur-du-ginseng-3900?product=4616" TargetMode="External"/><Relationship Id="rId274" Type="http://schemas.openxmlformats.org/officeDocument/2006/relationships/hyperlink" Target="https://res.cloudinary.com/laboratoire-calebasse/image/upload/v1747132574/REGLISSE_300_g_AGCL_178b0d8ae7.jpg" TargetMode="External"/><Relationship Id="rId273" Type="http://schemas.openxmlformats.org/officeDocument/2006/relationships/hyperlink" Target="https://calebasse.com/produits/gan-cao-reglisse-3795?product=4178" TargetMode="External"/><Relationship Id="rId272" Type="http://schemas.openxmlformats.org/officeDocument/2006/relationships/hyperlink" Target="https://res.cloudinary.com/laboratoire-calebasse/image/upload/v1746526632/REGLISSE_100_g_AGC_e2f6e143c7.jpg" TargetMode="External"/><Relationship Id="rId279" Type="http://schemas.openxmlformats.org/officeDocument/2006/relationships/hyperlink" Target="https://calebasse.com/produits/ge-gen-racines-de-kudzu-3842?product=4193" TargetMode="External"/><Relationship Id="rId278" Type="http://schemas.openxmlformats.org/officeDocument/2006/relationships/hyperlink" Target="https://res.cloudinary.com/laboratoire-calebasse/image/upload/v1748272109/GINSENG_FLEUR_260_g_AGFL_86293a1666.jpg" TargetMode="External"/><Relationship Id="rId277" Type="http://schemas.openxmlformats.org/officeDocument/2006/relationships/hyperlink" Target="https://calebasse.com/produits/ren-shen-hua-fleur-du-ginseng-3900?product=4617" TargetMode="External"/><Relationship Id="rId276" Type="http://schemas.openxmlformats.org/officeDocument/2006/relationships/hyperlink" Target="https://res.cloudinary.com/laboratoire-calebasse/image/upload/v1746524123/GINSENG_FLEUR_50_g_AGF_fd39ee6c7b.jpg" TargetMode="External"/><Relationship Id="rId1851" Type="http://schemas.openxmlformats.org/officeDocument/2006/relationships/hyperlink" Target="https://calebasse.com/produits/shen-tong-zhu-yu-tang-4141?product=5520" TargetMode="External"/><Relationship Id="rId1852" Type="http://schemas.openxmlformats.org/officeDocument/2006/relationships/hyperlink" Target="https://res.cloudinary.com/laboratoire-calebasse/image/upload/v1753105612/SHEN_TONG_ZHU_YU_TANG_CSTZYT_4107470557.jpg" TargetMode="External"/><Relationship Id="rId1853" Type="http://schemas.openxmlformats.org/officeDocument/2006/relationships/hyperlink" Target="https://calebasse.com/produits/shen-tong-zhu-yu-tang-4141?product=5522" TargetMode="External"/><Relationship Id="rId1854" Type="http://schemas.openxmlformats.org/officeDocument/2006/relationships/hyperlink" Target="https://res.cloudinary.com/laboratoire-calebasse/image/upload/v1753105622/SHEN_TONG_ZHU_YU_TANG_CSTZYTCP_b6539cd8b2.jpg" TargetMode="External"/><Relationship Id="rId1855" Type="http://schemas.openxmlformats.org/officeDocument/2006/relationships/hyperlink" Target="https://calebasse.com/produits/shao-yao-gan-cao-tang-4390?product=6327" TargetMode="External"/><Relationship Id="rId1856" Type="http://schemas.openxmlformats.org/officeDocument/2006/relationships/hyperlink" Target="https://res.cloudinary.com/laboratoire-calebasse/image/upload/v1753105079/SHAO_YAO_GAN_CAO_TANG_CSYGCT_66414dc33c.jpg" TargetMode="External"/><Relationship Id="rId1857" Type="http://schemas.openxmlformats.org/officeDocument/2006/relationships/hyperlink" Target="https://calebasse.com/produits/shao-yao-gan-cao-tang-4390?product=6329" TargetMode="External"/><Relationship Id="rId1858" Type="http://schemas.openxmlformats.org/officeDocument/2006/relationships/hyperlink" Target="https://res.cloudinary.com/laboratoire-calebasse/image/upload/v1753105090/SHAO_YAO_GAN_CAO_TANG_CSYGCTCP_2685a61572.jpg" TargetMode="External"/><Relationship Id="rId1859" Type="http://schemas.openxmlformats.org/officeDocument/2006/relationships/hyperlink" Target="https://calebasse.com/produits/suan-zao-ren-wan-4155?product=5576" TargetMode="External"/><Relationship Id="rId1850" Type="http://schemas.openxmlformats.org/officeDocument/2006/relationships/hyperlink" Target="https://res.cloudinary.com/laboratoire-calebasse/image/upload/v1753353059/SHEN_QI_WAN_CSQWCP_33cabef4af.jpg" TargetMode="External"/><Relationship Id="rId1840" Type="http://schemas.openxmlformats.org/officeDocument/2006/relationships/hyperlink" Target="https://res.cloudinary.com/laboratoire-calebasse/image/upload/v1753105642/SHI_QUAN_DA_BU_TANG_CSQDBT_3f14a75ba0.jpg" TargetMode="External"/><Relationship Id="rId1841" Type="http://schemas.openxmlformats.org/officeDocument/2006/relationships/hyperlink" Target="https://calebasse.com/produits/shi-quan-da-bu-tang-4146?product=5538" TargetMode="External"/><Relationship Id="rId1842" Type="http://schemas.openxmlformats.org/officeDocument/2006/relationships/hyperlink" Target="https://res.cloudinary.com/laboratoire-calebasse/image/upload/v1753105651/SHI_QUAN_DA_BU_TANG_CSQDBTCP_ec689ba93d.jpg" TargetMode="External"/><Relationship Id="rId1843" Type="http://schemas.openxmlformats.org/officeDocument/2006/relationships/hyperlink" Target="https://calebasse.com/produits/san-qi-shang-yao-pian-4134?product=5495" TargetMode="External"/><Relationship Id="rId1844" Type="http://schemas.openxmlformats.org/officeDocument/2006/relationships/hyperlink" Target="https://res.cloudinary.com/laboratoire-calebasse/image/upload/v1634201129/C_sanqishangyaopian_2bacd9319c.jpg" TargetMode="External"/><Relationship Id="rId1845" Type="http://schemas.openxmlformats.org/officeDocument/2006/relationships/hyperlink" Target="https://calebasse.com/produits/san-qi-shang-yao-pian-4134?product=5498" TargetMode="External"/><Relationship Id="rId1846" Type="http://schemas.openxmlformats.org/officeDocument/2006/relationships/hyperlink" Target="https://res.cloudinary.com/laboratoire-calebasse/image/upload/v1753104785/SAN_QI_SHANG_YAO_PIAN_CSQSYPCP_Poudre_7383d743e8.jpg" TargetMode="External"/><Relationship Id="rId1847" Type="http://schemas.openxmlformats.org/officeDocument/2006/relationships/hyperlink" Target="https://calebasse.com/produits/shen-qi-wan-4140?product=5516" TargetMode="External"/><Relationship Id="rId1848" Type="http://schemas.openxmlformats.org/officeDocument/2006/relationships/hyperlink" Target="https://res.cloudinary.com/laboratoire-calebasse/image/upload/v1753353049/SHEN_QI_WAN_CSQW_10d2ea2868.jpg" TargetMode="External"/><Relationship Id="rId1849" Type="http://schemas.openxmlformats.org/officeDocument/2006/relationships/hyperlink" Target="https://calebasse.com/produits/shen-qi-wan-4140?product=5518" TargetMode="External"/><Relationship Id="rId1873" Type="http://schemas.openxmlformats.org/officeDocument/2006/relationships/hyperlink" Target="https://calebasse.com/produits/tao-hong-si-wu-tang-4156?product=5582" TargetMode="External"/><Relationship Id="rId1874" Type="http://schemas.openxmlformats.org/officeDocument/2006/relationships/hyperlink" Target="https://res.cloudinary.com/laboratoire-calebasse/image/upload/v1753106052/TAO_HONG_SI_WU_TANG_CTHSWTCP_Poudre_a8d8b3253f.jpg" TargetMode="External"/><Relationship Id="rId1875" Type="http://schemas.openxmlformats.org/officeDocument/2006/relationships/hyperlink" Target="https://calebasse.com/produits/tiao-jing-zhu-yun-wan-4159?product=5596" TargetMode="External"/><Relationship Id="rId1876" Type="http://schemas.openxmlformats.org/officeDocument/2006/relationships/hyperlink" Target="https://res.cloudinary.com/laboratoire-calebasse/image/upload/v1753353594/TIAO_JING_ZHU_YUN_WAN_CTJZYW_bd75159e86.jpg" TargetMode="External"/><Relationship Id="rId1877" Type="http://schemas.openxmlformats.org/officeDocument/2006/relationships/hyperlink" Target="https://calebasse.com/produits/tiao-jing-zhu-yun-wan-4159?product=5598" TargetMode="External"/><Relationship Id="rId1878" Type="http://schemas.openxmlformats.org/officeDocument/2006/relationships/hyperlink" Target="https://res.cloudinary.com/laboratoire-calebasse/image/upload/v1753353603/TIAO_JING_ZHU_YUN_WAN_CTJZYWCP_2113ed64f7.jpg" TargetMode="External"/><Relationship Id="rId1879" Type="http://schemas.openxmlformats.org/officeDocument/2006/relationships/hyperlink" Target="https://calebasse.com/produits/tong-lin-san-4536?product=5624" TargetMode="External"/><Relationship Id="rId1870" Type="http://schemas.openxmlformats.org/officeDocument/2006/relationships/hyperlink" Target="https://res.cloudinary.com/laboratoire-calebasse/image/upload/v1753353650/TONG_CHANG_WAN_CTCWCP_52cc4db60c.jpg" TargetMode="External"/><Relationship Id="rId1871" Type="http://schemas.openxmlformats.org/officeDocument/2006/relationships/hyperlink" Target="https://calebasse.com/produits/tao-hong-si-wu-tang-4156?product=5580" TargetMode="External"/><Relationship Id="rId1872" Type="http://schemas.openxmlformats.org/officeDocument/2006/relationships/hyperlink" Target="https://res.cloudinary.com/laboratoire-calebasse/image/upload/v1634201219/C_taohongsiwutang_508268b5c1.jpg" TargetMode="External"/><Relationship Id="rId1862" Type="http://schemas.openxmlformats.org/officeDocument/2006/relationships/hyperlink" Target="https://res.cloudinary.com/laboratoire-calebasse/image/upload/v1753106006/SUAN_ZAO_REN_WAN_CSZRTCP_6ea0077838.jpg" TargetMode="External"/><Relationship Id="rId1863" Type="http://schemas.openxmlformats.org/officeDocument/2006/relationships/hyperlink" Target="https://calebasse.com/produits/san-zi-yang-qin-tang-4137?product=5500" TargetMode="External"/><Relationship Id="rId1864" Type="http://schemas.openxmlformats.org/officeDocument/2006/relationships/hyperlink" Target="https://res.cloudinary.com/laboratoire-calebasse/image/upload/v1753352996/SAN_ZI_YANG_QIN_TANG_CSZYQT_b265d68cd7.jpg" TargetMode="External"/><Relationship Id="rId1865" Type="http://schemas.openxmlformats.org/officeDocument/2006/relationships/hyperlink" Target="https://calebasse.com/produits/san-zi-yang-qin-tang-4137?product=5502" TargetMode="External"/><Relationship Id="rId1866" Type="http://schemas.openxmlformats.org/officeDocument/2006/relationships/hyperlink" Target="https://res.cloudinary.com/laboratoire-calebasse/image/upload/v1753353008/SAN_ZI_YANG_QIN_TANG_CSZYQTCP_48be730b03.jpg" TargetMode="External"/><Relationship Id="rId1867" Type="http://schemas.openxmlformats.org/officeDocument/2006/relationships/hyperlink" Target="https://calebasse.com/produits/tong-chang-wan-4494?product=5604" TargetMode="External"/><Relationship Id="rId1868" Type="http://schemas.openxmlformats.org/officeDocument/2006/relationships/hyperlink" Target="https://res.cloudinary.com/laboratoire-calebasse/image/upload/v1753353640/TONG_CHANG_WAN_CTCW_d8d4a2096a.jpg" TargetMode="External"/><Relationship Id="rId1869" Type="http://schemas.openxmlformats.org/officeDocument/2006/relationships/hyperlink" Target="https://calebasse.com/produits/tong-chang-wan-4494?product=5606" TargetMode="External"/><Relationship Id="rId1860" Type="http://schemas.openxmlformats.org/officeDocument/2006/relationships/hyperlink" Target="https://res.cloudinary.com/laboratoire-calebasse/image/upload/v1753105990/SUAN_ZAO_REN_WAN_CSZRT_22b1161222.jpg" TargetMode="External"/><Relationship Id="rId1861" Type="http://schemas.openxmlformats.org/officeDocument/2006/relationships/hyperlink" Target="https://calebasse.com/produits/suan-zao-ren-wan-4155?product=5578" TargetMode="External"/><Relationship Id="rId1810" Type="http://schemas.openxmlformats.org/officeDocument/2006/relationships/hyperlink" Target="https://res.cloudinary.com/laboratoire-calebasse/image/upload/v1753353518/SHU_JIN_HUO_XUE_PIAN_CSJHXPCP_3ccee794ba.jpg" TargetMode="External"/><Relationship Id="rId1811" Type="http://schemas.openxmlformats.org/officeDocument/2006/relationships/hyperlink" Target="https://calebasse.com/produits/san-jin-li-niao-tang-4132?product=5484" TargetMode="External"/><Relationship Id="rId1812" Type="http://schemas.openxmlformats.org/officeDocument/2006/relationships/hyperlink" Target="https://res.cloudinary.com/laboratoire-calebasse/image/upload/v1753352953/SAN_JIN_LI_NIAO_TANG_CSJLNT_087922d288.jpg" TargetMode="External"/><Relationship Id="rId1813" Type="http://schemas.openxmlformats.org/officeDocument/2006/relationships/hyperlink" Target="https://calebasse.com/produits/san-jin-li-niao-tang-4132?product=5485" TargetMode="External"/><Relationship Id="rId1814" Type="http://schemas.openxmlformats.org/officeDocument/2006/relationships/hyperlink" Target="https://res.cloudinary.com/laboratoire-calebasse/image/upload/v1753352976/SAN_JIN_LI_NIAO_TANG_CSJLNTCP_0501a167a6.jpg" TargetMode="External"/><Relationship Id="rId1815" Type="http://schemas.openxmlformats.org/officeDocument/2006/relationships/hyperlink" Target="https://calebasse.com/produits/si-jun-zi-tang-4153?product=5563" TargetMode="External"/><Relationship Id="rId1816" Type="http://schemas.openxmlformats.org/officeDocument/2006/relationships/hyperlink" Target="https://res.cloudinary.com/laboratoire-calebasse/image/upload/v1753105760/SI_JUN_ZI_TANG_CSJZW_Gelule_e1e2162d59.jpg" TargetMode="External"/><Relationship Id="rId1817" Type="http://schemas.openxmlformats.org/officeDocument/2006/relationships/hyperlink" Target="https://calebasse.com/produits/si-jun-zi-tang-4153?product=5566" TargetMode="External"/><Relationship Id="rId1818" Type="http://schemas.openxmlformats.org/officeDocument/2006/relationships/hyperlink" Target="https://res.cloudinary.com/laboratoire-calebasse/image/upload/v1753105749/SI_JUN_ZI_TANG_CSJZWCP_Poudre_349299116e.jpg" TargetMode="External"/><Relationship Id="rId1819" Type="http://schemas.openxmlformats.org/officeDocument/2006/relationships/hyperlink" Target="https://calebasse.com/produits/shen-ling-bai-zhu-san-4139?product=5512" TargetMode="External"/><Relationship Id="rId1800" Type="http://schemas.openxmlformats.org/officeDocument/2006/relationships/hyperlink" Target="https://res.cloudinary.com/laboratoire-calebasse/image/upload/v1753105704/SHU_GAN_WAN_CSGW_197ee2448e.jpg" TargetMode="External"/><Relationship Id="rId1801" Type="http://schemas.openxmlformats.org/officeDocument/2006/relationships/hyperlink" Target="https://calebasse.com/produits/shu-gan-wan-4147?product=5549" TargetMode="External"/><Relationship Id="rId1802" Type="http://schemas.openxmlformats.org/officeDocument/2006/relationships/hyperlink" Target="https://res.cloudinary.com/laboratoire-calebasse/image/upload/v1753105715/SHU_GAN_WAN_CSGWCP_f8af830576.jpg" TargetMode="External"/><Relationship Id="rId1803" Type="http://schemas.openxmlformats.org/officeDocument/2006/relationships/hyperlink" Target="https://calebasse.com/produits/shu-gan-zhi-tong-wan-4149?product=5552" TargetMode="External"/><Relationship Id="rId1804" Type="http://schemas.openxmlformats.org/officeDocument/2006/relationships/hyperlink" Target="https://res.cloudinary.com/laboratoire-calebasse/image/upload/v1753353482/SHU_GAN_ZHI_TONG_WAN_CSGZTW_1a51de342c.jpg" TargetMode="External"/><Relationship Id="rId1805" Type="http://schemas.openxmlformats.org/officeDocument/2006/relationships/hyperlink" Target="https://calebasse.com/produits/shu-gan-zhi-tong-wan-4149?product=5553" TargetMode="External"/><Relationship Id="rId1806" Type="http://schemas.openxmlformats.org/officeDocument/2006/relationships/hyperlink" Target="https://res.cloudinary.com/laboratoire-calebasse/image/upload/v1753353491/SHU_GAN_ZHI_TONG_WAN_CSGZTWCP_258058d1d9.jpg" TargetMode="External"/><Relationship Id="rId1807" Type="http://schemas.openxmlformats.org/officeDocument/2006/relationships/hyperlink" Target="https://calebasse.com/produits/shu-jin-huo-xue-pian-4150?product=5556" TargetMode="External"/><Relationship Id="rId1808" Type="http://schemas.openxmlformats.org/officeDocument/2006/relationships/hyperlink" Target="https://res.cloudinary.com/laboratoire-calebasse/image/upload/v1753353507/SHU_JIN_HUO_XUE_PIAN_CSJHXP_895c3fcb2d.jpg" TargetMode="External"/><Relationship Id="rId1809" Type="http://schemas.openxmlformats.org/officeDocument/2006/relationships/hyperlink" Target="https://calebasse.com/produits/shu-jin-huo-xue-pian-4150?product=5558" TargetMode="External"/><Relationship Id="rId1830" Type="http://schemas.openxmlformats.org/officeDocument/2006/relationships/hyperlink" Target="https://res.cloudinary.com/laboratoire-calebasse/image/upload/v1753353108/SHENG_MAI_YIN_CSMYCP_8abde35c91.jpg" TargetMode="External"/><Relationship Id="rId1831" Type="http://schemas.openxmlformats.org/officeDocument/2006/relationships/hyperlink" Target="https://calebasse.com/produits/si-ni-san-4391?product=6331" TargetMode="External"/><Relationship Id="rId1832" Type="http://schemas.openxmlformats.org/officeDocument/2006/relationships/hyperlink" Target="https://res.cloudinary.com/laboratoire-calebasse/image/upload/v1753353535/SI_NI_SAN_CSNS_ff118079d5.jpg" TargetMode="External"/><Relationship Id="rId1833" Type="http://schemas.openxmlformats.org/officeDocument/2006/relationships/hyperlink" Target="https://calebasse.com/produits/si-ni-san-4391?product=6333" TargetMode="External"/><Relationship Id="rId1834" Type="http://schemas.openxmlformats.org/officeDocument/2006/relationships/hyperlink" Target="https://res.cloudinary.com/laboratoire-calebasse/image/upload/v1753353545/SI_NI_SAN_CSNSCP_fa9a5cfc7d.jpg" TargetMode="External"/><Relationship Id="rId1835" Type="http://schemas.openxmlformats.org/officeDocument/2006/relationships/hyperlink" Target="https://calebasse.com/produits/si-ni-tang-4392?product=6337" TargetMode="External"/><Relationship Id="rId1836" Type="http://schemas.openxmlformats.org/officeDocument/2006/relationships/hyperlink" Target="https://res.cloudinary.com/laboratoire-calebasse/image/upload/v1753353562/SI_NI_TANG_CSNTCP_a407c582fe.jpg" TargetMode="External"/><Relationship Id="rId1837" Type="http://schemas.openxmlformats.org/officeDocument/2006/relationships/hyperlink" Target="https://calebasse.com/produits/si-ni-tang-4392?product=6335" TargetMode="External"/><Relationship Id="rId1838" Type="http://schemas.openxmlformats.org/officeDocument/2006/relationships/hyperlink" Target="https://res.cloudinary.com/laboratoire-calebasse/image/upload/v1753353574/SI_NI_TANG_CSNTGL_dadb4a2065.jpg" TargetMode="External"/><Relationship Id="rId1839" Type="http://schemas.openxmlformats.org/officeDocument/2006/relationships/hyperlink" Target="https://calebasse.com/produits/shi-quan-da-bu-tang-4146?product=5536" TargetMode="External"/><Relationship Id="rId1820" Type="http://schemas.openxmlformats.org/officeDocument/2006/relationships/hyperlink" Target="https://res.cloudinary.com/laboratoire-calebasse/image/upload/v1753105108/SHEN_LING_BAI_ZHU_SAN_CSLBZW_06418e3aab.jpg" TargetMode="External"/><Relationship Id="rId1821" Type="http://schemas.openxmlformats.org/officeDocument/2006/relationships/hyperlink" Target="https://calebasse.com/produits/shen-ling-bai-zhu-san-4139?product=5514" TargetMode="External"/><Relationship Id="rId1822" Type="http://schemas.openxmlformats.org/officeDocument/2006/relationships/hyperlink" Target="https://res.cloudinary.com/laboratoire-calebasse/image/upload/v1753105119/SHEN_LING_BAI_ZHU_SAN_CSLBZWCP_91be8ebe6b.jpg" TargetMode="External"/><Relationship Id="rId1823" Type="http://schemas.openxmlformats.org/officeDocument/2006/relationships/hyperlink" Target="https://calebasse.com/produits/si-miao-san-4152?product=5568" TargetMode="External"/><Relationship Id="rId1824" Type="http://schemas.openxmlformats.org/officeDocument/2006/relationships/hyperlink" Target="https://res.cloudinary.com/laboratoire-calebasse/image/upload/v1753785827/SI_MIAO_SAN_CSMS_Gelule_08885f9e17.jpg" TargetMode="External"/><Relationship Id="rId1825" Type="http://schemas.openxmlformats.org/officeDocument/2006/relationships/hyperlink" Target="https://calebasse.com/produits/si-miao-san-4152?product=5570" TargetMode="External"/><Relationship Id="rId1826" Type="http://schemas.openxmlformats.org/officeDocument/2006/relationships/hyperlink" Target="https://res.cloudinary.com/laboratoire-calebasse/image/upload/v1753105774/SI_MIAO_SAN_CSMSCP_Poudre_09e0f560cd.jpg" TargetMode="External"/><Relationship Id="rId1827" Type="http://schemas.openxmlformats.org/officeDocument/2006/relationships/hyperlink" Target="https://calebasse.com/produits/sheng-mai-yin-4143?product=5528" TargetMode="External"/><Relationship Id="rId1828" Type="http://schemas.openxmlformats.org/officeDocument/2006/relationships/hyperlink" Target="https://res.cloudinary.com/laboratoire-calebasse/image/upload/v1753353098/SHENG_MAI_YIN_CSMY_c092c43bfb.jpg" TargetMode="External"/><Relationship Id="rId1829" Type="http://schemas.openxmlformats.org/officeDocument/2006/relationships/hyperlink" Target="https://calebasse.com/produits/sheng-mai-yin-4143?product=5530" TargetMode="External"/><Relationship Id="rId2302" Type="http://schemas.openxmlformats.org/officeDocument/2006/relationships/hyperlink" Target="https://calebasse.com/produits/livre-tui-na-apprendre-et-comprendre-4817?product=7039" TargetMode="External"/><Relationship Id="rId3634" Type="http://schemas.openxmlformats.org/officeDocument/2006/relationships/hyperlink" Target="https://res.cloudinary.com/laboratoire-calebasse/image/upload/v1677079520/yejiaoteng100_b7d47ef86d.jpg" TargetMode="External"/><Relationship Id="rId2303" Type="http://schemas.openxmlformats.org/officeDocument/2006/relationships/hyperlink" Target="https://res.cloudinary.com/laboratoire-calebasse/image/upload/v1684855992/tui_na_b16eac8d13.jpg" TargetMode="External"/><Relationship Id="rId3633" Type="http://schemas.openxmlformats.org/officeDocument/2006/relationships/hyperlink" Target="https://calebasse.com/produits/ye-jiao-teng-4748?product=6920" TargetMode="External"/><Relationship Id="rId2304" Type="http://schemas.openxmlformats.org/officeDocument/2006/relationships/hyperlink" Target="https://calebasse.com/produits/livre-traite-des-blessures-dues-au-froid-4819?product=7040" TargetMode="External"/><Relationship Id="rId3636" Type="http://schemas.openxmlformats.org/officeDocument/2006/relationships/hyperlink" Target="https://res.cloudinary.com/laboratoire-calebasse/image/upload/v1677057613/yejiaoteng_d596ccc2b9.jpg" TargetMode="External"/><Relationship Id="rId2305" Type="http://schemas.openxmlformats.org/officeDocument/2006/relationships/hyperlink" Target="https://res.cloudinary.com/laboratoire-calebasse/image/upload/v1684916646/shanghanlun_d012b65d73.jpg" TargetMode="External"/><Relationship Id="rId3635" Type="http://schemas.openxmlformats.org/officeDocument/2006/relationships/hyperlink" Target="https://calebasse.com/produits/ye-jiao-teng-4748?product=6921" TargetMode="External"/><Relationship Id="rId2306" Type="http://schemas.openxmlformats.org/officeDocument/2006/relationships/hyperlink" Target="https://calebasse.com/produits/livre-lesprit-originel-des-quatre-sages-4831?product=7041" TargetMode="External"/><Relationship Id="rId3638" Type="http://schemas.openxmlformats.org/officeDocument/2006/relationships/hyperlink" Target="https://res.cloudinary.com/laboratoire-calebasse/image/upload/v1677166582/yimucao100_fda58ff397.jpg" TargetMode="External"/><Relationship Id="rId2307" Type="http://schemas.openxmlformats.org/officeDocument/2006/relationships/hyperlink" Target="https://res.cloudinary.com/laboratoire-calebasse/image/upload/v1684921970/si_sheng_xin_yuan_18a7e4a095.jpg" TargetMode="External"/><Relationship Id="rId3637" Type="http://schemas.openxmlformats.org/officeDocument/2006/relationships/hyperlink" Target="https://calebasse.com/produits/yi-mu-cao-4771?product=6966" TargetMode="External"/><Relationship Id="rId2308" Type="http://schemas.openxmlformats.org/officeDocument/2006/relationships/hyperlink" Target="https://calebasse.com/produits/livre-veritable-transmission-des-principes-medicaux-4818?product=7042" TargetMode="External"/><Relationship Id="rId2309" Type="http://schemas.openxmlformats.org/officeDocument/2006/relationships/hyperlink" Target="https://res.cloudinary.com/laboratoire-calebasse/image/upload/v1684932805/yilizhenchuan_6d9f24690b.jpg" TargetMode="External"/><Relationship Id="rId3639" Type="http://schemas.openxmlformats.org/officeDocument/2006/relationships/hyperlink" Target="https://calebasse.com/produits/yi-mu-cao-4771?product=6967" TargetMode="External"/><Relationship Id="rId3630" Type="http://schemas.openxmlformats.org/officeDocument/2006/relationships/hyperlink" Target="https://res.cloudinary.com/laboratoire-calebasse/image/upload/v1677079491/xiangfu_8e477d9eb7.jpg" TargetMode="External"/><Relationship Id="rId2300" Type="http://schemas.openxmlformats.org/officeDocument/2006/relationships/hyperlink" Target="https://calebasse.com/produits/livre-soigner-la-fatigue-par-la-medecine-chinoise-4791?product=7038" TargetMode="External"/><Relationship Id="rId3632" Type="http://schemas.openxmlformats.org/officeDocument/2006/relationships/hyperlink" Target="https://res.cloudinary.com/laboratoire-calebasse/image/upload/v1677056024/xiangfu_e2bbdfc7a6.jpg" TargetMode="External"/><Relationship Id="rId2301" Type="http://schemas.openxmlformats.org/officeDocument/2006/relationships/hyperlink" Target="https://res.cloudinary.com/laboratoire-calebasse/image/upload/v1684855785/soigner_la_fatigue_par_la_medecine_chinoise_371bd1e59e.jpg" TargetMode="External"/><Relationship Id="rId3631" Type="http://schemas.openxmlformats.org/officeDocument/2006/relationships/hyperlink" Target="https://calebasse.com/produits/xiang-fu-4743?product=6911" TargetMode="External"/><Relationship Id="rId3623" Type="http://schemas.openxmlformats.org/officeDocument/2006/relationships/hyperlink" Target="https://calebasse.com/produits/shi-chang-pu-4745?product=6915" TargetMode="External"/><Relationship Id="rId3622" Type="http://schemas.openxmlformats.org/officeDocument/2006/relationships/hyperlink" Target="https://res.cloudinary.com/laboratoire-calebasse/image/upload/v1677079443/shichangpu100_1842ccb111.jpg" TargetMode="External"/><Relationship Id="rId3625" Type="http://schemas.openxmlformats.org/officeDocument/2006/relationships/hyperlink" Target="https://calebasse.com/produits/wu-wei-zi-4763?product=6950" TargetMode="External"/><Relationship Id="rId3624" Type="http://schemas.openxmlformats.org/officeDocument/2006/relationships/hyperlink" Target="https://res.cloudinary.com/laboratoire-calebasse/image/upload/v1677056709/shichangpu_674a8bf2e5.jpg" TargetMode="External"/><Relationship Id="rId3627" Type="http://schemas.openxmlformats.org/officeDocument/2006/relationships/hyperlink" Target="https://calebasse.com/produits/wu-wei-zi-4763?product=6951" TargetMode="External"/><Relationship Id="rId3626" Type="http://schemas.openxmlformats.org/officeDocument/2006/relationships/hyperlink" Target="https://res.cloudinary.com/laboratoire-calebasse/image/upload/v1677079471/wuweizi100_31ba48f5e8.jpg" TargetMode="External"/><Relationship Id="rId3629" Type="http://schemas.openxmlformats.org/officeDocument/2006/relationships/hyperlink" Target="https://calebasse.com/produits/xiang-fu-4743?product=6910" TargetMode="External"/><Relationship Id="rId3628" Type="http://schemas.openxmlformats.org/officeDocument/2006/relationships/hyperlink" Target="https://res.cloudinary.com/laboratoire-calebasse/image/upload/v1677064474/wuweizi_c5487fa584.jpg" TargetMode="External"/><Relationship Id="rId3621" Type="http://schemas.openxmlformats.org/officeDocument/2006/relationships/hyperlink" Target="https://calebasse.com/produits/shi-chang-pu-4745?product=6914" TargetMode="External"/><Relationship Id="rId3620" Type="http://schemas.openxmlformats.org/officeDocument/2006/relationships/hyperlink" Target="https://res.cloudinary.com/laboratoire-calebasse/image/upload/v1677600037/shengbaizhu_1_f5bf394779.jpg" TargetMode="External"/><Relationship Id="rId2324" Type="http://schemas.openxmlformats.org/officeDocument/2006/relationships/hyperlink" Target="https://calebasse.com/produits/livre-des-rides-et-vous-4860?product=7064" TargetMode="External"/><Relationship Id="rId2325" Type="http://schemas.openxmlformats.org/officeDocument/2006/relationships/hyperlink" Target="https://res.cloudinary.com/laboratoire-calebasse/image/upload/v1693305888/Des_vides_414a88e266.jpg" TargetMode="External"/><Relationship Id="rId3655" Type="http://schemas.openxmlformats.org/officeDocument/2006/relationships/drawing" Target="../drawings/drawing1.xml"/><Relationship Id="rId2326" Type="http://schemas.openxmlformats.org/officeDocument/2006/relationships/hyperlink" Target="https://calebasse.com/produits/livre-do-in-auto-massage-4861?product=7065" TargetMode="External"/><Relationship Id="rId2327" Type="http://schemas.openxmlformats.org/officeDocument/2006/relationships/hyperlink" Target="https://res.cloudinary.com/laboratoire-calebasse/image/upload/v1693305925/Do_in_automassage_20b94ce14b.jpg" TargetMode="External"/><Relationship Id="rId2328" Type="http://schemas.openxmlformats.org/officeDocument/2006/relationships/hyperlink" Target="https://calebasse.com/produits/livre-guide-pratique-des-moxas-tome-1and2-4862?product=7066" TargetMode="External"/><Relationship Id="rId2329" Type="http://schemas.openxmlformats.org/officeDocument/2006/relationships/hyperlink" Target="https://res.cloudinary.com/laboratoire-calebasse/image/upload/v1700647360/Guide_pratique_des_moxas_1_4161dc638a.jpg" TargetMode="External"/><Relationship Id="rId3650" Type="http://schemas.openxmlformats.org/officeDocument/2006/relationships/hyperlink" Target="https://res.cloudinary.com/laboratoire-calebasse/image/upload/v1677079613/zishiying100_9a2d68ff59.jpg" TargetMode="External"/><Relationship Id="rId2320" Type="http://schemas.openxmlformats.org/officeDocument/2006/relationships/hyperlink" Target="https://calebasse.com/produits/livre-bilans-energetique-4858?product=7062" TargetMode="External"/><Relationship Id="rId3652" Type="http://schemas.openxmlformats.org/officeDocument/2006/relationships/hyperlink" Target="https://res.cloudinary.com/laboratoire-calebasse/image/upload/v1677064247/zishiying_60c1fe568a.jpg" TargetMode="External"/><Relationship Id="rId2321" Type="http://schemas.openxmlformats.org/officeDocument/2006/relationships/hyperlink" Target="https://res.cloudinary.com/laboratoire-calebasse/image/upload/v1693305726/Bilan_energetique_b28f6d3320.jpg" TargetMode="External"/><Relationship Id="rId3651" Type="http://schemas.openxmlformats.org/officeDocument/2006/relationships/hyperlink" Target="https://calebasse.com/produits/zi-shi-ying-4761?product=6947" TargetMode="External"/><Relationship Id="rId2322" Type="http://schemas.openxmlformats.org/officeDocument/2006/relationships/hyperlink" Target="https://calebasse.com/produits/livre-comprendre-lacupuncture-4859?product=7063" TargetMode="External"/><Relationship Id="rId3654" Type="http://schemas.openxmlformats.org/officeDocument/2006/relationships/hyperlink" Target="https://res.cloudinary.com/laboratoire-calebasse/image/upload/v1754487813/xi_yang_shen_04e6ee7b4e.jpg" TargetMode="External"/><Relationship Id="rId2323" Type="http://schemas.openxmlformats.org/officeDocument/2006/relationships/hyperlink" Target="https://res.cloudinary.com/laboratoire-calebasse/image/upload/v1693305789/Comprendre_l_acupuncture_62658c0e8a.jpg" TargetMode="External"/><Relationship Id="rId3653" Type="http://schemas.openxmlformats.org/officeDocument/2006/relationships/hyperlink" Target="https://calebasse.com/produits/xi-yang-shen-racine-de-ginseng-americain-4690?product=6825" TargetMode="External"/><Relationship Id="rId2313" Type="http://schemas.openxmlformats.org/officeDocument/2006/relationships/hyperlink" Target="https://res.cloudinary.com/laboratoire-calebasse/image/upload/v1685084994/zhenjiujiayijing_1_51fbdcc08a.jpg" TargetMode="External"/><Relationship Id="rId3645" Type="http://schemas.openxmlformats.org/officeDocument/2006/relationships/hyperlink" Target="https://calebasse.com/produits/zhi-mu-4766?product=6956" TargetMode="External"/><Relationship Id="rId2314" Type="http://schemas.openxmlformats.org/officeDocument/2006/relationships/hyperlink" Target="https://calebasse.com/produits/livre-repertoire-des-indications-des-points-dacupuncture-4848?product=7049" TargetMode="External"/><Relationship Id="rId3644" Type="http://schemas.openxmlformats.org/officeDocument/2006/relationships/hyperlink" Target="https://res.cloudinary.com/laboratoire-calebasse/image/upload/v1677057036/zhebeimu_4066de842f.jpg" TargetMode="External"/><Relationship Id="rId2315" Type="http://schemas.openxmlformats.org/officeDocument/2006/relationships/hyperlink" Target="https://res.cloudinary.com/laboratoire-calebasse/image/upload/v1685351047/repertoire_des_indications_des_points_d_acupncture_855226887b.jpg" TargetMode="External"/><Relationship Id="rId3647" Type="http://schemas.openxmlformats.org/officeDocument/2006/relationships/hyperlink" Target="https://calebasse.com/produits/zhi-mu-4766?product=6957" TargetMode="External"/><Relationship Id="rId2316" Type="http://schemas.openxmlformats.org/officeDocument/2006/relationships/hyperlink" Target="https://calebasse.com/produits/livre-10-minutes-par-jour-pour-se-sentir-bien-grace-a-la-medecine-chinoise-4856?product=7060" TargetMode="External"/><Relationship Id="rId3646" Type="http://schemas.openxmlformats.org/officeDocument/2006/relationships/hyperlink" Target="https://res.cloudinary.com/laboratoire-calebasse/image/upload/v1677079590/zhimu100_fba4b5b6ea.jpg" TargetMode="External"/><Relationship Id="rId2317" Type="http://schemas.openxmlformats.org/officeDocument/2006/relationships/hyperlink" Target="https://res.cloudinary.com/laboratoire-calebasse/image/upload/v1693305334/10minuits_par_jour_722960b591.jpg" TargetMode="External"/><Relationship Id="rId3649" Type="http://schemas.openxmlformats.org/officeDocument/2006/relationships/hyperlink" Target="https://calebasse.com/produits/zi-shi-ying-4761?product=6946" TargetMode="External"/><Relationship Id="rId2318" Type="http://schemas.openxmlformats.org/officeDocument/2006/relationships/hyperlink" Target="https://calebasse.com/produits/livre-100-points-de-digitopuncture-qui-peuvent-vous-changer-la-vie-4857?product=7061" TargetMode="External"/><Relationship Id="rId3648" Type="http://schemas.openxmlformats.org/officeDocument/2006/relationships/hyperlink" Target="https://res.cloudinary.com/laboratoire-calebasse/image/upload/v1677067105/zhimu_110be348b9.jpg" TargetMode="External"/><Relationship Id="rId2319" Type="http://schemas.openxmlformats.org/officeDocument/2006/relationships/hyperlink" Target="https://res.cloudinary.com/laboratoire-calebasse/image/upload/v1693305658/100_points_de_digitopuncture_ec3bf94e2a.jpg" TargetMode="External"/><Relationship Id="rId3641" Type="http://schemas.openxmlformats.org/officeDocument/2006/relationships/hyperlink" Target="https://calebasse.com/produits/zhe-bei-mu-4746?product=6916" TargetMode="External"/><Relationship Id="rId2310" Type="http://schemas.openxmlformats.org/officeDocument/2006/relationships/hyperlink" Target="https://calebasse.com/produits/livre-la-medecine-des-ventouses-dans-les-pathologies-respiratoires-4824?product=7043" TargetMode="External"/><Relationship Id="rId3640" Type="http://schemas.openxmlformats.org/officeDocument/2006/relationships/hyperlink" Target="https://res.cloudinary.com/laboratoire-calebasse/image/upload/v1677166868/yimucao_3643ecc143.jpg" TargetMode="External"/><Relationship Id="rId2311" Type="http://schemas.openxmlformats.org/officeDocument/2006/relationships/hyperlink" Target="https://res.cloudinary.com/laboratoire-calebasse/image/upload/v1685084784/la_medecine_des_ventouses_1_e808b7ef98.jpg" TargetMode="External"/><Relationship Id="rId3643" Type="http://schemas.openxmlformats.org/officeDocument/2006/relationships/hyperlink" Target="https://calebasse.com/produits/zhe-bei-mu-4746?product=6917" TargetMode="External"/><Relationship Id="rId2312" Type="http://schemas.openxmlformats.org/officeDocument/2006/relationships/hyperlink" Target="https://calebasse.com/produits/livre-zhenjiu-jiayi-jing-volume-1-et-2-4813?product=7044" TargetMode="External"/><Relationship Id="rId3642" Type="http://schemas.openxmlformats.org/officeDocument/2006/relationships/hyperlink" Target="https://res.cloudinary.com/laboratoire-calebasse/image/upload/v1677079570/zhebeimu_9ec7b6d3d3.jpg" TargetMode="External"/><Relationship Id="rId1895" Type="http://schemas.openxmlformats.org/officeDocument/2006/relationships/hyperlink" Target="https://calebasse.com/produits/tiao-wei-dan-4510?product=5600" TargetMode="External"/><Relationship Id="rId1896" Type="http://schemas.openxmlformats.org/officeDocument/2006/relationships/hyperlink" Target="https://res.cloudinary.com/laboratoire-calebasse/image/upload/v1753353618/TIAO_WEI_DAN_CTWD_9f9ab46481.jpg" TargetMode="External"/><Relationship Id="rId1897" Type="http://schemas.openxmlformats.org/officeDocument/2006/relationships/hyperlink" Target="https://calebasse.com/produits/tiao-wei-dan-4510?product=5602" TargetMode="External"/><Relationship Id="rId1898" Type="http://schemas.openxmlformats.org/officeDocument/2006/relationships/hyperlink" Target="https://res.cloudinary.com/laboratoire-calebasse/image/upload/v1753353627/TIAO_WEI_DAN_CTWDCP_4fa5d3d1f4.jpg" TargetMode="External"/><Relationship Id="rId1899" Type="http://schemas.openxmlformats.org/officeDocument/2006/relationships/hyperlink" Target="https://calebasse.com/produits/tong-xuan-li-fei-wan-4168?product=5628" TargetMode="External"/><Relationship Id="rId1890" Type="http://schemas.openxmlformats.org/officeDocument/2006/relationships/hyperlink" Target="https://res.cloudinary.com/laboratoire-calebasse/image/upload/v1753353743/TONG_QIAO_XIAO_YAO_SAN_CTQXYSCP_80271c73f4.jpg" TargetMode="External"/><Relationship Id="rId1891" Type="http://schemas.openxmlformats.org/officeDocument/2006/relationships/hyperlink" Target="https://calebasse.com/produits/tian-wang-bu-xin-dan-4158?product=5592" TargetMode="External"/><Relationship Id="rId1892" Type="http://schemas.openxmlformats.org/officeDocument/2006/relationships/hyperlink" Target="https://res.cloudinary.com/laboratoire-calebasse/image/upload/v1753785847/TIAN_WANG_BU_XIN_DAN_CTWBXD_Gelule_bf5e290f41.jpg" TargetMode="External"/><Relationship Id="rId1893" Type="http://schemas.openxmlformats.org/officeDocument/2006/relationships/hyperlink" Target="https://calebasse.com/produits/tian-wang-bu-xin-dan-4158?product=5593" TargetMode="External"/><Relationship Id="rId1894" Type="http://schemas.openxmlformats.org/officeDocument/2006/relationships/hyperlink" Target="https://res.cloudinary.com/laboratoire-calebasse/image/upload/v1753106131/TIAN_WANG_BU_XIN_DAN_CTWBXDCP_Poudre_86c2d3348b.jpg" TargetMode="External"/><Relationship Id="rId1884" Type="http://schemas.openxmlformats.org/officeDocument/2006/relationships/hyperlink" Target="https://res.cloudinary.com/laboratoire-calebasse/image/upload/v1753106110/TIAN_MA_GOU_TENG_WAN_CTMGTW_Gelule_66c2cde176.jpg" TargetMode="External"/><Relationship Id="rId1885" Type="http://schemas.openxmlformats.org/officeDocument/2006/relationships/hyperlink" Target="https://calebasse.com/produits/tian-ma-gou-teng-wan-4160?product=5590" TargetMode="External"/><Relationship Id="rId1886" Type="http://schemas.openxmlformats.org/officeDocument/2006/relationships/hyperlink" Target="https://res.cloudinary.com/laboratoire-calebasse/image/upload/v1753106099/TIAN_MA_GOU_TENG_WAN_CTMGTWCP_Poudre_341ad97152.jpg" TargetMode="External"/><Relationship Id="rId1887" Type="http://schemas.openxmlformats.org/officeDocument/2006/relationships/hyperlink" Target="https://calebasse.com/produits/tong-qiao-xiao-yao-san-4401?product=6360" TargetMode="External"/><Relationship Id="rId1888" Type="http://schemas.openxmlformats.org/officeDocument/2006/relationships/hyperlink" Target="https://res.cloudinary.com/laboratoire-calebasse/image/upload/v1753353733/TONG_QIAO_XIAO_YAO_SAN_CTQXYS_703dd11753.jpg" TargetMode="External"/><Relationship Id="rId1889" Type="http://schemas.openxmlformats.org/officeDocument/2006/relationships/hyperlink" Target="https://calebasse.com/produits/tong-qiao-xiao-yao-san-4401?product=6362" TargetMode="External"/><Relationship Id="rId1880" Type="http://schemas.openxmlformats.org/officeDocument/2006/relationships/hyperlink" Target="https://res.cloudinary.com/laboratoire-calebasse/image/upload/v1753353710/TONG_LIN_SAN_CTLS_e30e8cf67e.jpg" TargetMode="External"/><Relationship Id="rId1881" Type="http://schemas.openxmlformats.org/officeDocument/2006/relationships/hyperlink" Target="https://calebasse.com/produits/tong-lin-san-4536?product=5625" TargetMode="External"/><Relationship Id="rId1882" Type="http://schemas.openxmlformats.org/officeDocument/2006/relationships/hyperlink" Target="https://res.cloudinary.com/laboratoire-calebasse/image/upload/v1753353719/TONG_LIN_SAN_CTLSCP_9b1ef532e1.jpg" TargetMode="External"/><Relationship Id="rId1883" Type="http://schemas.openxmlformats.org/officeDocument/2006/relationships/hyperlink" Target="https://calebasse.com/produits/tian-ma-gou-teng-wan-4160?product=5588" TargetMode="External"/><Relationship Id="rId3612" Type="http://schemas.openxmlformats.org/officeDocument/2006/relationships/hyperlink" Target="https://res.cloudinary.com/laboratoire-calebasse/image/upload/v1677063083/qianghuo_a9d3ec08fd.jpg" TargetMode="External"/><Relationship Id="rId3611" Type="http://schemas.openxmlformats.org/officeDocument/2006/relationships/hyperlink" Target="https://calebasse.com/produits/qiang-huo-4757?product=6939" TargetMode="External"/><Relationship Id="rId3614" Type="http://schemas.openxmlformats.org/officeDocument/2006/relationships/hyperlink" Target="https://res.cloudinary.com/laboratoire-calebasse/image/upload/v1725742759/Qing_hao_moulu_100g_e92223867f.jpg" TargetMode="External"/><Relationship Id="rId3613" Type="http://schemas.openxmlformats.org/officeDocument/2006/relationships/hyperlink" Target="https://calebasse.com/produits/qing-hao-20240717?product=7334" TargetMode="External"/><Relationship Id="rId3616" Type="http://schemas.openxmlformats.org/officeDocument/2006/relationships/hyperlink" Target="https://res.cloudinary.com/laboratoire-calebasse/image/upload/v1677598722/rougui_10be31c41d.jpg" TargetMode="External"/><Relationship Id="rId3615" Type="http://schemas.openxmlformats.org/officeDocument/2006/relationships/hyperlink" Target="https://calebasse.com/produits/rou-gui-4779?product=6978" TargetMode="External"/><Relationship Id="rId3618" Type="http://schemas.openxmlformats.org/officeDocument/2006/relationships/hyperlink" Target="https://res.cloudinary.com/laboratoire-calebasse/image/upload/v1677598756/rougui_1_5655b15883.jpg" TargetMode="External"/><Relationship Id="rId3617" Type="http://schemas.openxmlformats.org/officeDocument/2006/relationships/hyperlink" Target="https://calebasse.com/produits/rou-gui-4779?product=6979" TargetMode="External"/><Relationship Id="rId3619" Type="http://schemas.openxmlformats.org/officeDocument/2006/relationships/hyperlink" Target="https://calebasse.com/produits/bai-zhu-sheng-4782?product=6984" TargetMode="External"/><Relationship Id="rId3610" Type="http://schemas.openxmlformats.org/officeDocument/2006/relationships/hyperlink" Target="https://res.cloudinary.com/laboratoire-calebasse/image/upload/v1677079420/qianghuo100_cb824c6b9d.jpg" TargetMode="External"/><Relationship Id="rId3601" Type="http://schemas.openxmlformats.org/officeDocument/2006/relationships/hyperlink" Target="https://calebasse.com/produits/pu-gong-ying-4758?product=6940" TargetMode="External"/><Relationship Id="rId3600" Type="http://schemas.openxmlformats.org/officeDocument/2006/relationships/hyperlink" Target="https://res.cloudinary.com/laboratoire-calebasse/image/upload/v1677060740/shengmaiya_477446cc00.jpg" TargetMode="External"/><Relationship Id="rId3603" Type="http://schemas.openxmlformats.org/officeDocument/2006/relationships/hyperlink" Target="https://calebasse.com/produits/pu-gong-ying-4758?product=6941" TargetMode="External"/><Relationship Id="rId3602" Type="http://schemas.openxmlformats.org/officeDocument/2006/relationships/hyperlink" Target="https://res.cloudinary.com/laboratoire-calebasse/image/upload/v1677063167/pugongying100_fb36592626.jpg" TargetMode="External"/><Relationship Id="rId3605" Type="http://schemas.openxmlformats.org/officeDocument/2006/relationships/hyperlink" Target="https://calebasse.com/produits/pei-lan-4770?product=6964" TargetMode="External"/><Relationship Id="rId3604" Type="http://schemas.openxmlformats.org/officeDocument/2006/relationships/hyperlink" Target="https://res.cloudinary.com/laboratoire-calebasse/image/upload/v1677063338/pugongying_2242450eb5.jpg" TargetMode="External"/><Relationship Id="rId3607" Type="http://schemas.openxmlformats.org/officeDocument/2006/relationships/hyperlink" Target="https://calebasse.com/produits/pei-lan-4770?product=6965" TargetMode="External"/><Relationship Id="rId3606" Type="http://schemas.openxmlformats.org/officeDocument/2006/relationships/hyperlink" Target="https://res.cloudinary.com/laboratoire-calebasse/image/upload/v1677079386/peilan_f4161b6a61.jpg" TargetMode="External"/><Relationship Id="rId3609" Type="http://schemas.openxmlformats.org/officeDocument/2006/relationships/hyperlink" Target="https://calebasse.com/produits/qiang-huo-4757?product=6938" TargetMode="External"/><Relationship Id="rId3608" Type="http://schemas.openxmlformats.org/officeDocument/2006/relationships/hyperlink" Target="https://res.cloudinary.com/laboratoire-calebasse/image/upload/v1677072476/peilan_a868e74403.jpg" TargetMode="External"/><Relationship Id="rId1059" Type="http://schemas.openxmlformats.org/officeDocument/2006/relationships/hyperlink" Target="https://calebasse.com/produits/xiao-hui-xiang-graines-de-fenouil-3941?product=4780" TargetMode="External"/><Relationship Id="rId228" Type="http://schemas.openxmlformats.org/officeDocument/2006/relationships/hyperlink" Target="https://res.cloudinary.com/laboratoire-calebasse/image/upload/v1746524639/RACINES_DE_SANGUINE_100_g_ADY_b7569b928f.jpg" TargetMode="External"/><Relationship Id="rId227" Type="http://schemas.openxmlformats.org/officeDocument/2006/relationships/hyperlink" Target="https://calebasse.com/produits/di-yu-racines-de-sanguine-3758?product=4134" TargetMode="External"/><Relationship Id="rId226" Type="http://schemas.openxmlformats.org/officeDocument/2006/relationships/hyperlink" Target="https://res.cloudinary.com/laboratoire-calebasse/image/upload/v1747132764/CLOU_DE_GIROFLE_300_g_ADXL_a1d4fda00b.jpg" TargetMode="External"/><Relationship Id="rId225" Type="http://schemas.openxmlformats.org/officeDocument/2006/relationships/hyperlink" Target="https://calebasse.com/produits/ding-xiang-clou-de-girofle-3786?product=4141" TargetMode="External"/><Relationship Id="rId2380" Type="http://schemas.openxmlformats.org/officeDocument/2006/relationships/hyperlink" Target="https://calebasse.com/produits/livre-cahiers-cliniques-dacupuncture-n12-4998?product=7208" TargetMode="External"/><Relationship Id="rId229" Type="http://schemas.openxmlformats.org/officeDocument/2006/relationships/hyperlink" Target="https://calebasse.com/produits/di-yu-racines-de-sanguine-3758?product=4136" TargetMode="External"/><Relationship Id="rId1050" Type="http://schemas.openxmlformats.org/officeDocument/2006/relationships/hyperlink" Target="https://res.cloudinary.com/laboratoire-calebasse/image/upload/v1746524146/HERBE_D_AGRIMOINE_50_g_AXHC_295255ec1a.jpg" TargetMode="External"/><Relationship Id="rId2381" Type="http://schemas.openxmlformats.org/officeDocument/2006/relationships/hyperlink" Target="https://res.cloudinary.com/laboratoire-calebasse/image/upload/v1700649497/Psychiatrie_12_cf96b0f05b.jpg" TargetMode="External"/><Relationship Id="rId220" Type="http://schemas.openxmlformats.org/officeDocument/2006/relationships/hyperlink" Target="https://res.cloudinary.com/laboratoire-calebasse/image/upload/v1746523803/CLOU_DE_GIROFLE_50_g_ADX_d163d714b9.jpg" TargetMode="External"/><Relationship Id="rId1051" Type="http://schemas.openxmlformats.org/officeDocument/2006/relationships/hyperlink" Target="https://calebasse.com/produits/xian-he-cao-herbe-dagrimoine-3936?product=4762" TargetMode="External"/><Relationship Id="rId2382" Type="http://schemas.openxmlformats.org/officeDocument/2006/relationships/hyperlink" Target="https://calebasse.com/produits/livre-la-voie-du-calme-4999?product=7209" TargetMode="External"/><Relationship Id="rId1052" Type="http://schemas.openxmlformats.org/officeDocument/2006/relationships/hyperlink" Target="https://res.cloudinary.com/laboratoire-calebasse/image/upload/v1634201206/A_xianhecaocp_ad32e49587.jpg" TargetMode="External"/><Relationship Id="rId2383" Type="http://schemas.openxmlformats.org/officeDocument/2006/relationships/hyperlink" Target="https://res.cloudinary.com/laboratoire-calebasse/image/upload/v1700650231/La_voie_du_calme_3709509292.jpg" TargetMode="External"/><Relationship Id="rId1053" Type="http://schemas.openxmlformats.org/officeDocument/2006/relationships/hyperlink" Target="https://calebasse.com/produits/xian-he-cao-herbe-dagrimoine-3936?product=4764" TargetMode="External"/><Relationship Id="rId2384" Type="http://schemas.openxmlformats.org/officeDocument/2006/relationships/hyperlink" Target="https://calebasse.com/produits/livre-qi-gong-et-meditation-pour-les-yeux-5000?product=7210" TargetMode="External"/><Relationship Id="rId1054" Type="http://schemas.openxmlformats.org/officeDocument/2006/relationships/hyperlink" Target="https://res.cloudinary.com/laboratoire-calebasse/image/upload/v1634201206/A_xianhecaogl_fa31740b2b.jpg" TargetMode="External"/><Relationship Id="rId2385" Type="http://schemas.openxmlformats.org/officeDocument/2006/relationships/hyperlink" Target="https://res.cloudinary.com/laboratoire-calebasse/image/upload/v1700650969/QI_GONG_ET_MEDITATION_3b0638473a.jpg" TargetMode="External"/><Relationship Id="rId224" Type="http://schemas.openxmlformats.org/officeDocument/2006/relationships/hyperlink" Target="https://res.cloudinary.com/laboratoire-calebasse/image/upload/v1634201103/A_dingxianggl_6b37aabe35.jpg" TargetMode="External"/><Relationship Id="rId1055" Type="http://schemas.openxmlformats.org/officeDocument/2006/relationships/hyperlink" Target="https://calebasse.com/produits/xian-he-cao-herbe-dagrimoine-3936?product=4761" TargetMode="External"/><Relationship Id="rId2386" Type="http://schemas.openxmlformats.org/officeDocument/2006/relationships/hyperlink" Target="https://calebasse.com/produits/livre-le-livre-de-la-purete-et-du-calme-qing-jing-jing-5001?product=7211" TargetMode="External"/><Relationship Id="rId223" Type="http://schemas.openxmlformats.org/officeDocument/2006/relationships/hyperlink" Target="https://calebasse.com/produits/ding-xiang-clou-de-girofle-3786?product=4144" TargetMode="External"/><Relationship Id="rId1056" Type="http://schemas.openxmlformats.org/officeDocument/2006/relationships/hyperlink" Target="https://res.cloudinary.com/laboratoire-calebasse/image/upload/v1748271535/HERBE_D_AGRIMOINE_200_g_AXHCL_71abafa848.jpg" TargetMode="External"/><Relationship Id="rId2387" Type="http://schemas.openxmlformats.org/officeDocument/2006/relationships/hyperlink" Target="https://res.cloudinary.com/laboratoire-calebasse/image/upload/v1700651765/Le_livre_de_la_purete_949f3b55f5.jpg" TargetMode="External"/><Relationship Id="rId222" Type="http://schemas.openxmlformats.org/officeDocument/2006/relationships/hyperlink" Target="https://res.cloudinary.com/laboratoire-calebasse/image/upload/v1634201103/A_dingxiangcp_54eb2aa6c3.jpg" TargetMode="External"/><Relationship Id="rId1057" Type="http://schemas.openxmlformats.org/officeDocument/2006/relationships/hyperlink" Target="https://calebasse.com/produits/xiao-hui-xiang-graines-de-fenouil-3941?product=4778" TargetMode="External"/><Relationship Id="rId2388" Type="http://schemas.openxmlformats.org/officeDocument/2006/relationships/hyperlink" Target="https://calebasse.com/produits/livre-entrez-dans-la-pratique-du-qi-gong-dvd-inclus-5074?product=7310" TargetMode="External"/><Relationship Id="rId221" Type="http://schemas.openxmlformats.org/officeDocument/2006/relationships/hyperlink" Target="https://calebasse.com/produits/ding-xiang-clou-de-girofle-3786?product=4142" TargetMode="External"/><Relationship Id="rId1058" Type="http://schemas.openxmlformats.org/officeDocument/2006/relationships/hyperlink" Target="https://res.cloudinary.com/laboratoire-calebasse/image/upload/v1746524918/FENOUIL_GRAINE_100_g_AXHX_a525b7ae51.jpg" TargetMode="External"/><Relationship Id="rId2389" Type="http://schemas.openxmlformats.org/officeDocument/2006/relationships/hyperlink" Target="https://res.cloudinary.com/laboratoire-calebasse/image/upload/v1713535538/Entrer_dans_la_pratique_de_qi_gong_58d226e8b3.jpg" TargetMode="External"/><Relationship Id="rId1048" Type="http://schemas.openxmlformats.org/officeDocument/2006/relationships/hyperlink" Target="https://res.cloudinary.com/laboratoire-calebasse/image/upload/v1754640657/_d73e371656.jpg" TargetMode="External"/><Relationship Id="rId2379" Type="http://schemas.openxmlformats.org/officeDocument/2006/relationships/hyperlink" Target="https://res.cloudinary.com/laboratoire-calebasse/image/upload/v1700647756/Affections_10_ff0c212cbf.jpg" TargetMode="External"/><Relationship Id="rId1049" Type="http://schemas.openxmlformats.org/officeDocument/2006/relationships/hyperlink" Target="https://calebasse.com/produits/xian-he-cao-herbe-dagrimoine-3936?product=4760" TargetMode="External"/><Relationship Id="rId217" Type="http://schemas.openxmlformats.org/officeDocument/2006/relationships/hyperlink" Target="https://calebasse.com/produits/du-zhong-eucomine-3777?product=4158" TargetMode="External"/><Relationship Id="rId216" Type="http://schemas.openxmlformats.org/officeDocument/2006/relationships/hyperlink" Target="https://res.cloudinary.com/laboratoire-calebasse/image/upload/v1634201104/A_duzhongcp_d7c49db529.jpg" TargetMode="External"/><Relationship Id="rId215" Type="http://schemas.openxmlformats.org/officeDocument/2006/relationships/hyperlink" Target="https://calebasse.com/produits/du-zhong-eucomine-3777?product=4157" TargetMode="External"/><Relationship Id="rId214" Type="http://schemas.openxmlformats.org/officeDocument/2006/relationships/hyperlink" Target="https://res.cloudinary.com/laboratoire-calebasse/image/upload/v1746525436/EUCOMINE_100_g_ADUZ_9b8e3433a8.jpg" TargetMode="External"/><Relationship Id="rId219" Type="http://schemas.openxmlformats.org/officeDocument/2006/relationships/hyperlink" Target="https://calebasse.com/produits/ding-xiang-clou-de-girofle-3786?product=4138" TargetMode="External"/><Relationship Id="rId218" Type="http://schemas.openxmlformats.org/officeDocument/2006/relationships/hyperlink" Target="https://res.cloudinary.com/laboratoire-calebasse/image/upload/v1634201104/A_duzhonggl_96ebd9567a.jpg" TargetMode="External"/><Relationship Id="rId2370" Type="http://schemas.openxmlformats.org/officeDocument/2006/relationships/hyperlink" Target="https://calebasse.com/produits/livre-ma-bible-des-points-qui-guerissent-4887?product=7090" TargetMode="External"/><Relationship Id="rId1040" Type="http://schemas.openxmlformats.org/officeDocument/2006/relationships/hyperlink" Target="https://res.cloudinary.com/laboratoire-calebasse/image/upload/v1634201206/A_xiangfucp_c07f1067b9.jpg" TargetMode="External"/><Relationship Id="rId2371" Type="http://schemas.openxmlformats.org/officeDocument/2006/relationships/hyperlink" Target="https://res.cloudinary.com/laboratoire-calebasse/image/upload/v1693311733/Ma_bible_des_ponts_7fa8633d59.jpg" TargetMode="External"/><Relationship Id="rId1041" Type="http://schemas.openxmlformats.org/officeDocument/2006/relationships/hyperlink" Target="https://calebasse.com/produits/xiang-fu-souchet-rond-3939?product=4771" TargetMode="External"/><Relationship Id="rId2372" Type="http://schemas.openxmlformats.org/officeDocument/2006/relationships/hyperlink" Target="https://calebasse.com/produits/livre-les-points-qui-guerissent-au-feminin-4898?product=7103" TargetMode="External"/><Relationship Id="rId1042" Type="http://schemas.openxmlformats.org/officeDocument/2006/relationships/hyperlink" Target="https://res.cloudinary.com/laboratoire-calebasse/image/upload/v1634201206/A_xiangfugl_29334ff7ee.jpg" TargetMode="External"/><Relationship Id="rId2373" Type="http://schemas.openxmlformats.org/officeDocument/2006/relationships/hyperlink" Target="https://res.cloudinary.com/laboratoire-calebasse/image/upload/v1700488624/Les_points_qui_guerissent_au_feminin_f0e5524188.jpg" TargetMode="External"/><Relationship Id="rId1043" Type="http://schemas.openxmlformats.org/officeDocument/2006/relationships/hyperlink" Target="https://calebasse.com/produits/xiang-fu-souchet-rond-3939?product=4769" TargetMode="External"/><Relationship Id="rId2374" Type="http://schemas.openxmlformats.org/officeDocument/2006/relationships/hyperlink" Target="https://calebasse.com/produits/livre-acupression-avec-les-huiles-essentielles-4994?product=7205" TargetMode="External"/><Relationship Id="rId213" Type="http://schemas.openxmlformats.org/officeDocument/2006/relationships/hyperlink" Target="https://calebasse.com/produits/du-zhong-eucomine-3777?product=4154" TargetMode="External"/><Relationship Id="rId1044" Type="http://schemas.openxmlformats.org/officeDocument/2006/relationships/hyperlink" Target="https://res.cloudinary.com/laboratoire-calebasse/image/upload/v1748271514/SOUCHET_ROND_300_g_AXFL_115aac21d9.jpg" TargetMode="External"/><Relationship Id="rId2375" Type="http://schemas.openxmlformats.org/officeDocument/2006/relationships/hyperlink" Target="https://res.cloudinary.com/laboratoire-calebasse/image/upload/v1700313891/Acupression_83787f545e.jpg" TargetMode="External"/><Relationship Id="rId212" Type="http://schemas.openxmlformats.org/officeDocument/2006/relationships/hyperlink" Target="https://res.cloudinary.com/laboratoire-calebasse/image/upload/v1747132819/GINSENG_IMPERIAL_300_g_ADSL_65ed4321b4.jpg" TargetMode="External"/><Relationship Id="rId1045" Type="http://schemas.openxmlformats.org/officeDocument/2006/relationships/hyperlink" Target="https://calebasse.com/produits/xiang-gu-shiitake-4528?product=6545" TargetMode="External"/><Relationship Id="rId2376" Type="http://schemas.openxmlformats.org/officeDocument/2006/relationships/hyperlink" Target="https://calebasse.com/produits/livre-cahiers-cliniques-dacupuncture-n11-4996?product=7206" TargetMode="External"/><Relationship Id="rId211" Type="http://schemas.openxmlformats.org/officeDocument/2006/relationships/hyperlink" Target="https://calebasse.com/produits/dang-shen-ginseng-imperial-3784?product=4123" TargetMode="External"/><Relationship Id="rId1046" Type="http://schemas.openxmlformats.org/officeDocument/2006/relationships/hyperlink" Target="https://res.cloudinary.com/laboratoire-calebasse/image/upload/v1751623840/SHIITAKE_100_g_AXG_abb400235c.jpg" TargetMode="External"/><Relationship Id="rId2377" Type="http://schemas.openxmlformats.org/officeDocument/2006/relationships/hyperlink" Target="https://res.cloudinary.com/laboratoire-calebasse/image/upload/v1700319265/Urologie_e37e4c12a7.jpg" TargetMode="External"/><Relationship Id="rId210" Type="http://schemas.openxmlformats.org/officeDocument/2006/relationships/hyperlink" Target="https://res.cloudinary.com/laboratoire-calebasse/image/upload/v1634201103/A_dangshengl_83776b5bfd.jpg" TargetMode="External"/><Relationship Id="rId1047" Type="http://schemas.openxmlformats.org/officeDocument/2006/relationships/hyperlink" Target="https://calebasse.com/produits/xiang-gu-shiitake-4528?product=7373" TargetMode="External"/><Relationship Id="rId2378" Type="http://schemas.openxmlformats.org/officeDocument/2006/relationships/hyperlink" Target="https://calebasse.com/produits/livre-cahiers-cliniques-dacupuncture-n10-4995?product=7207" TargetMode="External"/><Relationship Id="rId249" Type="http://schemas.openxmlformats.org/officeDocument/2006/relationships/hyperlink" Target="https://calebasse.com/produits/e-bu-shi-cao-centipede-3766?product=4161" TargetMode="External"/><Relationship Id="rId248" Type="http://schemas.openxmlformats.org/officeDocument/2006/relationships/hyperlink" Target="https://res.cloudinary.com/laboratoire-calebasse/image/upload/v1746534850/CENTIPEDE_50_g_AEBS_375d51a9f6.jpg" TargetMode="External"/><Relationship Id="rId247" Type="http://schemas.openxmlformats.org/officeDocument/2006/relationships/hyperlink" Target="https://calebasse.com/produits/e-bu-shi-cao-centipede-3766?product=4159" TargetMode="External"/><Relationship Id="rId1070" Type="http://schemas.openxmlformats.org/officeDocument/2006/relationships/hyperlink" Target="https://res.cloudinary.com/laboratoire-calebasse/image/upload/v1634201206/A_xiakucaogl_e79dc81b9b.jpg" TargetMode="External"/><Relationship Id="rId1071" Type="http://schemas.openxmlformats.org/officeDocument/2006/relationships/hyperlink" Target="https://calebasse.com/produits/xia-ku-cao-brunelle-commune-3935?product=4755" TargetMode="External"/><Relationship Id="rId1072" Type="http://schemas.openxmlformats.org/officeDocument/2006/relationships/hyperlink" Target="https://res.cloudinary.com/laboratoire-calebasse/image/upload/v1748271558/BRUNELLE_COMMUNE_100_g_AXKCL_5d5d9c9f0a.jpg" TargetMode="External"/><Relationship Id="rId242" Type="http://schemas.openxmlformats.org/officeDocument/2006/relationships/hyperlink" Target="https://res.cloudinary.com/laboratoire-calebasse/image/upload/v1748271122/FRUITS_DE_JUJUBE_300_g_ADZL_058734a480.jpg" TargetMode="External"/><Relationship Id="rId1073" Type="http://schemas.openxmlformats.org/officeDocument/2006/relationships/hyperlink" Target="https://calebasse.com/produits/xiang-ru-pavot-ciliaire-3938?product=4774" TargetMode="External"/><Relationship Id="rId241" Type="http://schemas.openxmlformats.org/officeDocument/2006/relationships/hyperlink" Target="https://calebasse.com/produits/da-zao-fruits-de-jujube-3755?product=4103" TargetMode="External"/><Relationship Id="rId1074" Type="http://schemas.openxmlformats.org/officeDocument/2006/relationships/hyperlink" Target="https://res.cloudinary.com/laboratoire-calebasse/image/upload/v1746534501/PAVOT_CILIAIRE_100_g_AXR_42a0636557.jpg" TargetMode="External"/><Relationship Id="rId240" Type="http://schemas.openxmlformats.org/officeDocument/2006/relationships/hyperlink" Target="https://res.cloudinary.com/laboratoire-calebasse/image/upload/v1634201104/A_dazaogl_ac77c68c12.jpg" TargetMode="External"/><Relationship Id="rId1075" Type="http://schemas.openxmlformats.org/officeDocument/2006/relationships/hyperlink" Target="https://calebasse.com/produits/xiang-ru-pavot-ciliaire-3938?product=4775" TargetMode="External"/><Relationship Id="rId1076" Type="http://schemas.openxmlformats.org/officeDocument/2006/relationships/hyperlink" Target="https://res.cloudinary.com/laboratoire-calebasse/image/upload/v1748271498/PAVOT_CILIAIRE_200_g_AXRL_b08a5e131e.jpg" TargetMode="External"/><Relationship Id="rId246" Type="http://schemas.openxmlformats.org/officeDocument/2006/relationships/hyperlink" Target="https://res.cloudinary.com/laboratoire-calebasse/image/upload/v1747132854/FEUILLES_DE_LOPHATERE_200_g_ADZYL_0e60b8e316.jpg" TargetMode="External"/><Relationship Id="rId1077" Type="http://schemas.openxmlformats.org/officeDocument/2006/relationships/hyperlink" Target="https://calebasse.com/produits/xuan-shen-racine-de-figuier-de-chine-3949?product=4800" TargetMode="External"/><Relationship Id="rId245" Type="http://schemas.openxmlformats.org/officeDocument/2006/relationships/hyperlink" Target="https://calebasse.com/produits/dan-zhu-ye-feuilles-de-lophatere-3782?product=4115" TargetMode="External"/><Relationship Id="rId1078" Type="http://schemas.openxmlformats.org/officeDocument/2006/relationships/hyperlink" Target="https://res.cloudinary.com/laboratoire-calebasse/image/upload/v1634201206/A_xuanshencp_49860a05b0.jpg" TargetMode="External"/><Relationship Id="rId244" Type="http://schemas.openxmlformats.org/officeDocument/2006/relationships/hyperlink" Target="https://res.cloudinary.com/laboratoire-calebasse/image/upload/v1746526243/FEUILLES_DE_LOPHATERE_50_g_ADZY_10c63039e7.jpg" TargetMode="External"/><Relationship Id="rId1079" Type="http://schemas.openxmlformats.org/officeDocument/2006/relationships/hyperlink" Target="https://calebasse.com/produits/xuan-shen-racine-de-figuier-de-chine-3949?product=4801" TargetMode="External"/><Relationship Id="rId243" Type="http://schemas.openxmlformats.org/officeDocument/2006/relationships/hyperlink" Target="https://calebasse.com/produits/dan-zhu-ye-feuilles-de-lophatere-3782?product=4114" TargetMode="External"/><Relationship Id="rId239" Type="http://schemas.openxmlformats.org/officeDocument/2006/relationships/hyperlink" Target="https://calebasse.com/produits/da-zao-fruits-de-jujube-3755?product=4106" TargetMode="External"/><Relationship Id="rId238" Type="http://schemas.openxmlformats.org/officeDocument/2006/relationships/hyperlink" Target="https://res.cloudinary.com/laboratoire-calebasse/image/upload/v1634201103/A_dazaocp_728958f208.jpg" TargetMode="External"/><Relationship Id="rId237" Type="http://schemas.openxmlformats.org/officeDocument/2006/relationships/hyperlink" Target="https://calebasse.com/produits/da-zao-fruits-de-jujube-3755?product=4104" TargetMode="External"/><Relationship Id="rId236" Type="http://schemas.openxmlformats.org/officeDocument/2006/relationships/hyperlink" Target="https://res.cloudinary.com/laboratoire-calebasse/image/upload/v1746523906/FRUITS_DE_JUJUBE_100_g_ADZ_11259ff315.jpg" TargetMode="External"/><Relationship Id="rId2390" Type="http://schemas.openxmlformats.org/officeDocument/2006/relationships/hyperlink" Target="https://calebasse.com/produits/livre-cahiers-cliniques-dacupuncture-n13-5076?product=7314" TargetMode="External"/><Relationship Id="rId1060" Type="http://schemas.openxmlformats.org/officeDocument/2006/relationships/hyperlink" Target="https://res.cloudinary.com/laboratoire-calebasse/image/upload/v1634201206/A_xiaohuixiangcp_4e0cd82162.jpg" TargetMode="External"/><Relationship Id="rId2391" Type="http://schemas.openxmlformats.org/officeDocument/2006/relationships/hyperlink" Target="https://res.cloudinary.com/laboratoire-calebasse/image/upload/v1714986247/Allergologie_13_673fffd2fc.jpg" TargetMode="External"/><Relationship Id="rId1061" Type="http://schemas.openxmlformats.org/officeDocument/2006/relationships/hyperlink" Target="https://calebasse.com/produits/xiao-hui-xiang-graines-de-fenouil-3941?product=4782" TargetMode="External"/><Relationship Id="rId2392" Type="http://schemas.openxmlformats.org/officeDocument/2006/relationships/hyperlink" Target="https://calebasse.com/produits/livre-cahiers-cliniques-dacupuncture-n14-5077?product=7315" TargetMode="External"/><Relationship Id="rId231" Type="http://schemas.openxmlformats.org/officeDocument/2006/relationships/hyperlink" Target="https://calebasse.com/produits/di-yu-racines-de-sanguine-3758?product=4139" TargetMode="External"/><Relationship Id="rId1062" Type="http://schemas.openxmlformats.org/officeDocument/2006/relationships/hyperlink" Target="https://res.cloudinary.com/laboratoire-calebasse/image/upload/v1634201206/A_xiaohuixianggl_3a090f7677.jpg" TargetMode="External"/><Relationship Id="rId2393" Type="http://schemas.openxmlformats.org/officeDocument/2006/relationships/hyperlink" Target="https://res.cloudinary.com/laboratoire-calebasse/image/upload/v1714986375/Odonto_14_348a5107e4.jpg" TargetMode="External"/><Relationship Id="rId230" Type="http://schemas.openxmlformats.org/officeDocument/2006/relationships/hyperlink" Target="https://res.cloudinary.com/laboratoire-calebasse/image/upload/v1634201104/A_diyucp_98d15a99cd.jpg" TargetMode="External"/><Relationship Id="rId1063" Type="http://schemas.openxmlformats.org/officeDocument/2006/relationships/hyperlink" Target="https://calebasse.com/produits/xiao-hui-xiang-graines-de-fenouil-3941?product=4779" TargetMode="External"/><Relationship Id="rId2394" Type="http://schemas.openxmlformats.org/officeDocument/2006/relationships/hyperlink" Target="https://calebasse.com/produits/livre-cahiers-cliniques-dacupuncture-n15-5078?product=7316" TargetMode="External"/><Relationship Id="rId1064" Type="http://schemas.openxmlformats.org/officeDocument/2006/relationships/hyperlink" Target="https://res.cloudinary.com/laboratoire-calebasse/image/upload/v1752221628/FENOUIL_GRAINE_300_g_AXHXL_c88de8e111.jpg" TargetMode="External"/><Relationship Id="rId2395" Type="http://schemas.openxmlformats.org/officeDocument/2006/relationships/hyperlink" Target="https://res.cloudinary.com/laboratoire-calebasse/image/upload/v1714986510/Cardiologie_15_7692d4957b.jpg" TargetMode="External"/><Relationship Id="rId1065" Type="http://schemas.openxmlformats.org/officeDocument/2006/relationships/hyperlink" Target="https://calebasse.com/produits/xia-ku-cao-brunelle-commune-3935?product=4754" TargetMode="External"/><Relationship Id="rId2396" Type="http://schemas.openxmlformats.org/officeDocument/2006/relationships/hyperlink" Target="https://calebasse.com/produits/livre-cahiers-cliniques-dacupuncture-n16-5079?product=7317" TargetMode="External"/><Relationship Id="rId235" Type="http://schemas.openxmlformats.org/officeDocument/2006/relationships/hyperlink" Target="https://calebasse.com/produits/da-zao-fruits-de-jujube-3755?product=4101" TargetMode="External"/><Relationship Id="rId1066" Type="http://schemas.openxmlformats.org/officeDocument/2006/relationships/hyperlink" Target="https://res.cloudinary.com/laboratoire-calebasse/image/upload/v1746524689/BRUNELLE_COMMUNE_50_g_AXKC_8b8ae173ad.jpg" TargetMode="External"/><Relationship Id="rId2397" Type="http://schemas.openxmlformats.org/officeDocument/2006/relationships/hyperlink" Target="https://res.cloudinary.com/laboratoire-calebasse/image/upload/v1714986547/Zang_fu_16_e77d63a3ff.jpg" TargetMode="External"/><Relationship Id="rId234" Type="http://schemas.openxmlformats.org/officeDocument/2006/relationships/hyperlink" Target="https://res.cloudinary.com/laboratoire-calebasse/image/upload/v1747132778/RACINES_DE_SANGUINE_300_g_ADYL_011e31410b.jpg" TargetMode="External"/><Relationship Id="rId1067" Type="http://schemas.openxmlformats.org/officeDocument/2006/relationships/hyperlink" Target="https://calebasse.com/produits/xia-ku-cao-brunelle-commune-3935?product=4756" TargetMode="External"/><Relationship Id="rId2398" Type="http://schemas.openxmlformats.org/officeDocument/2006/relationships/hyperlink" Target="https://calebasse.com/produits/livre-manuel-dacupuncture-5089?product=7326" TargetMode="External"/><Relationship Id="rId233" Type="http://schemas.openxmlformats.org/officeDocument/2006/relationships/hyperlink" Target="https://calebasse.com/produits/di-yu-racines-de-sanguine-3758?product=4135" TargetMode="External"/><Relationship Id="rId1068" Type="http://schemas.openxmlformats.org/officeDocument/2006/relationships/hyperlink" Target="https://res.cloudinary.com/laboratoire-calebasse/image/upload/v1634201206/A_xiakucaocp_8ab21cdf69.jpg" TargetMode="External"/><Relationship Id="rId2399" Type="http://schemas.openxmlformats.org/officeDocument/2006/relationships/hyperlink" Target="https://res.cloudinary.com/laboratoire-calebasse/image/upload/v1718966592/livre_e425ebed39.jpg" TargetMode="External"/><Relationship Id="rId232" Type="http://schemas.openxmlformats.org/officeDocument/2006/relationships/hyperlink" Target="https://res.cloudinary.com/laboratoire-calebasse/image/upload/v1634201104/A_diyugl_32723d52de.jpg" TargetMode="External"/><Relationship Id="rId1069" Type="http://schemas.openxmlformats.org/officeDocument/2006/relationships/hyperlink" Target="https://calebasse.com/produits/xia-ku-cao-brunelle-commune-3935?product=4758" TargetMode="External"/><Relationship Id="rId1015" Type="http://schemas.openxmlformats.org/officeDocument/2006/relationships/hyperlink" Target="https://calebasse.com/produits/wu-yao-bois-epice-3933?product=4750" TargetMode="External"/><Relationship Id="rId2346" Type="http://schemas.openxmlformats.org/officeDocument/2006/relationships/hyperlink" Target="https://calebasse.com/produits/livre-qi-gong-tui-na-volume-1-a-3-4868?product=7074" TargetMode="External"/><Relationship Id="rId1016" Type="http://schemas.openxmlformats.org/officeDocument/2006/relationships/hyperlink" Target="https://res.cloudinary.com/laboratoire-calebasse/image/upload/v1634201206/A_wuyaogl_48aa60eaed.jpg" TargetMode="External"/><Relationship Id="rId2347" Type="http://schemas.openxmlformats.org/officeDocument/2006/relationships/hyperlink" Target="https://res.cloudinary.com/laboratoire-calebasse/image/upload/v1693306742/Qigong_tuina_c451321fa1.jpg" TargetMode="External"/><Relationship Id="rId1017" Type="http://schemas.openxmlformats.org/officeDocument/2006/relationships/hyperlink" Target="https://calebasse.com/produits/wu-yuan-huang-ju-chrysantheme-royal-du-wu-yuan-4526?product=6541" TargetMode="External"/><Relationship Id="rId2348" Type="http://schemas.openxmlformats.org/officeDocument/2006/relationships/hyperlink" Target="https://calebasse.com/produits/livre-medecine-traditionnelle-chinoise-4871?product=7076" TargetMode="External"/><Relationship Id="rId1018" Type="http://schemas.openxmlformats.org/officeDocument/2006/relationships/hyperlink" Target="https://res.cloudinary.com/laboratoire-calebasse/image/upload/v1751624247/CHRYSANTHEME_ROYAL_DU_WU_YUAN_50_g_AWYHJ_2f9ba51a1a.jpg" TargetMode="External"/><Relationship Id="rId2349" Type="http://schemas.openxmlformats.org/officeDocument/2006/relationships/hyperlink" Target="https://res.cloudinary.com/laboratoire-calebasse/image/upload/v1693306801/Medecine_traditonel_chinois_76dae0802a.jpg" TargetMode="External"/><Relationship Id="rId1019" Type="http://schemas.openxmlformats.org/officeDocument/2006/relationships/hyperlink" Target="https://calebasse.com/produits/wu-yao-bois-epice-3933?product=4748" TargetMode="External"/><Relationship Id="rId2340" Type="http://schemas.openxmlformats.org/officeDocument/2006/relationships/hyperlink" Target="https://calebasse.com/produits/livre-petit-guide-de-medecine-chinoise-4867?product=7072" TargetMode="External"/><Relationship Id="rId1010" Type="http://schemas.openxmlformats.org/officeDocument/2006/relationships/hyperlink" Target="https://res.cloudinary.com/laboratoire-calebasse/image/upload/v1748271614/BAIE_AUX_CINQ_SAVEURS_280_g_AWWZL_d25e3ecc69.jpg" TargetMode="External"/><Relationship Id="rId2341" Type="http://schemas.openxmlformats.org/officeDocument/2006/relationships/hyperlink" Target="https://res.cloudinary.com/laboratoire-calebasse/image/upload/v1693306642/Petit_guide_de_medecine_81831aa80e.jpg" TargetMode="External"/><Relationship Id="rId1011" Type="http://schemas.openxmlformats.org/officeDocument/2006/relationships/hyperlink" Target="https://calebasse.com/produits/wu-yao-bois-epice-3933?product=4746" TargetMode="External"/><Relationship Id="rId2342" Type="http://schemas.openxmlformats.org/officeDocument/2006/relationships/hyperlink" Target="https://calebasse.com/produits/livre-qi-gong-tui-na-volume-1-a-3-4868?product=7073" TargetMode="External"/><Relationship Id="rId1012" Type="http://schemas.openxmlformats.org/officeDocument/2006/relationships/hyperlink" Target="https://res.cloudinary.com/laboratoire-calebasse/image/upload/v1746523954/BOIS_EPICE_100_g_AWY_420a7754e7.jpg" TargetMode="External"/><Relationship Id="rId2343" Type="http://schemas.openxmlformats.org/officeDocument/2006/relationships/hyperlink" Target="https://res.cloudinary.com/laboratoire-calebasse/image/upload/v1693306704/Qigong_tuina_rouge_fac9c9571e.jpg" TargetMode="External"/><Relationship Id="rId1013" Type="http://schemas.openxmlformats.org/officeDocument/2006/relationships/hyperlink" Target="https://calebasse.com/produits/wu-yao-bois-epice-3933?product=4747" TargetMode="External"/><Relationship Id="rId2344" Type="http://schemas.openxmlformats.org/officeDocument/2006/relationships/hyperlink" Target="https://calebasse.com/produits/livre-qi-gong-tui-na-volume-1-a-3-4868?product=7075" TargetMode="External"/><Relationship Id="rId1014" Type="http://schemas.openxmlformats.org/officeDocument/2006/relationships/hyperlink" Target="https://res.cloudinary.com/laboratoire-calebasse/image/upload/v1634201206/A_wuyaocp_34c63e1cb0.jpg" TargetMode="External"/><Relationship Id="rId2345" Type="http://schemas.openxmlformats.org/officeDocument/2006/relationships/hyperlink" Target="https://res.cloudinary.com/laboratoire-calebasse/image/upload/v1693306767/Quigong_tuina_b83f9f052b.jpg" TargetMode="External"/><Relationship Id="rId1004" Type="http://schemas.openxmlformats.org/officeDocument/2006/relationships/hyperlink" Target="https://res.cloudinary.com/laboratoire-calebasse/image/upload/v1746524013/BAIE_AUX_CINQ_SAVEURS_50_g_AWWZ_ddb4b7951c.jpg" TargetMode="External"/><Relationship Id="rId2335" Type="http://schemas.openxmlformats.org/officeDocument/2006/relationships/hyperlink" Target="https://res.cloudinary.com/laboratoire-calebasse/image/upload/v1693306415/L_acupuncture_sans_aiguille_08177158ec.jpg" TargetMode="External"/><Relationship Id="rId1005" Type="http://schemas.openxmlformats.org/officeDocument/2006/relationships/hyperlink" Target="https://calebasse.com/produits/wu-wei-zi-baie-aux-cinq-saveurs-3932?product=4742" TargetMode="External"/><Relationship Id="rId2336" Type="http://schemas.openxmlformats.org/officeDocument/2006/relationships/hyperlink" Target="https://calebasse.com/produits/livre-la-sante-par-la-medecine-traditionnelle-chinoise-4865?product=7070" TargetMode="External"/><Relationship Id="rId1006" Type="http://schemas.openxmlformats.org/officeDocument/2006/relationships/hyperlink" Target="https://res.cloudinary.com/laboratoire-calebasse/image/upload/v1634201206/A_wuweizicp_50737cb9c6.jpg" TargetMode="External"/><Relationship Id="rId2337" Type="http://schemas.openxmlformats.org/officeDocument/2006/relationships/hyperlink" Target="https://res.cloudinary.com/laboratoire-calebasse/image/upload/v1693306446/La_sante_par_medecine_7bd72b1bf1.jpg" TargetMode="External"/><Relationship Id="rId1007" Type="http://schemas.openxmlformats.org/officeDocument/2006/relationships/hyperlink" Target="https://calebasse.com/produits/wu-wei-zi-baie-aux-cinq-saveurs-3932?product=4744" TargetMode="External"/><Relationship Id="rId2338" Type="http://schemas.openxmlformats.org/officeDocument/2006/relationships/hyperlink" Target="https://calebasse.com/produits/livre-manuel-pratique-de-moxibustion-4866?product=7071" TargetMode="External"/><Relationship Id="rId1008" Type="http://schemas.openxmlformats.org/officeDocument/2006/relationships/hyperlink" Target="https://res.cloudinary.com/laboratoire-calebasse/image/upload/v1634201206/A_wuweizigl_ed0e2c8466.jpg" TargetMode="External"/><Relationship Id="rId2339" Type="http://schemas.openxmlformats.org/officeDocument/2006/relationships/hyperlink" Target="https://res.cloudinary.com/laboratoire-calebasse/image/upload/v1693306495/Manuel_pratique_e181959e52.jpg" TargetMode="External"/><Relationship Id="rId1009" Type="http://schemas.openxmlformats.org/officeDocument/2006/relationships/hyperlink" Target="https://calebasse.com/produits/wu-wei-zi-baie-aux-cinq-saveurs-3932?product=4741" TargetMode="External"/><Relationship Id="rId2330" Type="http://schemas.openxmlformats.org/officeDocument/2006/relationships/hyperlink" Target="https://calebasse.com/produits/livre-guide-pratique-des-moxas-tome-1and2-4862?product=7067" TargetMode="External"/><Relationship Id="rId1000" Type="http://schemas.openxmlformats.org/officeDocument/2006/relationships/hyperlink" Target="https://res.cloudinary.com/laboratoire-calebasse/image/upload/v1748271667/PRUNE_300_g_AWML_248175029c.jpg" TargetMode="External"/><Relationship Id="rId2331" Type="http://schemas.openxmlformats.org/officeDocument/2006/relationships/hyperlink" Target="https://res.cloudinary.com/laboratoire-calebasse/image/upload/v1693306110/Guide_pratique_des_moxas_1552415527.jpg" TargetMode="External"/><Relationship Id="rId1001" Type="http://schemas.openxmlformats.org/officeDocument/2006/relationships/hyperlink" Target="https://calebasse.com/produits/wu-wang-wo-fleurs-de-myosotis-3931?product=4738" TargetMode="External"/><Relationship Id="rId2332" Type="http://schemas.openxmlformats.org/officeDocument/2006/relationships/hyperlink" Target="https://calebasse.com/produits/livre-initiation-au-massage-chinois-traditionnel-4863?product=7068" TargetMode="External"/><Relationship Id="rId1002" Type="http://schemas.openxmlformats.org/officeDocument/2006/relationships/hyperlink" Target="https://res.cloudinary.com/laboratoire-calebasse/image/upload/v1746524453/FLEURS_DE_MYOSOTIS_50_g_AWWW_603f22d87c.jpg" TargetMode="External"/><Relationship Id="rId2333" Type="http://schemas.openxmlformats.org/officeDocument/2006/relationships/hyperlink" Target="https://res.cloudinary.com/laboratoire-calebasse/image/upload/v1693306319/Massage_chinois_traditionnel_de88cf3a31.jpg" TargetMode="External"/><Relationship Id="rId1003" Type="http://schemas.openxmlformats.org/officeDocument/2006/relationships/hyperlink" Target="https://calebasse.com/produits/wu-wei-zi-baie-aux-cinq-saveurs-3932?product=4739" TargetMode="External"/><Relationship Id="rId2334" Type="http://schemas.openxmlformats.org/officeDocument/2006/relationships/hyperlink" Target="https://calebasse.com/produits/livre-lacupuncture-sans-aiguille-4864?product=7069" TargetMode="External"/><Relationship Id="rId1037" Type="http://schemas.openxmlformats.org/officeDocument/2006/relationships/hyperlink" Target="https://calebasse.com/produits/xiang-fu-souchet-rond-3939?product=4768" TargetMode="External"/><Relationship Id="rId2368" Type="http://schemas.openxmlformats.org/officeDocument/2006/relationships/hyperlink" Target="https://calebasse.com/produits/livre-ma-bible-des-medecines-energetiques-4886?product=7089" TargetMode="External"/><Relationship Id="rId1038" Type="http://schemas.openxmlformats.org/officeDocument/2006/relationships/hyperlink" Target="https://res.cloudinary.com/laboratoire-calebasse/image/upload/v1746534513/SOUCHET_ROND_100_g_AXF_bb7ee67b47.jpg" TargetMode="External"/><Relationship Id="rId2369" Type="http://schemas.openxmlformats.org/officeDocument/2006/relationships/hyperlink" Target="https://res.cloudinary.com/laboratoire-calebasse/image/upload/v1693311704/Ma_bible_des_medecines_energetiques_722eb7598d.jpg" TargetMode="External"/><Relationship Id="rId1039" Type="http://schemas.openxmlformats.org/officeDocument/2006/relationships/hyperlink" Target="https://calebasse.com/produits/xiang-fu-souchet-rond-3939?product=4770" TargetMode="External"/><Relationship Id="rId206" Type="http://schemas.openxmlformats.org/officeDocument/2006/relationships/hyperlink" Target="https://res.cloudinary.com/laboratoire-calebasse/image/upload/v1746524224/GINSENG_IMPERIAL_100_g_ADS_4a1e439e6b.jpg" TargetMode="External"/><Relationship Id="rId205" Type="http://schemas.openxmlformats.org/officeDocument/2006/relationships/hyperlink" Target="https://calebasse.com/produits/dang-shen-ginseng-imperial-3784?product=4122" TargetMode="External"/><Relationship Id="rId204" Type="http://schemas.openxmlformats.org/officeDocument/2006/relationships/hyperlink" Target="https://res.cloudinary.com/laboratoire-calebasse/image/upload/v1747132888/INDIGO_FEUILLE_200_g_ADQYL_02b6e652b2.jpg" TargetMode="External"/><Relationship Id="rId203" Type="http://schemas.openxmlformats.org/officeDocument/2006/relationships/hyperlink" Target="https://calebasse.com/produits/da-qing-ye-feuilles-dindigo-3837?product=4098" TargetMode="External"/><Relationship Id="rId209" Type="http://schemas.openxmlformats.org/officeDocument/2006/relationships/hyperlink" Target="https://calebasse.com/produits/dang-shen-ginseng-imperial-3784?product=4125" TargetMode="External"/><Relationship Id="rId208" Type="http://schemas.openxmlformats.org/officeDocument/2006/relationships/hyperlink" Target="https://res.cloudinary.com/laboratoire-calebasse/image/upload/v1634201104/A_dangshencp_7e5912e9ae.jpg" TargetMode="External"/><Relationship Id="rId207" Type="http://schemas.openxmlformats.org/officeDocument/2006/relationships/hyperlink" Target="https://calebasse.com/produits/dang-shen-ginseng-imperial-3784?product=4124" TargetMode="External"/><Relationship Id="rId2360" Type="http://schemas.openxmlformats.org/officeDocument/2006/relationships/hyperlink" Target="https://calebasse.com/produits/livre-la-medecine-taoiste-special-immunite-4880?product=7083" TargetMode="External"/><Relationship Id="rId1030" Type="http://schemas.openxmlformats.org/officeDocument/2006/relationships/hyperlink" Target="https://res.cloudinary.com/laboratoire-calebasse/image/upload/v1746527483/RACINE_DE_CARDERE_100_g_AXD_c26d1d9b50.jpg" TargetMode="External"/><Relationship Id="rId2361" Type="http://schemas.openxmlformats.org/officeDocument/2006/relationships/hyperlink" Target="https://res.cloudinary.com/laboratoire-calebasse/image/upload/v1693311436/La_medecine_taoiste_8c28e902a5.jpg" TargetMode="External"/><Relationship Id="rId1031" Type="http://schemas.openxmlformats.org/officeDocument/2006/relationships/hyperlink" Target="https://calebasse.com/produits/xu-duan-racine-de-cardere-3943?product=4795" TargetMode="External"/><Relationship Id="rId2362" Type="http://schemas.openxmlformats.org/officeDocument/2006/relationships/hyperlink" Target="https://calebasse.com/produits/livre-les-automassages-chinois-les-basiques-sante-4882?product=7085" TargetMode="External"/><Relationship Id="rId1032" Type="http://schemas.openxmlformats.org/officeDocument/2006/relationships/hyperlink" Target="https://res.cloudinary.com/laboratoire-calebasse/image/upload/v1634201206/A_xuduancp_8968ba7771.jpg" TargetMode="External"/><Relationship Id="rId2363" Type="http://schemas.openxmlformats.org/officeDocument/2006/relationships/hyperlink" Target="https://res.cloudinary.com/laboratoire-calebasse/image/upload/v1693311546/Les_basiques_sante_2c57795788.jpg" TargetMode="External"/><Relationship Id="rId202" Type="http://schemas.openxmlformats.org/officeDocument/2006/relationships/hyperlink" Target="https://res.cloudinary.com/laboratoire-calebasse/image/upload/v1634201103/A_daqingyegl_035cf16eda.jpg" TargetMode="External"/><Relationship Id="rId1033" Type="http://schemas.openxmlformats.org/officeDocument/2006/relationships/hyperlink" Target="https://calebasse.com/produits/xu-duan-racine-de-cardere-3943?product=4796" TargetMode="External"/><Relationship Id="rId2364" Type="http://schemas.openxmlformats.org/officeDocument/2006/relationships/hyperlink" Target="https://calebasse.com/produits/livre-ma-bible-de-la-dietetique-chinoise-4884?product=7087" TargetMode="External"/><Relationship Id="rId201" Type="http://schemas.openxmlformats.org/officeDocument/2006/relationships/hyperlink" Target="https://calebasse.com/produits/da-qing-ye-feuilles-dindigo-3837?product=4102" TargetMode="External"/><Relationship Id="rId1034" Type="http://schemas.openxmlformats.org/officeDocument/2006/relationships/hyperlink" Target="https://res.cloudinary.com/laboratoire-calebasse/image/upload/v1634201206/A_xuduangl_5f681d19c5.jpg" TargetMode="External"/><Relationship Id="rId2365" Type="http://schemas.openxmlformats.org/officeDocument/2006/relationships/hyperlink" Target="https://res.cloudinary.com/laboratoire-calebasse/image/upload/v1693311648/Ma_bible_de_la_dietetique_b696b02c02.jpg" TargetMode="External"/><Relationship Id="rId200" Type="http://schemas.openxmlformats.org/officeDocument/2006/relationships/hyperlink" Target="https://res.cloudinary.com/laboratoire-calebasse/image/upload/v1634201104/A_daqingyecp_85ad98b1a7.jpg" TargetMode="External"/><Relationship Id="rId1035" Type="http://schemas.openxmlformats.org/officeDocument/2006/relationships/hyperlink" Target="https://calebasse.com/produits/xu-duan-racine-de-cardere-3943?product=4794" TargetMode="External"/><Relationship Id="rId2366" Type="http://schemas.openxmlformats.org/officeDocument/2006/relationships/hyperlink" Target="https://calebasse.com/produits/livre-ma-bible-de-la-medecine-traditionnelle-chinoise-4885?product=7088" TargetMode="External"/><Relationship Id="rId1036" Type="http://schemas.openxmlformats.org/officeDocument/2006/relationships/hyperlink" Target="https://res.cloudinary.com/laboratoire-calebasse/image/upload/v1748271419/RACINE_DE_CARDERE_300_g_AXDL_d8d2b154a9.jpg" TargetMode="External"/><Relationship Id="rId2367" Type="http://schemas.openxmlformats.org/officeDocument/2006/relationships/hyperlink" Target="https://res.cloudinary.com/laboratoire-calebasse/image/upload/v1693311678/Ma_bible_de_la_medecine_traditionnelle_e2e17119b3.jpg" TargetMode="External"/><Relationship Id="rId1026" Type="http://schemas.openxmlformats.org/officeDocument/2006/relationships/hyperlink" Target="https://res.cloudinary.com/laboratoire-calebasse/image/upload/v1748271450/BULBE_D_AIL_100_g_AXB_59d0616621.jpg" TargetMode="External"/><Relationship Id="rId2357" Type="http://schemas.openxmlformats.org/officeDocument/2006/relationships/hyperlink" Target="https://res.cloudinary.com/laboratoire-calebasse/image/upload/v1693311287/Points_qui_guerissent_753f7e7ceb.jpg" TargetMode="External"/><Relationship Id="rId1027" Type="http://schemas.openxmlformats.org/officeDocument/2006/relationships/hyperlink" Target="https://calebasse.com/produits/xie-bai-bulbe-dail-3942?product=4785" TargetMode="External"/><Relationship Id="rId2358" Type="http://schemas.openxmlformats.org/officeDocument/2006/relationships/hyperlink" Target="https://calebasse.com/produits/livre-la-dietetique-chinoise-4879?product=7082" TargetMode="External"/><Relationship Id="rId1028" Type="http://schemas.openxmlformats.org/officeDocument/2006/relationships/hyperlink" Target="https://res.cloudinary.com/laboratoire-calebasse/image/upload/v1746528907/AIL_BULBE_300_g_AXBL_fcab8a647f.jpg" TargetMode="External"/><Relationship Id="rId2359" Type="http://schemas.openxmlformats.org/officeDocument/2006/relationships/hyperlink" Target="https://res.cloudinary.com/laboratoire-calebasse/image/upload/v1693311412/La_dietetique_chinoise_315e0b9d8f.jpg" TargetMode="External"/><Relationship Id="rId1029" Type="http://schemas.openxmlformats.org/officeDocument/2006/relationships/hyperlink" Target="https://calebasse.com/produits/xu-duan-racine-de-cardere-3943?product=4792" TargetMode="External"/><Relationship Id="rId2350" Type="http://schemas.openxmlformats.org/officeDocument/2006/relationships/hyperlink" Target="https://calebasse.com/produits/livre-acupuncture-pratique-4888?product=7093" TargetMode="External"/><Relationship Id="rId1020" Type="http://schemas.openxmlformats.org/officeDocument/2006/relationships/hyperlink" Target="https://res.cloudinary.com/laboratoire-calebasse/image/upload/v1748271650/BOIS_EPICE_300_g_AWYL_181fa2eca4.jpg" TargetMode="External"/><Relationship Id="rId2351" Type="http://schemas.openxmlformats.org/officeDocument/2006/relationships/hyperlink" Target="https://res.cloudinary.com/laboratoire-calebasse/image/upload/v1700649595/Acuponcture_90110a8fed.jpg" TargetMode="External"/><Relationship Id="rId1021" Type="http://schemas.openxmlformats.org/officeDocument/2006/relationships/hyperlink" Target="https://calebasse.com/produits/wu-zhi-mao-tao-racines-de-ficus-4527?product=6543" TargetMode="External"/><Relationship Id="rId2352" Type="http://schemas.openxmlformats.org/officeDocument/2006/relationships/hyperlink" Target="https://calebasse.com/produits/livre-guide-de-poche-de-la-medecine-chinoise-4875?product=7078" TargetMode="External"/><Relationship Id="rId1022" Type="http://schemas.openxmlformats.org/officeDocument/2006/relationships/hyperlink" Target="https://res.cloudinary.com/laboratoire-calebasse/image/upload/v1746524071/RACINES_DE_FICUS_100_g_AWZMT_5a2ab242ed.jpg" TargetMode="External"/><Relationship Id="rId2353" Type="http://schemas.openxmlformats.org/officeDocument/2006/relationships/hyperlink" Target="https://res.cloudinary.com/laboratoire-calebasse/image/upload/v1693311169/Guide_de_poche_0f5b4ebb9f.jpg" TargetMode="External"/><Relationship Id="rId1023" Type="http://schemas.openxmlformats.org/officeDocument/2006/relationships/hyperlink" Target="https://calebasse.com/produits/wu-zhi-mao-tao-racines-de-ficus-4527?product=6544" TargetMode="External"/><Relationship Id="rId2354" Type="http://schemas.openxmlformats.org/officeDocument/2006/relationships/hyperlink" Target="https://calebasse.com/produits/livre-je-minitie-au-massage-chinois-tui-na-guide-visuel-4876?product=7079" TargetMode="External"/><Relationship Id="rId1024" Type="http://schemas.openxmlformats.org/officeDocument/2006/relationships/hyperlink" Target="https://res.cloudinary.com/laboratoire-calebasse/image/upload/v1748271594/RACINES_DE_FICUS_300_g_AWZMTL_a7665106d6.jpg" TargetMode="External"/><Relationship Id="rId2355" Type="http://schemas.openxmlformats.org/officeDocument/2006/relationships/hyperlink" Target="https://res.cloudinary.com/laboratoire-calebasse/image/upload/v1693311239/Tui_na_6497d9150c.jpg" TargetMode="External"/><Relationship Id="rId1025" Type="http://schemas.openxmlformats.org/officeDocument/2006/relationships/hyperlink" Target="https://calebasse.com/produits/xie-bai-bulbe-dail-3942?product=4783" TargetMode="External"/><Relationship Id="rId2356" Type="http://schemas.openxmlformats.org/officeDocument/2006/relationships/hyperlink" Target="https://calebasse.com/produits/livre-je-minitie-aux-points-qui-guerissent-guide-visuel-4877?product=7080" TargetMode="External"/><Relationship Id="rId1910" Type="http://schemas.openxmlformats.org/officeDocument/2006/relationships/hyperlink" Target="https://res.cloudinary.com/laboratoire-calebasse/image/upload/v1753353818/WU_HEI_TANG_CWHTCP_47303c8f77.jpg" TargetMode="External"/><Relationship Id="rId1911" Type="http://schemas.openxmlformats.org/officeDocument/2006/relationships/hyperlink" Target="https://calebasse.com/produits/wu-ling-san-4170?product=5642" TargetMode="External"/><Relationship Id="rId1912" Type="http://schemas.openxmlformats.org/officeDocument/2006/relationships/hyperlink" Target="https://res.cloudinary.com/laboratoire-calebasse/image/upload/v1634201219/C_wulingsan_f7ffdf6219.jpg" TargetMode="External"/><Relationship Id="rId1913" Type="http://schemas.openxmlformats.org/officeDocument/2006/relationships/hyperlink" Target="https://calebasse.com/produits/wu-ling-san-4170?product=5641" TargetMode="External"/><Relationship Id="rId1914" Type="http://schemas.openxmlformats.org/officeDocument/2006/relationships/hyperlink" Target="https://res.cloudinary.com/laboratoire-calebasse/image/upload/v1753106658/WU_LING_SAN_CWLSCP_Poudre_5a5a7751e4.jpg" TargetMode="External"/><Relationship Id="rId1915" Type="http://schemas.openxmlformats.org/officeDocument/2006/relationships/hyperlink" Target="https://calebasse.com/produits/wu-pi-yin-4172?product=5644" TargetMode="External"/><Relationship Id="rId1916" Type="http://schemas.openxmlformats.org/officeDocument/2006/relationships/hyperlink" Target="https://res.cloudinary.com/laboratoire-calebasse/image/upload/v1753785875/WU_PI_YIN_CWPYW_Gelule_95cbeb6ce2.jpg" TargetMode="External"/><Relationship Id="rId1917" Type="http://schemas.openxmlformats.org/officeDocument/2006/relationships/hyperlink" Target="https://calebasse.com/produits/wu-pi-yin-4172?product=5646" TargetMode="External"/><Relationship Id="rId1918" Type="http://schemas.openxmlformats.org/officeDocument/2006/relationships/hyperlink" Target="https://res.cloudinary.com/laboratoire-calebasse/image/upload/v1753353841/WU_PI_YIN_CWPYWCP_f1f18777df.jpg" TargetMode="External"/><Relationship Id="rId1919" Type="http://schemas.openxmlformats.org/officeDocument/2006/relationships/hyperlink" Target="https://calebasse.com/produits/wu-shi-cha-ke-li-4173?product=5648" TargetMode="External"/><Relationship Id="rId1900" Type="http://schemas.openxmlformats.org/officeDocument/2006/relationships/hyperlink" Target="https://res.cloudinary.com/laboratoire-calebasse/image/upload/v1753353757/TONG_XUAN_LI_FEI_WAN_CTXLFW_044830fd11.jpg" TargetMode="External"/><Relationship Id="rId1901" Type="http://schemas.openxmlformats.org/officeDocument/2006/relationships/hyperlink" Target="https://calebasse.com/produits/tong-xuan-li-fei-wan-4168?product=5629" TargetMode="External"/><Relationship Id="rId1902" Type="http://schemas.openxmlformats.org/officeDocument/2006/relationships/hyperlink" Target="https://res.cloudinary.com/laboratoire-calebasse/image/upload/v1753353767/TONG_XUAN_LI_FEI_WAN_CTXLFWCP_6782900760.jpg" TargetMode="External"/><Relationship Id="rId1903" Type="http://schemas.openxmlformats.org/officeDocument/2006/relationships/hyperlink" Target="https://calebasse.com/produits/wen-dan-wan-4169?product=5630" TargetMode="External"/><Relationship Id="rId1904" Type="http://schemas.openxmlformats.org/officeDocument/2006/relationships/hyperlink" Target="https://res.cloudinary.com/laboratoire-calebasse/image/upload/v1753353783/WEN_DAN_WAN_CWDW_8284b70aa3.jpg" TargetMode="External"/><Relationship Id="rId1905" Type="http://schemas.openxmlformats.org/officeDocument/2006/relationships/hyperlink" Target="https://calebasse.com/produits/wen-dan-wan-4169?product=5634" TargetMode="External"/><Relationship Id="rId1906" Type="http://schemas.openxmlformats.org/officeDocument/2006/relationships/hyperlink" Target="https://res.cloudinary.com/laboratoire-calebasse/image/upload/v1753353792/WEN_DAN_WAN_CWDWCP_fb56a86589.jpg" TargetMode="External"/><Relationship Id="rId1907" Type="http://schemas.openxmlformats.org/officeDocument/2006/relationships/hyperlink" Target="https://calebasse.com/produits/wu-hei-tang-4783?product=6986" TargetMode="External"/><Relationship Id="rId1908" Type="http://schemas.openxmlformats.org/officeDocument/2006/relationships/hyperlink" Target="https://res.cloudinary.com/laboratoire-calebasse/image/upload/v1753353807/WU_HEI_TANG_CWHT_c5effac3c2.jpg" TargetMode="External"/><Relationship Id="rId1909" Type="http://schemas.openxmlformats.org/officeDocument/2006/relationships/hyperlink" Target="https://calebasse.com/produits/wu-hei-tang-4783?product=7107" TargetMode="External"/><Relationship Id="rId1090" Type="http://schemas.openxmlformats.org/officeDocument/2006/relationships/hyperlink" Target="https://res.cloudinary.com/laboratoire-calebasse/image/upload/v1748270959/LAVANDE_FLEUR_ENTIERE_BIO_200_g_AXYCL_de1e06c570.jpg" TargetMode="External"/><Relationship Id="rId1091" Type="http://schemas.openxmlformats.org/officeDocument/2006/relationships/hyperlink" Target="https://calebasse.com/produits/xin-yi-hua-boutons-de-magnolia-3945?product=4791" TargetMode="External"/><Relationship Id="rId1092" Type="http://schemas.openxmlformats.org/officeDocument/2006/relationships/hyperlink" Target="https://res.cloudinary.com/laboratoire-calebasse/image/upload/v1746529160/BOUTONS_DE_MAGNOLIA_100_g_AXYH_0cfcb33176.jpg" TargetMode="External"/><Relationship Id="rId1093" Type="http://schemas.openxmlformats.org/officeDocument/2006/relationships/hyperlink" Target="https://res.cloudinary.com/laboratoire-calebasse/image/upload/v1748271435/BOUTONS_DE_MAGNOLIA_300_g_AXYHL_d081f1e3dc.jpg" TargetMode="External"/><Relationship Id="rId1094" Type="http://schemas.openxmlformats.org/officeDocument/2006/relationships/hyperlink" Target="https://calebasse.com/produits/xiang-yuan-fruit-de-cedratier-3940?product=4777" TargetMode="External"/><Relationship Id="rId1095" Type="http://schemas.openxmlformats.org/officeDocument/2006/relationships/hyperlink" Target="https://res.cloudinary.com/laboratoire-calebasse/image/upload/v1748271483/FRUIT_DE_CEDRATIER_200_g_AXYL_45d3c81666.jpg" TargetMode="External"/><Relationship Id="rId1096" Type="http://schemas.openxmlformats.org/officeDocument/2006/relationships/hyperlink" Target="https://calebasse.com/produits/yin-chen-hao-armoise-capillaire-3953?product=4834" TargetMode="External"/><Relationship Id="rId1097" Type="http://schemas.openxmlformats.org/officeDocument/2006/relationships/hyperlink" Target="https://res.cloudinary.com/laboratoire-calebasse/image/upload/v1746528222/ARMOISE_CAPILLAIRE_50_g_AYCH_97ca027afb.jpg" TargetMode="External"/><Relationship Id="rId1098" Type="http://schemas.openxmlformats.org/officeDocument/2006/relationships/hyperlink" Target="https://calebasse.com/produits/yin-chen-hao-armoise-capillaire-3953?product=4839" TargetMode="External"/><Relationship Id="rId1099" Type="http://schemas.openxmlformats.org/officeDocument/2006/relationships/hyperlink" Target="https://res.cloudinary.com/laboratoire-calebasse/image/upload/v1634201206/A_yinchenhaogl_fd177c6875.jpg" TargetMode="External"/><Relationship Id="rId1080" Type="http://schemas.openxmlformats.org/officeDocument/2006/relationships/hyperlink" Target="https://res.cloudinary.com/laboratoire-calebasse/image/upload/v1634201206/A_xuanshengl_5182419ed4.jpg" TargetMode="External"/><Relationship Id="rId1081" Type="http://schemas.openxmlformats.org/officeDocument/2006/relationships/hyperlink" Target="https://calebasse.com/produits/xi-xian-cao-herbe-de-saint-paul-3934?product=4752" TargetMode="External"/><Relationship Id="rId1082" Type="http://schemas.openxmlformats.org/officeDocument/2006/relationships/hyperlink" Target="https://res.cloudinary.com/laboratoire-calebasse/image/upload/v1746529098/HERBE_DE_SAINT_PAUL_50_g_AXXC_1afb8ab128.jpg" TargetMode="External"/><Relationship Id="rId1083" Type="http://schemas.openxmlformats.org/officeDocument/2006/relationships/hyperlink" Target="https://calebasse.com/produits/xi-xian-cao-herbe-de-saint-paul-3934?product=4753" TargetMode="External"/><Relationship Id="rId1084" Type="http://schemas.openxmlformats.org/officeDocument/2006/relationships/hyperlink" Target="https://res.cloudinary.com/laboratoire-calebasse/image/upload/v1748271576/HERBE_DE_SAINT_PAUL_200_g_AXXCL_fabc864091.jpg" TargetMode="External"/><Relationship Id="rId1085" Type="http://schemas.openxmlformats.org/officeDocument/2006/relationships/hyperlink" Target="https://calebasse.com/produits/xiang-yuan-fruit-de-cedratier-3940?product=4776" TargetMode="External"/><Relationship Id="rId1086" Type="http://schemas.openxmlformats.org/officeDocument/2006/relationships/hyperlink" Target="https://res.cloudinary.com/laboratoire-calebasse/image/upload/v1746534476/FRUIT_DE_CEDRATIER_50_g_AXY_3efd155c29.jpg" TargetMode="External"/><Relationship Id="rId1087" Type="http://schemas.openxmlformats.org/officeDocument/2006/relationships/hyperlink" Target="https://calebasse.com/produits/xun-yi-cao-fleurs-de-lavande-4473?product=4804" TargetMode="External"/><Relationship Id="rId1088" Type="http://schemas.openxmlformats.org/officeDocument/2006/relationships/hyperlink" Target="https://res.cloudinary.com/laboratoire-calebasse/image/upload/v1744901580/LAVANDE_FLEUR_ENTIERE_BIO_50_g_AXYC_2025_04_10_bc3a20d059.jpg" TargetMode="External"/><Relationship Id="rId1089" Type="http://schemas.openxmlformats.org/officeDocument/2006/relationships/hyperlink" Target="https://calebasse.com/produits/xun-yi-cao-fleurs-de-lavande-4473?product=4805" TargetMode="External"/><Relationship Id="rId1972" Type="http://schemas.openxmlformats.org/officeDocument/2006/relationships/hyperlink" Target="https://res.cloudinary.com/laboratoire-calebasse/image/upload/v1675087444/C_yinsource_55980934b2.jpg" TargetMode="External"/><Relationship Id="rId1973" Type="http://schemas.openxmlformats.org/officeDocument/2006/relationships/hyperlink" Target="https://calebasse.com/produits/yu-ping-feng-san-4194?product=5732" TargetMode="External"/><Relationship Id="rId1974" Type="http://schemas.openxmlformats.org/officeDocument/2006/relationships/hyperlink" Target="https://res.cloudinary.com/laboratoire-calebasse/image/upload/v1745504176/YU_PING_FENG_SAN_gl_1bb4917d31.jpg" TargetMode="External"/><Relationship Id="rId1975" Type="http://schemas.openxmlformats.org/officeDocument/2006/relationships/hyperlink" Target="https://calebasse.com/produits/yu-ping-feng-san-4194?product=7342" TargetMode="External"/><Relationship Id="rId1976" Type="http://schemas.openxmlformats.org/officeDocument/2006/relationships/hyperlink" Target="https://res.cloudinary.com/laboratoire-calebasse/image/upload/v1741165644/12_Duo_49bb612195.jpg" TargetMode="External"/><Relationship Id="rId1977" Type="http://schemas.openxmlformats.org/officeDocument/2006/relationships/hyperlink" Target="https://calebasse.com/produits/yu-ping-feng-san-4194?product=5734" TargetMode="External"/><Relationship Id="rId1978" Type="http://schemas.openxmlformats.org/officeDocument/2006/relationships/hyperlink" Target="https://res.cloudinary.com/laboratoire-calebasse/image/upload/v1740588308/YU_PING_FENG_SAN_cp_4d1262a0d9.jpg" TargetMode="External"/><Relationship Id="rId1979" Type="http://schemas.openxmlformats.org/officeDocument/2006/relationships/hyperlink" Target="https://calebasse.com/produits/yu-ping-feng-san-4194?product=7493" TargetMode="External"/><Relationship Id="rId1970" Type="http://schemas.openxmlformats.org/officeDocument/2006/relationships/hyperlink" Target="https://res.cloudinary.com/laboratoire-calebasse/image/upload/v1753106183/YOU_GUI_WAN_CYGWCP_Poudre_1e3c333df3.jpg" TargetMode="External"/><Relationship Id="rId1971" Type="http://schemas.openxmlformats.org/officeDocument/2006/relationships/hyperlink" Target="https://calebasse.com/produits/yin-source-4717?product=6865" TargetMode="External"/><Relationship Id="rId1961" Type="http://schemas.openxmlformats.org/officeDocument/2006/relationships/hyperlink" Target="https://calebasse.com/produits/yu-dai-wan-4193?product=5730" TargetMode="External"/><Relationship Id="rId1962" Type="http://schemas.openxmlformats.org/officeDocument/2006/relationships/hyperlink" Target="https://res.cloudinary.com/laboratoire-calebasse/image/upload/v1753354126/YU_DAI_WAN_CYDWCP_1532dab971.jpg" TargetMode="External"/><Relationship Id="rId1963" Type="http://schemas.openxmlformats.org/officeDocument/2006/relationships/hyperlink" Target="https://calebasse.com/produits/formule-yang-eau-4699?product=6832" TargetMode="External"/><Relationship Id="rId1964" Type="http://schemas.openxmlformats.org/officeDocument/2006/relationships/hyperlink" Target="https://res.cloudinary.com/laboratoire-calebasse/image/upload/v1673539859/C_yangeau_e333c86858.png" TargetMode="External"/><Relationship Id="rId1965" Type="http://schemas.openxmlformats.org/officeDocument/2006/relationships/hyperlink" Target="https://calebasse.com/produits/formule-yang-eau-4699?product=6833" TargetMode="External"/><Relationship Id="rId1966" Type="http://schemas.openxmlformats.org/officeDocument/2006/relationships/hyperlink" Target="https://res.cloudinary.com/laboratoire-calebasse/image/upload/v1673539920/C_yangeaucp_986f0b94da.png" TargetMode="External"/><Relationship Id="rId1967" Type="http://schemas.openxmlformats.org/officeDocument/2006/relationships/hyperlink" Target="https://calebasse.com/produits/you-gui-wan-4192?product=5724" TargetMode="External"/><Relationship Id="rId1968" Type="http://schemas.openxmlformats.org/officeDocument/2006/relationships/hyperlink" Target="https://res.cloudinary.com/laboratoire-calebasse/image/upload/v1753106196/YOU_GUI_WAN_CYGW_Gelule_729cd0397d.jpg" TargetMode="External"/><Relationship Id="rId1969" Type="http://schemas.openxmlformats.org/officeDocument/2006/relationships/hyperlink" Target="https://calebasse.com/produits/you-gui-wan-4192?product=5726" TargetMode="External"/><Relationship Id="rId1960" Type="http://schemas.openxmlformats.org/officeDocument/2006/relationships/hyperlink" Target="https://res.cloudinary.com/laboratoire-calebasse/image/upload/v1753354116/YU_DAI_WAN_CYDW_710b002112.jpg" TargetMode="External"/><Relationship Id="rId1994" Type="http://schemas.openxmlformats.org/officeDocument/2006/relationships/hyperlink" Target="https://res.cloudinary.com/laboratoire-calebasse/image/upload/v1753354045/YANG_XUE_AN_SHEN_WAN_CYXASW_cd634a0057.jpg" TargetMode="External"/><Relationship Id="rId1995" Type="http://schemas.openxmlformats.org/officeDocument/2006/relationships/hyperlink" Target="https://calebasse.com/produits/yang-xue-an-shen-wan-4186?product=5702" TargetMode="External"/><Relationship Id="rId1996" Type="http://schemas.openxmlformats.org/officeDocument/2006/relationships/hyperlink" Target="https://res.cloudinary.com/laboratoire-calebasse/image/upload/v1753354057/YANG_XUE_AN_SHEN_WAN_CYXASWCP_2b17f7fe04.jpg" TargetMode="External"/><Relationship Id="rId1997" Type="http://schemas.openxmlformats.org/officeDocument/2006/relationships/hyperlink" Target="https://calebasse.com/produits/yi-yi-ren-tang-4188?product=5708" TargetMode="External"/><Relationship Id="rId1998" Type="http://schemas.openxmlformats.org/officeDocument/2006/relationships/hyperlink" Target="https://res.cloudinary.com/laboratoire-calebasse/image/upload/v1753354069/YI_YI_REN_TANG_CYYRT_327ebd6a54.jpg" TargetMode="External"/><Relationship Id="rId1999" Type="http://schemas.openxmlformats.org/officeDocument/2006/relationships/hyperlink" Target="https://calebasse.com/produits/yi-yi-ren-tang-4188?product=5710" TargetMode="External"/><Relationship Id="rId1990" Type="http://schemas.openxmlformats.org/officeDocument/2006/relationships/hyperlink" Target="https://res.cloudinary.com/laboratoire-calebasse/image/upload/v1753354021/YANG_RONG_WAN_CYRW_90ae879ca5.jpg" TargetMode="External"/><Relationship Id="rId1991" Type="http://schemas.openxmlformats.org/officeDocument/2006/relationships/hyperlink" Target="https://calebasse.com/produits/yang-rong-wan-4847?product=7047" TargetMode="External"/><Relationship Id="rId1992" Type="http://schemas.openxmlformats.org/officeDocument/2006/relationships/hyperlink" Target="https://res.cloudinary.com/laboratoire-calebasse/image/upload/v1753354031/YANG_RONG_WAN_CYRWCP_e02751af76.jpg" TargetMode="External"/><Relationship Id="rId1993" Type="http://schemas.openxmlformats.org/officeDocument/2006/relationships/hyperlink" Target="https://calebasse.com/produits/yang-xue-an-shen-wan-4186?product=5700" TargetMode="External"/><Relationship Id="rId1983" Type="http://schemas.openxmlformats.org/officeDocument/2006/relationships/hyperlink" Target="https://calebasse.com/produits/yin-qiao-jie-du-pian-4189?product=5714" TargetMode="External"/><Relationship Id="rId1984" Type="http://schemas.openxmlformats.org/officeDocument/2006/relationships/hyperlink" Target="https://res.cloudinary.com/laboratoire-calebasse/image/upload/v1753354102/YIN_QIAO_JIE_DU_PIAN_CYQJDPCP_79f791d05b.jpg" TargetMode="External"/><Relationship Id="rId1985" Type="http://schemas.openxmlformats.org/officeDocument/2006/relationships/hyperlink" Target="https://calebasse.com/produits/yin-qiao-pian-4190?product=5716" TargetMode="External"/><Relationship Id="rId1986" Type="http://schemas.openxmlformats.org/officeDocument/2006/relationships/hyperlink" Target="https://res.cloudinary.com/laboratoire-calebasse/image/upload/v1753106168/YIN_QIAO_PIAN_CYQP_Gelule_b6f1a8f3d2.jpg" TargetMode="External"/><Relationship Id="rId1987" Type="http://schemas.openxmlformats.org/officeDocument/2006/relationships/hyperlink" Target="https://calebasse.com/produits/yin-qiao-pian-4190?product=5718" TargetMode="External"/><Relationship Id="rId1988" Type="http://schemas.openxmlformats.org/officeDocument/2006/relationships/hyperlink" Target="https://res.cloudinary.com/laboratoire-calebasse/image/upload/v1753106833/YIN_QIAO_PIAN_CYQPCP_Poudre_dd1dce1f6d.jpg" TargetMode="External"/><Relationship Id="rId1989" Type="http://schemas.openxmlformats.org/officeDocument/2006/relationships/hyperlink" Target="https://calebasse.com/produits/yang-rong-wan-4847?product=7045" TargetMode="External"/><Relationship Id="rId1980" Type="http://schemas.openxmlformats.org/officeDocument/2006/relationships/hyperlink" Target="https://res.cloudinary.com/laboratoire-calebasse/image/upload/v1752230584/cure_d_ete_CYPFSX_4_4f6799c3b8.png" TargetMode="External"/><Relationship Id="rId1981" Type="http://schemas.openxmlformats.org/officeDocument/2006/relationships/hyperlink" Target="https://calebasse.com/produits/yin-qiao-jie-du-pian-4189?product=5713" TargetMode="External"/><Relationship Id="rId1982" Type="http://schemas.openxmlformats.org/officeDocument/2006/relationships/hyperlink" Target="https://res.cloudinary.com/laboratoire-calebasse/image/upload/v1753354093/YIN_QIAO_JIE_DU_PIAN_CYQJDP_ed2af2db16.jpg" TargetMode="External"/><Relationship Id="rId1930" Type="http://schemas.openxmlformats.org/officeDocument/2006/relationships/hyperlink" Target="https://res.cloudinary.com/laboratoire-calebasse/image/upload/v1753106805/XUE_FU_ZHU_YU_TANG_CXFZYT_2f8268b96e.jpg" TargetMode="External"/><Relationship Id="rId1931" Type="http://schemas.openxmlformats.org/officeDocument/2006/relationships/hyperlink" Target="https://calebasse.com/produits/xue-fu-zhu-yu-tang-4184?product=5698" TargetMode="External"/><Relationship Id="rId1932" Type="http://schemas.openxmlformats.org/officeDocument/2006/relationships/hyperlink" Target="https://res.cloudinary.com/laboratoire-calebasse/image/upload/v1753106816/XUE_FU_ZHU_YU_TANG_CXFZYTCP_382c7eb201.jpg" TargetMode="External"/><Relationship Id="rId1933" Type="http://schemas.openxmlformats.org/officeDocument/2006/relationships/hyperlink" Target="https://calebasse.com/produits/xiang-lian-wan-4178?product=5668" TargetMode="External"/><Relationship Id="rId1934" Type="http://schemas.openxmlformats.org/officeDocument/2006/relationships/hyperlink" Target="https://res.cloudinary.com/laboratoire-calebasse/image/upload/v1753353921/XIANG_LIAN_WAN_CXLW_6ad6f81e36.jpg" TargetMode="External"/><Relationship Id="rId1935" Type="http://schemas.openxmlformats.org/officeDocument/2006/relationships/hyperlink" Target="https://calebasse.com/produits/xiang-lian-wan-4178?product=5670" TargetMode="External"/><Relationship Id="rId1936" Type="http://schemas.openxmlformats.org/officeDocument/2006/relationships/hyperlink" Target="https://res.cloudinary.com/laboratoire-calebasse/image/upload/v1753353931/XIANG_LIAN_WAN_CXLWCP_699d798c00.jpg" TargetMode="External"/><Relationship Id="rId1937" Type="http://schemas.openxmlformats.org/officeDocument/2006/relationships/hyperlink" Target="https://calebasse.com/produits/xiang-sha-liu-jun-zi-wan-4179?product=5672" TargetMode="External"/><Relationship Id="rId1938" Type="http://schemas.openxmlformats.org/officeDocument/2006/relationships/hyperlink" Target="https://res.cloudinary.com/laboratoire-calebasse/image/upload/v1753106716/XIANG_SHA_LIU_JUN_ZI_WAN_CXSLJZW_4db0f6ecfd.jpg" TargetMode="External"/><Relationship Id="rId1939" Type="http://schemas.openxmlformats.org/officeDocument/2006/relationships/hyperlink" Target="https://calebasse.com/produits/xiang-sha-liu-jun-zi-wan-4179?product=5674" TargetMode="External"/><Relationship Id="rId1920" Type="http://schemas.openxmlformats.org/officeDocument/2006/relationships/hyperlink" Target="https://res.cloudinary.com/laboratoire-calebasse/image/upload/v1753353855/WU_SHI_CHA_KE_LI_CWSCKL_f9d3a42162.jpg" TargetMode="External"/><Relationship Id="rId1921" Type="http://schemas.openxmlformats.org/officeDocument/2006/relationships/hyperlink" Target="https://calebasse.com/produits/wu-zi-yan-zong-wan-4176?product=5660" TargetMode="External"/><Relationship Id="rId1922" Type="http://schemas.openxmlformats.org/officeDocument/2006/relationships/hyperlink" Target="https://res.cloudinary.com/laboratoire-calebasse/image/upload/v1753353897/WU_ZI_YAN_ZONG_WAN_CWZYZW_fc44a0506a.jpg" TargetMode="External"/><Relationship Id="rId1923" Type="http://schemas.openxmlformats.org/officeDocument/2006/relationships/hyperlink" Target="https://calebasse.com/produits/wu-zi-yan-zong-wan-4176?product=5662" TargetMode="External"/><Relationship Id="rId1924" Type="http://schemas.openxmlformats.org/officeDocument/2006/relationships/hyperlink" Target="https://res.cloudinary.com/laboratoire-calebasse/image/upload/v1753353908/WU_ZI_YAN_ZONG_WAN_CWZYZWCP_d80ff2868c.jpg" TargetMode="External"/><Relationship Id="rId1925" Type="http://schemas.openxmlformats.org/officeDocument/2006/relationships/hyperlink" Target="https://calebasse.com/produits/xiao-chai-hu-tang-4183?product=5684" TargetMode="External"/><Relationship Id="rId1926" Type="http://schemas.openxmlformats.org/officeDocument/2006/relationships/hyperlink" Target="https://res.cloudinary.com/laboratoire-calebasse/image/upload/v1753106758/XIAO_CHAI_HU_TANG_CXCHT_Gelule_1f82659dbd.jpg" TargetMode="External"/><Relationship Id="rId1927" Type="http://schemas.openxmlformats.org/officeDocument/2006/relationships/hyperlink" Target="https://calebasse.com/produits/xiao-chai-hu-tang-4183?product=5686" TargetMode="External"/><Relationship Id="rId1928" Type="http://schemas.openxmlformats.org/officeDocument/2006/relationships/hyperlink" Target="https://res.cloudinary.com/laboratoire-calebasse/image/upload/v1753106748/XIAO_CHAI_HU_TANG_CXCHTCP_0044bb12fc.jpg" TargetMode="External"/><Relationship Id="rId1929" Type="http://schemas.openxmlformats.org/officeDocument/2006/relationships/hyperlink" Target="https://calebasse.com/produits/xue-fu-zhu-yu-tang-4184?product=5696" TargetMode="External"/><Relationship Id="rId1950" Type="http://schemas.openxmlformats.org/officeDocument/2006/relationships/hyperlink" Target="https://res.cloudinary.com/laboratoire-calebasse/image/upload/v1753353993/XIANG_YIN_WAN_CXYING_7e0de98972.jpg" TargetMode="External"/><Relationship Id="rId1951" Type="http://schemas.openxmlformats.org/officeDocument/2006/relationships/hyperlink" Target="https://calebasse.com/produits/xiang-yin-wan-4182?product=5682" TargetMode="External"/><Relationship Id="rId1952" Type="http://schemas.openxmlformats.org/officeDocument/2006/relationships/hyperlink" Target="https://res.cloudinary.com/laboratoire-calebasse/image/upload/v1753354003/XIANG_YIN_WAN_CXYINGCP_bd2a438037.jpg" TargetMode="External"/><Relationship Id="rId1953" Type="http://schemas.openxmlformats.org/officeDocument/2006/relationships/hyperlink" Target="https://calebasse.com/produits/xiao-yao-san-4185?product=5692" TargetMode="External"/><Relationship Id="rId1954" Type="http://schemas.openxmlformats.org/officeDocument/2006/relationships/hyperlink" Target="https://res.cloudinary.com/laboratoire-calebasse/image/upload/v1753106788/XIAO_YAO_SAN_CXYS_Gelule_b3410f2eb8.jpg" TargetMode="External"/><Relationship Id="rId1955" Type="http://schemas.openxmlformats.org/officeDocument/2006/relationships/hyperlink" Target="https://calebasse.com/produits/xiao-yao-san-4185?product=5694" TargetMode="External"/><Relationship Id="rId1956" Type="http://schemas.openxmlformats.org/officeDocument/2006/relationships/hyperlink" Target="https://res.cloudinary.com/laboratoire-calebasse/image/upload/v1753106774/XIAO_YAO_SAN_CXYSCP_Poudre_aa96181a9b.jpg" TargetMode="External"/><Relationship Id="rId1957" Type="http://schemas.openxmlformats.org/officeDocument/2006/relationships/hyperlink" Target="https://calebasse.com/produits/yang-source-4718?product=6869" TargetMode="External"/><Relationship Id="rId1958" Type="http://schemas.openxmlformats.org/officeDocument/2006/relationships/hyperlink" Target="https://res.cloudinary.com/laboratoire-calebasse/image/upload/v1675086962/C_Yangsource_b7e473b7ee.jpg" TargetMode="External"/><Relationship Id="rId1959" Type="http://schemas.openxmlformats.org/officeDocument/2006/relationships/hyperlink" Target="https://calebasse.com/produits/yu-dai-wan-4193?product=5727" TargetMode="External"/><Relationship Id="rId1940" Type="http://schemas.openxmlformats.org/officeDocument/2006/relationships/hyperlink" Target="https://res.cloudinary.com/laboratoire-calebasse/image/upload/v1753106725/XIANG_SHA_LIU_JUN_ZI_WAN_CXSLJZWCP_2025_05_05_ee8125d874.jpg" TargetMode="External"/><Relationship Id="rId1941" Type="http://schemas.openxmlformats.org/officeDocument/2006/relationships/hyperlink" Target="https://calebasse.com/produits/xiang-sha-yang-wei-wan-4180?product=5676" TargetMode="External"/><Relationship Id="rId1942" Type="http://schemas.openxmlformats.org/officeDocument/2006/relationships/hyperlink" Target="https://res.cloudinary.com/laboratoire-calebasse/image/upload/v1753353944/XIANG_SHA_YANG_WEI_WAN_CXSYWW_6c10521070.jpg" TargetMode="External"/><Relationship Id="rId1943" Type="http://schemas.openxmlformats.org/officeDocument/2006/relationships/hyperlink" Target="https://calebasse.com/produits/xiang-sha-yang-wei-wan-4180?product=5679" TargetMode="External"/><Relationship Id="rId1944" Type="http://schemas.openxmlformats.org/officeDocument/2006/relationships/hyperlink" Target="https://res.cloudinary.com/laboratoire-calebasse/image/upload/v1753353954/XIANG_SHA_YANG_WEI_WAN_CXSYWWCP_17382bfe65.jpg" TargetMode="External"/><Relationship Id="rId1945" Type="http://schemas.openxmlformats.org/officeDocument/2006/relationships/hyperlink" Target="https://calebasse.com/produits/xiang-sha-zuo-jin-wan-4393?product=6339" TargetMode="External"/><Relationship Id="rId1946" Type="http://schemas.openxmlformats.org/officeDocument/2006/relationships/hyperlink" Target="https://res.cloudinary.com/laboratoire-calebasse/image/upload/v1753353970/XIANG_SHA_ZUO_JIN_WAN_CXSZJW_6e743bf073.jpg" TargetMode="External"/><Relationship Id="rId1947" Type="http://schemas.openxmlformats.org/officeDocument/2006/relationships/hyperlink" Target="https://calebasse.com/produits/xiang-sha-zuo-jin-wan-4393?product=6342" TargetMode="External"/><Relationship Id="rId1948" Type="http://schemas.openxmlformats.org/officeDocument/2006/relationships/hyperlink" Target="https://res.cloudinary.com/laboratoire-calebasse/image/upload/v1753353980/XIANG_SHA_ZUO_JIN_WAN_CXSZJWCP_93ac910e33.jpg" TargetMode="External"/><Relationship Id="rId1949" Type="http://schemas.openxmlformats.org/officeDocument/2006/relationships/hyperlink" Target="https://calebasse.com/produits/xiang-yin-wan-4182?product=5680" TargetMode="External"/><Relationship Id="rId2423" Type="http://schemas.openxmlformats.org/officeDocument/2006/relationships/hyperlink" Target="https://res.cloudinary.com/laboratoire-calebasse/image/upload/v1733825286/fkvt_Md_UE_3a960cf739.jpg" TargetMode="External"/><Relationship Id="rId2424" Type="http://schemas.openxmlformats.org/officeDocument/2006/relationships/hyperlink" Target="https://calebasse.com/produits/livre-guasha-le-massage-par-friction-du-dos-5145?product=7395" TargetMode="External"/><Relationship Id="rId2425" Type="http://schemas.openxmlformats.org/officeDocument/2006/relationships/hyperlink" Target="https://res.cloudinary.com/laboratoire-calebasse/image/upload/v1733825303/s69_Fuj_Xd_c86e01231a.jpg" TargetMode="External"/><Relationship Id="rId2426" Type="http://schemas.openxmlformats.org/officeDocument/2006/relationships/hyperlink" Target="https://calebasse.com/produits/livre-guide-pratique-dacupuncture-pour-la-grossese-et-laccouchement-5123?product=7396" TargetMode="External"/><Relationship Id="rId2427" Type="http://schemas.openxmlformats.org/officeDocument/2006/relationships/hyperlink" Target="https://res.cloudinary.com/laboratoire-calebasse/image/upload/v1733825438/x_X9pd9ab_4fd7ecbfe2.jpg" TargetMode="External"/><Relationship Id="rId2428" Type="http://schemas.openxmlformats.org/officeDocument/2006/relationships/hyperlink" Target="https://calebasse.com/produits/livre-gynecologie-obstetrique-en-medecine-chinoise-seconde-etidion-5124?product=7397" TargetMode="External"/><Relationship Id="rId2429" Type="http://schemas.openxmlformats.org/officeDocument/2006/relationships/hyperlink" Target="https://res.cloudinary.com/laboratoire-calebasse/image/upload/v1733825469/42_Wik_O4m_8fade780d3.jpg" TargetMode="External"/><Relationship Id="rId509" Type="http://schemas.openxmlformats.org/officeDocument/2006/relationships/hyperlink" Target="https://res.cloudinary.com/laboratoire-calebasse/image/upload/v1746534186/TROLLE_DE_CHINE_50_g_AJLH_93b17bb0e6.jpg" TargetMode="External"/><Relationship Id="rId508" Type="http://schemas.openxmlformats.org/officeDocument/2006/relationships/hyperlink" Target="https://calebasse.com/produits/jin-lian-hua-trolle-de-chine-3798?product=4364" TargetMode="External"/><Relationship Id="rId503" Type="http://schemas.openxmlformats.org/officeDocument/2006/relationships/hyperlink" Target="https://res.cloudinary.com/laboratoire-calebasse/image/upload/v1634201111/A_jingjiesuicp_2d2ef8d5c3.jpg" TargetMode="External"/><Relationship Id="rId502" Type="http://schemas.openxmlformats.org/officeDocument/2006/relationships/hyperlink" Target="https://calebasse.com/produits/jing-jie-sui-herbe-a-chat-du-japon-3805?product=4385" TargetMode="External"/><Relationship Id="rId501" Type="http://schemas.openxmlformats.org/officeDocument/2006/relationships/hyperlink" Target="https://res.cloudinary.com/laboratoire-calebasse/image/upload/v1746528265/HERBE_A_CHAT_DU_JAPON_50_g_AJJS_a11c4febbe.jpg" TargetMode="External"/><Relationship Id="rId500" Type="http://schemas.openxmlformats.org/officeDocument/2006/relationships/hyperlink" Target="https://calebasse.com/produits/jing-jie-sui-herbe-a-chat-du-japon-3805?product=4382" TargetMode="External"/><Relationship Id="rId507" Type="http://schemas.openxmlformats.org/officeDocument/2006/relationships/hyperlink" Target="https://res.cloudinary.com/laboratoire-calebasse/image/upload/v1747063875/HERBE_A_CHAT_DU_JAPON_140_g_AJJSL_600223dd95.jpg" TargetMode="External"/><Relationship Id="rId506" Type="http://schemas.openxmlformats.org/officeDocument/2006/relationships/hyperlink" Target="https://calebasse.com/produits/jing-jie-sui-herbe-a-chat-du-japon-3805?product=4383" TargetMode="External"/><Relationship Id="rId505" Type="http://schemas.openxmlformats.org/officeDocument/2006/relationships/hyperlink" Target="https://res.cloudinary.com/laboratoire-calebasse/image/upload/v1634201111/A_jingjiesuigl_2a598faa02.jpg" TargetMode="External"/><Relationship Id="rId504" Type="http://schemas.openxmlformats.org/officeDocument/2006/relationships/hyperlink" Target="https://calebasse.com/produits/jing-jie-sui-herbe-a-chat-du-japon-3805?product=4386" TargetMode="External"/><Relationship Id="rId2420" Type="http://schemas.openxmlformats.org/officeDocument/2006/relationships/hyperlink" Target="https://calebasse.com/produits/ivre-emergence-origine-et-evolution-de-lacupuncture-dans-le-classique-de-linterne-5144?product=7393" TargetMode="External"/><Relationship Id="rId2421" Type="http://schemas.openxmlformats.org/officeDocument/2006/relationships/hyperlink" Target="https://res.cloudinary.com/laboratoire-calebasse/image/upload/v1733825259/erd_TEX_Sl_725751739d.jpg" TargetMode="External"/><Relationship Id="rId2422" Type="http://schemas.openxmlformats.org/officeDocument/2006/relationships/hyperlink" Target="https://calebasse.com/produits/livre-examen-de-la-langue-en-medecine-chinoise-3e-edition-5122?product=7394" TargetMode="External"/><Relationship Id="rId2412" Type="http://schemas.openxmlformats.org/officeDocument/2006/relationships/hyperlink" Target="https://calebasse.com/produits/livre-associations-de-points-la-cle-du-succes-en-acupuncture-5119?product=7389" TargetMode="External"/><Relationship Id="rId2413" Type="http://schemas.openxmlformats.org/officeDocument/2006/relationships/hyperlink" Target="https://res.cloudinary.com/laboratoire-calebasse/image/upload/v1733825146/mc2_S76ko_df550a4915.jpg" TargetMode="External"/><Relationship Id="rId2414" Type="http://schemas.openxmlformats.org/officeDocument/2006/relationships/hyperlink" Target="https://calebasse.com/produits/livre-atlas-de-proche-du-diagnostic-par-la-langue-en-medecine-chinoise-2e-etidition-5120?product=7390" TargetMode="External"/><Relationship Id="rId2415" Type="http://schemas.openxmlformats.org/officeDocument/2006/relationships/hyperlink" Target="https://res.cloudinary.com/laboratoire-calebasse/image/upload/v1733825189/k8_G3d_O_7_f507916440.jpg" TargetMode="External"/><Relationship Id="rId2416" Type="http://schemas.openxmlformats.org/officeDocument/2006/relationships/hyperlink" Target="https://calebasse.com/produits/livre-atlas-des-plantes-medicinales-de-chine-5143?product=7391" TargetMode="External"/><Relationship Id="rId2417" Type="http://schemas.openxmlformats.org/officeDocument/2006/relationships/hyperlink" Target="https://res.cloudinary.com/laboratoire-calebasse/image/upload/v1733825215/Y_Rc_P_Kv_QL_7fb66204ef.jpg" TargetMode="External"/><Relationship Id="rId2418" Type="http://schemas.openxmlformats.org/officeDocument/2006/relationships/hyperlink" Target="https://calebasse.com/produits/livre-comprendre-la-medecine-chinoise-la-toile-sans-tisserand-5121?product=7392" TargetMode="External"/><Relationship Id="rId2419" Type="http://schemas.openxmlformats.org/officeDocument/2006/relationships/hyperlink" Target="https://res.cloudinary.com/laboratoire-calebasse/image/upload/v1733825236/fx_F526cz_e5281b3380.jpg" TargetMode="External"/><Relationship Id="rId2410" Type="http://schemas.openxmlformats.org/officeDocument/2006/relationships/hyperlink" Target="https://calebasse.com/produits/livre-alternatives-pour-gerer-le-stress-le-burn-out-et-la-depression-5118?product=7388" TargetMode="External"/><Relationship Id="rId2411" Type="http://schemas.openxmlformats.org/officeDocument/2006/relationships/hyperlink" Target="https://res.cloudinary.com/laboratoire-calebasse/image/upload/v1733825099/T_Rl0_UA_Vv_e465fe8084.jpg" TargetMode="External"/><Relationship Id="rId1114" Type="http://schemas.openxmlformats.org/officeDocument/2006/relationships/hyperlink" Target="https://calebasse.com/produits/yan-hu-suo-corydale-de-chine-3946?product=4806" TargetMode="External"/><Relationship Id="rId2445" Type="http://schemas.openxmlformats.org/officeDocument/2006/relationships/hyperlink" Target="https://res.cloudinary.com/laboratoire-calebasse/image/upload/v1733825769/ohku3zss_40486b534b.jpg" TargetMode="External"/><Relationship Id="rId1115" Type="http://schemas.openxmlformats.org/officeDocument/2006/relationships/hyperlink" Target="https://res.cloudinary.com/laboratoire-calebasse/image/upload/v1746525145/CORYDALE_DE_CHINE_100_g_AYHS_a38d4404ef.jpg" TargetMode="External"/><Relationship Id="rId2446" Type="http://schemas.openxmlformats.org/officeDocument/2006/relationships/hyperlink" Target="https://calebasse.com/produits/livre-les-points-qui-guerissent-massage-acupuncture-shatsu-5147?product=7406" TargetMode="External"/><Relationship Id="rId1116" Type="http://schemas.openxmlformats.org/officeDocument/2006/relationships/hyperlink" Target="https://calebasse.com/produits/yan-hu-suo-corydale-de-chine-3946?product=4807" TargetMode="External"/><Relationship Id="rId2447" Type="http://schemas.openxmlformats.org/officeDocument/2006/relationships/hyperlink" Target="https://res.cloudinary.com/laboratoire-calebasse/image/upload/v1733825808/B_Frzyi_Ot_479d9fc05d.jpg" TargetMode="External"/><Relationship Id="rId1117" Type="http://schemas.openxmlformats.org/officeDocument/2006/relationships/hyperlink" Target="https://res.cloudinary.com/laboratoire-calebasse/image/upload/v1748271396/CORYDALE_DE_CHINE_300_g_AYHSL_9e385650b9.jpg" TargetMode="External"/><Relationship Id="rId2448" Type="http://schemas.openxmlformats.org/officeDocument/2006/relationships/hyperlink" Target="https://calebasse.com/produits/livre-les-points-efficaces-pour-la-depression-mentale-massage-acupuncture-shatsu-5133?product=7407" TargetMode="External"/><Relationship Id="rId1118" Type="http://schemas.openxmlformats.org/officeDocument/2006/relationships/hyperlink" Target="https://calebasse.com/produits/yu-jin-curcuma-parfume-3956?product=4845" TargetMode="External"/><Relationship Id="rId2449" Type="http://schemas.openxmlformats.org/officeDocument/2006/relationships/hyperlink" Target="https://res.cloudinary.com/laboratoire-calebasse/image/upload/v1733825831/W_i_Okji_R_fb0ed2b07a.jpg" TargetMode="External"/><Relationship Id="rId1119" Type="http://schemas.openxmlformats.org/officeDocument/2006/relationships/hyperlink" Target="https://res.cloudinary.com/laboratoire-calebasse/image/upload/v1746534083/CURCUMA_PARFUME_100_g_AYJ_15b3b32346.jpg" TargetMode="External"/><Relationship Id="rId525" Type="http://schemas.openxmlformats.org/officeDocument/2006/relationships/hyperlink" Target="https://res.cloudinary.com/laboratoire-calebasse/image/upload/v1752222402/LIANE_DE_MILETTE_100_g_AJXTL_3c0aabf195.jpg" TargetMode="External"/><Relationship Id="rId524" Type="http://schemas.openxmlformats.org/officeDocument/2006/relationships/hyperlink" Target="https://calebasse.com/produits/ji-xue-teng-liane-de-milette-3821?product=4338" TargetMode="External"/><Relationship Id="rId523" Type="http://schemas.openxmlformats.org/officeDocument/2006/relationships/hyperlink" Target="https://res.cloudinary.com/laboratoire-calebasse/image/upload/v1746534150/FLEURS_DE_CHRYSANTHEME_DORE_50_g_AJSJ_887bc3dd30.jpg" TargetMode="External"/><Relationship Id="rId522" Type="http://schemas.openxmlformats.org/officeDocument/2006/relationships/hyperlink" Target="https://calebasse.com/produits/jin-si-ju-fleurs-de-chrysantheme-dore-3801?product=4368" TargetMode="External"/><Relationship Id="rId529" Type="http://schemas.openxmlformats.org/officeDocument/2006/relationships/hyperlink" Target="https://res.cloudinary.com/laboratoire-calebasse/image/upload/v1704447974/A_jixueteng_GL_872f660878.jpg" TargetMode="External"/><Relationship Id="rId528" Type="http://schemas.openxmlformats.org/officeDocument/2006/relationships/hyperlink" Target="https://calebasse.com/produits/ji-xue-teng-liane-de-milette-3821?product=4342" TargetMode="External"/><Relationship Id="rId527" Type="http://schemas.openxmlformats.org/officeDocument/2006/relationships/hyperlink" Target="https://res.cloudinary.com/laboratoire-calebasse/image/upload/v1704447951/A_jixueteng_CP_2f19f80b6b.jpg" TargetMode="External"/><Relationship Id="rId526" Type="http://schemas.openxmlformats.org/officeDocument/2006/relationships/hyperlink" Target="https://calebasse.com/produits/ji-xue-teng-liane-de-milette-3821?product=4339" TargetMode="External"/><Relationship Id="rId2440" Type="http://schemas.openxmlformats.org/officeDocument/2006/relationships/hyperlink" Target="https://calebasse.com/produits/livre-le-massage-energetique-chinois-5131?product=7403" TargetMode="External"/><Relationship Id="rId521" Type="http://schemas.openxmlformats.org/officeDocument/2006/relationships/hyperlink" Target="https://res.cloudinary.com/laboratoire-calebasse/image/upload/v1747063902/HERBE_DE_LYSIMACHIA_150_g_AJQCL_fba0a0f1be.jpg" TargetMode="External"/><Relationship Id="rId1110" Type="http://schemas.openxmlformats.org/officeDocument/2006/relationships/hyperlink" Target="https://calebasse.com/produits/ye-ju-hua-chrysantheme-indien-3948?product=4814" TargetMode="External"/><Relationship Id="rId2441" Type="http://schemas.openxmlformats.org/officeDocument/2006/relationships/hyperlink" Target="https://res.cloudinary.com/laboratoire-calebasse/image/upload/v1733825715/0_U54e_Von_e7f7a4fd10.jpg" TargetMode="External"/><Relationship Id="rId520" Type="http://schemas.openxmlformats.org/officeDocument/2006/relationships/hyperlink" Target="https://calebasse.com/produits/jin-qian-cao-herbe-de-lysimachia-3799?product=4365" TargetMode="External"/><Relationship Id="rId1111" Type="http://schemas.openxmlformats.org/officeDocument/2006/relationships/hyperlink" Target="https://res.cloudinary.com/laboratoire-calebasse/image/upload/v1746534126/MATRICAIRE_CHINOISE_100_g_AYEJH_4b1c64a855.jpg" TargetMode="External"/><Relationship Id="rId2442" Type="http://schemas.openxmlformats.org/officeDocument/2006/relationships/hyperlink" Target="https://calebasse.com/produits/livre-les-bases-theoriques-de-la-medecine-traditionelle-chinoise-5132?product=7404" TargetMode="External"/><Relationship Id="rId1112" Type="http://schemas.openxmlformats.org/officeDocument/2006/relationships/hyperlink" Target="https://calebasse.com/produits/ye-ju-hua-chrysantheme-indien-3948?product=4815" TargetMode="External"/><Relationship Id="rId2443" Type="http://schemas.openxmlformats.org/officeDocument/2006/relationships/hyperlink" Target="https://res.cloudinary.com/laboratoire-calebasse/image/upload/v1733825750/a6_P37a_FQ_e4801b4b2c.jpg" TargetMode="External"/><Relationship Id="rId1113" Type="http://schemas.openxmlformats.org/officeDocument/2006/relationships/hyperlink" Target="https://res.cloudinary.com/laboratoire-calebasse/image/upload/v1748271352/MATRICAIRE_CHINOISE_300_g_AYEJHL_95d92d1b9f.jpg" TargetMode="External"/><Relationship Id="rId2444" Type="http://schemas.openxmlformats.org/officeDocument/2006/relationships/hyperlink" Target="https://calebasse.com/produits/livre-les-gardiens-de-lame-les-cinq-elements-protecteurs-de-lacupuncture-5146?product=7405" TargetMode="External"/><Relationship Id="rId1103" Type="http://schemas.openxmlformats.org/officeDocument/2006/relationships/hyperlink" Target="https://res.cloudinary.com/laboratoire-calebasse/image/upload/v1746529189/JASMIN_D_HIVER_50_g_AYCHUA_f91436e0d8.jpg" TargetMode="External"/><Relationship Id="rId2434" Type="http://schemas.openxmlformats.org/officeDocument/2006/relationships/hyperlink" Target="https://calebasse.com/produits/livre-la-douleur-en-medecine-chinoise-diagnostic-et-traitement-5128?product=7400" TargetMode="External"/><Relationship Id="rId1104" Type="http://schemas.openxmlformats.org/officeDocument/2006/relationships/hyperlink" Target="https://calebasse.com/produits/morille-du-yunnan-reine-des-champignons-yang-du-jun-5168?product=7465" TargetMode="External"/><Relationship Id="rId2435" Type="http://schemas.openxmlformats.org/officeDocument/2006/relationships/hyperlink" Target="https://res.cloudinary.com/laboratoire-calebasse/image/upload/v1733825571/MZ_9_Mjbho_7c67a6fa2c.jpg" TargetMode="External"/><Relationship Id="rId1105" Type="http://schemas.openxmlformats.org/officeDocument/2006/relationships/hyperlink" Target="https://res.cloudinary.com/laboratoire-calebasse/image/upload/v1752221159/Morilles_decouverte_f04c56725c.jpg" TargetMode="External"/><Relationship Id="rId2436" Type="http://schemas.openxmlformats.org/officeDocument/2006/relationships/hyperlink" Target="https://calebasse.com/produits/livre-la-theorie-des-meridiens-et-ses-applications-en-medecine-chinoise-5129?product=7401" TargetMode="External"/><Relationship Id="rId1106" Type="http://schemas.openxmlformats.org/officeDocument/2006/relationships/hyperlink" Target="https://calebasse.com/produits/morille-du-yunnan-reine-des-champignons-yang-du-jun-5168?product=7463" TargetMode="External"/><Relationship Id="rId2437" Type="http://schemas.openxmlformats.org/officeDocument/2006/relationships/hyperlink" Target="https://res.cloudinary.com/laboratoire-calebasse/image/upload/v1733825658/b7_E_t_Mhe_b912ea28cb.jpg" TargetMode="External"/><Relationship Id="rId1107" Type="http://schemas.openxmlformats.org/officeDocument/2006/relationships/hyperlink" Target="https://res.cloudinary.com/laboratoire-calebasse/image/upload/v1752221213/Morilles_exception_a98a693632.jpg" TargetMode="External"/><Relationship Id="rId2438" Type="http://schemas.openxmlformats.org/officeDocument/2006/relationships/hyperlink" Target="https://calebasse.com/produits/livre-le-manuel-illustre-des-plantes-medicinales-chinoises-5130?product=7402" TargetMode="External"/><Relationship Id="rId1108" Type="http://schemas.openxmlformats.org/officeDocument/2006/relationships/hyperlink" Target="https://calebasse.com/produits/morille-du-yunnan-reine-des-champignons-yang-du-jun-5168?product=7464" TargetMode="External"/><Relationship Id="rId2439" Type="http://schemas.openxmlformats.org/officeDocument/2006/relationships/hyperlink" Target="https://res.cloudinary.com/laboratoire-calebasse/image/upload/v1733825688/r_ROZ_Ya_WW_4e3924da2d.jpg" TargetMode="External"/><Relationship Id="rId1109" Type="http://schemas.openxmlformats.org/officeDocument/2006/relationships/hyperlink" Target="https://res.cloudinary.com/laboratoire-calebasse/image/upload/v1752221195/Morilles_routine_6a176e058e.jpg" TargetMode="External"/><Relationship Id="rId519" Type="http://schemas.openxmlformats.org/officeDocument/2006/relationships/hyperlink" Target="https://res.cloudinary.com/laboratoire-calebasse/image/upload/v1634201111/A_jinqiancaogl_cea71ed0b9.jpg" TargetMode="External"/><Relationship Id="rId514" Type="http://schemas.openxmlformats.org/officeDocument/2006/relationships/hyperlink" Target="https://calebasse.com/produits/jin-qian-cao-herbe-de-lysimachia-3799?product=4363" TargetMode="External"/><Relationship Id="rId513" Type="http://schemas.openxmlformats.org/officeDocument/2006/relationships/hyperlink" Target="https://res.cloudinary.com/laboratoire-calebasse/image/upload/v1747063827/CASSIS_DE_CHINE_300_g_AJMZL_6b6f45d05e.jpg" TargetMode="External"/><Relationship Id="rId512" Type="http://schemas.openxmlformats.org/officeDocument/2006/relationships/hyperlink" Target="https://calebasse.com/produits/jue-ming-zi-cassis-de-chine-3843?product=4403" TargetMode="External"/><Relationship Id="rId511" Type="http://schemas.openxmlformats.org/officeDocument/2006/relationships/hyperlink" Target="https://res.cloudinary.com/laboratoire-calebasse/image/upload/v1746524351/CASSIS_DE_CHINE_100_g_AJMZ_5f15bbbfa8.jpg" TargetMode="External"/><Relationship Id="rId518" Type="http://schemas.openxmlformats.org/officeDocument/2006/relationships/hyperlink" Target="https://calebasse.com/produits/jin-qian-cao-herbe-de-lysimachia-3799?product=4372" TargetMode="External"/><Relationship Id="rId517" Type="http://schemas.openxmlformats.org/officeDocument/2006/relationships/hyperlink" Target="https://res.cloudinary.com/laboratoire-calebasse/image/upload/v1634201111/A_jinqiancaocp_b193f2e4a0.jpg" TargetMode="External"/><Relationship Id="rId516" Type="http://schemas.openxmlformats.org/officeDocument/2006/relationships/hyperlink" Target="https://calebasse.com/produits/jin-qian-cao-herbe-de-lysimachia-3799?product=4366" TargetMode="External"/><Relationship Id="rId515" Type="http://schemas.openxmlformats.org/officeDocument/2006/relationships/hyperlink" Target="https://res.cloudinary.com/laboratoire-calebasse/image/upload/v1746534289/HERBE_DE_LYSIMACHIA_50_g_AJQC_3f0b0176b1.jpg" TargetMode="External"/><Relationship Id="rId510" Type="http://schemas.openxmlformats.org/officeDocument/2006/relationships/hyperlink" Target="https://calebasse.com/produits/jue-ming-zi-cassis-de-chine-3843?product=4401" TargetMode="External"/><Relationship Id="rId2430" Type="http://schemas.openxmlformats.org/officeDocument/2006/relationships/hyperlink" Target="https://calebasse.com/produits/cuimian-qigong-mingxiang-livre-hypnose-qigong-meditation-silencieuse-5126?product=7398" TargetMode="External"/><Relationship Id="rId1100" Type="http://schemas.openxmlformats.org/officeDocument/2006/relationships/hyperlink" Target="https://calebasse.com/produits/yin-chen-hao-armoise-capillaire-3953?product=4835" TargetMode="External"/><Relationship Id="rId2431" Type="http://schemas.openxmlformats.org/officeDocument/2006/relationships/hyperlink" Target="https://res.cloudinary.com/laboratoire-calebasse/image/upload/v1733825492/bdd_Tu_GXL_1e49d83b97.jpg" TargetMode="External"/><Relationship Id="rId1101" Type="http://schemas.openxmlformats.org/officeDocument/2006/relationships/hyperlink" Target="https://res.cloudinary.com/laboratoire-calebasse/image/upload/v1748271264/ARMOISE_CAPILLAIRE_150_g_AYCHL_6d4f9e0038.jpg" TargetMode="External"/><Relationship Id="rId2432" Type="http://schemas.openxmlformats.org/officeDocument/2006/relationships/hyperlink" Target="https://calebasse.com/produits/livre-hypnose-and-acupuncture-en-anesthesie-5127?product=7399" TargetMode="External"/><Relationship Id="rId1102" Type="http://schemas.openxmlformats.org/officeDocument/2006/relationships/hyperlink" Target="https://calebasse.com/produits/ying-chun-hua-jasmin-dhiver-5037?product=6550" TargetMode="External"/><Relationship Id="rId2433" Type="http://schemas.openxmlformats.org/officeDocument/2006/relationships/hyperlink" Target="https://res.cloudinary.com/laboratoire-calebasse/image/upload/v1733825512/lc_Iti_J6_U_903b241383.jpg" TargetMode="External"/><Relationship Id="rId2401" Type="http://schemas.openxmlformats.org/officeDocument/2006/relationships/hyperlink" Target="https://res.cloudinary.com/laboratoire-calebasse/image/upload/v1720453338/herbes_communes_5b5c38efb7.jpg" TargetMode="External"/><Relationship Id="rId2402" Type="http://schemas.openxmlformats.org/officeDocument/2006/relationships/hyperlink" Target="https://calebasse.com/produits/a-la-decouverte-de-lacupuncture-des-cinq-elements-5115?product=7384" TargetMode="External"/><Relationship Id="rId2403" Type="http://schemas.openxmlformats.org/officeDocument/2006/relationships/hyperlink" Target="https://res.cloudinary.com/laboratoire-calebasse/image/upload/v1733824922/kj_T5_L_Js_S_24f6dc47b7.jpg" TargetMode="External"/><Relationship Id="rId2404" Type="http://schemas.openxmlformats.org/officeDocument/2006/relationships/hyperlink" Target="https://calebasse.com/produits/livre-acupuncture-en-salle-daccouchement-5116?product=7385" TargetMode="External"/><Relationship Id="rId2405" Type="http://schemas.openxmlformats.org/officeDocument/2006/relationships/hyperlink" Target="https://res.cloudinary.com/laboratoire-calebasse/image/upload/v1733824969/ET_1wru_BP_c1e5b35afb.jpg" TargetMode="External"/><Relationship Id="rId2406" Type="http://schemas.openxmlformats.org/officeDocument/2006/relationships/hyperlink" Target="https://calebasse.com/produits/livre-acupuncture-et-medecine-traditionnelle-orientale-5142?product=7386" TargetMode="External"/><Relationship Id="rId2407" Type="http://schemas.openxmlformats.org/officeDocument/2006/relationships/hyperlink" Target="https://res.cloudinary.com/laboratoire-calebasse/image/upload/v1733825057/4pyocpx_V_e6c132b71b.jpg" TargetMode="External"/><Relationship Id="rId2408" Type="http://schemas.openxmlformats.org/officeDocument/2006/relationships/hyperlink" Target="https://calebasse.com/produits/livre-acupuncture-et-moxibustion-5117?product=7387" TargetMode="External"/><Relationship Id="rId2409" Type="http://schemas.openxmlformats.org/officeDocument/2006/relationships/hyperlink" Target="https://res.cloudinary.com/laboratoire-calebasse/image/upload/v1733825083/l_Os3omt_A_a1dcc1e0e2.jpg" TargetMode="External"/><Relationship Id="rId2400" Type="http://schemas.openxmlformats.org/officeDocument/2006/relationships/hyperlink" Target="https://calebasse.com/produits/livre-herbes-communes-pharmacopee-medecine-chinoise-5094?product=7333" TargetMode="External"/><Relationship Id="rId590" Type="http://schemas.openxmlformats.org/officeDocument/2006/relationships/hyperlink" Target="https://calebasse.com/produits/lu-gen-roseau-commun-5040?product=7263" TargetMode="External"/><Relationship Id="rId589" Type="http://schemas.openxmlformats.org/officeDocument/2006/relationships/hyperlink" Target="https://res.cloudinary.com/laboratoire-calebasse/image/upload/v1747063777/GRAINES_DE_RADIS_300_g_ALFZL_ae98694ae8.jpg" TargetMode="External"/><Relationship Id="rId588" Type="http://schemas.openxmlformats.org/officeDocument/2006/relationships/hyperlink" Target="https://calebasse.com/produits/lai-fu-zi-graines-de-radis-3851?product=4421" TargetMode="External"/><Relationship Id="rId1170" Type="http://schemas.openxmlformats.org/officeDocument/2006/relationships/hyperlink" Target="https://calebasse.com/produits/yi-yi-ren-larmes-de-job-3951?product=4822" TargetMode="External"/><Relationship Id="rId1171" Type="http://schemas.openxmlformats.org/officeDocument/2006/relationships/hyperlink" Target="https://res.cloudinary.com/laboratoire-calebasse/image/upload/v1746528893/LARMES_DE_JOB_1_000_g_AYYRL_3e389c3dce.jpg" TargetMode="External"/><Relationship Id="rId583" Type="http://schemas.openxmlformats.org/officeDocument/2006/relationships/hyperlink" Target="https://res.cloudinary.com/laboratoire-calebasse/image/upload/v1746528763/GRAINES_DE_RADIS_100_g_ALFZ_052120514d.jpg" TargetMode="External"/><Relationship Id="rId1172" Type="http://schemas.openxmlformats.org/officeDocument/2006/relationships/hyperlink" Target="https://calebasse.com/produits/extrait-de-larmes-de-job-drainage-naturel-and-equilibre-digestif-5221?product=7596" TargetMode="External"/><Relationship Id="rId582" Type="http://schemas.openxmlformats.org/officeDocument/2006/relationships/hyperlink" Target="https://calebasse.com/produits/lai-fu-zi-graines-de-radis-3851?product=4420" TargetMode="External"/><Relationship Id="rId1173" Type="http://schemas.openxmlformats.org/officeDocument/2006/relationships/hyperlink" Target="https://res.cloudinary.com/laboratoire-calebasse/image/upload/v1760084085/LARMES_DE_JOB_PREPAREES_AYYRPCP_2025_10_02_6f7a051875.jpg" TargetMode="External"/><Relationship Id="rId581" Type="http://schemas.openxmlformats.org/officeDocument/2006/relationships/hyperlink" Target="https://res.cloudinary.com/laboratoire-calebasse/image/upload/v1747062595/CARDAMOME_VERT_200_g_ALDKL_8942876b0f.jpg" TargetMode="External"/><Relationship Id="rId1174" Type="http://schemas.openxmlformats.org/officeDocument/2006/relationships/hyperlink" Target="https://calebasse.com/produits/yang-yan-yin-er-zhou-gruau-au-goji-et-tremelle-4675?product=6814" TargetMode="External"/><Relationship Id="rId580" Type="http://schemas.openxmlformats.org/officeDocument/2006/relationships/hyperlink" Target="https://calebasse.com/produits/lu-dou-kou-cardamome-vert-3861?product=4473" TargetMode="External"/><Relationship Id="rId1175" Type="http://schemas.openxmlformats.org/officeDocument/2006/relationships/hyperlink" Target="https://res.cloudinary.com/laboratoire-calebasse/image/upload/v1746524272/GRUAU_AU_GOJI_ET_TREMELLE_100_g_AYYYEZ_fc4360e8f9.jpg" TargetMode="External"/><Relationship Id="rId587" Type="http://schemas.openxmlformats.org/officeDocument/2006/relationships/hyperlink" Target="https://res.cloudinary.com/laboratoire-calebasse/image/upload/v1634201111/A_laifuzigl_7c56fb7d44.jpg" TargetMode="External"/><Relationship Id="rId1176" Type="http://schemas.openxmlformats.org/officeDocument/2006/relationships/hyperlink" Target="https://calebasse.com/produits/yuan-zhi-lactee-a-petites-feuilles-3957?product=4856" TargetMode="External"/><Relationship Id="rId586" Type="http://schemas.openxmlformats.org/officeDocument/2006/relationships/hyperlink" Target="https://calebasse.com/produits/lai-fu-zi-graines-de-radis-3851?product=4424" TargetMode="External"/><Relationship Id="rId1177" Type="http://schemas.openxmlformats.org/officeDocument/2006/relationships/hyperlink" Target="https://res.cloudinary.com/laboratoire-calebasse/image/upload/v1746529201/POLYGALA_DE_CHINE_50_g_AYZ_c8d2223c02.jpg" TargetMode="External"/><Relationship Id="rId585" Type="http://schemas.openxmlformats.org/officeDocument/2006/relationships/hyperlink" Target="https://res.cloudinary.com/laboratoire-calebasse/image/upload/v1634201111/A_laifuzicp_95529a07aa.jpg" TargetMode="External"/><Relationship Id="rId1178" Type="http://schemas.openxmlformats.org/officeDocument/2006/relationships/hyperlink" Target="https://calebasse.com/produits/yuan-zhi-lactee-a-petites-feuilles-3957?product=4857" TargetMode="External"/><Relationship Id="rId584" Type="http://schemas.openxmlformats.org/officeDocument/2006/relationships/hyperlink" Target="https://calebasse.com/produits/lai-fu-zi-graines-de-radis-3851?product=4422" TargetMode="External"/><Relationship Id="rId1179" Type="http://schemas.openxmlformats.org/officeDocument/2006/relationships/hyperlink" Target="https://res.cloudinary.com/laboratoire-calebasse/image/upload/v1748271196/POLYGALA_DE_CHINE_230_g_AYZL_0c47c4e533.jpg" TargetMode="External"/><Relationship Id="rId1169" Type="http://schemas.openxmlformats.org/officeDocument/2006/relationships/hyperlink" Target="https://res.cloudinary.com/laboratoire-calebasse/image/upload/v1634201206/A_yiyirengl_8b37ce69a1.jpg" TargetMode="External"/><Relationship Id="rId579" Type="http://schemas.openxmlformats.org/officeDocument/2006/relationships/hyperlink" Target="https://res.cloudinary.com/laboratoire-calebasse/image/upload/v1746527941/CARDAMOME_VERT_50_g_ALDK_8f45b88db2.jpg" TargetMode="External"/><Relationship Id="rId578" Type="http://schemas.openxmlformats.org/officeDocument/2006/relationships/hyperlink" Target="https://calebasse.com/produits/lu-dou-kou-cardamome-vert-3861?product=4472" TargetMode="External"/><Relationship Id="rId577" Type="http://schemas.openxmlformats.org/officeDocument/2006/relationships/hyperlink" Target="https://res.cloudinary.com/laboratoire-calebasse/image/upload/v1751623882/GENTIANE_JAUNE_200_g_ALDCL_df7a6be786.jpg" TargetMode="External"/><Relationship Id="rId2490" Type="http://schemas.openxmlformats.org/officeDocument/2006/relationships/hyperlink" Target="https://calebasse.com/produits/gua-sha-ban-gua-sha-en-corne-de-yak-4615?product=6736" TargetMode="External"/><Relationship Id="rId1160" Type="http://schemas.openxmlformats.org/officeDocument/2006/relationships/hyperlink" Target="https://calebasse.com/produits/yin-xing-ye-feuilles-de-ginkgo-3954?product=4842" TargetMode="External"/><Relationship Id="rId2491" Type="http://schemas.openxmlformats.org/officeDocument/2006/relationships/hyperlink" Target="https://res.cloudinary.com/laboratoire-calebasse/image/upload/v1722255516/6_1_7837d6b3cf.jpg" TargetMode="External"/><Relationship Id="rId572" Type="http://schemas.openxmlformats.org/officeDocument/2006/relationships/hyperlink" Target="https://calebasse.com/produits/long-dan-cao-gentiane-jaune-4507?product=4456" TargetMode="External"/><Relationship Id="rId1161" Type="http://schemas.openxmlformats.org/officeDocument/2006/relationships/hyperlink" Target="https://res.cloudinary.com/laboratoire-calebasse/image/upload/v1634201206/A_yinxingyegl_4380dbb422.jpg" TargetMode="External"/><Relationship Id="rId2492" Type="http://schemas.openxmlformats.org/officeDocument/2006/relationships/hyperlink" Target="https://calebasse.com/produits/pince-a-moxa-4676?product=6816" TargetMode="External"/><Relationship Id="rId571" Type="http://schemas.openxmlformats.org/officeDocument/2006/relationships/hyperlink" Target="https://res.cloudinary.com/laboratoire-calebasse/image/upload/v1751623896/GENTIANE_JAUNE_50_g_ALDC_5f7b0c0114.jpg" TargetMode="External"/><Relationship Id="rId1162" Type="http://schemas.openxmlformats.org/officeDocument/2006/relationships/hyperlink" Target="https://calebasse.com/produits/yin-xing-ye-feuilles-de-ginkgo-3954?product=4841" TargetMode="External"/><Relationship Id="rId2493" Type="http://schemas.openxmlformats.org/officeDocument/2006/relationships/hyperlink" Target="https://res.cloudinary.com/laboratoire-calebasse/image/upload/v1671629954/PINCE_A_MOXA_0b142a7bf2.jpg" TargetMode="External"/><Relationship Id="rId570" Type="http://schemas.openxmlformats.org/officeDocument/2006/relationships/hyperlink" Target="https://calebasse.com/produits/long-dan-cao-gentiane-jaune-4507?product=4458" TargetMode="External"/><Relationship Id="rId1163" Type="http://schemas.openxmlformats.org/officeDocument/2006/relationships/hyperlink" Target="https://res.cloudinary.com/laboratoire-calebasse/image/upload/v1748271248/FEUILLES_DE_GINKGO_260_g_AYXYL_c5481a8493.jpg" TargetMode="External"/><Relationship Id="rId2494" Type="http://schemas.openxmlformats.org/officeDocument/2006/relationships/hyperlink" Target="https://calebasse.com/produits/bo-li-ba-guan-boite-de-ventouses-en-verre-4563?product=6712" TargetMode="External"/><Relationship Id="rId1164" Type="http://schemas.openxmlformats.org/officeDocument/2006/relationships/hyperlink" Target="https://calebasse.com/produits/yi-yi-ren-larmes-de-job-3951?product=4823" TargetMode="External"/><Relationship Id="rId2495" Type="http://schemas.openxmlformats.org/officeDocument/2006/relationships/hyperlink" Target="https://res.cloudinary.com/laboratoire-calebasse/image/upload/v1708942480/ventouses_en_verre_155e64bb18.jpg" TargetMode="External"/><Relationship Id="rId576" Type="http://schemas.openxmlformats.org/officeDocument/2006/relationships/hyperlink" Target="https://calebasse.com/produits/long-dan-cao-gentiane-jaune-4507?product=4457" TargetMode="External"/><Relationship Id="rId1165" Type="http://schemas.openxmlformats.org/officeDocument/2006/relationships/hyperlink" Target="https://res.cloudinary.com/laboratoire-calebasse/image/upload/v1748271283/LARMES_DE_JOB_300_g_AYYR_5c02b14d83.jpg" TargetMode="External"/><Relationship Id="rId2496" Type="http://schemas.openxmlformats.org/officeDocument/2006/relationships/hyperlink" Target="https://calebasse.com/produits/kit-ventouses-essentielles-5020?product=7238" TargetMode="External"/><Relationship Id="rId575" Type="http://schemas.openxmlformats.org/officeDocument/2006/relationships/hyperlink" Target="https://res.cloudinary.com/laboratoire-calebasse/image/upload/v1634201235/A_longdancaogl_b8fce56020.jpg" TargetMode="External"/><Relationship Id="rId1166" Type="http://schemas.openxmlformats.org/officeDocument/2006/relationships/hyperlink" Target="https://calebasse.com/produits/yi-yi-ren-larmes-de-job-3951?product=4824" TargetMode="External"/><Relationship Id="rId2497" Type="http://schemas.openxmlformats.org/officeDocument/2006/relationships/hyperlink" Target="https://res.cloudinary.com/laboratoire-calebasse/image/upload/v1702480413/1_b0ff2a8fbe.jpg" TargetMode="External"/><Relationship Id="rId574" Type="http://schemas.openxmlformats.org/officeDocument/2006/relationships/hyperlink" Target="https://calebasse.com/produits/long-dan-cao-gentiane-jaune-4507?product=4459" TargetMode="External"/><Relationship Id="rId1167" Type="http://schemas.openxmlformats.org/officeDocument/2006/relationships/hyperlink" Target="https://res.cloudinary.com/laboratoire-calebasse/image/upload/v1634201206/A_yiyirencp_9d0b4ac3a1.jpg" TargetMode="External"/><Relationship Id="rId2498" Type="http://schemas.openxmlformats.org/officeDocument/2006/relationships/hyperlink" Target="https://calebasse.com/produits/qi-zhen-he-boite-pour-aiguilles-usagees-4562?product=6711" TargetMode="External"/><Relationship Id="rId573" Type="http://schemas.openxmlformats.org/officeDocument/2006/relationships/hyperlink" Target="https://res.cloudinary.com/laboratoire-calebasse/image/upload/v1634201224/A_longdancaocp_626615fc32.jpg" TargetMode="External"/><Relationship Id="rId1168" Type="http://schemas.openxmlformats.org/officeDocument/2006/relationships/hyperlink" Target="https://calebasse.com/produits/yi-yi-ren-larmes-de-job-3951?product=4826" TargetMode="External"/><Relationship Id="rId2499" Type="http://schemas.openxmlformats.org/officeDocument/2006/relationships/hyperlink" Target="https://res.cloudinary.com/laboratoire-calebasse/image/upload/v1667939997/_aa54868cf6.jpg" TargetMode="External"/><Relationship Id="rId1190" Type="http://schemas.openxmlformats.org/officeDocument/2006/relationships/hyperlink" Target="https://calebasse.com/produits/zi-cao-gremil-violet-3965?product=4891" TargetMode="External"/><Relationship Id="rId1191" Type="http://schemas.openxmlformats.org/officeDocument/2006/relationships/hyperlink" Target="https://res.cloudinary.com/laboratoire-calebasse/image/upload/v1748271104/GREMIL_VIOLET_150_g_AZCL_d7ae337171.jpg" TargetMode="External"/><Relationship Id="rId1192" Type="http://schemas.openxmlformats.org/officeDocument/2006/relationships/hyperlink" Target="https://calebasse.com/produits/zi-hua-di-ding-violette-de-chine-3967?product=4892" TargetMode="External"/><Relationship Id="rId1193" Type="http://schemas.openxmlformats.org/officeDocument/2006/relationships/hyperlink" Target="https://res.cloudinary.com/laboratoire-calebasse/image/upload/v1746527197/VIOLETTE_DE_CHINE_50_g_AZHD_02f7542d7f.jpg" TargetMode="External"/><Relationship Id="rId1194" Type="http://schemas.openxmlformats.org/officeDocument/2006/relationships/hyperlink" Target="https://calebasse.com/produits/zi-hua-di-ding-violette-de-chine-3967?product=4895" TargetMode="External"/><Relationship Id="rId1195" Type="http://schemas.openxmlformats.org/officeDocument/2006/relationships/hyperlink" Target="https://res.cloudinary.com/laboratoire-calebasse/image/upload/v1634201125/A_zihuadidingcp_68037c2461.jpg" TargetMode="External"/><Relationship Id="rId1196" Type="http://schemas.openxmlformats.org/officeDocument/2006/relationships/hyperlink" Target="https://calebasse.com/produits/zi-hua-di-ding-violette-de-chine-3967?product=4897" TargetMode="External"/><Relationship Id="rId1197" Type="http://schemas.openxmlformats.org/officeDocument/2006/relationships/hyperlink" Target="https://res.cloudinary.com/laboratoire-calebasse/image/upload/v1634201126/A_zihuadidinggl_8744a12b86.jpg" TargetMode="External"/><Relationship Id="rId1198" Type="http://schemas.openxmlformats.org/officeDocument/2006/relationships/hyperlink" Target="https://calebasse.com/produits/zi-hua-di-ding-violette-de-chine-3967?product=4893" TargetMode="External"/><Relationship Id="rId1199" Type="http://schemas.openxmlformats.org/officeDocument/2006/relationships/hyperlink" Target="https://res.cloudinary.com/laboratoire-calebasse/image/upload/v1748271090/VIOLETTE_DE_CHINE_140_g_AZHDL_9986ac3ac0.jpg" TargetMode="External"/><Relationship Id="rId599" Type="http://schemas.openxmlformats.org/officeDocument/2006/relationships/hyperlink" Target="https://res.cloudinary.com/laboratoire-calebasse/image/upload/v1746527970/FRUITS_DU_ARHAT_80_g_ALHG_af7e5354cc.jpg" TargetMode="External"/><Relationship Id="rId1180" Type="http://schemas.openxmlformats.org/officeDocument/2006/relationships/hyperlink" Target="https://calebasse.com/produits/yi-zhi-ren-graines-doxyphylle-3952?product=4828" TargetMode="External"/><Relationship Id="rId1181" Type="http://schemas.openxmlformats.org/officeDocument/2006/relationships/hyperlink" Target="https://res.cloudinary.com/laboratoire-calebasse/image/upload/v1746526954/GRAINES_D_OXYPHYLLE_100_g_AYZR_070610ef39.jpg" TargetMode="External"/><Relationship Id="rId1182" Type="http://schemas.openxmlformats.org/officeDocument/2006/relationships/hyperlink" Target="https://calebasse.com/produits/yi-zhi-ren-graines-doxyphylle-3952?product=4831" TargetMode="External"/><Relationship Id="rId594" Type="http://schemas.openxmlformats.org/officeDocument/2006/relationships/hyperlink" Target="https://calebasse.com/produits/lao-guan-cao-herbe-derode-4508?product=4427" TargetMode="External"/><Relationship Id="rId1183" Type="http://schemas.openxmlformats.org/officeDocument/2006/relationships/hyperlink" Target="https://res.cloudinary.com/laboratoire-calebasse/image/upload/v1634201206/A_yizhirencp_bcf3cab530.jpg" TargetMode="External"/><Relationship Id="rId593" Type="http://schemas.openxmlformats.org/officeDocument/2006/relationships/hyperlink" Target="https://res.cloudinary.com/laboratoire-calebasse/image/upload/v1746527984/HERBE_D_ERODE_50_g_ALHC_36904de16d.jpg" TargetMode="External"/><Relationship Id="rId1184" Type="http://schemas.openxmlformats.org/officeDocument/2006/relationships/hyperlink" Target="https://calebasse.com/produits/yi-zhi-ren-graines-doxyphylle-3952?product=4832" TargetMode="External"/><Relationship Id="rId592" Type="http://schemas.openxmlformats.org/officeDocument/2006/relationships/hyperlink" Target="https://calebasse.com/produits/lao-guan-cao-herbe-derode-4508?product=4425" TargetMode="External"/><Relationship Id="rId1185" Type="http://schemas.openxmlformats.org/officeDocument/2006/relationships/hyperlink" Target="https://res.cloudinary.com/laboratoire-calebasse/image/upload/v1634201206/A_yizhirengl_2beedc1fda.jpg" TargetMode="External"/><Relationship Id="rId591" Type="http://schemas.openxmlformats.org/officeDocument/2006/relationships/hyperlink" Target="https://res.cloudinary.com/laboratoire-calebasse/image/upload/v1746528100/ROSEAU_COMMUN_100_g_ALG_0ecd432be9.jpg" TargetMode="External"/><Relationship Id="rId1186" Type="http://schemas.openxmlformats.org/officeDocument/2006/relationships/hyperlink" Target="https://calebasse.com/produits/yi-zhi-ren-graines-doxyphylle-3952?product=4829" TargetMode="External"/><Relationship Id="rId598" Type="http://schemas.openxmlformats.org/officeDocument/2006/relationships/hyperlink" Target="https://calebasse.com/produits/luo-han-guo-fruits-du-arhat-3864?product=4478" TargetMode="External"/><Relationship Id="rId1187" Type="http://schemas.openxmlformats.org/officeDocument/2006/relationships/hyperlink" Target="https://res.cloudinary.com/laboratoire-calebasse/image/upload/v1748271299/GRAINES_D_OXYPHYLLE_280_g_AYZRL_428bbd8fdd.jpg" TargetMode="External"/><Relationship Id="rId597" Type="http://schemas.openxmlformats.org/officeDocument/2006/relationships/hyperlink" Target="https://res.cloudinary.com/laboratoire-calebasse/image/upload/v1747063667/ROSEAU_COMMUN_300_g_ALGL_3dd01bfa6f.jpg" TargetMode="External"/><Relationship Id="rId1188" Type="http://schemas.openxmlformats.org/officeDocument/2006/relationships/hyperlink" Target="https://calebasse.com/produits/zi-cao-gremil-violet-3965?product=4889" TargetMode="External"/><Relationship Id="rId596" Type="http://schemas.openxmlformats.org/officeDocument/2006/relationships/hyperlink" Target="https://calebasse.com/produits/lu-gen-roseau-commun-5040?product=7264" TargetMode="External"/><Relationship Id="rId1189" Type="http://schemas.openxmlformats.org/officeDocument/2006/relationships/hyperlink" Target="https://res.cloudinary.com/laboratoire-calebasse/image/upload/v1746527240/GREMIL_VIOLET_50_g_AZC_239338c4ae.jpg" TargetMode="External"/><Relationship Id="rId595" Type="http://schemas.openxmlformats.org/officeDocument/2006/relationships/hyperlink" Target="https://res.cloudinary.com/laboratoire-calebasse/image/upload/v1747063760/HERBE_D_ERODE_160_g_ALHCL_189fa1b589.jpg" TargetMode="External"/><Relationship Id="rId1136" Type="http://schemas.openxmlformats.org/officeDocument/2006/relationships/hyperlink" Target="https://calebasse.com/produits/ye-jiao-teng-liane-de-renouee-3947?product=4810" TargetMode="External"/><Relationship Id="rId2467" Type="http://schemas.openxmlformats.org/officeDocument/2006/relationships/hyperlink" Target="https://res.cloudinary.com/laboratoire-calebasse/image/upload/v1733922738/guasha_niujiao_1_0991721fc2.jpg" TargetMode="External"/><Relationship Id="rId1137" Type="http://schemas.openxmlformats.org/officeDocument/2006/relationships/hyperlink" Target="https://res.cloudinary.com/laboratoire-calebasse/image/upload/v1634201206/A_yejiaotengcp_e8b6ee2722.jpg" TargetMode="External"/><Relationship Id="rId2468" Type="http://schemas.openxmlformats.org/officeDocument/2006/relationships/hyperlink" Target="https://calebasse.com/produits/livre-comprendre-lenergie-en-medecine-chinoise-les-bases-pour-les-debutants-5157?product=7442" TargetMode="External"/><Relationship Id="rId1138" Type="http://schemas.openxmlformats.org/officeDocument/2006/relationships/hyperlink" Target="https://calebasse.com/produits/ye-jiao-teng-liane-de-renouee-3947?product=4812" TargetMode="External"/><Relationship Id="rId2469" Type="http://schemas.openxmlformats.org/officeDocument/2006/relationships/hyperlink" Target="https://res.cloudinary.com/laboratoire-calebasse/image/upload/v1738920956/Comprendre_l_energie_44baffbea7.jpg" TargetMode="External"/><Relationship Id="rId1139" Type="http://schemas.openxmlformats.org/officeDocument/2006/relationships/hyperlink" Target="https://res.cloudinary.com/laboratoire-calebasse/image/upload/v1634201206/A_yejiaotenggl_3e15a45017.jpg" TargetMode="External"/><Relationship Id="rId547" Type="http://schemas.openxmlformats.org/officeDocument/2006/relationships/hyperlink" Target="https://res.cloudinary.com/laboratoire-calebasse/image/upload/v1747062175/HOUX_AMER_50_g_AKDC_f3cea896aa.jpg" TargetMode="External"/><Relationship Id="rId546" Type="http://schemas.openxmlformats.org/officeDocument/2006/relationships/hyperlink" Target="https://calebasse.com/produits/ku-ding-cha-houx-amer-3845?product=4405" TargetMode="External"/><Relationship Id="rId545" Type="http://schemas.openxmlformats.org/officeDocument/2006/relationships/hyperlink" Target="https://res.cloudinary.com/laboratoire-calebasse/image/upload/v1751623807/LAMINAIRE_140_g_AKBL_150484654d.jpg" TargetMode="External"/><Relationship Id="rId544" Type="http://schemas.openxmlformats.org/officeDocument/2006/relationships/hyperlink" Target="https://calebasse.com/produits/kun-bu-laminaire-3849?product=4418" TargetMode="External"/><Relationship Id="rId549" Type="http://schemas.openxmlformats.org/officeDocument/2006/relationships/hyperlink" Target="https://res.cloudinary.com/laboratoire-calebasse/image/upload/v1747062273/HOUX_AMER_300_g_AKDCL_85e7f661ef.jpg" TargetMode="External"/><Relationship Id="rId548" Type="http://schemas.openxmlformats.org/officeDocument/2006/relationships/hyperlink" Target="https://calebasse.com/produits/ku-ding-cha-houx-amer-3845?product=4407" TargetMode="External"/><Relationship Id="rId2460" Type="http://schemas.openxmlformats.org/officeDocument/2006/relationships/hyperlink" Target="https://calebasse.com/produits/livre-regard-sur-la-medecine-traditionnelle-chinoise-5138?product=7414" TargetMode="External"/><Relationship Id="rId1130" Type="http://schemas.openxmlformats.org/officeDocument/2006/relationships/hyperlink" Target="https://calebasse.com/produits/yue-ji-hua-roses-de-chine-3958?product=4859" TargetMode="External"/><Relationship Id="rId2461" Type="http://schemas.openxmlformats.org/officeDocument/2006/relationships/hyperlink" Target="https://res.cloudinary.com/laboratoire-calebasse/image/upload/v1733825981/TW_7_N_Oe_CJ_8632b50fb2.jpg" TargetMode="External"/><Relationship Id="rId1131" Type="http://schemas.openxmlformats.org/officeDocument/2006/relationships/hyperlink" Target="https://res.cloudinary.com/laboratoire-calebasse/image/upload/v1752221707/ROSES_DE_CHINE_300_g_AYJHL_f086b14e89.jpg" TargetMode="External"/><Relationship Id="rId2462" Type="http://schemas.openxmlformats.org/officeDocument/2006/relationships/hyperlink" Target="https://calebasse.com/produits/bi-zheng-livre-syndromes-de-bi-5140?product=7415" TargetMode="External"/><Relationship Id="rId543" Type="http://schemas.openxmlformats.org/officeDocument/2006/relationships/hyperlink" Target="https://res.cloudinary.com/laboratoire-calebasse/image/upload/v1751623818/LAMINAIRE_50_g_AKB_88e1e26a96.jpg" TargetMode="External"/><Relationship Id="rId1132" Type="http://schemas.openxmlformats.org/officeDocument/2006/relationships/hyperlink" Target="https://calebasse.com/produits/yu-jin-curcuma-parfume-3956?product=4843" TargetMode="External"/><Relationship Id="rId2463" Type="http://schemas.openxmlformats.org/officeDocument/2006/relationships/hyperlink" Target="https://res.cloudinary.com/laboratoire-calebasse/image/upload/v1733825999/hy6q_O32w_3448dee39d.jpg" TargetMode="External"/><Relationship Id="rId542" Type="http://schemas.openxmlformats.org/officeDocument/2006/relationships/hyperlink" Target="https://calebasse.com/produits/kun-bu-laminaire-3849?product=4416" TargetMode="External"/><Relationship Id="rId1133" Type="http://schemas.openxmlformats.org/officeDocument/2006/relationships/hyperlink" Target="https://res.cloudinary.com/laboratoire-calebasse/image/upload/v1748271211/CURCUMA_PARFUME_300_g_AYJL_07d4fa4237.jpg" TargetMode="External"/><Relationship Id="rId2464" Type="http://schemas.openxmlformats.org/officeDocument/2006/relationships/hyperlink" Target="https://calebasse.com/produits/livre-organes-et-entrailles-en-medecine-traditionnelle-chinoise-110088?product=7416" TargetMode="External"/><Relationship Id="rId541" Type="http://schemas.openxmlformats.org/officeDocument/2006/relationships/hyperlink" Target="https://res.cloudinary.com/laboratoire-calebasse/image/upload/v1746534170/FLEURS_DE_SOUCI_50_g_AJZJ_3e6754ea58.jpg" TargetMode="External"/><Relationship Id="rId1134" Type="http://schemas.openxmlformats.org/officeDocument/2006/relationships/hyperlink" Target="https://calebasse.com/produits/ye-jiao-teng-liane-de-renouee-3947?product=4808" TargetMode="External"/><Relationship Id="rId2465" Type="http://schemas.openxmlformats.org/officeDocument/2006/relationships/hyperlink" Target="https://res.cloudinary.com/laboratoire-calebasse/image/upload/v1733826021/So9p_Ckx_R_15c536e38e.jpg" TargetMode="External"/><Relationship Id="rId540" Type="http://schemas.openxmlformats.org/officeDocument/2006/relationships/hyperlink" Target="https://calebasse.com/produits/jin-zhan-ju-fleurs-de-souci-3803?product=4380" TargetMode="External"/><Relationship Id="rId1135" Type="http://schemas.openxmlformats.org/officeDocument/2006/relationships/hyperlink" Target="https://res.cloudinary.com/laboratoire-calebasse/image/upload/v1746524709/LIANE_DE_RENOUEE_100_g_AYJT_84eec56780.jpg" TargetMode="External"/><Relationship Id="rId2466" Type="http://schemas.openxmlformats.org/officeDocument/2006/relationships/hyperlink" Target="https://calebasse.com/produits/gua-sha-en-corne-de-buffle-5139?product=7417" TargetMode="External"/><Relationship Id="rId1125" Type="http://schemas.openxmlformats.org/officeDocument/2006/relationships/hyperlink" Target="https://res.cloudinary.com/laboratoire-calebasse/image/upload/v1746525351/GRAINES_D_ONAGRE_100_g_AYJCZ_b8aeee24e6.jpg" TargetMode="External"/><Relationship Id="rId2456" Type="http://schemas.openxmlformats.org/officeDocument/2006/relationships/hyperlink" Target="https://calebasse.com/produits/livre-manuel-dacupuncture-des-cinq-elements-5136?product=7411" TargetMode="External"/><Relationship Id="rId1126" Type="http://schemas.openxmlformats.org/officeDocument/2006/relationships/hyperlink" Target="https://calebasse.com/produits/yue-jian-cao-zi-graines-donagre-3960?product=4863" TargetMode="External"/><Relationship Id="rId2457" Type="http://schemas.openxmlformats.org/officeDocument/2006/relationships/hyperlink" Target="https://res.cloudinary.com/laboratoire-calebasse/image/upload/v1733825915/H8kpgl_Tt_32734231e4.jpg" TargetMode="External"/><Relationship Id="rId1127" Type="http://schemas.openxmlformats.org/officeDocument/2006/relationships/hyperlink" Target="https://res.cloudinary.com/laboratoire-calebasse/image/upload/v1748271144/GRAINES_D_ONAGRE_300_g_AYJCZL_3be92a56a7.jpg" TargetMode="External"/><Relationship Id="rId2458" Type="http://schemas.openxmlformats.org/officeDocument/2006/relationships/hyperlink" Target="https://calebasse.com/produits/livre-naissance-et-acupuncture-3e-edition-5137?product=7413" TargetMode="External"/><Relationship Id="rId1128" Type="http://schemas.openxmlformats.org/officeDocument/2006/relationships/hyperlink" Target="https://calebasse.com/produits/yue-ji-hua-roses-de-chine-3958?product=4858" TargetMode="External"/><Relationship Id="rId2459" Type="http://schemas.openxmlformats.org/officeDocument/2006/relationships/hyperlink" Target="https://res.cloudinary.com/laboratoire-calebasse/image/upload/v1733825959/0_kmhq6y_b8f2de7cb7.jpg" TargetMode="External"/><Relationship Id="rId1129" Type="http://schemas.openxmlformats.org/officeDocument/2006/relationships/hyperlink" Target="https://res.cloudinary.com/laboratoire-calebasse/image/upload/v1752221718/ROSES_DE_CHINE_100_g_AYJH_6b633e8d2a.jpg" TargetMode="External"/><Relationship Id="rId536" Type="http://schemas.openxmlformats.org/officeDocument/2006/relationships/hyperlink" Target="https://calebasse.com/produits/jin-yin-hua-chevrefeuille-du-japon-3800?product=4376" TargetMode="External"/><Relationship Id="rId535" Type="http://schemas.openxmlformats.org/officeDocument/2006/relationships/hyperlink" Target="https://res.cloudinary.com/laboratoire-calebasse/image/upload/v1634201110/A_jinyinhuacp_47509291e3.jpg" TargetMode="External"/><Relationship Id="rId534" Type="http://schemas.openxmlformats.org/officeDocument/2006/relationships/hyperlink" Target="https://calebasse.com/produits/jin-yin-hua-chevrefeuille-du-japon-3800?product=4373" TargetMode="External"/><Relationship Id="rId533" Type="http://schemas.openxmlformats.org/officeDocument/2006/relationships/hyperlink" Target="https://res.cloudinary.com/laboratoire-calebasse/image/upload/v1746534304/CHEVREFEUILLE_DU_JAPON_50_g_AJYH_83e961c98f.jpg" TargetMode="External"/><Relationship Id="rId539" Type="http://schemas.openxmlformats.org/officeDocument/2006/relationships/hyperlink" Target="https://res.cloudinary.com/laboratoire-calebasse/image/upload/v1747063889/CHEVREFEUILLE_DU_JAPON_150_g_AJYHL_5aaf8352b9.jpg" TargetMode="External"/><Relationship Id="rId538" Type="http://schemas.openxmlformats.org/officeDocument/2006/relationships/hyperlink" Target="https://calebasse.com/produits/jin-yin-hua-chevrefeuille-du-japon-3800?product=4371" TargetMode="External"/><Relationship Id="rId537" Type="http://schemas.openxmlformats.org/officeDocument/2006/relationships/hyperlink" Target="https://res.cloudinary.com/laboratoire-calebasse/image/upload/v1634201110/A_jinyinhuagl_5968343e91.jpg" TargetMode="External"/><Relationship Id="rId2450" Type="http://schemas.openxmlformats.org/officeDocument/2006/relationships/hyperlink" Target="https://calebasse.com/produits/livre-les-points-efficaces-pour-les-maladies-courantes-massage-acupuncture-shiatsu-5148?product=7408" TargetMode="External"/><Relationship Id="rId1120" Type="http://schemas.openxmlformats.org/officeDocument/2006/relationships/hyperlink" Target="https://calebasse.com/produits/yue-jian-cao-herbe-donagre-3959?product=4860" TargetMode="External"/><Relationship Id="rId2451" Type="http://schemas.openxmlformats.org/officeDocument/2006/relationships/hyperlink" Target="https://res.cloudinary.com/laboratoire-calebasse/image/upload/v1733825849/SYDS_Rs_Eo_ff8448a6a1.jpg" TargetMode="External"/><Relationship Id="rId532" Type="http://schemas.openxmlformats.org/officeDocument/2006/relationships/hyperlink" Target="https://calebasse.com/produits/jin-yin-hua-chevrefeuille-du-japon-3800?product=4369" TargetMode="External"/><Relationship Id="rId1121" Type="http://schemas.openxmlformats.org/officeDocument/2006/relationships/hyperlink" Target="https://res.cloudinary.com/laboratoire-calebasse/image/upload/v1746525336/HERBE_D_ONAGRE_50_g_AYJC_d359937255.jpg" TargetMode="External"/><Relationship Id="rId2452" Type="http://schemas.openxmlformats.org/officeDocument/2006/relationships/hyperlink" Target="https://calebasse.com/produits/livre-les-tresors-de-la-pharmacopee-chinoise-5134?product=7409" TargetMode="External"/><Relationship Id="rId531" Type="http://schemas.openxmlformats.org/officeDocument/2006/relationships/hyperlink" Target="https://res.cloudinary.com/laboratoire-calebasse/image/upload/v1752222391/LIANE_DE_MILETTE_300_g_AJXTL_c270dd0bde.jpg" TargetMode="External"/><Relationship Id="rId1122" Type="http://schemas.openxmlformats.org/officeDocument/2006/relationships/hyperlink" Target="https://calebasse.com/produits/yue-jian-cao-herbe-donagre-3959?product=4861" TargetMode="External"/><Relationship Id="rId2453" Type="http://schemas.openxmlformats.org/officeDocument/2006/relationships/hyperlink" Target="https://res.cloudinary.com/laboratoire-calebasse/image/upload/v1733825868/w_Krs71_WT_d494b958be.jpg" TargetMode="External"/><Relationship Id="rId530" Type="http://schemas.openxmlformats.org/officeDocument/2006/relationships/hyperlink" Target="https://calebasse.com/produits/ji-xue-teng-liane-de-milette-3821?product=4340" TargetMode="External"/><Relationship Id="rId1123" Type="http://schemas.openxmlformats.org/officeDocument/2006/relationships/hyperlink" Target="https://res.cloudinary.com/laboratoire-calebasse/image/upload/v1748271162/HERBE_D_ONAGRE_200_g_AYJCL_e007c641dd.jpg" TargetMode="External"/><Relationship Id="rId2454" Type="http://schemas.openxmlformats.org/officeDocument/2006/relationships/hyperlink" Target="https://calebasse.com/produits/livre-lhypnose-taoise-5135?product=7410" TargetMode="External"/><Relationship Id="rId1124" Type="http://schemas.openxmlformats.org/officeDocument/2006/relationships/hyperlink" Target="https://calebasse.com/produits/yue-jian-cao-zi-graines-donagre-3960?product=4862" TargetMode="External"/><Relationship Id="rId2455" Type="http://schemas.openxmlformats.org/officeDocument/2006/relationships/hyperlink" Target="https://res.cloudinary.com/laboratoire-calebasse/image/upload/v1733825895/H7045pyv_d59c608ef1.jpg" TargetMode="External"/><Relationship Id="rId1158" Type="http://schemas.openxmlformats.org/officeDocument/2006/relationships/hyperlink" Target="https://calebasse.com/produits/yin-xing-ye-feuilles-de-ginkgo-3954?product=7254" TargetMode="External"/><Relationship Id="rId2489" Type="http://schemas.openxmlformats.org/officeDocument/2006/relationships/hyperlink" Target="https://res.cloudinary.com/laboratoire-calebasse/image/upload/v1722255488/5_1_e79c84e15d.jpg" TargetMode="External"/><Relationship Id="rId1159" Type="http://schemas.openxmlformats.org/officeDocument/2006/relationships/hyperlink" Target="https://res.cloudinary.com/laboratoire-calebasse/image/upload/v1706539836/C_yinxingyecp_6d36ed5067.jpg" TargetMode="External"/><Relationship Id="rId569" Type="http://schemas.openxmlformats.org/officeDocument/2006/relationships/hyperlink" Target="https://res.cloudinary.com/laboratoire-calebasse/image/upload/v1751623977/THE_VERT_300_g_ALCL_465b9e5fe0.jpg" TargetMode="External"/><Relationship Id="rId568" Type="http://schemas.openxmlformats.org/officeDocument/2006/relationships/hyperlink" Target="https://calebasse.com/produits/lu-cha-the-vert-3859?product=4468" TargetMode="External"/><Relationship Id="rId567" Type="http://schemas.openxmlformats.org/officeDocument/2006/relationships/hyperlink" Target="https://res.cloudinary.com/laboratoire-calebasse/image/upload/v1634201115/A_luchagl_b9ea31d561.jpg" TargetMode="External"/><Relationship Id="rId566" Type="http://schemas.openxmlformats.org/officeDocument/2006/relationships/hyperlink" Target="https://calebasse.com/produits/lu-cha-the-vert-3859?product=4470" TargetMode="External"/><Relationship Id="rId2480" Type="http://schemas.openxmlformats.org/officeDocument/2006/relationships/hyperlink" Target="https://calebasse.com/produits/gua-sha-ban-gua-sha-en-corne-de-buffle-4599?product=6731" TargetMode="External"/><Relationship Id="rId561" Type="http://schemas.openxmlformats.org/officeDocument/2006/relationships/hyperlink" Target="https://res.cloudinary.com/laboratoire-calebasse/image/upload/v1746527956/FEUILLES_D_APOCYNE_100_g_ALBM_7d7d0e7948.jpg" TargetMode="External"/><Relationship Id="rId1150" Type="http://schemas.openxmlformats.org/officeDocument/2006/relationships/hyperlink" Target="https://calebasse.com/produits/yu-xing-cao-herbe-au-cure-3955?product=4851" TargetMode="External"/><Relationship Id="rId2481" Type="http://schemas.openxmlformats.org/officeDocument/2006/relationships/hyperlink" Target="https://res.cloudinary.com/laboratoire-calebasse/image/upload/v1669019056/1_1_9940a67d20.jpg" TargetMode="External"/><Relationship Id="rId560" Type="http://schemas.openxmlformats.org/officeDocument/2006/relationships/hyperlink" Target="https://calebasse.com/produits/luo-bu-ma-ye-feuilles-dapocyne-3863?product=4477" TargetMode="External"/><Relationship Id="rId1151" Type="http://schemas.openxmlformats.org/officeDocument/2006/relationships/hyperlink" Target="https://res.cloudinary.com/laboratoire-calebasse/image/upload/v1634201206/A_yuxingcaocp_aa36f300ee.jpg" TargetMode="External"/><Relationship Id="rId2482" Type="http://schemas.openxmlformats.org/officeDocument/2006/relationships/hyperlink" Target="https://calebasse.com/produits/gua-sha-ban-gua-sha-en-corne-de-buffle-4599?product=6732" TargetMode="External"/><Relationship Id="rId1152" Type="http://schemas.openxmlformats.org/officeDocument/2006/relationships/hyperlink" Target="https://calebasse.com/produits/yu-xing-cao-herbe-au-cure-3955?product=4853" TargetMode="External"/><Relationship Id="rId2483" Type="http://schemas.openxmlformats.org/officeDocument/2006/relationships/hyperlink" Target="https://res.cloudinary.com/laboratoire-calebasse/image/upload/v1669019079/2_1_e1ae8b485c.jpg" TargetMode="External"/><Relationship Id="rId1153" Type="http://schemas.openxmlformats.org/officeDocument/2006/relationships/hyperlink" Target="https://res.cloudinary.com/laboratoire-calebasse/image/upload/v1634201206/A_yuxingcaogl_d3a2958839.jpg" TargetMode="External"/><Relationship Id="rId2484" Type="http://schemas.openxmlformats.org/officeDocument/2006/relationships/hyperlink" Target="https://calebasse.com/produits/gua-sha-ban-gua-sha-en-corne-de-buffle-4599?product=6733" TargetMode="External"/><Relationship Id="rId565" Type="http://schemas.openxmlformats.org/officeDocument/2006/relationships/hyperlink" Target="https://res.cloudinary.com/laboratoire-calebasse/image/upload/v1751623989/THE_VERT_100_g_ALC_b8f149fd42.jpg" TargetMode="External"/><Relationship Id="rId1154" Type="http://schemas.openxmlformats.org/officeDocument/2006/relationships/hyperlink" Target="https://calebasse.com/produits/yu-xing-cao-herbe-au-cure-3955?product=4852" TargetMode="External"/><Relationship Id="rId2485" Type="http://schemas.openxmlformats.org/officeDocument/2006/relationships/hyperlink" Target="https://res.cloudinary.com/laboratoire-calebasse/image/upload/v1669019098/3_1_14f5896e90.jpg" TargetMode="External"/><Relationship Id="rId564" Type="http://schemas.openxmlformats.org/officeDocument/2006/relationships/hyperlink" Target="https://calebasse.com/produits/lu-cha-the-vert-3859?product=4469" TargetMode="External"/><Relationship Id="rId1155" Type="http://schemas.openxmlformats.org/officeDocument/2006/relationships/hyperlink" Target="https://res.cloudinary.com/laboratoire-calebasse/image/upload/v1748271229/HERBE_AU_CURE_160_g_AYXCL_be25a0e7b0.jpg" TargetMode="External"/><Relationship Id="rId2486" Type="http://schemas.openxmlformats.org/officeDocument/2006/relationships/hyperlink" Target="https://calebasse.com/produits/gua-sha-ban-gua-sha-en-corne-de-yak-4615?product=6734" TargetMode="External"/><Relationship Id="rId563" Type="http://schemas.openxmlformats.org/officeDocument/2006/relationships/hyperlink" Target="https://res.cloudinary.com/laboratoire-calebasse/image/upload/v1752221923/FEUILLES_D_APOCYNE_200_g_ALBML_f201493cd6.jpg" TargetMode="External"/><Relationship Id="rId1156" Type="http://schemas.openxmlformats.org/officeDocument/2006/relationships/hyperlink" Target="https://calebasse.com/produits/yin-xing-ye-feuilles-de-ginkgo-3954?product=4840" TargetMode="External"/><Relationship Id="rId2487" Type="http://schemas.openxmlformats.org/officeDocument/2006/relationships/hyperlink" Target="https://res.cloudinary.com/laboratoire-calebasse/image/upload/v1722255444/4_1_4e6e82bb41.jpg" TargetMode="External"/><Relationship Id="rId562" Type="http://schemas.openxmlformats.org/officeDocument/2006/relationships/hyperlink" Target="https://calebasse.com/produits/luo-bu-ma-ye-feuilles-dapocyne-3863?product=4476" TargetMode="External"/><Relationship Id="rId1157" Type="http://schemas.openxmlformats.org/officeDocument/2006/relationships/hyperlink" Target="https://res.cloudinary.com/laboratoire-calebasse/image/upload/v1746534347/FEUILLES_DE_GINKGO_50_g_AYXY_3ef47df6f3.jpg" TargetMode="External"/><Relationship Id="rId2488" Type="http://schemas.openxmlformats.org/officeDocument/2006/relationships/hyperlink" Target="https://calebasse.com/produits/gua-sha-ban-gua-sha-en-corne-de-yak-4615?product=6735" TargetMode="External"/><Relationship Id="rId1147" Type="http://schemas.openxmlformats.org/officeDocument/2006/relationships/hyperlink" Target="https://res.cloudinary.com/laboratoire-calebasse/image/upload/v1748271320/ARMOISE_D_ELEONORE_230_g_AYMCL_5b1c46984d.jpg" TargetMode="External"/><Relationship Id="rId2478" Type="http://schemas.openxmlformats.org/officeDocument/2006/relationships/hyperlink" Target="https://calebasse.com/produits/lu-cha-qi-boule-a-the-4585?product=6728" TargetMode="External"/><Relationship Id="rId1148" Type="http://schemas.openxmlformats.org/officeDocument/2006/relationships/hyperlink" Target="https://calebasse.com/produits/yu-xing-cao-herbe-au-cure-3955?product=4850" TargetMode="External"/><Relationship Id="rId2479" Type="http://schemas.openxmlformats.org/officeDocument/2006/relationships/hyperlink" Target="https://res.cloudinary.com/laboratoire-calebasse/image/upload/v1668588261/boule_a_the_c878107e71.jpg" TargetMode="External"/><Relationship Id="rId1149" Type="http://schemas.openxmlformats.org/officeDocument/2006/relationships/hyperlink" Target="https://res.cloudinary.com/laboratoire-calebasse/image/upload/v1746534589/HERBE_AU_CURE_50_g_AYXC_0d4608c244.jpg" TargetMode="External"/><Relationship Id="rId558" Type="http://schemas.openxmlformats.org/officeDocument/2006/relationships/hyperlink" Target="https://calebasse.com/produits/kang-xian-hua-oeillet-commun-3844?product=4404" TargetMode="External"/><Relationship Id="rId557" Type="http://schemas.openxmlformats.org/officeDocument/2006/relationships/hyperlink" Target="https://res.cloudinary.com/laboratoire-calebasse/image/upload/v1751623492/GINSENG_AMER_300_g_AKSL_8bb6c788ed.jpg" TargetMode="External"/><Relationship Id="rId556" Type="http://schemas.openxmlformats.org/officeDocument/2006/relationships/hyperlink" Target="https://calebasse.com/produits/ku-shen-ginseng-amer-3847?product=4409" TargetMode="External"/><Relationship Id="rId555" Type="http://schemas.openxmlformats.org/officeDocument/2006/relationships/hyperlink" Target="https://res.cloudinary.com/laboratoire-calebasse/image/upload/v1634201111/A_kushengl_8de3429e36.jpg" TargetMode="External"/><Relationship Id="rId559" Type="http://schemas.openxmlformats.org/officeDocument/2006/relationships/hyperlink" Target="https://res.cloudinary.com/laboratoire-calebasse/image/upload/v1746525129/Oe_ILLET_COMMUN_50_g_AKXH_e9748f8226.jpg" TargetMode="External"/><Relationship Id="rId550" Type="http://schemas.openxmlformats.org/officeDocument/2006/relationships/hyperlink" Target="https://calebasse.com/produits/ku-shen-ginseng-amer-3847?product=4408" TargetMode="External"/><Relationship Id="rId2470" Type="http://schemas.openxmlformats.org/officeDocument/2006/relationships/hyperlink" Target="https://calebasse.com/produits/guide-illustre-des-plantes-medicinales-de-la-pharmacopee-chinoise-5176?product=7485" TargetMode="External"/><Relationship Id="rId1140" Type="http://schemas.openxmlformats.org/officeDocument/2006/relationships/hyperlink" Target="https://calebasse.com/produits/ye-jiao-teng-liane-de-renouee-3947?product=4809" TargetMode="External"/><Relationship Id="rId2471" Type="http://schemas.openxmlformats.org/officeDocument/2006/relationships/hyperlink" Target="https://res.cloudinary.com/laboratoire-calebasse/image/upload/v1746623679/livre_plantes_medicinales_de_la_pharmacopee_chinoise_181afbbbb3.jpg" TargetMode="External"/><Relationship Id="rId1141" Type="http://schemas.openxmlformats.org/officeDocument/2006/relationships/hyperlink" Target="https://res.cloudinary.com/laboratoire-calebasse/image/upload/v1748271336/LIANE_DE_RENOUEE_300_g_AYJTL_39cb2a6dc8.jpg" TargetMode="External"/><Relationship Id="rId2472" Type="http://schemas.openxmlformats.org/officeDocument/2006/relationships/hyperlink" Target="https://calebasse.com/produits/ai-jiu-bu-dai-ceinture-de-moxibustion-4586?product=6730" TargetMode="External"/><Relationship Id="rId1142" Type="http://schemas.openxmlformats.org/officeDocument/2006/relationships/hyperlink" Target="https://calebasse.com/produits/yi-mu-cao-armoise-deleonore-3950?product=4816" TargetMode="External"/><Relationship Id="rId2473" Type="http://schemas.openxmlformats.org/officeDocument/2006/relationships/hyperlink" Target="https://res.cloudinary.com/laboratoire-calebasse/image/upload/v1712851066/_5f527c2390.jpg" TargetMode="External"/><Relationship Id="rId554" Type="http://schemas.openxmlformats.org/officeDocument/2006/relationships/hyperlink" Target="https://calebasse.com/produits/ku-shen-ginseng-amer-3847?product=4411" TargetMode="External"/><Relationship Id="rId1143" Type="http://schemas.openxmlformats.org/officeDocument/2006/relationships/hyperlink" Target="https://res.cloudinary.com/laboratoire-calebasse/image/upload/v1746526970/ARMOISE_D_ELEONORE_100_g_AYMC_2b12225d27.jpg" TargetMode="External"/><Relationship Id="rId2474" Type="http://schemas.openxmlformats.org/officeDocument/2006/relationships/hyperlink" Target="https://calebasse.com/produits/ai-jiu-he-boite-de-moxibustion-sans-fumee-4607?product=7451" TargetMode="External"/><Relationship Id="rId553" Type="http://schemas.openxmlformats.org/officeDocument/2006/relationships/hyperlink" Target="https://res.cloudinary.com/laboratoire-calebasse/image/upload/v1634201111/A_kushencp_8f5004fd5c.jpg" TargetMode="External"/><Relationship Id="rId1144" Type="http://schemas.openxmlformats.org/officeDocument/2006/relationships/hyperlink" Target="https://calebasse.com/produits/yi-mu-cao-armoise-deleonore-3950?product=4820" TargetMode="External"/><Relationship Id="rId2475" Type="http://schemas.openxmlformats.org/officeDocument/2006/relationships/hyperlink" Target="https://res.cloudinary.com/laboratoire-calebasse/image/upload/v1741080529/jiao_gu_lan_x_2_720_c66f846f38.jpg" TargetMode="External"/><Relationship Id="rId552" Type="http://schemas.openxmlformats.org/officeDocument/2006/relationships/hyperlink" Target="https://calebasse.com/produits/ku-shen-ginseng-amer-3847?product=4410" TargetMode="External"/><Relationship Id="rId1145" Type="http://schemas.openxmlformats.org/officeDocument/2006/relationships/hyperlink" Target="https://res.cloudinary.com/laboratoire-calebasse/image/upload/v1664003085/C_yimucao_78c3ec90d2.jpg" TargetMode="External"/><Relationship Id="rId2476" Type="http://schemas.openxmlformats.org/officeDocument/2006/relationships/hyperlink" Target="https://calebasse.com/produits/ai-jiu-bu-dai-ceinture-de-moxibustion-4586?product=6729" TargetMode="External"/><Relationship Id="rId551" Type="http://schemas.openxmlformats.org/officeDocument/2006/relationships/hyperlink" Target="https://res.cloudinary.com/laboratoire-calebasse/image/upload/v1746528150/GINSENG_AMER_100_g_AKS_c246565ec1.jpg" TargetMode="External"/><Relationship Id="rId1146" Type="http://schemas.openxmlformats.org/officeDocument/2006/relationships/hyperlink" Target="https://calebasse.com/produits/yi-mu-cao-armoise-deleonore-3950?product=4817" TargetMode="External"/><Relationship Id="rId2477" Type="http://schemas.openxmlformats.org/officeDocument/2006/relationships/hyperlink" Target="https://res.cloudinary.com/laboratoire-calebasse/image/upload/v1712850991/_fa3b99b6e7.jpg" TargetMode="External"/><Relationship Id="rId495" Type="http://schemas.openxmlformats.org/officeDocument/2006/relationships/hyperlink" Target="https://res.cloudinary.com/laboratoire-calebasse/image/upload/v1747063931/CURCUMA_300_g_AJHL_15b1976286.jpg" TargetMode="External"/><Relationship Id="rId494" Type="http://schemas.openxmlformats.org/officeDocument/2006/relationships/hyperlink" Target="https://calebasse.com/produits/jiang-huang-curcuma-3827?product=4345" TargetMode="External"/><Relationship Id="rId493" Type="http://schemas.openxmlformats.org/officeDocument/2006/relationships/hyperlink" Target="https://res.cloudinary.com/laboratoire-calebasse/image/upload/v1746524798/CURCUMA_100_g_AJH_0e67594988.jpg" TargetMode="External"/><Relationship Id="rId492" Type="http://schemas.openxmlformats.org/officeDocument/2006/relationships/hyperlink" Target="https://calebasse.com/produits/jiang-huang-curcuma-3827?product=4344" TargetMode="External"/><Relationship Id="rId499" Type="http://schemas.openxmlformats.org/officeDocument/2006/relationships/hyperlink" Target="https://res.cloudinary.com/laboratoire-calebasse/image/upload/v1747064822/CAMOMILLE_CHINOISE_200_g_AJHUAL_a991d1dfb0.jpg" TargetMode="External"/><Relationship Id="rId498" Type="http://schemas.openxmlformats.org/officeDocument/2006/relationships/hyperlink" Target="https://calebasse.com/produits/ju-hua-hang-boutons-de-chrysantheme-3790?product=4395" TargetMode="External"/><Relationship Id="rId497" Type="http://schemas.openxmlformats.org/officeDocument/2006/relationships/hyperlink" Target="https://res.cloudinary.com/laboratoire-calebasse/image/upload/v1746525451/CAMOMILLE_CHINOISE_100_g_AJHUA_318edf00fe.jpg" TargetMode="External"/><Relationship Id="rId496" Type="http://schemas.openxmlformats.org/officeDocument/2006/relationships/hyperlink" Target="https://calebasse.com/produits/ju-hua-hang-boutons-de-chrysantheme-3790?product=4394" TargetMode="External"/><Relationship Id="rId1213" Type="http://schemas.openxmlformats.org/officeDocument/2006/relationships/hyperlink" Target="https://res.cloudinary.com/laboratoire-calebasse/image/upload/v1634201126/A_zhiqiaocp_5ff674debc.jpg" TargetMode="External"/><Relationship Id="rId2544" Type="http://schemas.openxmlformats.org/officeDocument/2006/relationships/hyperlink" Target="https://calebasse.com/produits/100-aiguilles-sans-tube-022-x-40-mm-4583?product=6636" TargetMode="External"/><Relationship Id="rId1214" Type="http://schemas.openxmlformats.org/officeDocument/2006/relationships/hyperlink" Target="https://calebasse.com/produits/zhi-qiao-fu-chao-citron-a-trois-feuilles-prepare-3963?product=4876" TargetMode="External"/><Relationship Id="rId2545" Type="http://schemas.openxmlformats.org/officeDocument/2006/relationships/hyperlink" Target="https://res.cloudinary.com/laboratoire-calebasse/image/upload/v1668595419/aiguille40_49c2e7cad0.jpg" TargetMode="External"/><Relationship Id="rId1215" Type="http://schemas.openxmlformats.org/officeDocument/2006/relationships/hyperlink" Target="https://res.cloudinary.com/laboratoire-calebasse/image/upload/v1634201125/A_zhiqiaogl_10a528b355.jpg" TargetMode="External"/><Relationship Id="rId2546" Type="http://schemas.openxmlformats.org/officeDocument/2006/relationships/hyperlink" Target="https://calebasse.com/produits/100-aiguilles-sans-tube-022-x-40-mm-4583?product=6637" TargetMode="External"/><Relationship Id="rId1216" Type="http://schemas.openxmlformats.org/officeDocument/2006/relationships/hyperlink" Target="https://calebasse.com/produits/zhi-qiao-fu-chao-citron-a-trois-feuilles-prepare-3963?product=4872" TargetMode="External"/><Relationship Id="rId2547" Type="http://schemas.openxmlformats.org/officeDocument/2006/relationships/hyperlink" Target="https://res.cloudinary.com/laboratoire-calebasse/image/upload/v1668595419/aiguille40_49c2e7cad0.jpg" TargetMode="External"/><Relationship Id="rId1217" Type="http://schemas.openxmlformats.org/officeDocument/2006/relationships/hyperlink" Target="https://res.cloudinary.com/laboratoire-calebasse/image/upload/v1747132639/CITRON_A_TROIS_FEUILLES_PREPARE_300_g_AZQL_0c6bdafeaf.jpg" TargetMode="External"/><Relationship Id="rId2548" Type="http://schemas.openxmlformats.org/officeDocument/2006/relationships/hyperlink" Target="https://calebasse.com/produits/100-aiguilles-sans-tube-025-x-13-mm-4584?product=6638" TargetMode="External"/><Relationship Id="rId1218" Type="http://schemas.openxmlformats.org/officeDocument/2006/relationships/hyperlink" Target="https://calebasse.com/produits/zhu-ru-jiang-barbe-de-bambou-3966?product=4884" TargetMode="External"/><Relationship Id="rId2549" Type="http://schemas.openxmlformats.org/officeDocument/2006/relationships/hyperlink" Target="https://res.cloudinary.com/laboratoire-calebasse/image/upload/v1668595490/aiguille13_7379397886.jpg" TargetMode="External"/><Relationship Id="rId1219" Type="http://schemas.openxmlformats.org/officeDocument/2006/relationships/hyperlink" Target="https://res.cloudinary.com/laboratoire-calebasse/image/upload/v1746524775/BAMBOU_BARBE_50_g_AZR_df0d19dcb6.jpg" TargetMode="External"/><Relationship Id="rId2540" Type="http://schemas.openxmlformats.org/officeDocument/2006/relationships/hyperlink" Target="https://calebasse.com/produits/100-aiguilles-sans-tube-022-x-30mm-4582?product=6634" TargetMode="External"/><Relationship Id="rId1210" Type="http://schemas.openxmlformats.org/officeDocument/2006/relationships/hyperlink" Target="https://calebasse.com/produits/zhi-qiao-fu-chao-citron-a-trois-feuilles-prepare-3963?product=4873" TargetMode="External"/><Relationship Id="rId2541" Type="http://schemas.openxmlformats.org/officeDocument/2006/relationships/hyperlink" Target="https://res.cloudinary.com/laboratoire-calebasse/image/upload/v1668595841/aiguille30_6c44fc1ee4.jpg" TargetMode="External"/><Relationship Id="rId1211" Type="http://schemas.openxmlformats.org/officeDocument/2006/relationships/hyperlink" Target="https://res.cloudinary.com/laboratoire-calebasse/image/upload/v1746534887/CITRON_A_TROIS_FEUILLES_PREPARE_100_g_AZQ_ef81c332f9.jpg" TargetMode="External"/><Relationship Id="rId2542" Type="http://schemas.openxmlformats.org/officeDocument/2006/relationships/hyperlink" Target="https://calebasse.com/produits/100-aiguilles-sans-tube-022-x-30mm-4582?product=6635" TargetMode="External"/><Relationship Id="rId1212" Type="http://schemas.openxmlformats.org/officeDocument/2006/relationships/hyperlink" Target="https://calebasse.com/produits/zhi-qiao-fu-chao-citron-a-trois-feuilles-prepare-3963?product=4874" TargetMode="External"/><Relationship Id="rId2543" Type="http://schemas.openxmlformats.org/officeDocument/2006/relationships/hyperlink" Target="https://res.cloudinary.com/laboratoire-calebasse/image/upload/v1668595841/aiguille30_6c44fc1ee4.jpg" TargetMode="External"/><Relationship Id="rId1202" Type="http://schemas.openxmlformats.org/officeDocument/2006/relationships/hyperlink" Target="https://calebasse.com/produits/ze-lan-herbe-de-lycope-3961?product=4867" TargetMode="External"/><Relationship Id="rId2533" Type="http://schemas.openxmlformats.org/officeDocument/2006/relationships/hyperlink" Target="https://res.cloudinary.com/laboratoire-calebasse/image/upload/v1668595490/aiguille13_7379397886.jpg" TargetMode="External"/><Relationship Id="rId1203" Type="http://schemas.openxmlformats.org/officeDocument/2006/relationships/hyperlink" Target="https://res.cloudinary.com/laboratoire-calebasse/image/upload/v1746526056/HERBE_DE_LYCOPE_100_g_AZLAN_fd96e4a2b7.jpg" TargetMode="External"/><Relationship Id="rId2534" Type="http://schemas.openxmlformats.org/officeDocument/2006/relationships/hyperlink" Target="https://calebasse.com/produits/100-aiguilles-sans-tube-022-x-13-mm-4580?product=6631" TargetMode="External"/><Relationship Id="rId1204" Type="http://schemas.openxmlformats.org/officeDocument/2006/relationships/hyperlink" Target="https://calebasse.com/produits/zi-luo-lan-fleurs-de-violette-3968?product=4898" TargetMode="External"/><Relationship Id="rId2535" Type="http://schemas.openxmlformats.org/officeDocument/2006/relationships/hyperlink" Target="https://res.cloudinary.com/laboratoire-calebasse/image/upload/v1668595490/aiguille13_7379397886.jpg" TargetMode="External"/><Relationship Id="rId1205" Type="http://schemas.openxmlformats.org/officeDocument/2006/relationships/hyperlink" Target="https://res.cloudinary.com/laboratoire-calebasse/image/upload/v1746527183/FLEURS_DE_VIOLETTE_50_g_AZLL_605629f11e.jpg" TargetMode="External"/><Relationship Id="rId2536" Type="http://schemas.openxmlformats.org/officeDocument/2006/relationships/hyperlink" Target="https://calebasse.com/produits/100-aiguilles-sans-tube-022-x-25-mm-4581?product=6632" TargetMode="External"/><Relationship Id="rId1206" Type="http://schemas.openxmlformats.org/officeDocument/2006/relationships/hyperlink" Target="https://calebasse.com/produits/zi-mei-gui-hua-boutons-de-rose-violette-4534?product=6557" TargetMode="External"/><Relationship Id="rId2537" Type="http://schemas.openxmlformats.org/officeDocument/2006/relationships/hyperlink" Target="https://res.cloudinary.com/laboratoire-calebasse/image/upload/v1668593087/aiguille25_3a998bac73.jpg" TargetMode="External"/><Relationship Id="rId1207" Type="http://schemas.openxmlformats.org/officeDocument/2006/relationships/hyperlink" Target="https://res.cloudinary.com/laboratoire-calebasse/image/upload/v1746527121/BOUTONS_DE_ROSE_VIOLETTE_100_g_AZMGH_2779a78c3c.jpg" TargetMode="External"/><Relationship Id="rId2538" Type="http://schemas.openxmlformats.org/officeDocument/2006/relationships/hyperlink" Target="https://calebasse.com/produits/100-aiguilles-sans-tube-022-x-25-mm-4581?product=6633" TargetMode="External"/><Relationship Id="rId1208" Type="http://schemas.openxmlformats.org/officeDocument/2006/relationships/hyperlink" Target="https://calebasse.com/produits/zi-mei-gui-hua-boutons-de-rose-violette-4534?product=6558" TargetMode="External"/><Relationship Id="rId2539" Type="http://schemas.openxmlformats.org/officeDocument/2006/relationships/hyperlink" Target="https://res.cloudinary.com/laboratoire-calebasse/image/upload/v1668593087/aiguille25_3a998bac73.jpg" TargetMode="External"/><Relationship Id="rId1209" Type="http://schemas.openxmlformats.org/officeDocument/2006/relationships/hyperlink" Target="https://res.cloudinary.com/laboratoire-calebasse/image/upload/v1748271072/BOUTONS_DE_ROSE_VIOLETTE_300_g_AZMGHL_d30c1444ed.jpg" TargetMode="External"/><Relationship Id="rId2530" Type="http://schemas.openxmlformats.org/officeDocument/2006/relationships/hyperlink" Target="https://calebasse.com/produits/100-aiguilles-sans-tube-020-x-30-mm-4579?product=6629" TargetMode="External"/><Relationship Id="rId1200" Type="http://schemas.openxmlformats.org/officeDocument/2006/relationships/hyperlink" Target="https://calebasse.com/produits/zhu-sun-dictyophora-5035?product=7258" TargetMode="External"/><Relationship Id="rId2531" Type="http://schemas.openxmlformats.org/officeDocument/2006/relationships/hyperlink" Target="https://res.cloudinary.com/laboratoire-calebasse/image/upload/v1668595841/aiguille30_6c44fc1ee4.jpg" TargetMode="External"/><Relationship Id="rId1201" Type="http://schemas.openxmlformats.org/officeDocument/2006/relationships/hyperlink" Target="https://res.cloudinary.com/laboratoire-calebasse/image/upload/v1746527074/DICTYOPHORA_60_g_AZHS_c097995da3.jpg" TargetMode="External"/><Relationship Id="rId2532" Type="http://schemas.openxmlformats.org/officeDocument/2006/relationships/hyperlink" Target="https://calebasse.com/produits/100-aiguilles-sans-tube-022-x-13-mm-4580?product=6630" TargetMode="External"/><Relationship Id="rId1235" Type="http://schemas.openxmlformats.org/officeDocument/2006/relationships/hyperlink" Target="https://res.cloudinary.com/laboratoire-calebasse/image/upload/v1746527224/GRAINES_DE_PERILLE_100_g_AZSZ_f82c0973d7.jpg" TargetMode="External"/><Relationship Id="rId2566" Type="http://schemas.openxmlformats.org/officeDocument/2006/relationships/hyperlink" Target="https://calebasse.com/produits/100-aiguilles-sans-tube-016-x-15-mm-4590?product=6582" TargetMode="External"/><Relationship Id="rId1236" Type="http://schemas.openxmlformats.org/officeDocument/2006/relationships/hyperlink" Target="https://calebasse.com/produits/zi-su-zi-graines-de-perille-3970?product=4908" TargetMode="External"/><Relationship Id="rId2567" Type="http://schemas.openxmlformats.org/officeDocument/2006/relationships/hyperlink" Target="https://res.cloudinary.com/laboratoire-calebasse/image/upload/v1668611176/aiguille15_92ec91090e.jpg" TargetMode="External"/><Relationship Id="rId1237" Type="http://schemas.openxmlformats.org/officeDocument/2006/relationships/hyperlink" Target="https://res.cloudinary.com/laboratoire-calebasse/image/upload/v1704444252/A_zisuzi_CP_1530e346c6.jpg" TargetMode="External"/><Relationship Id="rId2568" Type="http://schemas.openxmlformats.org/officeDocument/2006/relationships/hyperlink" Target="https://calebasse.com/produits/100-aiguilles-sans-tube-020-x-25-mm-4740?product=6626" TargetMode="External"/><Relationship Id="rId1238" Type="http://schemas.openxmlformats.org/officeDocument/2006/relationships/hyperlink" Target="https://calebasse.com/produits/zi-su-zi-graines-de-perille-3970?product=4910" TargetMode="External"/><Relationship Id="rId2569" Type="http://schemas.openxmlformats.org/officeDocument/2006/relationships/hyperlink" Target="https://res.cloudinary.com/laboratoire-calebasse/image/upload/v1668593087/aiguille25_3a998bac73.jpg" TargetMode="External"/><Relationship Id="rId1239" Type="http://schemas.openxmlformats.org/officeDocument/2006/relationships/hyperlink" Target="https://res.cloudinary.com/laboratoire-calebasse/image/upload/v1634201125/A_zisuzigl_ca8a285746.jpg" TargetMode="External"/><Relationship Id="rId409" Type="http://schemas.openxmlformats.org/officeDocument/2006/relationships/hyperlink" Target="https://calebasse.com/produits/hou-pu-ecorce-de-magnolia-3809?product=4287" TargetMode="External"/><Relationship Id="rId404" Type="http://schemas.openxmlformats.org/officeDocument/2006/relationships/hyperlink" Target="https://res.cloudinary.com/laboratoire-calebasse/image/upload/v1746535226/OREILLE_DE_JUDAS_100_g_AHME_8f75e8c41c.jpg" TargetMode="External"/><Relationship Id="rId403" Type="http://schemas.openxmlformats.org/officeDocument/2006/relationships/hyperlink" Target="https://calebasse.com/produits/hei-mu-er-oreille-de-judas-3831?product=4262" TargetMode="External"/><Relationship Id="rId402" Type="http://schemas.openxmlformats.org/officeDocument/2006/relationships/hyperlink" Target="https://res.cloudinary.com/laboratoire-calebasse/image/upload/v1747064691/RHODIOLA_300_g_AHJTL_b90209e241.jpg" TargetMode="External"/><Relationship Id="rId401" Type="http://schemas.openxmlformats.org/officeDocument/2006/relationships/hyperlink" Target="https://calebasse.com/produits/hong-jing-tian-rhodiola-3830?product=4273" TargetMode="External"/><Relationship Id="rId408" Type="http://schemas.openxmlformats.org/officeDocument/2006/relationships/hyperlink" Target="https://res.cloudinary.com/laboratoire-calebasse/image/upload/v1746524549/MAGNOLIA_ECORCE_100_g_AHP_80d55f9319.jpg" TargetMode="External"/><Relationship Id="rId407" Type="http://schemas.openxmlformats.org/officeDocument/2006/relationships/hyperlink" Target="https://calebasse.com/produits/hou-pu-ecorce-de-magnolia-3809?product=4286" TargetMode="External"/><Relationship Id="rId406" Type="http://schemas.openxmlformats.org/officeDocument/2006/relationships/hyperlink" Target="https://res.cloudinary.com/laboratoire-calebasse/image/upload/v1753347828/_41792f1559.jpg" TargetMode="External"/><Relationship Id="rId405" Type="http://schemas.openxmlformats.org/officeDocument/2006/relationships/hyperlink" Target="https://calebasse.com/produits/hei-mu-er-oreille-de-judas-3831?product=7371" TargetMode="External"/><Relationship Id="rId2560" Type="http://schemas.openxmlformats.org/officeDocument/2006/relationships/hyperlink" Target="https://calebasse.com/produits/100-aiguilles-sans-tube-025-x-50-mm-4589?product=6644" TargetMode="External"/><Relationship Id="rId1230" Type="http://schemas.openxmlformats.org/officeDocument/2006/relationships/hyperlink" Target="https://calebasse.com/produits/zi-su-ye-feuilles-de-perille-3969?product=4904" TargetMode="External"/><Relationship Id="rId2561" Type="http://schemas.openxmlformats.org/officeDocument/2006/relationships/hyperlink" Target="https://res.cloudinary.com/laboratoire-calebasse/image/upload/v1668597178/aiguille50_5161b5d2eb.jpg" TargetMode="External"/><Relationship Id="rId400" Type="http://schemas.openxmlformats.org/officeDocument/2006/relationships/hyperlink" Target="https://res.cloudinary.com/laboratoire-calebasse/image/upload/v1634201104/A_hongjingtiangl_a20045986f.jpg" TargetMode="External"/><Relationship Id="rId1231" Type="http://schemas.openxmlformats.org/officeDocument/2006/relationships/hyperlink" Target="https://res.cloudinary.com/laboratoire-calebasse/image/upload/v1634201206/A_zisuyegl_fec371fa7a.jpg" TargetMode="External"/><Relationship Id="rId2562" Type="http://schemas.openxmlformats.org/officeDocument/2006/relationships/hyperlink" Target="https://calebasse.com/produits/100-aiguilles-sans-tube-025-x-50-mm-4589?product=6645" TargetMode="External"/><Relationship Id="rId1232" Type="http://schemas.openxmlformats.org/officeDocument/2006/relationships/hyperlink" Target="https://calebasse.com/produits/zi-su-ye-feuilles-de-perille-3969?product=4901" TargetMode="External"/><Relationship Id="rId2563" Type="http://schemas.openxmlformats.org/officeDocument/2006/relationships/hyperlink" Target="https://res.cloudinary.com/laboratoire-calebasse/image/upload/v1668597178/aiguille50_5161b5d2eb.jpg" TargetMode="External"/><Relationship Id="rId1233" Type="http://schemas.openxmlformats.org/officeDocument/2006/relationships/hyperlink" Target="https://res.cloudinary.com/laboratoire-calebasse/image/upload/v1748271050/FEUILLES_DE_PERILLE_140_g_AZSYL_f6a8b4c621.jpg" TargetMode="External"/><Relationship Id="rId2564" Type="http://schemas.openxmlformats.org/officeDocument/2006/relationships/hyperlink" Target="https://calebasse.com/produits/100-aiguilles-sans-tube-016-x-15-mm-4590?product=6581" TargetMode="External"/><Relationship Id="rId1234" Type="http://schemas.openxmlformats.org/officeDocument/2006/relationships/hyperlink" Target="https://calebasse.com/produits/zi-su-zi-graines-de-perille-3970?product=4906" TargetMode="External"/><Relationship Id="rId2565" Type="http://schemas.openxmlformats.org/officeDocument/2006/relationships/hyperlink" Target="https://res.cloudinary.com/laboratoire-calebasse/image/upload/v1668611176/aiguille15_92ec91090e.jpg" TargetMode="External"/><Relationship Id="rId1224" Type="http://schemas.openxmlformats.org/officeDocument/2006/relationships/hyperlink" Target="https://calebasse.com/produits/fu-chao-zhi-shi-citron-a-trois-feuilles-immature-3964?product=4879" TargetMode="External"/><Relationship Id="rId2555" Type="http://schemas.openxmlformats.org/officeDocument/2006/relationships/hyperlink" Target="https://res.cloudinary.com/laboratoire-calebasse/image/upload/v1654240924/0_25_25_964d7c0712.jpg" TargetMode="External"/><Relationship Id="rId1225" Type="http://schemas.openxmlformats.org/officeDocument/2006/relationships/hyperlink" Target="https://res.cloudinary.com/laboratoire-calebasse/image/upload/v1747132612/CITRON_A_TROIS_FEUILLES_IMMATURE_300_g_AZSL_ab7806c229.jpg" TargetMode="External"/><Relationship Id="rId2556" Type="http://schemas.openxmlformats.org/officeDocument/2006/relationships/hyperlink" Target="https://calebasse.com/produits/100-aiguilles-sans-tube-025-x-30-mm-4588?product=6641" TargetMode="External"/><Relationship Id="rId1226" Type="http://schemas.openxmlformats.org/officeDocument/2006/relationships/hyperlink" Target="https://calebasse.com/produits/zi-su-ye-feuilles-de-perille-3969?product=4900" TargetMode="External"/><Relationship Id="rId2557" Type="http://schemas.openxmlformats.org/officeDocument/2006/relationships/hyperlink" Target="https://res.cloudinary.com/laboratoire-calebasse/image/upload/v1668595841/aiguille30_6c44fc1ee4.jpg" TargetMode="External"/><Relationship Id="rId1227" Type="http://schemas.openxmlformats.org/officeDocument/2006/relationships/hyperlink" Target="https://res.cloudinary.com/laboratoire-calebasse/image/upload/v1746527210/FEUILLES_DE_PERILLE_50_g_AZSY_19fce18bfc.jpg" TargetMode="External"/><Relationship Id="rId2558" Type="http://schemas.openxmlformats.org/officeDocument/2006/relationships/hyperlink" Target="https://calebasse.com/produits/100-aiguilles-sans-tube-025-x-30-mm-4588?product=6642" TargetMode="External"/><Relationship Id="rId1228" Type="http://schemas.openxmlformats.org/officeDocument/2006/relationships/hyperlink" Target="https://calebasse.com/produits/zi-su-ye-feuilles-de-perille-3969?product=4902" TargetMode="External"/><Relationship Id="rId2559" Type="http://schemas.openxmlformats.org/officeDocument/2006/relationships/hyperlink" Target="https://res.cloudinary.com/laboratoire-calebasse/image/upload/v1668595841/aiguille30_6c44fc1ee4.jpg" TargetMode="External"/><Relationship Id="rId1229" Type="http://schemas.openxmlformats.org/officeDocument/2006/relationships/hyperlink" Target="https://res.cloudinary.com/laboratoire-calebasse/image/upload/v1634201126/A_zisuyecp_75fa6166f6.jpg" TargetMode="External"/><Relationship Id="rId2550" Type="http://schemas.openxmlformats.org/officeDocument/2006/relationships/hyperlink" Target="https://calebasse.com/produits/100-aiguilles-sans-tube-025-x-13-mm-4584?product=6639" TargetMode="External"/><Relationship Id="rId1220" Type="http://schemas.openxmlformats.org/officeDocument/2006/relationships/hyperlink" Target="https://calebasse.com/produits/zhu-ru-jiang-barbe-de-bambou-3966?product=4886" TargetMode="External"/><Relationship Id="rId2551" Type="http://schemas.openxmlformats.org/officeDocument/2006/relationships/hyperlink" Target="https://res.cloudinary.com/laboratoire-calebasse/image/upload/v1668595490/aiguille13_7379397886.jpg" TargetMode="External"/><Relationship Id="rId1221" Type="http://schemas.openxmlformats.org/officeDocument/2006/relationships/hyperlink" Target="https://res.cloudinary.com/laboratoire-calebasse/image/upload/v1747063915/BAMBOU_BARBE_130_g_AZRL_c5aa2b5443.jpg" TargetMode="External"/><Relationship Id="rId2552" Type="http://schemas.openxmlformats.org/officeDocument/2006/relationships/hyperlink" Target="https://calebasse.com/produits/100-aiguilles-sans-tube-025-x-25-mm-4587?product=6454" TargetMode="External"/><Relationship Id="rId1222" Type="http://schemas.openxmlformats.org/officeDocument/2006/relationships/hyperlink" Target="https://calebasse.com/produits/fu-chao-zhi-shi-citron-a-trois-feuilles-immature-3964?product=4878" TargetMode="External"/><Relationship Id="rId2553" Type="http://schemas.openxmlformats.org/officeDocument/2006/relationships/hyperlink" Target="https://res.cloudinary.com/laboratoire-calebasse/image/upload/v1654240924/0_25_25_964d7c0712.jpg" TargetMode="External"/><Relationship Id="rId1223" Type="http://schemas.openxmlformats.org/officeDocument/2006/relationships/hyperlink" Target="https://res.cloudinary.com/laboratoire-calebasse/image/upload/v1746534907/CITRON_A_TROIS_FEUILLES_IMMATURE_100_g_AZS_186eab5ade.jpg" TargetMode="External"/><Relationship Id="rId2554" Type="http://schemas.openxmlformats.org/officeDocument/2006/relationships/hyperlink" Target="https://calebasse.com/produits/100-aiguilles-sans-tube-025-x-25-mm-4587?product=6463" TargetMode="External"/><Relationship Id="rId2500" Type="http://schemas.openxmlformats.org/officeDocument/2006/relationships/hyperlink" Target="https://calebasse.com/produits/zhi-zhi-ai-jiu-he-tube-de-moxibustion-4567?product=6720" TargetMode="External"/><Relationship Id="rId2501" Type="http://schemas.openxmlformats.org/officeDocument/2006/relationships/hyperlink" Target="https://res.cloudinary.com/laboratoire-calebasse/image/upload/v1667942237/3_9e02887b4f.jpg" TargetMode="External"/><Relationship Id="rId2502" Type="http://schemas.openxmlformats.org/officeDocument/2006/relationships/hyperlink" Target="https://calebasse.com/produits/zhi-zhi-ai-jiu-he-tube-de-moxibustion-4567?product=6721" TargetMode="External"/><Relationship Id="rId2503" Type="http://schemas.openxmlformats.org/officeDocument/2006/relationships/hyperlink" Target="https://res.cloudinary.com/laboratoire-calebasse/image/upload/v1667942307/1_4be2fa3fb3.jpg" TargetMode="External"/><Relationship Id="rId2504" Type="http://schemas.openxmlformats.org/officeDocument/2006/relationships/hyperlink" Target="https://calebasse.com/produits/100-aiguilles-sans-tube-016-x-25-mm-4574?product=6613" TargetMode="External"/><Relationship Id="rId2505" Type="http://schemas.openxmlformats.org/officeDocument/2006/relationships/hyperlink" Target="https://res.cloudinary.com/laboratoire-calebasse/image/upload/v1668593087/aiguille25_3a998bac73.jpg" TargetMode="External"/><Relationship Id="rId2506" Type="http://schemas.openxmlformats.org/officeDocument/2006/relationships/hyperlink" Target="https://calebasse.com/produits/100-aiguilles-sans-tube-016-x-25-mm-4574?product=6615" TargetMode="External"/><Relationship Id="rId2507" Type="http://schemas.openxmlformats.org/officeDocument/2006/relationships/hyperlink" Target="https://res.cloudinary.com/laboratoire-calebasse/image/upload/v1668593087/aiguille25_3a998bac73.jpg" TargetMode="External"/><Relationship Id="rId2508" Type="http://schemas.openxmlformats.org/officeDocument/2006/relationships/hyperlink" Target="https://calebasse.com/produits/100-aiguilles-sans-tube-016-x-40-mm-4575?product=6616" TargetMode="External"/><Relationship Id="rId2509" Type="http://schemas.openxmlformats.org/officeDocument/2006/relationships/hyperlink" Target="https://res.cloudinary.com/laboratoire-calebasse/image/upload/v1668595419/aiguille40_49c2e7cad0.jpg" TargetMode="External"/><Relationship Id="rId2522" Type="http://schemas.openxmlformats.org/officeDocument/2006/relationships/hyperlink" Target="https://calebasse.com/produits/100-aiguilles-sans-tube-018-x-40-mm-4577?product=6623" TargetMode="External"/><Relationship Id="rId2523" Type="http://schemas.openxmlformats.org/officeDocument/2006/relationships/hyperlink" Target="https://res.cloudinary.com/laboratoire-calebasse/image/upload/v1668595419/aiguille40_49c2e7cad0.jpg" TargetMode="External"/><Relationship Id="rId2524" Type="http://schemas.openxmlformats.org/officeDocument/2006/relationships/hyperlink" Target="https://calebasse.com/produits/100-aiguilles-sans-tube-020-x-13-mm-4578?product=6624" TargetMode="External"/><Relationship Id="rId2525" Type="http://schemas.openxmlformats.org/officeDocument/2006/relationships/hyperlink" Target="https://res.cloudinary.com/laboratoire-calebasse/image/upload/v1668595490/aiguille13_7379397886.jpg" TargetMode="External"/><Relationship Id="rId2526" Type="http://schemas.openxmlformats.org/officeDocument/2006/relationships/hyperlink" Target="https://calebasse.com/produits/100-aiguilles-sans-tube-020-x-13-mm-4578?product=6625" TargetMode="External"/><Relationship Id="rId2527" Type="http://schemas.openxmlformats.org/officeDocument/2006/relationships/hyperlink" Target="https://res.cloudinary.com/laboratoire-calebasse/image/upload/v1668595490/aiguille13_7379397886.jpg" TargetMode="External"/><Relationship Id="rId2528" Type="http://schemas.openxmlformats.org/officeDocument/2006/relationships/hyperlink" Target="https://calebasse.com/produits/100-aiguilles-sans-tube-020-x-30-mm-4579?product=6628" TargetMode="External"/><Relationship Id="rId2529" Type="http://schemas.openxmlformats.org/officeDocument/2006/relationships/hyperlink" Target="https://res.cloudinary.com/laboratoire-calebasse/image/upload/v1668595841/aiguille30_6c44fc1ee4.jpg" TargetMode="External"/><Relationship Id="rId2520" Type="http://schemas.openxmlformats.org/officeDocument/2006/relationships/hyperlink" Target="https://calebasse.com/produits/100-aiguilles-sans-tube-018-x-40-mm-4577?product=6622" TargetMode="External"/><Relationship Id="rId2521" Type="http://schemas.openxmlformats.org/officeDocument/2006/relationships/hyperlink" Target="https://res.cloudinary.com/laboratoire-calebasse/image/upload/v1668595419/aiguille40_49c2e7cad0.jpg" TargetMode="External"/><Relationship Id="rId2511" Type="http://schemas.openxmlformats.org/officeDocument/2006/relationships/hyperlink" Target="https://res.cloudinary.com/laboratoire-calebasse/image/upload/v1668595419/aiguille40_49c2e7cad0.jpg" TargetMode="External"/><Relationship Id="rId2512" Type="http://schemas.openxmlformats.org/officeDocument/2006/relationships/hyperlink" Target="https://calebasse.com/produits/100-aiguilles-sans-tube-018-x-13-mm-4576?product=6618" TargetMode="External"/><Relationship Id="rId2513" Type="http://schemas.openxmlformats.org/officeDocument/2006/relationships/hyperlink" Target="https://res.cloudinary.com/laboratoire-calebasse/image/upload/v1668595490/aiguille13_7379397886.jpg" TargetMode="External"/><Relationship Id="rId2514" Type="http://schemas.openxmlformats.org/officeDocument/2006/relationships/hyperlink" Target="https://calebasse.com/produits/100-aiguilles-sans-tube-018-x-13-mm-4576?product=6619" TargetMode="External"/><Relationship Id="rId2515" Type="http://schemas.openxmlformats.org/officeDocument/2006/relationships/hyperlink" Target="https://res.cloudinary.com/laboratoire-calebasse/image/upload/v1668595490/aiguille13_7379397886.jpg" TargetMode="External"/><Relationship Id="rId2516" Type="http://schemas.openxmlformats.org/officeDocument/2006/relationships/hyperlink" Target="https://calebasse.com/produits/100-aiguilles-sans-tube-018-x-25-mm-4611?product=6744" TargetMode="External"/><Relationship Id="rId2517" Type="http://schemas.openxmlformats.org/officeDocument/2006/relationships/hyperlink" Target="https://res.cloudinary.com/laboratoire-calebasse/image/upload/v1668593087/aiguille25_3a998bac73.jpg" TargetMode="External"/><Relationship Id="rId2518" Type="http://schemas.openxmlformats.org/officeDocument/2006/relationships/hyperlink" Target="https://calebasse.com/produits/100-aiguilles-sans-tube-018-x-25-mm-4611?product=6745" TargetMode="External"/><Relationship Id="rId2519" Type="http://schemas.openxmlformats.org/officeDocument/2006/relationships/hyperlink" Target="https://res.cloudinary.com/laboratoire-calebasse/image/upload/v1668593087/aiguille25_3a998bac73.jpg" TargetMode="External"/><Relationship Id="rId2510" Type="http://schemas.openxmlformats.org/officeDocument/2006/relationships/hyperlink" Target="https://calebasse.com/produits/100-aiguilles-sans-tube-016-x-40-mm-4575?product=6617" TargetMode="External"/><Relationship Id="rId469" Type="http://schemas.openxmlformats.org/officeDocument/2006/relationships/hyperlink" Target="https://res.cloudinary.com/laboratoire-calebasse/image/upload/v1746534464/CIBOULE_DE_CHINE_100_g_AJCZ_f897545b9c.jpg" TargetMode="External"/><Relationship Id="rId468" Type="http://schemas.openxmlformats.org/officeDocument/2006/relationships/hyperlink" Target="https://calebasse.com/produits/jiu-cai-zi-ciboule-de-chine-3804?product=4387" TargetMode="External"/><Relationship Id="rId467" Type="http://schemas.openxmlformats.org/officeDocument/2006/relationships/hyperlink" Target="https://res.cloudinary.com/laboratoire-calebasse/image/upload/v1747064705/SESAME_NOIR_300_g_AHZML_d7bbd400c6.jpg" TargetMode="External"/><Relationship Id="rId1290" Type="http://schemas.openxmlformats.org/officeDocument/2006/relationships/hyperlink" Target="https://res.cloudinary.com/laboratoire-calebasse/image/upload/v1746528251/JING_JIE_DI_LONG_TANG_185_g_BJJDLT_5d700257e9.jpg" TargetMode="External"/><Relationship Id="rId1291" Type="http://schemas.openxmlformats.org/officeDocument/2006/relationships/hyperlink" Target="https://calebasse.com/produits/jin-qian-xiao-shi-tang-tisane-digestive-3983?product=4936" TargetMode="External"/><Relationship Id="rId1292" Type="http://schemas.openxmlformats.org/officeDocument/2006/relationships/hyperlink" Target="https://res.cloudinary.com/laboratoire-calebasse/image/upload/v1746534209/TISANE_DIGESTIVE_100_g_BJQXST_53de98cb5d.jpg" TargetMode="External"/><Relationship Id="rId462" Type="http://schemas.openxmlformats.org/officeDocument/2006/relationships/hyperlink" Target="https://calebasse.com/produits/hu-zhang-renouee-du-japon-3819?product=4308" TargetMode="External"/><Relationship Id="rId1293" Type="http://schemas.openxmlformats.org/officeDocument/2006/relationships/hyperlink" Target="https://calebasse.com/produits/jiang-zhi-tang-tisane-equilibre-des-lipides-3982?product=4934" TargetMode="External"/><Relationship Id="rId461" Type="http://schemas.openxmlformats.org/officeDocument/2006/relationships/hyperlink" Target="https://res.cloudinary.com/laboratoire-calebasse/image/upload/v1747064836/SARGASSE_140_g_AHZAOL_c8fc0a0b90.jpg" TargetMode="External"/><Relationship Id="rId1294" Type="http://schemas.openxmlformats.org/officeDocument/2006/relationships/hyperlink" Target="https://res.cloudinary.com/laboratoire-calebasse/image/upload/v1746534399/TISANE_EQUILIBRE_DES_LIPIDES_100_g_BJZT_611ddcb6c6.jpg" TargetMode="External"/><Relationship Id="rId460" Type="http://schemas.openxmlformats.org/officeDocument/2006/relationships/hyperlink" Target="https://calebasse.com/produits/hai-zao-sargasse-3806?product=4231" TargetMode="External"/><Relationship Id="rId1295" Type="http://schemas.openxmlformats.org/officeDocument/2006/relationships/hyperlink" Target="https://calebasse.com/produits/jing-qi-shen-shen-illustration-jing-qi-shen-shen-5024?product=6844" TargetMode="External"/><Relationship Id="rId1296" Type="http://schemas.openxmlformats.org/officeDocument/2006/relationships/hyperlink" Target="https://res.cloudinary.com/laboratoire-calebasse/image/upload/v1674568667/Shen_8c52ac92e3.jpg" TargetMode="External"/><Relationship Id="rId466" Type="http://schemas.openxmlformats.org/officeDocument/2006/relationships/hyperlink" Target="https://calebasse.com/produits/hei-zhi-ma-sesame-noir-3824?product=4265" TargetMode="External"/><Relationship Id="rId1297" Type="http://schemas.openxmlformats.org/officeDocument/2006/relationships/hyperlink" Target="https://calebasse.com/produits/gua-hua-yang-illustrationyang-4997?product=6846" TargetMode="External"/><Relationship Id="rId465" Type="http://schemas.openxmlformats.org/officeDocument/2006/relationships/hyperlink" Target="https://res.cloudinary.com/laboratoire-calebasse/image/upload/v1746535269/SESAME_NOIR_100_g_AHZM_db93aa6bdf.jpg" TargetMode="External"/><Relationship Id="rId1298" Type="http://schemas.openxmlformats.org/officeDocument/2006/relationships/hyperlink" Target="https://res.cloudinary.com/laboratoire-calebasse/image/upload/v1674569429/Yin_6803a3a29a.jpg" TargetMode="External"/><Relationship Id="rId464" Type="http://schemas.openxmlformats.org/officeDocument/2006/relationships/hyperlink" Target="https://calebasse.com/produits/hei-zhi-ma-sesame-noir-3824?product=4264" TargetMode="External"/><Relationship Id="rId1299" Type="http://schemas.openxmlformats.org/officeDocument/2006/relationships/hyperlink" Target="https://calebasse.com/produits/gua-hua-yang-illustrationyang-4997?product=7445" TargetMode="External"/><Relationship Id="rId463" Type="http://schemas.openxmlformats.org/officeDocument/2006/relationships/hyperlink" Target="https://res.cloudinary.com/laboratoire-calebasse/image/upload/v1747062259/RENOUEE_DU_JAPON_300_g_AHZL_c88da94239.jpg" TargetMode="External"/><Relationship Id="rId459" Type="http://schemas.openxmlformats.org/officeDocument/2006/relationships/hyperlink" Target="https://res.cloudinary.com/laboratoire-calebasse/image/upload/v1704448131/A_haizao_GL_013f53c975.jpg" TargetMode="External"/><Relationship Id="rId458" Type="http://schemas.openxmlformats.org/officeDocument/2006/relationships/hyperlink" Target="https://calebasse.com/produits/hai-zao-sargasse-3806?product=4234" TargetMode="External"/><Relationship Id="rId457" Type="http://schemas.openxmlformats.org/officeDocument/2006/relationships/hyperlink" Target="https://res.cloudinary.com/laboratoire-calebasse/image/upload/v1704448107/A_haizao_CP_8c27fa3bf0.jpg" TargetMode="External"/><Relationship Id="rId456" Type="http://schemas.openxmlformats.org/officeDocument/2006/relationships/hyperlink" Target="https://calebasse.com/produits/hai-zao-sargasse-3806?product=4232" TargetMode="External"/><Relationship Id="rId1280" Type="http://schemas.openxmlformats.org/officeDocument/2006/relationships/hyperlink" Target="https://res.cloudinary.com/laboratoire-calebasse/image/upload/v1746528952/TISANE_DIGESTION_DIFFICILE_100_g_BHXZQT_bee2a6bde1.jpg" TargetMode="External"/><Relationship Id="rId1281" Type="http://schemas.openxmlformats.org/officeDocument/2006/relationships/hyperlink" Target="https://calebasse.com/produits/huo-xiang-zheng-qi-tang-tisane-digestion-difficile-3978?product=7369" TargetMode="External"/><Relationship Id="rId451" Type="http://schemas.openxmlformats.org/officeDocument/2006/relationships/hyperlink" Target="https://res.cloudinary.com/laboratoire-calebasse/image/upload/v1751623599/FEUILLES_DE_LOTUS_140_g_AHYL_16a1044781.jpg" TargetMode="External"/><Relationship Id="rId1282" Type="http://schemas.openxmlformats.org/officeDocument/2006/relationships/hyperlink" Target="https://res.cloudinary.com/laboratoire-calebasse/image/upload/v1753347725/_ceb7dfa6fb.jpg" TargetMode="External"/><Relationship Id="rId450" Type="http://schemas.openxmlformats.org/officeDocument/2006/relationships/hyperlink" Target="https://calebasse.com/produits/he-ye-feuilles-de-lotus-3826?product=4258" TargetMode="External"/><Relationship Id="rId1283" Type="http://schemas.openxmlformats.org/officeDocument/2006/relationships/hyperlink" Target="https://calebasse.com/produits/jing-fang-bai-du-san-tisane-coup-de-froid-3984?product=4938" TargetMode="External"/><Relationship Id="rId1284" Type="http://schemas.openxmlformats.org/officeDocument/2006/relationships/hyperlink" Target="https://res.cloudinary.com/laboratoire-calebasse/image/upload/v1746528704/TISANE_COUP_DE_FROID_100_g_BJFBDS_0afb670589.jpg" TargetMode="External"/><Relationship Id="rId1285" Type="http://schemas.openxmlformats.org/officeDocument/2006/relationships/hyperlink" Target="https://res.cloudinary.com/laboratoire-calebasse/image/upload/v1738601761/Tisane_coup_de_froid_1_f61c59bd10.jpg" TargetMode="External"/><Relationship Id="rId455" Type="http://schemas.openxmlformats.org/officeDocument/2006/relationships/hyperlink" Target="https://res.cloudinary.com/laboratoire-calebasse/image/upload/v1746526084/SARGASSE_50_g_AHZAO_f6f1f505b7.jpg" TargetMode="External"/><Relationship Id="rId1286" Type="http://schemas.openxmlformats.org/officeDocument/2006/relationships/hyperlink" Target="https://calebasse.com/produits/jing-fang-bai-du-san-tisane-coup-de-froid-3984?product=7440" TargetMode="External"/><Relationship Id="rId454" Type="http://schemas.openxmlformats.org/officeDocument/2006/relationships/hyperlink" Target="https://calebasse.com/produits/hai-zao-sargasse-3806?product=4230" TargetMode="External"/><Relationship Id="rId1287" Type="http://schemas.openxmlformats.org/officeDocument/2006/relationships/hyperlink" Target="https://res.cloudinary.com/laboratoire-calebasse/image/upload/v1753347311/_70fcb07874.jpg" TargetMode="External"/><Relationship Id="rId453" Type="http://schemas.openxmlformats.org/officeDocument/2006/relationships/hyperlink" Target="https://res.cloudinary.com/laboratoire-calebasse/image/upload/v1746528976/RENOUEE_DU_JAPON_100_g_AHZ_856e884973.jpg" TargetMode="External"/><Relationship Id="rId1288" Type="http://schemas.openxmlformats.org/officeDocument/2006/relationships/hyperlink" Target="https://res.cloudinary.com/laboratoire-calebasse/image/upload/v1738601761/Tisane_coup_de_froid_1_f61c59bd10.jpg" TargetMode="External"/><Relationship Id="rId452" Type="http://schemas.openxmlformats.org/officeDocument/2006/relationships/hyperlink" Target="https://calebasse.com/produits/hu-zhang-renouee-du-japon-3819?product=4305" TargetMode="External"/><Relationship Id="rId1289" Type="http://schemas.openxmlformats.org/officeDocument/2006/relationships/hyperlink" Target="https://calebasse.com/produits/jing-jie-di-long-tang-4689?product=6824" TargetMode="External"/><Relationship Id="rId3018" Type="http://schemas.openxmlformats.org/officeDocument/2006/relationships/hyperlink" Target="https://calebasse.com/produits/hua-zi-gu-nameko-4374?product=6273" TargetMode="External"/><Relationship Id="rId3017" Type="http://schemas.openxmlformats.org/officeDocument/2006/relationships/hyperlink" Target="https://res.cloudinary.com/laboratoire-calebasse/image/upload/v1753347268/_51e459b5fe.jpg" TargetMode="External"/><Relationship Id="rId3019" Type="http://schemas.openxmlformats.org/officeDocument/2006/relationships/hyperlink" Target="https://res.cloudinary.com/laboratoire-calebasse/image/upload/v1746526290/NAMEKO_50_g_MHZG_d23b925736.jpg" TargetMode="External"/><Relationship Id="rId491" Type="http://schemas.openxmlformats.org/officeDocument/2006/relationships/hyperlink" Target="https://res.cloudinary.com/laboratoire-calebasse/image/upload/v1746527469/HERBE_DE_L_IMMORTALITE_100_g_AJGL_4b34dc0089.jpg" TargetMode="External"/><Relationship Id="rId490" Type="http://schemas.openxmlformats.org/officeDocument/2006/relationships/hyperlink" Target="https://calebasse.com/produits/jiao-gu-lan-feuilles-de-couronne-bleue-3838?product=4350" TargetMode="External"/><Relationship Id="rId489" Type="http://schemas.openxmlformats.org/officeDocument/2006/relationships/hyperlink" Target="https://res.cloudinary.com/laboratoire-calebasse/image/upload/v1748268443/CELOSIA_50_g_AJGH_d97f222622.jpg" TargetMode="External"/><Relationship Id="rId484" Type="http://schemas.openxmlformats.org/officeDocument/2006/relationships/hyperlink" Target="https://calebasse.com/produits/jie-geng-racines-de-platycodon-3776?product=4356" TargetMode="External"/><Relationship Id="rId3010" Type="http://schemas.openxmlformats.org/officeDocument/2006/relationships/hyperlink" Target="https://calebasse.com/produits/huang-jin-gu-pleurote-jaune-4375?product=6275" TargetMode="External"/><Relationship Id="rId483" Type="http://schemas.openxmlformats.org/officeDocument/2006/relationships/hyperlink" Target="https://res.cloudinary.com/laboratoire-calebasse/image/upload/v1746525865/RACINES_DE_PLATYCODON_100_g_AJGEN_f30072fd6f.jpg" TargetMode="External"/><Relationship Id="rId482" Type="http://schemas.openxmlformats.org/officeDocument/2006/relationships/hyperlink" Target="https://calebasse.com/produits/jie-geng-racines-de-platycodon-3776?product=4357" TargetMode="External"/><Relationship Id="rId3012" Type="http://schemas.openxmlformats.org/officeDocument/2006/relationships/hyperlink" Target="https://calebasse.com/produits/hui-shu-hua-maitake-4368?product=6261" TargetMode="External"/><Relationship Id="rId481" Type="http://schemas.openxmlformats.org/officeDocument/2006/relationships/hyperlink" Target="https://res.cloudinary.com/laboratoire-calebasse/image/upload/v1704446664/A_jiegengcp_e90fb45b74.jpg" TargetMode="External"/><Relationship Id="rId3011" Type="http://schemas.openxmlformats.org/officeDocument/2006/relationships/hyperlink" Target="https://res.cloudinary.com/laboratoire-calebasse/image/upload/v1746535213/PLEUROTE_JAUNE_50_g_MHJG_7195166b61.jpg" TargetMode="External"/><Relationship Id="rId488" Type="http://schemas.openxmlformats.org/officeDocument/2006/relationships/hyperlink" Target="https://calebasse.com/produits/ji-guan-hua-celosia-3828?product=4336" TargetMode="External"/><Relationship Id="rId3014" Type="http://schemas.openxmlformats.org/officeDocument/2006/relationships/hyperlink" Target="https://calebasse.com/produits/hou-tou-gu-hydne-herisson-4381?product=6287" TargetMode="External"/><Relationship Id="rId487" Type="http://schemas.openxmlformats.org/officeDocument/2006/relationships/hyperlink" Target="https://res.cloudinary.com/laboratoire-calebasse/image/upload/v1704446689/A_jiegeng_GL_786f72bea7.jpg" TargetMode="External"/><Relationship Id="rId3013" Type="http://schemas.openxmlformats.org/officeDocument/2006/relationships/hyperlink" Target="https://res.cloudinary.com/laboratoire-calebasse/image/upload/v1746526319/MAITAKE_50_g_MHSH_0108f3ef3f.jpg" TargetMode="External"/><Relationship Id="rId486" Type="http://schemas.openxmlformats.org/officeDocument/2006/relationships/hyperlink" Target="https://calebasse.com/produits/jie-geng-racines-de-platycodon-3776?product=4359" TargetMode="External"/><Relationship Id="rId3016" Type="http://schemas.openxmlformats.org/officeDocument/2006/relationships/hyperlink" Target="https://calebasse.com/produits/hou-tou-gu-hydne-herisson-4381?product=7439" TargetMode="External"/><Relationship Id="rId485" Type="http://schemas.openxmlformats.org/officeDocument/2006/relationships/hyperlink" Target="https://res.cloudinary.com/laboratoire-calebasse/image/upload/v1747063845/RACINES_DE_PLATYCODON_300_g_AJGENL_df59bf826a.jpg" TargetMode="External"/><Relationship Id="rId3015" Type="http://schemas.openxmlformats.org/officeDocument/2006/relationships/hyperlink" Target="https://res.cloudinary.com/laboratoire-calebasse/image/upload/v1746526555/HYDNE_HERISSON_50_g_MHTG_a1c3f0184e.jpg" TargetMode="External"/><Relationship Id="rId3007" Type="http://schemas.openxmlformats.org/officeDocument/2006/relationships/hyperlink" Target="https://res.cloudinary.com/laboratoire-calebasse/image/upload/v1737114677/5_W0_A1263_63dad3d7df.jpg" TargetMode="External"/><Relationship Id="rId3006" Type="http://schemas.openxmlformats.org/officeDocument/2006/relationships/hyperlink" Target="https://calebasse.com/produits/cahier-calebasse-5153?product=7430" TargetMode="External"/><Relationship Id="rId3009" Type="http://schemas.openxmlformats.org/officeDocument/2006/relationships/hyperlink" Target="https://res.cloudinary.com/laboratoire-calebasse/image/upload/v1746526780/CHAGA_50_g_MBHR_a9e30e41ae.jpg" TargetMode="External"/><Relationship Id="rId3008" Type="http://schemas.openxmlformats.org/officeDocument/2006/relationships/hyperlink" Target="https://calebasse.com/produits/bai-hua-rong-chaga-4373?product=6271" TargetMode="External"/><Relationship Id="rId480" Type="http://schemas.openxmlformats.org/officeDocument/2006/relationships/hyperlink" Target="https://calebasse.com/produits/jie-geng-racines-de-platycodon-3776?product=4358" TargetMode="External"/><Relationship Id="rId479" Type="http://schemas.openxmlformats.org/officeDocument/2006/relationships/hyperlink" Target="https://res.cloudinary.com/laboratoire-calebasse/image/upload/v1751623856/CHAPELET_DE_CANTON_150_g_AJGCL_0db071ed8a.jpg" TargetMode="External"/><Relationship Id="rId478" Type="http://schemas.openxmlformats.org/officeDocument/2006/relationships/hyperlink" Target="https://calebasse.com/produits/ji-gu-cao-chapelet-de-canton-3823?product=4335" TargetMode="External"/><Relationship Id="rId473" Type="http://schemas.openxmlformats.org/officeDocument/2006/relationships/hyperlink" Target="https://res.cloudinary.com/laboratoire-calebasse/image/upload/v1634201111/A_jiucaizigl_66aa4286c5.jpg" TargetMode="External"/><Relationship Id="rId472" Type="http://schemas.openxmlformats.org/officeDocument/2006/relationships/hyperlink" Target="https://calebasse.com/produits/jiu-cai-zi-ciboule-de-chine-3804?product=4392" TargetMode="External"/><Relationship Id="rId471" Type="http://schemas.openxmlformats.org/officeDocument/2006/relationships/hyperlink" Target="https://res.cloudinary.com/laboratoire-calebasse/image/upload/v1634201111/A_jiucaizicp_7c757abb2d.jpg" TargetMode="External"/><Relationship Id="rId3001" Type="http://schemas.openxmlformats.org/officeDocument/2006/relationships/hyperlink" Target="https://res.cloudinary.com/laboratoire-calebasse/image/upload/v1713947537/45_ccedb12bee.jpg" TargetMode="External"/><Relationship Id="rId470" Type="http://schemas.openxmlformats.org/officeDocument/2006/relationships/hyperlink" Target="https://calebasse.com/produits/jiu-cai-zi-ciboule-de-chine-3804?product=4390" TargetMode="External"/><Relationship Id="rId3000" Type="http://schemas.openxmlformats.org/officeDocument/2006/relationships/hyperlink" Target="https://calebasse.com/produits/ren-ti-gu-ge-mu-xing-modele-de-squelette-humain-5015?product=7232" TargetMode="External"/><Relationship Id="rId477" Type="http://schemas.openxmlformats.org/officeDocument/2006/relationships/hyperlink" Target="https://res.cloudinary.com/laboratoire-calebasse/image/upload/v1751623868/CHAPELET_DE_CANTON_50_g_AJGC_7243b8f4cd.jpg" TargetMode="External"/><Relationship Id="rId3003" Type="http://schemas.openxmlformats.org/officeDocument/2006/relationships/hyperlink" Target="https://res.cloudinary.com/laboratoire-calebasse/image/upload/v1713947509/180_4b7834fdfa.jpg" TargetMode="External"/><Relationship Id="rId476" Type="http://schemas.openxmlformats.org/officeDocument/2006/relationships/hyperlink" Target="https://calebasse.com/produits/ji-gu-cao-chapelet-de-canton-3823?product=4334" TargetMode="External"/><Relationship Id="rId3002" Type="http://schemas.openxmlformats.org/officeDocument/2006/relationships/hyperlink" Target="https://calebasse.com/produits/ren-ti-gu-ge-mu-xing-modele-de-squelette-humain-5015?product=7233" TargetMode="External"/><Relationship Id="rId475" Type="http://schemas.openxmlformats.org/officeDocument/2006/relationships/hyperlink" Target="https://res.cloudinary.com/laboratoire-calebasse/image/upload/v1747063860/CIBOULE_DE_CHINE_300_g_AJCZL_56e808ef88.jpg" TargetMode="External"/><Relationship Id="rId3005" Type="http://schemas.openxmlformats.org/officeDocument/2006/relationships/hyperlink" Target="https://res.cloudinary.com/laboratoire-calebasse/image/upload/v1737113652/5_W0_A1246_641d6b19ea.jpg" TargetMode="External"/><Relationship Id="rId474" Type="http://schemas.openxmlformats.org/officeDocument/2006/relationships/hyperlink" Target="https://calebasse.com/produits/jiu-cai-zi-ciboule-de-chine-3804?product=4389" TargetMode="External"/><Relationship Id="rId3004" Type="http://schemas.openxmlformats.org/officeDocument/2006/relationships/hyperlink" Target="https://calebasse.com/produits/cahier-calebasse-5153?product=7429" TargetMode="External"/><Relationship Id="rId1257" Type="http://schemas.openxmlformats.org/officeDocument/2006/relationships/hyperlink" Target="https://calebasse.com/produits/bu-qi-shou-shen-pao-jiao-bao-bain-de-pieds-pour-le-tonus-et-la-minceur-4544?product=6573" TargetMode="External"/><Relationship Id="rId2588" Type="http://schemas.openxmlformats.org/officeDocument/2006/relationships/hyperlink" Target="https://calebasse.com/produits/100-aiguilles-sans-tube-020-x-40-mm-5183?product=7492" TargetMode="External"/><Relationship Id="rId1258" Type="http://schemas.openxmlformats.org/officeDocument/2006/relationships/hyperlink" Target="https://res.cloudinary.com/laboratoire-calebasse/image/upload/v1744105179/bain_de_pieds_small_mockup_MAX_16b37d455d.jpg" TargetMode="External"/><Relationship Id="rId2589" Type="http://schemas.openxmlformats.org/officeDocument/2006/relationships/hyperlink" Target="https://res.cloudinary.com/laboratoire-calebasse/image/upload/v1668595419/aiguille40_49c2e7cad0.jpg" TargetMode="External"/><Relationship Id="rId1259" Type="http://schemas.openxmlformats.org/officeDocument/2006/relationships/hyperlink" Target="https://calebasse.com/produits/bu-qi-shou-shen-pao-jiao-bao-bain-de-pieds-pour-le-tonus-et-la-minceur-4544?product=6908" TargetMode="External"/><Relationship Id="rId426" Type="http://schemas.openxmlformats.org/officeDocument/2006/relationships/hyperlink" Target="https://res.cloudinary.com/laboratoire-calebasse/image/upload/v1719239273/A_huishuhua_GL_02b6f1ba60.jpg" TargetMode="External"/><Relationship Id="rId425" Type="http://schemas.openxmlformats.org/officeDocument/2006/relationships/hyperlink" Target="https://calebasse.com/produits/hui-shu-hua-maitake-4368?product=7324" TargetMode="External"/><Relationship Id="rId424" Type="http://schemas.openxmlformats.org/officeDocument/2006/relationships/hyperlink" Target="https://res.cloudinary.com/laboratoire-calebasse/image/upload/v1754486195/hong_shen_8447ec7aac.jpg" TargetMode="External"/><Relationship Id="rId423" Type="http://schemas.openxmlformats.org/officeDocument/2006/relationships/hyperlink" Target="https://calebasse.com/produits/hong-shen-racine-de-ginseng-rouge-3835?product=4282" TargetMode="External"/><Relationship Id="rId429" Type="http://schemas.openxmlformats.org/officeDocument/2006/relationships/hyperlink" Target="https://calebasse.com/produits/he-shou-wu-renouee-a-fleurs-multiples-3820?product=4252" TargetMode="External"/><Relationship Id="rId428" Type="http://schemas.openxmlformats.org/officeDocument/2006/relationships/hyperlink" Target="https://res.cloudinary.com/laboratoire-calebasse/image/upload/v1746524166/RENOUEE_A_FLEURS_MULTIPLES_100_g_AHSW_1c00db4a6c.jpg" TargetMode="External"/><Relationship Id="rId427" Type="http://schemas.openxmlformats.org/officeDocument/2006/relationships/hyperlink" Target="https://calebasse.com/produits/he-shou-wu-renouee-a-fleurs-multiples-3820?product=4249" TargetMode="External"/><Relationship Id="rId2580" Type="http://schemas.openxmlformats.org/officeDocument/2006/relationships/hyperlink" Target="https://calebasse.com/produits/100-aiguilles-couteau-040-x-40-mm-4572?product=6727" TargetMode="External"/><Relationship Id="rId1250" Type="http://schemas.openxmlformats.org/officeDocument/2006/relationships/hyperlink" Target="https://calebasse.com/produits/an-shen-cha-tisane-detente-et-sommeil-reparateur-3971?product=4912" TargetMode="External"/><Relationship Id="rId2581" Type="http://schemas.openxmlformats.org/officeDocument/2006/relationships/hyperlink" Target="https://res.cloudinary.com/laboratoire-calebasse/image/upload/v1668588229/Lame_d_acupuncture_404b670809.jpg" TargetMode="External"/><Relationship Id="rId1251" Type="http://schemas.openxmlformats.org/officeDocument/2006/relationships/hyperlink" Target="https://res.cloudinary.com/laboratoire-calebasse/image/upload/v1746524886/DETENTE_SOMMEIL_100_g_BASC_2025_03_26_DETENTE_SOMMEIL_100_g_BASC_7bb95ea915.jpg" TargetMode="External"/><Relationship Id="rId2582" Type="http://schemas.openxmlformats.org/officeDocument/2006/relationships/hyperlink" Target="https://calebasse.com/produits/100-aiguilles-couteau-040-x-40-mm-4572?product=6802" TargetMode="External"/><Relationship Id="rId1252" Type="http://schemas.openxmlformats.org/officeDocument/2006/relationships/hyperlink" Target="https://res.cloudinary.com/laboratoire-calebasse/image/upload/v1746524886/DETENTE_SOMMEIL_100_g_BASC_2025_03_26_DETENTE_SOMMEIL_100_g_BASC_7bb95ea915.jpg" TargetMode="External"/><Relationship Id="rId2583" Type="http://schemas.openxmlformats.org/officeDocument/2006/relationships/hyperlink" Target="https://res.cloudinary.com/laboratoire-calebasse/image/upload/v1668588229/Lame_d_acupuncture_404b670809.jpg" TargetMode="External"/><Relationship Id="rId422" Type="http://schemas.openxmlformats.org/officeDocument/2006/relationships/hyperlink" Target="https://res.cloudinary.com/laboratoire-calebasse/image/upload/v1747062289/ASTRAGALE_RACINES_300_g_AHQSL_bb88db82ef.jpg" TargetMode="External"/><Relationship Id="rId1253" Type="http://schemas.openxmlformats.org/officeDocument/2006/relationships/hyperlink" Target="https://calebasse.com/produits/tisane-serenite-nocturne-5106?product=7343" TargetMode="External"/><Relationship Id="rId2584" Type="http://schemas.openxmlformats.org/officeDocument/2006/relationships/hyperlink" Target="https://calebasse.com/produits/cai-xue-zhen-aiguilles-a-saignee-a-usage-unique-23g-120102?product=7230" TargetMode="External"/><Relationship Id="rId421" Type="http://schemas.openxmlformats.org/officeDocument/2006/relationships/hyperlink" Target="https://calebasse.com/produits/huang-qi-sheng-astragale-4498?product=4330" TargetMode="External"/><Relationship Id="rId1254" Type="http://schemas.openxmlformats.org/officeDocument/2006/relationships/hyperlink" Target="https://res.cloudinary.com/laboratoire-calebasse/image/upload/v1752221748/REPARATRICE_POST_NUIT_BLANCHE_100_g_BAYJJS_080980dfe9.jpg" TargetMode="External"/><Relationship Id="rId2585" Type="http://schemas.openxmlformats.org/officeDocument/2006/relationships/hyperlink" Target="https://res.cloudinary.com/laboratoire-calebasse/image/upload/v1701357092/_a2742b4475.jpg" TargetMode="External"/><Relationship Id="rId420" Type="http://schemas.openxmlformats.org/officeDocument/2006/relationships/hyperlink" Target="https://res.cloudinary.com/laboratoire-calebasse/image/upload/v1746535139/ASTRAGALE_RACINES_100_g_AHQS_523f9c72d2.jpg" TargetMode="External"/><Relationship Id="rId1255" Type="http://schemas.openxmlformats.org/officeDocument/2006/relationships/hyperlink" Target="https://calebasse.com/produits/tisane-serenite-nocturne-5106?product=7424" TargetMode="External"/><Relationship Id="rId2586" Type="http://schemas.openxmlformats.org/officeDocument/2006/relationships/hyperlink" Target="https://calebasse.com/produits/100-aiguilles-sans-tube-020-x-40-mm-5183?product=7491" TargetMode="External"/><Relationship Id="rId1256" Type="http://schemas.openxmlformats.org/officeDocument/2006/relationships/hyperlink" Target="https://res.cloudinary.com/laboratoire-calebasse/image/upload/v1753347247/_6fb9dd7dc9.jpg" TargetMode="External"/><Relationship Id="rId2587" Type="http://schemas.openxmlformats.org/officeDocument/2006/relationships/hyperlink" Target="https://res.cloudinary.com/laboratoire-calebasse/image/upload/v1668595419/aiguille40_49c2e7cad0.jpg" TargetMode="External"/><Relationship Id="rId1246" Type="http://schemas.openxmlformats.org/officeDocument/2006/relationships/hyperlink" Target="https://calebasse.com/produits/ze-xie-fu-chao-plantain-aquatique-saute-au-son-de-ble-3962?product=4870" TargetMode="External"/><Relationship Id="rId2577" Type="http://schemas.openxmlformats.org/officeDocument/2006/relationships/hyperlink" Target="https://res.cloudinary.com/laboratoire-calebasse/image/upload/v1668595419/aiguille40_49c2e7cad0.jpg" TargetMode="External"/><Relationship Id="rId1247" Type="http://schemas.openxmlformats.org/officeDocument/2006/relationships/hyperlink" Target="https://res.cloudinary.com/laboratoire-calebasse/image/upload/v1718615724/A_zexiegl_eeec93b6a8.jpg" TargetMode="External"/><Relationship Id="rId2578" Type="http://schemas.openxmlformats.org/officeDocument/2006/relationships/hyperlink" Target="https://calebasse.com/produits/100-aiguilles-sans-tube-030-x-40-mm-4593?product=6657" TargetMode="External"/><Relationship Id="rId1248" Type="http://schemas.openxmlformats.org/officeDocument/2006/relationships/hyperlink" Target="https://calebasse.com/produits/ze-xie-fu-chao-plantain-aquatique-saute-au-son-de-ble-3962?product=4866" TargetMode="External"/><Relationship Id="rId2579" Type="http://schemas.openxmlformats.org/officeDocument/2006/relationships/hyperlink" Target="https://res.cloudinary.com/laboratoire-calebasse/image/upload/v1668595419/aiguille40_49c2e7cad0.jpg" TargetMode="External"/><Relationship Id="rId1249" Type="http://schemas.openxmlformats.org/officeDocument/2006/relationships/hyperlink" Target="https://res.cloudinary.com/laboratoire-calebasse/image/upload/v1751623641/PLANTAIN_AQUATIQUE_SAUTE_AU_SON_DE_BLE_300_g_AZXL_1d71c6fa55.jpg" TargetMode="External"/><Relationship Id="rId415" Type="http://schemas.openxmlformats.org/officeDocument/2006/relationships/hyperlink" Target="https://calebasse.com/produits/hong-qiao-mei-gomphrena-prunier-3834?product=7444" TargetMode="External"/><Relationship Id="rId414" Type="http://schemas.openxmlformats.org/officeDocument/2006/relationships/hyperlink" Target="https://res.cloudinary.com/laboratoire-calebasse/image/upload/v1746527399/GOMPHRENA_PRUNIER_50_g_AHQMEI_e83529cd28.jpg" TargetMode="External"/><Relationship Id="rId413" Type="http://schemas.openxmlformats.org/officeDocument/2006/relationships/hyperlink" Target="https://calebasse.com/produits/hong-qiao-mei-gomphrena-prunier-3834?product=4277" TargetMode="External"/><Relationship Id="rId412" Type="http://schemas.openxmlformats.org/officeDocument/2006/relationships/hyperlink" Target="https://res.cloudinary.com/laboratoire-calebasse/image/upload/v1746527429/LEVURE_DE_RIZ_ROUGE_100_g_AHQM_bcdec27167.jpg" TargetMode="External"/><Relationship Id="rId419" Type="http://schemas.openxmlformats.org/officeDocument/2006/relationships/hyperlink" Target="https://calebasse.com/produits/huang-qi-sheng-astragale-4498?product=4327" TargetMode="External"/><Relationship Id="rId418" Type="http://schemas.openxmlformats.org/officeDocument/2006/relationships/hyperlink" Target="https://res.cloudinary.com/laboratoire-calebasse/image/upload/v1747064667/LEVURE_DE_RIZ_ROUGE_300_g_AHQML_9ee09a5418.jpg" TargetMode="External"/><Relationship Id="rId417" Type="http://schemas.openxmlformats.org/officeDocument/2006/relationships/hyperlink" Target="https://calebasse.com/produits/hong-qu-mi-levure-de-riz-rouge-3833?product=4281" TargetMode="External"/><Relationship Id="rId416" Type="http://schemas.openxmlformats.org/officeDocument/2006/relationships/hyperlink" Target="https://res.cloudinary.com/laboratoire-calebasse/image/upload/v1753347294/_815d996f6d.jpg" TargetMode="External"/><Relationship Id="rId2570" Type="http://schemas.openxmlformats.org/officeDocument/2006/relationships/hyperlink" Target="https://calebasse.com/produits/100-aiguilles-sans-tube-020-x-25-mm-4740?product=6627" TargetMode="External"/><Relationship Id="rId1240" Type="http://schemas.openxmlformats.org/officeDocument/2006/relationships/hyperlink" Target="https://calebasse.com/produits/zi-su-zi-graines-de-perille-3970?product=4907" TargetMode="External"/><Relationship Id="rId2571" Type="http://schemas.openxmlformats.org/officeDocument/2006/relationships/hyperlink" Target="https://res.cloudinary.com/laboratoire-calebasse/image/upload/v1668593087/aiguille25_3a998bac73.jpg" TargetMode="External"/><Relationship Id="rId1241" Type="http://schemas.openxmlformats.org/officeDocument/2006/relationships/hyperlink" Target="https://res.cloudinary.com/laboratoire-calebasse/image/upload/v1748271033/GRAINES_DE_PERILLE_300_g_AZSZL_ca86444958.jpg" TargetMode="External"/><Relationship Id="rId2572" Type="http://schemas.openxmlformats.org/officeDocument/2006/relationships/hyperlink" Target="https://calebasse.com/produits/100-aiguilles-sans-tube-025-x-40-mm-4592?product=6455" TargetMode="External"/><Relationship Id="rId411" Type="http://schemas.openxmlformats.org/officeDocument/2006/relationships/hyperlink" Target="https://calebasse.com/produits/hong-qu-mi-levure-de-riz-rouge-3833?product=4280" TargetMode="External"/><Relationship Id="rId1242" Type="http://schemas.openxmlformats.org/officeDocument/2006/relationships/hyperlink" Target="https://calebasse.com/produits/ze-xie-fu-chao-plantain-aquatique-saute-au-son-de-ble-3962?product=4864" TargetMode="External"/><Relationship Id="rId2573" Type="http://schemas.openxmlformats.org/officeDocument/2006/relationships/hyperlink" Target="https://res.cloudinary.com/laboratoire-calebasse/image/upload/v1654241204/0_25_40_5_ab35a8539c.jpg" TargetMode="External"/><Relationship Id="rId410" Type="http://schemas.openxmlformats.org/officeDocument/2006/relationships/hyperlink" Target="https://res.cloudinary.com/laboratoire-calebasse/image/upload/v1747064195/MAGNOLIA_ECORCE_300_g_AHPL_4a258683eb.jpg" TargetMode="External"/><Relationship Id="rId1243" Type="http://schemas.openxmlformats.org/officeDocument/2006/relationships/hyperlink" Target="https://res.cloudinary.com/laboratoire-calebasse/image/upload/v1751623767/PLANTAIN_AQUATIQUE_SAUTE_AU_SON_DE_BLE_100_g_AZX_e0cfdce20f.jpg" TargetMode="External"/><Relationship Id="rId2574" Type="http://schemas.openxmlformats.org/officeDocument/2006/relationships/hyperlink" Target="https://calebasse.com/produits/100-aiguilles-sans-tube-025-x-40-mm-4592?product=6465" TargetMode="External"/><Relationship Id="rId1244" Type="http://schemas.openxmlformats.org/officeDocument/2006/relationships/hyperlink" Target="https://calebasse.com/produits/ze-xie-fu-chao-plantain-aquatique-saute-au-son-de-ble-3962?product=4868" TargetMode="External"/><Relationship Id="rId2575" Type="http://schemas.openxmlformats.org/officeDocument/2006/relationships/hyperlink" Target="https://res.cloudinary.com/laboratoire-calebasse/image/upload/v1654241204/0_25_40_5_ab35a8539c.jpg" TargetMode="External"/><Relationship Id="rId1245" Type="http://schemas.openxmlformats.org/officeDocument/2006/relationships/hyperlink" Target="https://res.cloudinary.com/laboratoire-calebasse/image/upload/v1718615594/A_zexiecp_06134e06b0.jpg" TargetMode="External"/><Relationship Id="rId2576" Type="http://schemas.openxmlformats.org/officeDocument/2006/relationships/hyperlink" Target="https://calebasse.com/produits/100-aiguilles-sans-tube-030-x-40-mm-4593?product=6656" TargetMode="External"/><Relationship Id="rId1279" Type="http://schemas.openxmlformats.org/officeDocument/2006/relationships/hyperlink" Target="https://calebasse.com/produits/huo-xiang-zheng-qi-tang-tisane-digestion-difficile-3978?product=4927" TargetMode="External"/><Relationship Id="rId448" Type="http://schemas.openxmlformats.org/officeDocument/2006/relationships/hyperlink" Target="https://calebasse.com/produits/he-ye-feuilles-de-lotus-3826?product=4261" TargetMode="External"/><Relationship Id="rId447" Type="http://schemas.openxmlformats.org/officeDocument/2006/relationships/hyperlink" Target="https://res.cloudinary.com/laboratoire-calebasse/image/upload/v1634201104/A_heyecp_1e2be59e9b.jpg" TargetMode="External"/><Relationship Id="rId446" Type="http://schemas.openxmlformats.org/officeDocument/2006/relationships/hyperlink" Target="https://calebasse.com/produits/he-ye-feuilles-de-lotus-3826?product=4257" TargetMode="External"/><Relationship Id="rId445" Type="http://schemas.openxmlformats.org/officeDocument/2006/relationships/hyperlink" Target="https://res.cloudinary.com/laboratoire-calebasse/image/upload/v1751623618/FEUILLES_DE_LOTUS_50_g_AHY_79e470caa6.jpg" TargetMode="External"/><Relationship Id="rId449" Type="http://schemas.openxmlformats.org/officeDocument/2006/relationships/hyperlink" Target="https://res.cloudinary.com/laboratoire-calebasse/image/upload/v1634201110/A_heyegl_88b42623e8.jpg" TargetMode="External"/><Relationship Id="rId1270" Type="http://schemas.openxmlformats.org/officeDocument/2006/relationships/hyperlink" Target="https://res.cloudinary.com/laboratoire-calebasse/image/upload/v1746534951/TISANE_DIGESTION_DES_CEREALES_100_g_BFZT_b167c0320f.jpg" TargetMode="External"/><Relationship Id="rId440" Type="http://schemas.openxmlformats.org/officeDocument/2006/relationships/hyperlink" Target="https://calebasse.com/produits/guang-huo-xiang-patchouli-3802?product=4214" TargetMode="External"/><Relationship Id="rId1271" Type="http://schemas.openxmlformats.org/officeDocument/2006/relationships/hyperlink" Target="https://calebasse.com/produits/gan-mai-da-zao-tang-tisane-nuit-paisible-4483?product=4922" TargetMode="External"/><Relationship Id="rId1272" Type="http://schemas.openxmlformats.org/officeDocument/2006/relationships/hyperlink" Target="https://res.cloudinary.com/laboratoire-calebasse/image/upload/v1746526647/TISANE_NUIT_PAISIBLE_100_g_BGMDZT_05bdf53c3f.jpg" TargetMode="External"/><Relationship Id="rId1273" Type="http://schemas.openxmlformats.org/officeDocument/2006/relationships/hyperlink" Target="https://calebasse.com/produits/hu-jia-fang-tisane-sante-des-ongles-4539?product=6568" TargetMode="External"/><Relationship Id="rId1274" Type="http://schemas.openxmlformats.org/officeDocument/2006/relationships/hyperlink" Target="https://res.cloudinary.com/laboratoire-calebasse/image/upload/v1744105625/bain_de_pieds_large_mockup_MAX_878172d518.jpg" TargetMode="External"/><Relationship Id="rId444" Type="http://schemas.openxmlformats.org/officeDocument/2006/relationships/hyperlink" Target="https://calebasse.com/produits/he-ye-feuilles-de-lotus-3826?product=4256" TargetMode="External"/><Relationship Id="rId1275" Type="http://schemas.openxmlformats.org/officeDocument/2006/relationships/hyperlink" Target="https://calebasse.com/produits/huang-qi-bu-nao-tang-tisane-memoire-des-seniors-3976?product=4924" TargetMode="External"/><Relationship Id="rId443" Type="http://schemas.openxmlformats.org/officeDocument/2006/relationships/hyperlink" Target="https://res.cloudinary.com/laboratoire-calebasse/image/upload/v1747064895/PATCHOULI_200_g_AHXL_0a7d4343ba.jpg" TargetMode="External"/><Relationship Id="rId1276" Type="http://schemas.openxmlformats.org/officeDocument/2006/relationships/hyperlink" Target="https://res.cloudinary.com/laboratoire-calebasse/image/upload/v1746535200/TISANE_MEMOIRE_DES_SENIORS_100_g_BHQBNT_f5481ccdb5.jpg" TargetMode="External"/><Relationship Id="rId442" Type="http://schemas.openxmlformats.org/officeDocument/2006/relationships/hyperlink" Target="https://calebasse.com/produits/guang-huo-xiang-patchouli-3802?product=4211" TargetMode="External"/><Relationship Id="rId1277" Type="http://schemas.openxmlformats.org/officeDocument/2006/relationships/hyperlink" Target="https://calebasse.com/produits/huang-qi-sheng-mai-yin-decoction-pour-generer-le-pouls-3979?product=4926" TargetMode="External"/><Relationship Id="rId441" Type="http://schemas.openxmlformats.org/officeDocument/2006/relationships/hyperlink" Target="https://res.cloudinary.com/laboratoire-calebasse/image/upload/v1635946914/A_guanghuoxianggl_041e2d8f7b.jpg" TargetMode="External"/><Relationship Id="rId1278" Type="http://schemas.openxmlformats.org/officeDocument/2006/relationships/hyperlink" Target="https://res.cloudinary.com/laboratoire-calebasse/image/upload/v1746535177/DECOCTION_POUR_GENERER_LE_POULS_100_g_BHQSMY_328c8532b4.jpg" TargetMode="External"/><Relationship Id="rId1268" Type="http://schemas.openxmlformats.org/officeDocument/2006/relationships/hyperlink" Target="https://res.cloudinary.com/laboratoire-calebasse/image/upload/v1744105268/bain_de_pieds_large_mockup_MAX_80abc50a76.jpg" TargetMode="External"/><Relationship Id="rId2599" Type="http://schemas.openxmlformats.org/officeDocument/2006/relationships/hyperlink" Target="https://res.cloudinary.com/laboratoire-calebasse/image/upload/v1668611176/aiguille15_92ec91090e.jpg" TargetMode="External"/><Relationship Id="rId1269" Type="http://schemas.openxmlformats.org/officeDocument/2006/relationships/hyperlink" Target="https://calebasse.com/produits/fu-zhi-tang-tisane-digestion-des-cereales-3977?product=4920" TargetMode="External"/><Relationship Id="rId437" Type="http://schemas.openxmlformats.org/officeDocument/2006/relationships/hyperlink" Target="https://res.cloudinary.com/laboratoire-calebasse/image/upload/v1746525097/PATCHOULI_50_g_AHX_bfdb532f56.jpg" TargetMode="External"/><Relationship Id="rId436" Type="http://schemas.openxmlformats.org/officeDocument/2006/relationships/hyperlink" Target="https://calebasse.com/produits/guang-huo-xiang-patchouli-3802?product=4210" TargetMode="External"/><Relationship Id="rId435" Type="http://schemas.openxmlformats.org/officeDocument/2006/relationships/hyperlink" Target="https://res.cloudinary.com/laboratoire-calebasse/image/upload/v1747064180/PEAU_D_ARACHIDE_240_g_AHSYL_154d581c85.jpg" TargetMode="External"/><Relationship Id="rId434" Type="http://schemas.openxmlformats.org/officeDocument/2006/relationships/hyperlink" Target="https://calebasse.com/produits/hua-sheng-yi-peau-darachide-3825?product=4313" TargetMode="External"/><Relationship Id="rId439" Type="http://schemas.openxmlformats.org/officeDocument/2006/relationships/hyperlink" Target="https://res.cloudinary.com/laboratoire-calebasse/image/upload/v1635948048/A_guanghuoxiangcp_6156870380.jpg" TargetMode="External"/><Relationship Id="rId438" Type="http://schemas.openxmlformats.org/officeDocument/2006/relationships/hyperlink" Target="https://calebasse.com/produits/guang-huo-xiang-patchouli-3802?product=4212" TargetMode="External"/><Relationship Id="rId2590" Type="http://schemas.openxmlformats.org/officeDocument/2006/relationships/hyperlink" Target="https://calebasse.com/produits/100-aiguilles-sans-tube-025-x-75-mm-4594?product=6457" TargetMode="External"/><Relationship Id="rId1260" Type="http://schemas.openxmlformats.org/officeDocument/2006/relationships/hyperlink" Target="https://res.cloudinary.com/laboratoire-calebasse/image/upload/v1744105157/bain_de_pieds_large_mockup_MAX_c48553b719.jpg" TargetMode="External"/><Relationship Id="rId2591" Type="http://schemas.openxmlformats.org/officeDocument/2006/relationships/hyperlink" Target="https://res.cloudinary.com/laboratoire-calebasse/image/upload/v1657542698/0_25x75_1_75aedd9bdc.jpg" TargetMode="External"/><Relationship Id="rId1261" Type="http://schemas.openxmlformats.org/officeDocument/2006/relationships/hyperlink" Target="https://calebasse.com/produits/bai-shao-zhi-tong-tang-tisane-confort-articulaire-3972?product=4914" TargetMode="External"/><Relationship Id="rId2592" Type="http://schemas.openxmlformats.org/officeDocument/2006/relationships/hyperlink" Target="https://calebasse.com/produits/100-aiguilles-sans-tube-025-x-75-mm-4594?product=6474" TargetMode="External"/><Relationship Id="rId1262" Type="http://schemas.openxmlformats.org/officeDocument/2006/relationships/hyperlink" Target="https://res.cloudinary.com/laboratoire-calebasse/image/upload/v1746526816/TISANE_CONFORT_ARTICULAIRE_100_g_BBSZTT_b00d3da65f.jpg" TargetMode="External"/><Relationship Id="rId2593" Type="http://schemas.openxmlformats.org/officeDocument/2006/relationships/hyperlink" Target="https://res.cloudinary.com/laboratoire-calebasse/image/upload/v1657542712/0_25x75_1_8cae390a56.jpg" TargetMode="External"/><Relationship Id="rId1263" Type="http://schemas.openxmlformats.org/officeDocument/2006/relationships/hyperlink" Target="https://calebasse.com/produits/bai-shao-zhi-tong-tang-tisane-confort-articulaire-3972?product=7426" TargetMode="External"/><Relationship Id="rId2594" Type="http://schemas.openxmlformats.org/officeDocument/2006/relationships/hyperlink" Target="https://calebasse.com/produits/100-aiguilles-sans-tube-030-x-13-mm-4595?product=6648" TargetMode="External"/><Relationship Id="rId433" Type="http://schemas.openxmlformats.org/officeDocument/2006/relationships/hyperlink" Target="https://res.cloudinary.com/laboratoire-calebasse/image/upload/v1634201110/A_huashengyigl_3666ff44df.jpg" TargetMode="External"/><Relationship Id="rId1264" Type="http://schemas.openxmlformats.org/officeDocument/2006/relationships/hyperlink" Target="https://res.cloudinary.com/laboratoire-calebasse/image/upload/v1754312118/_a7a072b1ff.jpg" TargetMode="External"/><Relationship Id="rId2595" Type="http://schemas.openxmlformats.org/officeDocument/2006/relationships/hyperlink" Target="https://res.cloudinary.com/laboratoire-calebasse/image/upload/v1668595490/aiguille13_7379397886.jpg" TargetMode="External"/><Relationship Id="rId432" Type="http://schemas.openxmlformats.org/officeDocument/2006/relationships/hyperlink" Target="https://calebasse.com/produits/hua-sheng-yi-peau-darachide-3825?product=4314" TargetMode="External"/><Relationship Id="rId1265" Type="http://schemas.openxmlformats.org/officeDocument/2006/relationships/hyperlink" Target="https://calebasse.com/produits/chan-hou-hui-fu-pao-jiao-bao-bain-de-pieds-pour-la-recuperation-post-partum-4547?product=6575" TargetMode="External"/><Relationship Id="rId2596" Type="http://schemas.openxmlformats.org/officeDocument/2006/relationships/hyperlink" Target="https://calebasse.com/produits/100-aiguilles-sans-tube-030-x-13-mm-4595?product=6649" TargetMode="External"/><Relationship Id="rId431" Type="http://schemas.openxmlformats.org/officeDocument/2006/relationships/hyperlink" Target="https://res.cloudinary.com/laboratoire-calebasse/image/upload/v1746528113/PEAU_D_ARACHIDE_50_g_AHSY_3821021b16.jpg" TargetMode="External"/><Relationship Id="rId1266" Type="http://schemas.openxmlformats.org/officeDocument/2006/relationships/hyperlink" Target="https://res.cloudinary.com/laboratoire-calebasse/image/upload/v1744105288/bain_de_pieds_small_mockup_MAX_08c4f78d02.jpg" TargetMode="External"/><Relationship Id="rId2597" Type="http://schemas.openxmlformats.org/officeDocument/2006/relationships/hyperlink" Target="https://res.cloudinary.com/laboratoire-calebasse/image/upload/v1668595490/aiguille13_7379397886.jpg" TargetMode="External"/><Relationship Id="rId430" Type="http://schemas.openxmlformats.org/officeDocument/2006/relationships/hyperlink" Target="https://calebasse.com/produits/hua-sheng-yi-peau-darachide-3825?product=4311" TargetMode="External"/><Relationship Id="rId1267" Type="http://schemas.openxmlformats.org/officeDocument/2006/relationships/hyperlink" Target="https://calebasse.com/produits/chan-hou-hui-fu-pao-jiao-bao-bain-de-pieds-pour-la-recuperation-post-partum-4547?product=6904" TargetMode="External"/><Relationship Id="rId2598" Type="http://schemas.openxmlformats.org/officeDocument/2006/relationships/hyperlink" Target="https://calebasse.com/produits/100-aiguilles-sans-tube-030-x-15-mm-4613?product=6746" TargetMode="External"/><Relationship Id="rId3070" Type="http://schemas.openxmlformats.org/officeDocument/2006/relationships/hyperlink" Target="https://calebasse.com/produits/sachet-parfume-estival-fraicheur-equilibre-et-tradition-chinoise-5173?product=7477" TargetMode="External"/><Relationship Id="rId3072" Type="http://schemas.openxmlformats.org/officeDocument/2006/relationships/hyperlink" Target="https://calebasse.com/produits/sachet-parfume-estival-fraicheur-equilibre-et-tradition-chinoise-5173?product=7478" TargetMode="External"/><Relationship Id="rId3071" Type="http://schemas.openxmlformats.org/officeDocument/2006/relationships/hyperlink" Target="https://res.cloudinary.com/laboratoire-calebasse/image/upload/v1748341880/Web_1920_3_6dabf5a366.jpg" TargetMode="External"/><Relationship Id="rId3074" Type="http://schemas.openxmlformats.org/officeDocument/2006/relationships/hyperlink" Target="https://calebasse.com/produits/sachet-parfume-estival-fraicheur-equilibre-et-tradition-chinoise-5173?product=7479" TargetMode="External"/><Relationship Id="rId3073" Type="http://schemas.openxmlformats.org/officeDocument/2006/relationships/hyperlink" Target="https://res.cloudinary.com/laboratoire-calebasse/image/upload/v1748341890/Web_1920_7_85ee4a7e14.jpg" TargetMode="External"/><Relationship Id="rId3076" Type="http://schemas.openxmlformats.org/officeDocument/2006/relationships/hyperlink" Target="https://calebasse.com/produits/brosse-en-bois-de-santal-vert-5169?product=7489" TargetMode="External"/><Relationship Id="rId3075" Type="http://schemas.openxmlformats.org/officeDocument/2006/relationships/hyperlink" Target="https://res.cloudinary.com/laboratoire-calebasse/image/upload/v1746606041/Lot_de_5_recharges_grand_f7704ce5b2.jpg" TargetMode="External"/><Relationship Id="rId3078" Type="http://schemas.openxmlformats.org/officeDocument/2006/relationships/hyperlink" Target="https://calebasse.com/produits/brosse-en-bois-de-santal-vert-5169?product=7488" TargetMode="External"/><Relationship Id="rId3077" Type="http://schemas.openxmlformats.org/officeDocument/2006/relationships/hyperlink" Target="https://res.cloudinary.com/laboratoire-calebasse/image/upload/v1751269439/2_38d85948df.jpg" TargetMode="External"/><Relationship Id="rId3079" Type="http://schemas.openxmlformats.org/officeDocument/2006/relationships/hyperlink" Target="https://res.cloudinary.com/laboratoire-calebasse/image/upload/v1751269217/1_c471addc69.jpg" TargetMode="External"/><Relationship Id="rId3061" Type="http://schemas.openxmlformats.org/officeDocument/2006/relationships/hyperlink" Target="https://res.cloudinary.com/laboratoire-calebasse/image/upload/v1746519066/_3b65948031.jpg" TargetMode="External"/><Relationship Id="rId3060" Type="http://schemas.openxmlformats.org/officeDocument/2006/relationships/hyperlink" Target="https://calebasse.com/produits/masseur-en-forme-de-lapin-en-bois-de-santal-5170?product=7467" TargetMode="External"/><Relationship Id="rId3063" Type="http://schemas.openxmlformats.org/officeDocument/2006/relationships/hyperlink" Target="https://res.cloudinary.com/laboratoire-calebasse/image/upload/v1746539847/min_d9e0cbd83a.jpg" TargetMode="External"/><Relationship Id="rId3062" Type="http://schemas.openxmlformats.org/officeDocument/2006/relationships/hyperlink" Target="https://calebasse.com/produits/eventail-rond-brode-brise-ete-asiatique-5177?product=7472" TargetMode="External"/><Relationship Id="rId3065" Type="http://schemas.openxmlformats.org/officeDocument/2006/relationships/hyperlink" Target="https://res.cloudinary.com/laboratoire-calebasse/image/upload/v1746540108/_095ef399d7.jpg" TargetMode="External"/><Relationship Id="rId3064" Type="http://schemas.openxmlformats.org/officeDocument/2006/relationships/hyperlink" Target="https://calebasse.com/produits/eventail-rond-brode-brise-ete-asiatique-5177?product=7474" TargetMode="External"/><Relationship Id="rId3067" Type="http://schemas.openxmlformats.org/officeDocument/2006/relationships/hyperlink" Target="https://res.cloudinary.com/laboratoire-calebasse/image/upload/v1748341860/Web_1920_1_0a563a874f.jpg" TargetMode="External"/><Relationship Id="rId3066" Type="http://schemas.openxmlformats.org/officeDocument/2006/relationships/hyperlink" Target="https://calebasse.com/produits/sachet-parfume-estival-fraicheur-equilibre-et-tradition-chinoise-5173?product=7475" TargetMode="External"/><Relationship Id="rId3069" Type="http://schemas.openxmlformats.org/officeDocument/2006/relationships/hyperlink" Target="https://res.cloudinary.com/laboratoire-calebasse/image/upload/v1748341870/Web_1920_5_03deb963af.jpg" TargetMode="External"/><Relationship Id="rId3068" Type="http://schemas.openxmlformats.org/officeDocument/2006/relationships/hyperlink" Target="https://calebasse.com/produits/sachet-parfume-estival-fraicheur-equilibre-et-tradition-chinoise-5173?product=7476" TargetMode="External"/><Relationship Id="rId3090" Type="http://schemas.openxmlformats.org/officeDocument/2006/relationships/hyperlink" Target="https://calebasse.com/produits/bo-li-ba-huo-guan-ventouse-en-verre-5051?product=7303" TargetMode="External"/><Relationship Id="rId3092" Type="http://schemas.openxmlformats.org/officeDocument/2006/relationships/hyperlink" Target="https://calebasse.com/produits/bo-li-ba-huo-guan-ventouse-en-verre-5051?product=7304" TargetMode="External"/><Relationship Id="rId3091" Type="http://schemas.openxmlformats.org/officeDocument/2006/relationships/hyperlink" Target="https://res.cloudinary.com/laboratoire-calebasse/image/upload/v1734708095/3_ee0a5846b5.jpg" TargetMode="External"/><Relationship Id="rId3094" Type="http://schemas.openxmlformats.org/officeDocument/2006/relationships/hyperlink" Target="https://calebasse.com/produits/bo-li-ba-huo-guan-ventouse-en-verre-5051?product=7305" TargetMode="External"/><Relationship Id="rId3093" Type="http://schemas.openxmlformats.org/officeDocument/2006/relationships/hyperlink" Target="https://res.cloudinary.com/laboratoire-calebasse/image/upload/v1734708107/4_23cffe8064.jpg" TargetMode="External"/><Relationship Id="rId3096" Type="http://schemas.openxmlformats.org/officeDocument/2006/relationships/hyperlink" Target="https://calebasse.com/produits/bo-li-ba-huo-guan-ventouse-en-verre-5051?product=7306" TargetMode="External"/><Relationship Id="rId3095" Type="http://schemas.openxmlformats.org/officeDocument/2006/relationships/hyperlink" Target="https://res.cloudinary.com/laboratoire-calebasse/image/upload/v1734708124/5_2a9fc95780.jpg" TargetMode="External"/><Relationship Id="rId3098" Type="http://schemas.openxmlformats.org/officeDocument/2006/relationships/hyperlink" Target="https://calebasse.com/produits/tou-gu-mo-xing-crane-anatomique-humain-5061?product=7286" TargetMode="External"/><Relationship Id="rId3097" Type="http://schemas.openxmlformats.org/officeDocument/2006/relationships/hyperlink" Target="https://res.cloudinary.com/laboratoire-calebasse/image/upload/v1713170697/_177feb7e6b.jpg" TargetMode="External"/><Relationship Id="rId3099" Type="http://schemas.openxmlformats.org/officeDocument/2006/relationships/hyperlink" Target="https://res.cloudinary.com/laboratoire-calebasse/image/upload/v1713148400/2_17c6de5449.jpg" TargetMode="External"/><Relationship Id="rId3081" Type="http://schemas.openxmlformats.org/officeDocument/2006/relationships/hyperlink" Target="https://res.cloudinary.com/laboratoire-calebasse/image/upload/v1730892128/fond_sombre_venir_texte_rayons_ligne_1017_5056_d53a187194.jpg" TargetMode="External"/><Relationship Id="rId3080" Type="http://schemas.openxmlformats.org/officeDocument/2006/relationships/hyperlink" Target="https://calebasse.com/produits/nouveautes-creees-5107?product=7353" TargetMode="External"/><Relationship Id="rId3083" Type="http://schemas.openxmlformats.org/officeDocument/2006/relationships/hyperlink" Target="https://res.cloudinary.com/laboratoire-calebasse/image/upload/v1713148139/180_9e9912f15f.jpg" TargetMode="External"/><Relationship Id="rId3082" Type="http://schemas.openxmlformats.org/officeDocument/2006/relationships/hyperlink" Target="https://calebasse.com/produits/ren-ti-gu-ge-mo-xing-180-cm-squelette-homme-avec-muscle-et-ligaments-colores-180-cm-5060?product=7285" TargetMode="External"/><Relationship Id="rId3085" Type="http://schemas.openxmlformats.org/officeDocument/2006/relationships/hyperlink" Target="https://res.cloudinary.com/laboratoire-calebasse/image/upload/v1713147679/85cm_55cf05cecb.jpg" TargetMode="External"/><Relationship Id="rId3084" Type="http://schemas.openxmlformats.org/officeDocument/2006/relationships/hyperlink" Target="https://calebasse.com/produits/ren-ti-gu-ge-mo-xing-squelette-avec-nerfs-et-vaisseaux-sanguins-85-cm-5056?product=7284" TargetMode="External"/><Relationship Id="rId3087" Type="http://schemas.openxmlformats.org/officeDocument/2006/relationships/hyperlink" Target="https://res.cloudinary.com/laboratoire-calebasse/image/upload/v1734707974/1_49ee026cc6.jpg" TargetMode="External"/><Relationship Id="rId3086" Type="http://schemas.openxmlformats.org/officeDocument/2006/relationships/hyperlink" Target="https://calebasse.com/produits/bo-li-ba-huo-guan-ventouse-en-verre-5051?product=7301" TargetMode="External"/><Relationship Id="rId3089" Type="http://schemas.openxmlformats.org/officeDocument/2006/relationships/hyperlink" Target="https://res.cloudinary.com/laboratoire-calebasse/image/upload/v1734708077/2_8403abaf3f.jpg" TargetMode="External"/><Relationship Id="rId3088" Type="http://schemas.openxmlformats.org/officeDocument/2006/relationships/hyperlink" Target="https://calebasse.com/produits/bo-li-ba-huo-guan-ventouse-en-verre-5051?product=7302" TargetMode="External"/><Relationship Id="rId3039" Type="http://schemas.openxmlformats.org/officeDocument/2006/relationships/hyperlink" Target="https://res.cloudinary.com/laboratoire-calebasse/image/upload/v1751366064/3_a31fde218c.jpg" TargetMode="External"/><Relationship Id="rId1" Type="http://schemas.openxmlformats.org/officeDocument/2006/relationships/hyperlink" Target="https://calebasse.com/produits/ai-ye-armoise-argienne-3749?product=3946" TargetMode="External"/><Relationship Id="rId2" Type="http://schemas.openxmlformats.org/officeDocument/2006/relationships/hyperlink" Target="https://res.cloudinary.com/laboratoire-calebasse/image/upload/v1746528072/ARMOISE_ARGIENNE_100_g_AAY_2063fc7c33.jpg" TargetMode="External"/><Relationship Id="rId3" Type="http://schemas.openxmlformats.org/officeDocument/2006/relationships/hyperlink" Target="https://calebasse.com/produits/ai-ye-armoise-argienne-3749?product=3950" TargetMode="External"/><Relationship Id="rId4" Type="http://schemas.openxmlformats.org/officeDocument/2006/relationships/hyperlink" Target="https://res.cloudinary.com/laboratoire-calebasse/image/upload/v1634201092/A_aiyecp_571730ae92.jpg" TargetMode="External"/><Relationship Id="rId3030" Type="http://schemas.openxmlformats.org/officeDocument/2006/relationships/hyperlink" Target="https://calebasse.com/produits/ping-gu-pleurote-4377?product=6279" TargetMode="External"/><Relationship Id="rId9" Type="http://schemas.openxmlformats.org/officeDocument/2006/relationships/hyperlink" Target="https://calebasse.com/produits/bai-dou-kou-graines-de-cardamome-3746?product=3997" TargetMode="External"/><Relationship Id="rId3032" Type="http://schemas.openxmlformats.org/officeDocument/2006/relationships/hyperlink" Target="https://calebasse.com/produits/ping-gu-pleurote-4377?product=7375" TargetMode="External"/><Relationship Id="rId3031" Type="http://schemas.openxmlformats.org/officeDocument/2006/relationships/hyperlink" Target="https://res.cloudinary.com/laboratoire-calebasse/image/upload/v1746525072/PLEUROTE_50_g_MPG_78a57d36da.jpg" TargetMode="External"/><Relationship Id="rId3034" Type="http://schemas.openxmlformats.org/officeDocument/2006/relationships/hyperlink" Target="https://calebasse.com/produits/nouveautes-creees-5107?product=7355" TargetMode="External"/><Relationship Id="rId3033" Type="http://schemas.openxmlformats.org/officeDocument/2006/relationships/hyperlink" Target="https://res.cloudinary.com/laboratoire-calebasse/image/upload/v1753347679/_afb65511dd.jpg" TargetMode="External"/><Relationship Id="rId5" Type="http://schemas.openxmlformats.org/officeDocument/2006/relationships/hyperlink" Target="https://calebasse.com/produits/ai-ye-armoise-argienne-3749?product=3945" TargetMode="External"/><Relationship Id="rId3036" Type="http://schemas.openxmlformats.org/officeDocument/2006/relationships/hyperlink" Target="https://calebasse.com/produits/huang-tong-an-mo-shu-brosse-de-massage-en-laiton-5090?product=7347" TargetMode="External"/><Relationship Id="rId6" Type="http://schemas.openxmlformats.org/officeDocument/2006/relationships/hyperlink" Target="https://res.cloudinary.com/laboratoire-calebasse/image/upload/v1747133388/ARMOISE_ARGIENNE_200_g_AAYL_c60eb41815.jpg" TargetMode="External"/><Relationship Id="rId3035" Type="http://schemas.openxmlformats.org/officeDocument/2006/relationships/hyperlink" Target="https://res.cloudinary.com/laboratoire-calebasse/image/upload/v1730892128/fond_sombre_venir_texte_rayons_ligne_1017_5056_d53a187194.jpg" TargetMode="External"/><Relationship Id="rId7" Type="http://schemas.openxmlformats.org/officeDocument/2006/relationships/hyperlink" Target="https://calebasse.com/produits/ban-bian-lian-lobelie-5039?product=7262" TargetMode="External"/><Relationship Id="rId3038" Type="http://schemas.openxmlformats.org/officeDocument/2006/relationships/hyperlink" Target="https://calebasse.com/produits/boite-de-massage-et-moxa-en-pierre-de-bian-5182?product=7356" TargetMode="External"/><Relationship Id="rId8" Type="http://schemas.openxmlformats.org/officeDocument/2006/relationships/hyperlink" Target="https://res.cloudinary.com/laboratoire-calebasse/image/upload/v1746524521/LOBELIE_50_g_ABBL_dbb533607a.jpg" TargetMode="External"/><Relationship Id="rId3037" Type="http://schemas.openxmlformats.org/officeDocument/2006/relationships/hyperlink" Target="https://res.cloudinary.com/laboratoire-calebasse/image/upload/v1732637869/brosse_de_massage_en_laiton_d6789bbd8e.jpg" TargetMode="External"/><Relationship Id="rId3029" Type="http://schemas.openxmlformats.org/officeDocument/2006/relationships/hyperlink" Target="https://res.cloudinary.com/laboratoire-calebasse/image/upload/v1746525909/COPRIN_CHEVELU_50_g_MMTGS_25870e926e.jpg" TargetMode="External"/><Relationship Id="rId3028" Type="http://schemas.openxmlformats.org/officeDocument/2006/relationships/hyperlink" Target="https://calebasse.com/produits/mao-tou-gui-san-coprin-chevelu-4371?product=6267" TargetMode="External"/><Relationship Id="rId3021" Type="http://schemas.openxmlformats.org/officeDocument/2006/relationships/hyperlink" Target="https://res.cloudinary.com/laboratoire-calebasse/image/upload/v1746524813/AGARIC_50_g_MJSR_6fd4274616.jpg" TargetMode="External"/><Relationship Id="rId3020" Type="http://schemas.openxmlformats.org/officeDocument/2006/relationships/hyperlink" Target="https://calebasse.com/produits/ji-song-rong-agaric-4369?product=6263" TargetMode="External"/><Relationship Id="rId3023" Type="http://schemas.openxmlformats.org/officeDocument/2006/relationships/hyperlink" Target="https://res.cloudinary.com/laboratoire-calebasse/image/upload/v1746534618/CHANTERELLE_50_g_MJYG_2aad3c9594.jpg" TargetMode="External"/><Relationship Id="rId3022" Type="http://schemas.openxmlformats.org/officeDocument/2006/relationships/hyperlink" Target="https://calebasse.com/produits/ji-you-gu-chanterelle-4370?product=6265" TargetMode="External"/><Relationship Id="rId3025" Type="http://schemas.openxmlformats.org/officeDocument/2006/relationships/hyperlink" Target="https://res.cloudinary.com/laboratoire-calebasse/image/upload/v1746528964/CHAMPIGNON_DE_PARIS_50_g_MMG_6637bc5660.jpg" TargetMode="External"/><Relationship Id="rId3024" Type="http://schemas.openxmlformats.org/officeDocument/2006/relationships/hyperlink" Target="https://calebasse.com/produits/mo-gu-champignon-de-paris-4376?product=6277" TargetMode="External"/><Relationship Id="rId3027" Type="http://schemas.openxmlformats.org/officeDocument/2006/relationships/hyperlink" Target="https://res.cloudinary.com/laboratoire-calebasse/image/upload/v1753347744/_84cda82b4b.jpg" TargetMode="External"/><Relationship Id="rId3026" Type="http://schemas.openxmlformats.org/officeDocument/2006/relationships/hyperlink" Target="https://calebasse.com/produits/mo-gu-champignon-de-paris-4376?product=7376" TargetMode="External"/><Relationship Id="rId3050" Type="http://schemas.openxmlformats.org/officeDocument/2006/relationships/hyperlink" Target="https://calebasse.com/produits/tou-pi-shang-yao-qi-brosse-applicateur-de-cuir-chevelu-5089?product=7348" TargetMode="External"/><Relationship Id="rId3052" Type="http://schemas.openxmlformats.org/officeDocument/2006/relationships/hyperlink" Target="https://calebasse.com/produits/tou-pi-shang-yao-qi-brosse-applicateur-de-cuir-chevelu-5089?product=7379" TargetMode="External"/><Relationship Id="rId3051" Type="http://schemas.openxmlformats.org/officeDocument/2006/relationships/hyperlink" Target="https://res.cloudinary.com/laboratoire-calebasse/image/upload/v1732636369/peifne_applicateur_bleu_902147ce3e.jpg" TargetMode="External"/><Relationship Id="rId3054" Type="http://schemas.openxmlformats.org/officeDocument/2006/relationships/hyperlink" Target="https://calebasse.com/produits/tao-ci-tui-na-gua-sha-bei-vase-a-moxa-et-guasha-en-porcelaine-4976?product=7383" TargetMode="External"/><Relationship Id="rId3053" Type="http://schemas.openxmlformats.org/officeDocument/2006/relationships/hyperlink" Target="https://res.cloudinary.com/laboratoire-calebasse/image/upload/v1732636550/peigne_applicateur_blanc_37d499d931.jpg" TargetMode="External"/><Relationship Id="rId3056" Type="http://schemas.openxmlformats.org/officeDocument/2006/relationships/hyperlink" Target="https://calebasse.com/produits/vase-a-moxa-et-guasha-en-porcelaine-5171?product=7469" TargetMode="External"/><Relationship Id="rId3055" Type="http://schemas.openxmlformats.org/officeDocument/2006/relationships/hyperlink" Target="https://res.cloudinary.com/laboratoire-calebasse/image/upload/v1733388692/Vase_a_moxa_et_guasha_en_porcelaine_Tao_Ci_Tui_Na_Gua_Sha_Bei_face_f6c32d813f.jpg" TargetMode="External"/><Relationship Id="rId3058" Type="http://schemas.openxmlformats.org/officeDocument/2006/relationships/hyperlink" Target="https://calebasse.com/produits/masseur-en-forme-de-lapin-en-bois-de-santal-5170?product=7468" TargetMode="External"/><Relationship Id="rId3057" Type="http://schemas.openxmlformats.org/officeDocument/2006/relationships/hyperlink" Target="https://res.cloudinary.com/laboratoire-calebasse/image/upload/v1750409016/1_f09ce08b19.jpg" TargetMode="External"/><Relationship Id="rId3059" Type="http://schemas.openxmlformats.org/officeDocument/2006/relationships/hyperlink" Target="https://res.cloudinary.com/laboratoire-calebasse/image/upload/v1746519295/_53b056b4a1.jpg" TargetMode="External"/><Relationship Id="rId3041" Type="http://schemas.openxmlformats.org/officeDocument/2006/relationships/hyperlink" Target="https://res.cloudinary.com/laboratoire-calebasse/image/upload/v1750409175/1_d90c5b2085.jpg" TargetMode="External"/><Relationship Id="rId3040" Type="http://schemas.openxmlformats.org/officeDocument/2006/relationships/hyperlink" Target="https://calebasse.com/produits/gua-sha-en-pierre-de-bian-5172?product=7471" TargetMode="External"/><Relationship Id="rId3043" Type="http://schemas.openxmlformats.org/officeDocument/2006/relationships/hyperlink" Target="https://res.cloudinary.com/laboratoire-calebasse/image/upload/v1750429142/2_fb8135eded.jpg" TargetMode="External"/><Relationship Id="rId3042" Type="http://schemas.openxmlformats.org/officeDocument/2006/relationships/hyperlink" Target="https://calebasse.com/produits/marteau-dacupuncture-magnetique-5154?product=7351" TargetMode="External"/><Relationship Id="rId3045" Type="http://schemas.openxmlformats.org/officeDocument/2006/relationships/hyperlink" Target="https://res.cloudinary.com/laboratoire-calebasse/image/upload/v1748272397/_615c014cc5.jpg" TargetMode="External"/><Relationship Id="rId3044" Type="http://schemas.openxmlformats.org/officeDocument/2006/relationships/hyperlink" Target="https://calebasse.com/produits/plaque-de-gua-sha-en-laiton-forme-s-5179?product=7350" TargetMode="External"/><Relationship Id="rId3047" Type="http://schemas.openxmlformats.org/officeDocument/2006/relationships/hyperlink" Target="https://res.cloudinary.com/laboratoire-calebasse/image/upload/v1730892128/fond_sombre_venir_texte_rayons_ligne_1017_5056_d53a187194.jpg" TargetMode="External"/><Relationship Id="rId3046" Type="http://schemas.openxmlformats.org/officeDocument/2006/relationships/hyperlink" Target="https://calebasse.com/produits/nouveautes-creees-5107?product=7352" TargetMode="External"/><Relationship Id="rId3049" Type="http://schemas.openxmlformats.org/officeDocument/2006/relationships/hyperlink" Target="https://res.cloudinary.com/laboratoire-calebasse/image/upload/v1730892128/fond_sombre_venir_texte_rayons_ligne_1017_5056_d53a187194.jpg" TargetMode="External"/><Relationship Id="rId3048" Type="http://schemas.openxmlformats.org/officeDocument/2006/relationships/hyperlink" Target="https://calebasse.com/produits/nouveautes-creees-5107?product=7354" TargetMode="External"/><Relationship Id="rId2600" Type="http://schemas.openxmlformats.org/officeDocument/2006/relationships/hyperlink" Target="https://calebasse.com/produits/100-aiguilles-sans-tube-030-x-15-mm-4613?product=6747" TargetMode="External"/><Relationship Id="rId2601" Type="http://schemas.openxmlformats.org/officeDocument/2006/relationships/hyperlink" Target="https://res.cloudinary.com/laboratoire-calebasse/image/upload/v1668611176/aiguille15_92ec91090e.jpg" TargetMode="External"/><Relationship Id="rId2602" Type="http://schemas.openxmlformats.org/officeDocument/2006/relationships/hyperlink" Target="https://calebasse.com/produits/100-aiguilles-sans-tube-030-x-25-mm-4596?product=6652" TargetMode="External"/><Relationship Id="rId2603" Type="http://schemas.openxmlformats.org/officeDocument/2006/relationships/hyperlink" Target="https://res.cloudinary.com/laboratoire-calebasse/image/upload/v1668593087/aiguille25_3a998bac73.jpg" TargetMode="External"/><Relationship Id="rId2604" Type="http://schemas.openxmlformats.org/officeDocument/2006/relationships/hyperlink" Target="https://calebasse.com/produits/100-aiguilles-sans-tube-030-x-25-mm-4596?product=6653" TargetMode="External"/><Relationship Id="rId2605" Type="http://schemas.openxmlformats.org/officeDocument/2006/relationships/hyperlink" Target="https://res.cloudinary.com/laboratoire-calebasse/image/upload/v1668593087/aiguille25_3a998bac73.jpg" TargetMode="External"/><Relationship Id="rId2606" Type="http://schemas.openxmlformats.org/officeDocument/2006/relationships/hyperlink" Target="https://calebasse.com/produits/100-aiguilles-sans-tube-030-x-30-mm-4597?product=6654" TargetMode="External"/><Relationship Id="rId808" Type="http://schemas.openxmlformats.org/officeDocument/2006/relationships/hyperlink" Target="https://calebasse.com/produits/qu-mai-oeillet-superbe-3897?product=4600" TargetMode="External"/><Relationship Id="rId2607" Type="http://schemas.openxmlformats.org/officeDocument/2006/relationships/hyperlink" Target="https://res.cloudinary.com/laboratoire-calebasse/image/upload/v1668595841/aiguille30_6c44fc1ee4.jpg" TargetMode="External"/><Relationship Id="rId807" Type="http://schemas.openxmlformats.org/officeDocument/2006/relationships/hyperlink" Target="https://res.cloudinary.com/laboratoire-calebasse/image/upload/v1746526986/OEILLET_SUPERBE_50_g_AQM_c2b1a9bc9c.jpg" TargetMode="External"/><Relationship Id="rId2608" Type="http://schemas.openxmlformats.org/officeDocument/2006/relationships/hyperlink" Target="https://calebasse.com/produits/100-aiguilles-sans-tube-030-x-30-mm-4597?product=6655" TargetMode="External"/><Relationship Id="rId806" Type="http://schemas.openxmlformats.org/officeDocument/2006/relationships/hyperlink" Target="https://calebasse.com/produits/qu-mai-oeillet-superbe-3897?product=4601" TargetMode="External"/><Relationship Id="rId2609" Type="http://schemas.openxmlformats.org/officeDocument/2006/relationships/hyperlink" Target="https://res.cloudinary.com/laboratoire-calebasse/image/upload/v1668595841/aiguille30_6c44fc1ee4.jpg" TargetMode="External"/><Relationship Id="rId805" Type="http://schemas.openxmlformats.org/officeDocument/2006/relationships/hyperlink" Target="https://res.cloudinary.com/laboratoire-calebasse/image/upload/v1746523821/IMMORTELLE_A_BRACTEE_50_g_AQCJ_3cf3b2a7c9.jpg" TargetMode="External"/><Relationship Id="rId809" Type="http://schemas.openxmlformats.org/officeDocument/2006/relationships/hyperlink" Target="https://res.cloudinary.com/laboratoire-calebasse/image/upload/v1748272123/OEILLET_SUPERBE_200_g_AQML_ef3d2947bd.jpg" TargetMode="External"/><Relationship Id="rId800" Type="http://schemas.openxmlformats.org/officeDocument/2006/relationships/hyperlink" Target="https://calebasse.com/produits/pi-pa-ye-feuilles-de-bibacier-3886?product=4576" TargetMode="External"/><Relationship Id="rId804" Type="http://schemas.openxmlformats.org/officeDocument/2006/relationships/hyperlink" Target="https://calebasse.com/produits/qi-cai-ju-immortelle-a-bractee-3892?product=4590" TargetMode="External"/><Relationship Id="rId803" Type="http://schemas.openxmlformats.org/officeDocument/2006/relationships/hyperlink" Target="https://res.cloudinary.com/laboratoire-calebasse/image/upload/v1748272171/FEUILLES_DE_BIBACIER_180_g_APPYL_f302225414.jpg" TargetMode="External"/><Relationship Id="rId802" Type="http://schemas.openxmlformats.org/officeDocument/2006/relationships/hyperlink" Target="https://calebasse.com/produits/pi-pa-ye-feuilles-de-bibacier-3886?product=4575" TargetMode="External"/><Relationship Id="rId801" Type="http://schemas.openxmlformats.org/officeDocument/2006/relationships/hyperlink" Target="https://res.cloudinary.com/laboratoire-calebasse/image/upload/v1634201120/A_pipayegl_af0610bff4.jpg" TargetMode="External"/><Relationship Id="rId1334" Type="http://schemas.openxmlformats.org/officeDocument/2006/relationships/hyperlink" Target="https://res.cloudinary.com/laboratoire-calebasse/image/upload/v1746534546/RECHAUFFER_LE_CORPS_50_g_BQHNSC_d2f1fd51bb.jpg" TargetMode="External"/><Relationship Id="rId2665" Type="http://schemas.openxmlformats.org/officeDocument/2006/relationships/hyperlink" Target="https://res.cloudinary.com/laboratoire-calebasse/image/upload/v1699458223/_e42dd72628.png" TargetMode="External"/><Relationship Id="rId1335" Type="http://schemas.openxmlformats.org/officeDocument/2006/relationships/hyperlink" Target="https://calebasse.com/produits/qu-han-nuan-shen-cha-tisane-pour-rechauffer-le-corps-4540?product=7361" TargetMode="External"/><Relationship Id="rId2666" Type="http://schemas.openxmlformats.org/officeDocument/2006/relationships/hyperlink" Target="https://calebasse.com/produits/zhi-li-zhi-fa-lian-xi-mo-xing-modele-dexercice-pour-acupuncture-8-cm-5006?product=7216" TargetMode="External"/><Relationship Id="rId1336" Type="http://schemas.openxmlformats.org/officeDocument/2006/relationships/hyperlink" Target="https://res.cloudinary.com/laboratoire-calebasse/image/upload/v1753347810/_0765b58603.jpg" TargetMode="External"/><Relationship Id="rId2667" Type="http://schemas.openxmlformats.org/officeDocument/2006/relationships/hyperlink" Target="https://res.cloudinary.com/laboratoire-calebasse/image/upload/v1708944008/_db1b5b1f05.png" TargetMode="External"/><Relationship Id="rId1337" Type="http://schemas.openxmlformats.org/officeDocument/2006/relationships/hyperlink" Target="https://calebasse.com/produits/qian-lie-tong-tang-tisane-prostate-3988?product=4946" TargetMode="External"/><Relationship Id="rId2668" Type="http://schemas.openxmlformats.org/officeDocument/2006/relationships/hyperlink" Target="https://calebasse.com/produits/kit-performance-acupuncture-5016?product=7234" TargetMode="External"/><Relationship Id="rId1338" Type="http://schemas.openxmlformats.org/officeDocument/2006/relationships/hyperlink" Target="https://res.cloudinary.com/laboratoire-calebasse/image/upload/v1746524437/TISANE_PROSTATE_100_g_BQLTT_2e67aed6b4.jpg" TargetMode="External"/><Relationship Id="rId2669" Type="http://schemas.openxmlformats.org/officeDocument/2006/relationships/hyperlink" Target="https://res.cloudinary.com/laboratoire-calebasse/image/upload/v1702480034/1_1_ac578e8cdb.jpg" TargetMode="External"/><Relationship Id="rId1339" Type="http://schemas.openxmlformats.org/officeDocument/2006/relationships/hyperlink" Target="https://calebasse.com/produits/qu-mai-qing-xia-cha-tisane-confort-urinaire-3991?product=4951" TargetMode="External"/><Relationship Id="rId745" Type="http://schemas.openxmlformats.org/officeDocument/2006/relationships/hyperlink" Target="https://res.cloudinary.com/laboratoire-calebasse/image/upload/v1746525205/RACINE_DE_GENOU_DE_TAUREAU_100_g_ANXH_4ab96ad341.jpg" TargetMode="External"/><Relationship Id="rId744" Type="http://schemas.openxmlformats.org/officeDocument/2006/relationships/hyperlink" Target="https://calebasse.com/produits/niu-xi-huai-racine-de-genou-de-taureau-3880?product=4545" TargetMode="External"/><Relationship Id="rId743" Type="http://schemas.openxmlformats.org/officeDocument/2006/relationships/hyperlink" Target="https://res.cloudinary.com/laboratoire-calebasse/image/upload/v1747062404/GRANDE_BARDANE_300_g_ANIUL_c1422fb181.jpg" TargetMode="External"/><Relationship Id="rId742" Type="http://schemas.openxmlformats.org/officeDocument/2006/relationships/hyperlink" Target="https://calebasse.com/produits/niu-bang-gen-grande-bardane-3882?product=4531" TargetMode="External"/><Relationship Id="rId749" Type="http://schemas.openxmlformats.org/officeDocument/2006/relationships/hyperlink" Target="https://res.cloudinary.com/laboratoire-calebasse/image/upload/v1634201119/A_huainiuxigl_b6c60d5171.jpg" TargetMode="External"/><Relationship Id="rId748" Type="http://schemas.openxmlformats.org/officeDocument/2006/relationships/hyperlink" Target="https://calebasse.com/produits/niu-xi-huai-racine-de-genou-de-taureau-3880?product=4547" TargetMode="External"/><Relationship Id="rId747" Type="http://schemas.openxmlformats.org/officeDocument/2006/relationships/hyperlink" Target="https://res.cloudinary.com/laboratoire-calebasse/image/upload/v1634201115/A_huainiuxicp_e3cac8d97b.jpg" TargetMode="External"/><Relationship Id="rId746" Type="http://schemas.openxmlformats.org/officeDocument/2006/relationships/hyperlink" Target="https://calebasse.com/produits/niu-xi-huai-racine-de-genou-de-taureau-3880?product=4546" TargetMode="External"/><Relationship Id="rId2660" Type="http://schemas.openxmlformats.org/officeDocument/2006/relationships/hyperlink" Target="https://calebasse.com/produits/qin-zhen-jin-se-035-x-21-mm-boite-daiguilles-semi-permanente-asp-en-acier-035-x-21-mm-4570?product=6725" TargetMode="External"/><Relationship Id="rId741" Type="http://schemas.openxmlformats.org/officeDocument/2006/relationships/hyperlink" Target="https://res.cloudinary.com/laboratoire-calebasse/image/upload/v1746526514/GRANDE_BARDANE_100_g_ANIU_c6d6e1b63d.jpg" TargetMode="External"/><Relationship Id="rId1330" Type="http://schemas.openxmlformats.org/officeDocument/2006/relationships/hyperlink" Target="https://res.cloudinary.com/laboratoire-calebasse/image/upload/v1746525278/TISANE_CRUDITES_100_g_BNWT_a420f6021e.jpg" TargetMode="External"/><Relationship Id="rId2661" Type="http://schemas.openxmlformats.org/officeDocument/2006/relationships/hyperlink" Target="https://res.cloudinary.com/laboratoire-calebasse/image/upload/v1667943419/gold_3259128e14.jpg" TargetMode="External"/><Relationship Id="rId740" Type="http://schemas.openxmlformats.org/officeDocument/2006/relationships/hyperlink" Target="https://calebasse.com/produits/niu-bang-gen-grande-bardane-3882?product=4530" TargetMode="External"/><Relationship Id="rId1331" Type="http://schemas.openxmlformats.org/officeDocument/2006/relationships/hyperlink" Target="https://calebasse.com/produits/qing-fei-pai-du-tang-4438?product=6293" TargetMode="External"/><Relationship Id="rId2662" Type="http://schemas.openxmlformats.org/officeDocument/2006/relationships/hyperlink" Target="https://calebasse.com/produits/qin-zhen-022-x-15-mm-boite-de-100-aiguilles-boite-de-punaises-avec-sparadrap-022-x-15-mm-4677?product=6815" TargetMode="External"/><Relationship Id="rId1332" Type="http://schemas.openxmlformats.org/officeDocument/2006/relationships/hyperlink" Target="https://res.cloudinary.com/laboratoire-calebasse/image/upload/v1746526261/QING_FEI_PAI_DU_TANG_192_g_BQFPD_435b5db817.jpg" TargetMode="External"/><Relationship Id="rId2663" Type="http://schemas.openxmlformats.org/officeDocument/2006/relationships/hyperlink" Target="https://res.cloudinary.com/laboratoire-calebasse/image/upload/v1671630667/_e0bcbc12e3.jpg" TargetMode="External"/><Relationship Id="rId1333" Type="http://schemas.openxmlformats.org/officeDocument/2006/relationships/hyperlink" Target="https://calebasse.com/produits/qu-han-nuan-shen-cha-tisane-pour-rechauffer-le-corps-4540?product=6569" TargetMode="External"/><Relationship Id="rId2664" Type="http://schemas.openxmlformats.org/officeDocument/2006/relationships/hyperlink" Target="https://calebasse.com/produits/hao-mai-zhen-coussin-pour-le-pouls-4981?product=7190" TargetMode="External"/><Relationship Id="rId1323" Type="http://schemas.openxmlformats.org/officeDocument/2006/relationships/hyperlink" Target="https://calebasse.com/produits/nuan-shen-qu-han-pao-jiao-bao-bain-de-pieds-pour-rechauffer-le-corps-4550?product=6909" TargetMode="External"/><Relationship Id="rId2654" Type="http://schemas.openxmlformats.org/officeDocument/2006/relationships/hyperlink" Target="https://calebasse.com/produits/tenue-souple-de-qi-gong-5010?product=7223" TargetMode="External"/><Relationship Id="rId1324" Type="http://schemas.openxmlformats.org/officeDocument/2006/relationships/hyperlink" Target="https://res.cloudinary.com/laboratoire-calebasse/image/upload/v1744105341/bain_de_pieds_large_mockup_MAX_7529c4b5b0.jpg" TargetMode="External"/><Relationship Id="rId2655" Type="http://schemas.openxmlformats.org/officeDocument/2006/relationships/hyperlink" Target="https://res.cloudinary.com/laboratoire-calebasse/image/upload/v1700843781/vetement_4_a970f36fd9.jpg" TargetMode="External"/><Relationship Id="rId1325" Type="http://schemas.openxmlformats.org/officeDocument/2006/relationships/hyperlink" Target="https://calebasse.com/produits/nan-shi-wen-shen-pao-jiao-bao-bain-de-pieds-pour-la-vitalite-de-lhomme-4545?product=6574" TargetMode="External"/><Relationship Id="rId2656" Type="http://schemas.openxmlformats.org/officeDocument/2006/relationships/hyperlink" Target="https://calebasse.com/produits/tenue-souple-de-qi-gong-5010?product=7224" TargetMode="External"/><Relationship Id="rId1326" Type="http://schemas.openxmlformats.org/officeDocument/2006/relationships/hyperlink" Target="https://res.cloudinary.com/laboratoire-calebasse/image/upload/v1744105232/bain_de_pieds_small_mockup_MAX_33b885d3a9.jpg" TargetMode="External"/><Relationship Id="rId2657" Type="http://schemas.openxmlformats.org/officeDocument/2006/relationships/hyperlink" Target="https://res.cloudinary.com/laboratoire-calebasse/image/upload/v1700844547/vetement_face_720_850ca10acb.jpg" TargetMode="External"/><Relationship Id="rId1327" Type="http://schemas.openxmlformats.org/officeDocument/2006/relationships/hyperlink" Target="https://calebasse.com/produits/nan-shi-wen-shen-pao-jiao-bao-bain-de-pieds-pour-la-vitalite-de-lhomme-4545?product=6905" TargetMode="External"/><Relationship Id="rId2658" Type="http://schemas.openxmlformats.org/officeDocument/2006/relationships/hyperlink" Target="https://calebasse.com/produits/qin-zhen-yin-se-035-x-21-mm-boite-daiguilles-semi-permanente-asp-en-acier-035-x-21-mm-4571?product=6726" TargetMode="External"/><Relationship Id="rId1328" Type="http://schemas.openxmlformats.org/officeDocument/2006/relationships/hyperlink" Target="https://res.cloudinary.com/laboratoire-calebasse/image/upload/v1744105211/bain_de_pieds_large_mockup_MAX_4fd23af3d5.jpg" TargetMode="External"/><Relationship Id="rId2659" Type="http://schemas.openxmlformats.org/officeDocument/2006/relationships/hyperlink" Target="https://res.cloudinary.com/laboratoire-calebasse/image/upload/v1667992668/silver2_4ebc74cdd6.jpg" TargetMode="External"/><Relationship Id="rId1329" Type="http://schemas.openxmlformats.org/officeDocument/2006/relationships/hyperlink" Target="https://calebasse.com/produits/nuan-wei-tang-tisane-crudites-3987?product=4944" TargetMode="External"/><Relationship Id="rId739" Type="http://schemas.openxmlformats.org/officeDocument/2006/relationships/hyperlink" Target="https://res.cloudinary.com/laboratoire-calebasse/image/upload/v1747062425/GRAINES_DE_COURGE_300_g_ANGZL_149bdf4359.jpg" TargetMode="External"/><Relationship Id="rId734" Type="http://schemas.openxmlformats.org/officeDocument/2006/relationships/hyperlink" Target="https://calebasse.com/produits/nuo-dao-gen-racine-de-riz-gluant-3883?product=4556" TargetMode="External"/><Relationship Id="rId733" Type="http://schemas.openxmlformats.org/officeDocument/2006/relationships/hyperlink" Target="https://res.cloudinary.com/laboratoire-calebasse/image/upload/v1634201115/A_nuodaogencp_ff0fe76d04.jpg" TargetMode="External"/><Relationship Id="rId732" Type="http://schemas.openxmlformats.org/officeDocument/2006/relationships/hyperlink" Target="https://calebasse.com/produits/nuo-dao-gen-racine-de-riz-gluant-3883?product=4554" TargetMode="External"/><Relationship Id="rId731" Type="http://schemas.openxmlformats.org/officeDocument/2006/relationships/hyperlink" Target="https://res.cloudinary.com/laboratoire-calebasse/image/upload/v1746527096/RACINE_DERIZ_GLUANT_50_g_ANDG_3ec0c55290.jpg" TargetMode="External"/><Relationship Id="rId738" Type="http://schemas.openxmlformats.org/officeDocument/2006/relationships/hyperlink" Target="https://calebasse.com/produits/nan-gua-zi-graines-de-courge-3877?product=4529" TargetMode="External"/><Relationship Id="rId737" Type="http://schemas.openxmlformats.org/officeDocument/2006/relationships/hyperlink" Target="https://res.cloudinary.com/laboratoire-calebasse/image/upload/v1746524536/GRAINES_DE_COURGE_100_g_ANGZ_64423e2e8a.jpg" TargetMode="External"/><Relationship Id="rId736" Type="http://schemas.openxmlformats.org/officeDocument/2006/relationships/hyperlink" Target="https://calebasse.com/produits/nan-gua-zi-graines-de-courge-3877?product=4528" TargetMode="External"/><Relationship Id="rId735" Type="http://schemas.openxmlformats.org/officeDocument/2006/relationships/hyperlink" Target="https://res.cloudinary.com/laboratoire-calebasse/image/upload/v1634201117/A_nuodaogengl_7a2afca89c.jpg" TargetMode="External"/><Relationship Id="rId730" Type="http://schemas.openxmlformats.org/officeDocument/2006/relationships/hyperlink" Target="https://calebasse.com/produits/nuo-dao-gen-racine-de-riz-gluant-3883?product=4552" TargetMode="External"/><Relationship Id="rId2650" Type="http://schemas.openxmlformats.org/officeDocument/2006/relationships/hyperlink" Target="https://calebasse.com/produits/tenue-souple-de-qi-gong-5010?product=7221" TargetMode="External"/><Relationship Id="rId1320" Type="http://schemas.openxmlformats.org/officeDocument/2006/relationships/hyperlink" Target="https://res.cloudinary.com/laboratoire-calebasse/image/upload/v1753347217/_b236fed7ec.jpg" TargetMode="External"/><Relationship Id="rId2651" Type="http://schemas.openxmlformats.org/officeDocument/2006/relationships/hyperlink" Target="https://res.cloudinary.com/laboratoire-calebasse/image/upload/v1700843824/vetement_dos_4ffe4bba7a.jpg" TargetMode="External"/><Relationship Id="rId1321" Type="http://schemas.openxmlformats.org/officeDocument/2006/relationships/hyperlink" Target="https://calebasse.com/produits/nuan-shen-qu-han-pao-jiao-bao-bain-de-pieds-pour-rechauffer-le-corps-4550?product=6571" TargetMode="External"/><Relationship Id="rId2652" Type="http://schemas.openxmlformats.org/officeDocument/2006/relationships/hyperlink" Target="https://calebasse.com/produits/tenue-souple-de-qi-gong-5010?product=7222" TargetMode="External"/><Relationship Id="rId1322" Type="http://schemas.openxmlformats.org/officeDocument/2006/relationships/hyperlink" Target="https://res.cloudinary.com/laboratoire-calebasse/image/upload/v1744105376/bain_de_pieds_small_mockup_MAX_132f0dce11.jpg" TargetMode="External"/><Relationship Id="rId2653" Type="http://schemas.openxmlformats.org/officeDocument/2006/relationships/hyperlink" Target="https://res.cloudinary.com/laboratoire-calebasse/image/upload/v1700843749/vetement_3_45bc2bbee3.jpg" TargetMode="External"/><Relationship Id="rId1356" Type="http://schemas.openxmlformats.org/officeDocument/2006/relationships/hyperlink" Target="https://res.cloudinary.com/laboratoire-calebasse/image/upload/v1760012694/1_6b216ad9a4.jpg,https://res.cloudinary.com/laboratoire-calebasse/image/upload/v1760012695/2_5fad882613.jpg,https://res.cloudinary.com/laboratoire-calebasse/image/upload/v1760012695/3_e16bd7763b.jpg,https://res.cloudinary.com/laboratoire-calebasse/image/upload/v1760012695/4_6c12697203.jpg,https://res.cloudinary.com/laboratoire-calebasse/image/upload/v1760012740/5_9db50ee6cb.jpg,https://res.cloudinary.com/laboratoire-calebasse/image/upload/v1760012740/6_f4b9463f13.jpg,https://res.cloudinary.com/laboratoire-calebasse/image/upload/v1761030798/1_2f8de76238.jpg" TargetMode="External"/><Relationship Id="rId2687" Type="http://schemas.openxmlformats.org/officeDocument/2006/relationships/hyperlink" Target="https://res.cloudinary.com/laboratoire-calebasse/image/upload/v1672995535/Lame_d_acupuncture75_09dc91c652.jpg" TargetMode="External"/><Relationship Id="rId1357" Type="http://schemas.openxmlformats.org/officeDocument/2006/relationships/hyperlink" Target="https://calebasse.com/produits/shu-jin-huo-luo-pao-jiao-bao-bain-de-pieds-pour-la-circulation-et-les-articulations-4552?product=6572" TargetMode="External"/><Relationship Id="rId2688" Type="http://schemas.openxmlformats.org/officeDocument/2006/relationships/hyperlink" Target="https://calebasse.com/produits/100-aiguilles-couteau-040-x-75-mm-4652?product=6685" TargetMode="External"/><Relationship Id="rId1358" Type="http://schemas.openxmlformats.org/officeDocument/2006/relationships/hyperlink" Target="https://res.cloudinary.com/laboratoire-calebasse/image/upload/v1744105433/bain_de_pieds_small_mockup_MAX_93e9246b98.jpg" TargetMode="External"/><Relationship Id="rId2689" Type="http://schemas.openxmlformats.org/officeDocument/2006/relationships/hyperlink" Target="https://res.cloudinary.com/laboratoire-calebasse/image/upload/v1672995535/Lame_d_acupuncture75_09dc91c652.jpg" TargetMode="External"/><Relationship Id="rId1359" Type="http://schemas.openxmlformats.org/officeDocument/2006/relationships/hyperlink" Target="https://calebasse.com/produits/shu-jin-huo-luo-pao-jiao-bao-bain-de-pieds-pour-la-circulation-et-les-articulations-4552?product=6903" TargetMode="External"/><Relationship Id="rId767" Type="http://schemas.openxmlformats.org/officeDocument/2006/relationships/hyperlink" Target="https://res.cloudinary.com/laboratoire-calebasse/image/upload/v1746528057/FRUIT_DE_LYCHNOPHORE_50_g_APDH_daf634c6a5.jpg" TargetMode="External"/><Relationship Id="rId766" Type="http://schemas.openxmlformats.org/officeDocument/2006/relationships/hyperlink" Target="https://calebasse.com/produits/pang-da-hai-fruit-de-lychnophore-3885?product=4563" TargetMode="External"/><Relationship Id="rId765" Type="http://schemas.openxmlformats.org/officeDocument/2006/relationships/hyperlink" Target="https://res.cloudinary.com/laboratoire-calebasse/image/upload/v1746529173/PIMENT_100_g_AP_fe38d439e4.jpg" TargetMode="External"/><Relationship Id="rId764" Type="http://schemas.openxmlformats.org/officeDocument/2006/relationships/hyperlink" Target="https://calebasse.com/produits/la-jiao-piment-3848?product=4417" TargetMode="External"/><Relationship Id="rId769" Type="http://schemas.openxmlformats.org/officeDocument/2006/relationships/hyperlink" Target="https://res.cloudinary.com/laboratoire-calebasse/image/upload/v1748272203/FRUIT_DE_LYCHNOPHORE_280_g_APDHL_1ca3d35b15.jpg" TargetMode="External"/><Relationship Id="rId768" Type="http://schemas.openxmlformats.org/officeDocument/2006/relationships/hyperlink" Target="https://calebasse.com/produits/pang-da-hai-fruit-de-lychnophore-3885?product=4565" TargetMode="External"/><Relationship Id="rId2680" Type="http://schemas.openxmlformats.org/officeDocument/2006/relationships/hyperlink" Target="https://calebasse.com/produits/boite-a-moxa-pour-3-rouleaux-de-moxa-avec-couvercle-4914?product=7122" TargetMode="External"/><Relationship Id="rId1350" Type="http://schemas.openxmlformats.org/officeDocument/2006/relationships/hyperlink" Target="https://res.cloudinary.com/laboratoire-calebasse/image/upload/v1753350020/Tisane_beaute_gua_sha_4b69e7f6c4.jpg" TargetMode="External"/><Relationship Id="rId2681" Type="http://schemas.openxmlformats.org/officeDocument/2006/relationships/hyperlink" Target="https://res.cloudinary.com/laboratoire-calebasse/image/upload/v1699287988/_e1e79ab743.png" TargetMode="External"/><Relationship Id="rId1351" Type="http://schemas.openxmlformats.org/officeDocument/2006/relationships/hyperlink" Target="https://calebasse.com/produits/combo-herbe-dorge-et-ashitaba-supergreen-silhouette-and-peau-5220?product=7595" TargetMode="External"/><Relationship Id="rId2682" Type="http://schemas.openxmlformats.org/officeDocument/2006/relationships/hyperlink" Target="https://calebasse.com/produits/100-aiguilles-couteau-035-x-50-mm-4651?product=6702" TargetMode="External"/><Relationship Id="rId763" Type="http://schemas.openxmlformats.org/officeDocument/2006/relationships/hyperlink" Target="https://res.cloudinary.com/laboratoire-calebasse/image/upload/v1747062353/RHIZOMEDE_LOTUS_300_g_AOJL_59a8939835.jpg" TargetMode="External"/><Relationship Id="rId1352" Type="http://schemas.openxmlformats.org/officeDocument/2006/relationships/hyperlink" Target="https://res.cloudinary.com/laboratoire-calebasse/image/upload/v1760706948/SG_ashitaba_a7a3a20870.jpg" TargetMode="External"/><Relationship Id="rId2683" Type="http://schemas.openxmlformats.org/officeDocument/2006/relationships/hyperlink" Target="https://res.cloudinary.com/laboratoire-calebasse/image/upload/v1672995500/Lame_d_acupuncture50_596a6088bf.jpg" TargetMode="External"/><Relationship Id="rId762" Type="http://schemas.openxmlformats.org/officeDocument/2006/relationships/hyperlink" Target="https://calebasse.com/produits/ou-jie-rhizome-de-lotus-3884?product=4558" TargetMode="External"/><Relationship Id="rId1353" Type="http://schemas.openxmlformats.org/officeDocument/2006/relationships/hyperlink" Target="https://res.cloudinary.com/laboratoire-calebasse/image/upload/v1760705805/1_05c7245a20.jpg,https://res.cloudinary.com/laboratoire-calebasse/image/upload/v1760705805/2_41994789d6.jpg,https://res.cloudinary.com/laboratoire-calebasse/image/upload/v1760705804/3_6ac90d2eb1.jpg,https://res.cloudinary.com/laboratoire-calebasse/image/upload/v1760705803/4_52ed392734.jpg,https://res.cloudinary.com/laboratoire-calebasse/image/upload/v1760705830/5_1_05fe141c94.jpg,https://res.cloudinary.com/laboratoire-calebasse/image/upload/v1761030798/4_0a9c78ca61.jpg" TargetMode="External"/><Relationship Id="rId2684" Type="http://schemas.openxmlformats.org/officeDocument/2006/relationships/hyperlink" Target="https://calebasse.com/produits/100-aiguilles-couteau-035-x-50-mm-4651?product=6703" TargetMode="External"/><Relationship Id="rId761" Type="http://schemas.openxmlformats.org/officeDocument/2006/relationships/hyperlink" Target="https://res.cloudinary.com/laboratoire-calebasse/image/upload/v1634201119/A_oujiegl_64329d4bda.jpg" TargetMode="External"/><Relationship Id="rId1354" Type="http://schemas.openxmlformats.org/officeDocument/2006/relationships/hyperlink" Target="https://calebasse.com/produits/combo-herbe-dorge-et-extrait-de-feuilles-de-murier-supergreen-equilibre-sucre-5219?product=7594" TargetMode="External"/><Relationship Id="rId2685" Type="http://schemas.openxmlformats.org/officeDocument/2006/relationships/hyperlink" Target="https://res.cloudinary.com/laboratoire-calebasse/image/upload/v1672995500/Lame_d_acupuncture50_596a6088bf.jpg" TargetMode="External"/><Relationship Id="rId760" Type="http://schemas.openxmlformats.org/officeDocument/2006/relationships/hyperlink" Target="https://calebasse.com/produits/ou-jie-rhizome-de-lotus-3884?product=4562" TargetMode="External"/><Relationship Id="rId1355" Type="http://schemas.openxmlformats.org/officeDocument/2006/relationships/hyperlink" Target="https://res.cloudinary.com/laboratoire-calebasse/image/upload/v1760457629/SG_murier_0fbaa087c8.jpg" TargetMode="External"/><Relationship Id="rId2686" Type="http://schemas.openxmlformats.org/officeDocument/2006/relationships/hyperlink" Target="https://calebasse.com/produits/100-aiguilles-couteau-040-x-75-mm-4652?product=6684" TargetMode="External"/><Relationship Id="rId1345" Type="http://schemas.openxmlformats.org/officeDocument/2006/relationships/hyperlink" Target="https://calebasse.com/produits/run-hou-cha-tisane-du-chanteur-3996?product=4956" TargetMode="External"/><Relationship Id="rId2676" Type="http://schemas.openxmlformats.org/officeDocument/2006/relationships/hyperlink" Target="https://calebasse.com/produits/zhu-zhi-ai-jiu-he-boite-de-moxibustion-en-bambou-4566?product=6718" TargetMode="External"/><Relationship Id="rId1346" Type="http://schemas.openxmlformats.org/officeDocument/2006/relationships/hyperlink" Target="https://res.cloudinary.com/laboratoire-calebasse/image/upload/v1746526223/TISANE_DU_CHANTEUR_100_g_BRHC_d2037998e6.jpg" TargetMode="External"/><Relationship Id="rId2677" Type="http://schemas.openxmlformats.org/officeDocument/2006/relationships/hyperlink" Target="https://res.cloudinary.com/laboratoire-calebasse/image/upload/v1667941921/_04fc140092.jpg" TargetMode="External"/><Relationship Id="rId1347" Type="http://schemas.openxmlformats.org/officeDocument/2006/relationships/hyperlink" Target="https://calebasse.com/produits/san-bai-tang-tisane-beaute-4466?product=6490" TargetMode="External"/><Relationship Id="rId2678" Type="http://schemas.openxmlformats.org/officeDocument/2006/relationships/hyperlink" Target="https://calebasse.com/produits/zhu-zhi-ai-jiu-he-boite-de-moxibustion-en-bambou-4566?product=6719" TargetMode="External"/><Relationship Id="rId1348" Type="http://schemas.openxmlformats.org/officeDocument/2006/relationships/hyperlink" Target="https://res.cloudinary.com/laboratoire-calebasse/image/upload/v1746523835/TISANE_BEAUTE_100_g_BSBT_a9d44df489.jpg" TargetMode="External"/><Relationship Id="rId2679" Type="http://schemas.openxmlformats.org/officeDocument/2006/relationships/hyperlink" Target="https://res.cloudinary.com/laboratoire-calebasse/image/upload/v1667941976/_cf203fecc3.jpg" TargetMode="External"/><Relationship Id="rId1349" Type="http://schemas.openxmlformats.org/officeDocument/2006/relationships/hyperlink" Target="https://calebasse.com/produits/san-bai-tang-tisane-beaute-4466?product=7433" TargetMode="External"/><Relationship Id="rId756" Type="http://schemas.openxmlformats.org/officeDocument/2006/relationships/hyperlink" Target="https://calebasse.com/produits/ou-jie-rhizome-de-lotus-3884?product=4557" TargetMode="External"/><Relationship Id="rId755" Type="http://schemas.openxmlformats.org/officeDocument/2006/relationships/hyperlink" Target="https://res.cloudinary.com/laboratoire-calebasse/image/upload/v1747062369/GRAINES_DE_LIGUSTE_300_g_ANZZL_a52ced14cc.jpg" TargetMode="External"/><Relationship Id="rId754" Type="http://schemas.openxmlformats.org/officeDocument/2006/relationships/hyperlink" Target="https://calebasse.com/produits/nu-zhen-zi-graines-de-liguste-3881?product=4551" TargetMode="External"/><Relationship Id="rId753" Type="http://schemas.openxmlformats.org/officeDocument/2006/relationships/hyperlink" Target="https://res.cloudinary.com/laboratoire-calebasse/image/upload/v1746524752/GRAINES_DE_LIGUSTE_100_g_ANZZ_c560c4279c.jpg" TargetMode="External"/><Relationship Id="rId759" Type="http://schemas.openxmlformats.org/officeDocument/2006/relationships/hyperlink" Target="https://res.cloudinary.com/laboratoire-calebasse/image/upload/v1634201117/A_oujiecp_9843584d22.jpg" TargetMode="External"/><Relationship Id="rId758" Type="http://schemas.openxmlformats.org/officeDocument/2006/relationships/hyperlink" Target="https://calebasse.com/produits/ou-jie-rhizome-de-lotus-3884?product=4561" TargetMode="External"/><Relationship Id="rId757" Type="http://schemas.openxmlformats.org/officeDocument/2006/relationships/hyperlink" Target="https://res.cloudinary.com/laboratoire-calebasse/image/upload/v1746528928/RHIZOMEDE_LOTUS_100_g_AOJ_79455d23b0.jpg" TargetMode="External"/><Relationship Id="rId2670" Type="http://schemas.openxmlformats.org/officeDocument/2006/relationships/hyperlink" Target="https://calebasse.com/produits/zhu-zhi-ai-jiu-he-boite-de-moxibustion-en-bambou-4566?product=6715" TargetMode="External"/><Relationship Id="rId1340" Type="http://schemas.openxmlformats.org/officeDocument/2006/relationships/hyperlink" Target="https://res.cloudinary.com/laboratoire-calebasse/image/upload/v1746527009/TISANE_CONFORT_URINAIRE_100_g_BQMQXC_2696b1fb8e.jpg" TargetMode="External"/><Relationship Id="rId2671" Type="http://schemas.openxmlformats.org/officeDocument/2006/relationships/hyperlink" Target="https://res.cloudinary.com/laboratoire-calebasse/image/upload/v1667941722/_f463f5a951.jpg" TargetMode="External"/><Relationship Id="rId752" Type="http://schemas.openxmlformats.org/officeDocument/2006/relationships/hyperlink" Target="https://calebasse.com/produits/nu-zhen-zi-graines-de-liguste-3881?product=4550" TargetMode="External"/><Relationship Id="rId1341" Type="http://schemas.openxmlformats.org/officeDocument/2006/relationships/hyperlink" Target="https://calebasse.com/produits/qu-shi-zhu-mian-pao-jiao-bao-bain-de-pieds-pour-le-sommeil-4541?product=6906" TargetMode="External"/><Relationship Id="rId2672" Type="http://schemas.openxmlformats.org/officeDocument/2006/relationships/hyperlink" Target="https://calebasse.com/produits/zhu-zhi-ai-jiu-he-boite-de-moxibustion-en-bambou-4566?product=6716" TargetMode="External"/><Relationship Id="rId751" Type="http://schemas.openxmlformats.org/officeDocument/2006/relationships/hyperlink" Target="https://res.cloudinary.com/laboratoire-calebasse/image/upload/v1747064166/RACINE_DE_GENOU_DE_TAUREAU_300_g_ANXHL_9886178758.jpg" TargetMode="External"/><Relationship Id="rId1342" Type="http://schemas.openxmlformats.org/officeDocument/2006/relationships/hyperlink" Target="https://res.cloudinary.com/laboratoire-calebasse/image/upload/v1744104795/bain_de_pieds_small_mockup_MAX_792435ad7d.jpg" TargetMode="External"/><Relationship Id="rId2673" Type="http://schemas.openxmlformats.org/officeDocument/2006/relationships/hyperlink" Target="https://res.cloudinary.com/laboratoire-calebasse/image/upload/v1667941814/_ee9dee88f3.jpg" TargetMode="External"/><Relationship Id="rId750" Type="http://schemas.openxmlformats.org/officeDocument/2006/relationships/hyperlink" Target="https://calebasse.com/produits/niu-xi-huai-racine-de-genou-de-taureau-3880?product=4544" TargetMode="External"/><Relationship Id="rId1343" Type="http://schemas.openxmlformats.org/officeDocument/2006/relationships/hyperlink" Target="https://calebasse.com/produits/qu-shi-zhu-mian-pao-jiao-bao-bain-de-pieds-pour-le-sommeil-4541?product=6570" TargetMode="External"/><Relationship Id="rId2674" Type="http://schemas.openxmlformats.org/officeDocument/2006/relationships/hyperlink" Target="https://calebasse.com/produits/zhu-zhi-ai-jiu-he-boite-de-moxibustion-en-bambou-4566?product=6717" TargetMode="External"/><Relationship Id="rId1344" Type="http://schemas.openxmlformats.org/officeDocument/2006/relationships/hyperlink" Target="https://res.cloudinary.com/laboratoire-calebasse/image/upload/v1744104819/bain_de_pieds_large_mockup_MAX_62124a3bc6.jpg" TargetMode="External"/><Relationship Id="rId2675" Type="http://schemas.openxmlformats.org/officeDocument/2006/relationships/hyperlink" Target="https://res.cloudinary.com/laboratoire-calebasse/image/upload/v1668592531/boite_de_moxibustion_en_bambou_3_trous_d0e7f4e43f.jpg" TargetMode="External"/><Relationship Id="rId2621" Type="http://schemas.openxmlformats.org/officeDocument/2006/relationships/hyperlink" Target="https://res.cloudinary.com/laboratoire-calebasse/image/upload/v1668597664/aiguille75_ac3afd7782.jpg" TargetMode="External"/><Relationship Id="rId2622" Type="http://schemas.openxmlformats.org/officeDocument/2006/relationships/hyperlink" Target="https://calebasse.com/produits/100-aiguilles-sans-tube-035-x-25-mm-4602?product=6666" TargetMode="External"/><Relationship Id="rId2623" Type="http://schemas.openxmlformats.org/officeDocument/2006/relationships/hyperlink" Target="https://res.cloudinary.com/laboratoire-calebasse/image/upload/v1668593087/aiguille25_3a998bac73.jpg" TargetMode="External"/><Relationship Id="rId2624" Type="http://schemas.openxmlformats.org/officeDocument/2006/relationships/hyperlink" Target="https://calebasse.com/produits/100-aiguilles-sans-tube-035-x-25-mm-4602?product=6667" TargetMode="External"/><Relationship Id="rId2625" Type="http://schemas.openxmlformats.org/officeDocument/2006/relationships/hyperlink" Target="https://res.cloudinary.com/laboratoire-calebasse/image/upload/v1668593087/aiguille25_3a998bac73.jpg" TargetMode="External"/><Relationship Id="rId2626" Type="http://schemas.openxmlformats.org/officeDocument/2006/relationships/hyperlink" Target="https://calebasse.com/produits/100-aiguilles-sans-tube-035-x-40-mm-4603?product=6668" TargetMode="External"/><Relationship Id="rId2627" Type="http://schemas.openxmlformats.org/officeDocument/2006/relationships/hyperlink" Target="https://res.cloudinary.com/laboratoire-calebasse/image/upload/v1668595419/aiguille40_49c2e7cad0.jpg" TargetMode="External"/><Relationship Id="rId2628" Type="http://schemas.openxmlformats.org/officeDocument/2006/relationships/hyperlink" Target="https://calebasse.com/produits/100-aiguilles-sans-tube-035-x-40-mm-4603?product=6669" TargetMode="External"/><Relationship Id="rId709" Type="http://schemas.openxmlformats.org/officeDocument/2006/relationships/hyperlink" Target="https://res.cloudinary.com/laboratoire-calebasse/image/upload/v1665068501/A_shengmaiyacp_d8b983d86f.jpg" TargetMode="External"/><Relationship Id="rId2629" Type="http://schemas.openxmlformats.org/officeDocument/2006/relationships/hyperlink" Target="https://res.cloudinary.com/laboratoire-calebasse/image/upload/v1668595419/aiguille40_49c2e7cad0.jpg" TargetMode="External"/><Relationship Id="rId708" Type="http://schemas.openxmlformats.org/officeDocument/2006/relationships/hyperlink" Target="https://calebasse.com/produits/mai-ya-sheng-graines-de-malt-germe-3870?product=4495" TargetMode="External"/><Relationship Id="rId707" Type="http://schemas.openxmlformats.org/officeDocument/2006/relationships/hyperlink" Target="https://res.cloudinary.com/laboratoire-calebasse/image/upload/v1746526734/GRAINES_DE_MALT_GERME_100_g_AMYS_cf28d899b2.jpg" TargetMode="External"/><Relationship Id="rId706" Type="http://schemas.openxmlformats.org/officeDocument/2006/relationships/hyperlink" Target="https://calebasse.com/produits/mai-ya-sheng-graines-de-malt-germe-3870?product=4491" TargetMode="External"/><Relationship Id="rId701" Type="http://schemas.openxmlformats.org/officeDocument/2006/relationships/hyperlink" Target="https://res.cloudinary.com/laboratoire-calebasse/image/upload/v1634201116/A_chaomaiyagl_480cb12da4.jpg" TargetMode="External"/><Relationship Id="rId700" Type="http://schemas.openxmlformats.org/officeDocument/2006/relationships/hyperlink" Target="https://calebasse.com/produits/mai-ya-chao-graines-de-malt-germe-cuit-3868?product=4490" TargetMode="External"/><Relationship Id="rId705" Type="http://schemas.openxmlformats.org/officeDocument/2006/relationships/hyperlink" Target="https://res.cloudinary.com/laboratoire-calebasse/image/upload/v1751624010/THE_MAO_YAN_MEI_50_g_AMYMC_13776ad448.jpg" TargetMode="External"/><Relationship Id="rId704" Type="http://schemas.openxmlformats.org/officeDocument/2006/relationships/hyperlink" Target="https://calebasse.com/produits/mao-yan-mei-cha-the-mao-yan-mei-5043?product=7270" TargetMode="External"/><Relationship Id="rId703" Type="http://schemas.openxmlformats.org/officeDocument/2006/relationships/hyperlink" Target="https://res.cloudinary.com/laboratoire-calebasse/image/upload/v1747133015/GRAINES_DE_MALT_GERME_CUIT_300_g_AMYCL_44f0484e95.jpg" TargetMode="External"/><Relationship Id="rId702" Type="http://schemas.openxmlformats.org/officeDocument/2006/relationships/hyperlink" Target="https://calebasse.com/produits/mai-ya-chao-graines-de-malt-germe-cuit-3868?product=4487" TargetMode="External"/><Relationship Id="rId2620" Type="http://schemas.openxmlformats.org/officeDocument/2006/relationships/hyperlink" Target="https://calebasse.com/produits/100-aiguilles-sans-tube-030-x-75-mm-4601?product=6663" TargetMode="External"/><Relationship Id="rId2610" Type="http://schemas.openxmlformats.org/officeDocument/2006/relationships/hyperlink" Target="https://calebasse.com/produits/100-aiguilles-sans-tube-030-x-50-mm-4598?product=6658" TargetMode="External"/><Relationship Id="rId2611" Type="http://schemas.openxmlformats.org/officeDocument/2006/relationships/hyperlink" Target="https://res.cloudinary.com/laboratoire-calebasse/image/upload/v1668597178/aiguille50_5161b5d2eb.jpg" TargetMode="External"/><Relationship Id="rId2612" Type="http://schemas.openxmlformats.org/officeDocument/2006/relationships/hyperlink" Target="https://calebasse.com/produits/100-aiguilles-sans-tube-030-x-50-mm-4598?product=6659" TargetMode="External"/><Relationship Id="rId2613" Type="http://schemas.openxmlformats.org/officeDocument/2006/relationships/hyperlink" Target="https://res.cloudinary.com/laboratoire-calebasse/image/upload/v1668597178/aiguille50_5161b5d2eb.jpg" TargetMode="External"/><Relationship Id="rId2614" Type="http://schemas.openxmlformats.org/officeDocument/2006/relationships/hyperlink" Target="https://calebasse.com/produits/100-aiguilles-sans-tube-030-x-60-mm-4600?product=6660" TargetMode="External"/><Relationship Id="rId2615" Type="http://schemas.openxmlformats.org/officeDocument/2006/relationships/hyperlink" Target="https://res.cloudinary.com/laboratoire-calebasse/image/upload/v1668597621/aiguille60_5fe7024ab5.jpg" TargetMode="External"/><Relationship Id="rId2616" Type="http://schemas.openxmlformats.org/officeDocument/2006/relationships/hyperlink" Target="https://calebasse.com/produits/100-aiguilles-sans-tube-030-x-60-mm-4600?product=6661" TargetMode="External"/><Relationship Id="rId2617" Type="http://schemas.openxmlformats.org/officeDocument/2006/relationships/hyperlink" Target="https://res.cloudinary.com/laboratoire-calebasse/image/upload/v1668597621/aiguille60_5fe7024ab5.jpg" TargetMode="External"/><Relationship Id="rId2618" Type="http://schemas.openxmlformats.org/officeDocument/2006/relationships/hyperlink" Target="https://calebasse.com/produits/100-aiguilles-sans-tube-030-x-75-mm-4601?product=6662" TargetMode="External"/><Relationship Id="rId2619" Type="http://schemas.openxmlformats.org/officeDocument/2006/relationships/hyperlink" Target="https://res.cloudinary.com/laboratoire-calebasse/image/upload/v1668597664/aiguille75_ac3afd7782.jpg" TargetMode="External"/><Relationship Id="rId1312" Type="http://schemas.openxmlformats.org/officeDocument/2006/relationships/hyperlink" Target="https://res.cloudinary.com/laboratoire-calebasse/image/upload/v1674565907/Hua_tuo_c2647c3326.jpg" TargetMode="External"/><Relationship Id="rId2643" Type="http://schemas.openxmlformats.org/officeDocument/2006/relationships/hyperlink" Target="https://res.cloudinary.com/laboratoire-calebasse/image/upload/v1683211656/_4fd6684c83.jpg" TargetMode="External"/><Relationship Id="rId1313" Type="http://schemas.openxmlformats.org/officeDocument/2006/relationships/hyperlink" Target="https://calebasse.com/produits/mu-gua-xiao-shi-tang-tisane-digestion-des-proteines-3986?product=4943" TargetMode="External"/><Relationship Id="rId2644" Type="http://schemas.openxmlformats.org/officeDocument/2006/relationships/hyperlink" Target="https://calebasse.com/produits/mei-hua-zhen-marteau-fleur-de-prunier-aiguilles-7-etoiles-12-tetes-de-rechanges-inclues-4455?product=6458" TargetMode="External"/><Relationship Id="rId1314" Type="http://schemas.openxmlformats.org/officeDocument/2006/relationships/hyperlink" Target="https://res.cloudinary.com/laboratoire-calebasse/image/upload/v1752829535/TISANE_DIGESTION_DES_PROTEINES_100_g_BMGXST_df75c237bb.jpg" TargetMode="External"/><Relationship Id="rId2645" Type="http://schemas.openxmlformats.org/officeDocument/2006/relationships/hyperlink" Target="https://res.cloudinary.com/laboratoire-calebasse/image/upload/v1654242048/pifuzhen_6597f55aaf.jpg" TargetMode="External"/><Relationship Id="rId1315" Type="http://schemas.openxmlformats.org/officeDocument/2006/relationships/hyperlink" Target="https://calebasse.com/produits/ming-mu-cha-tisane-pour-les-yeux-3985?product=4939" TargetMode="External"/><Relationship Id="rId2646" Type="http://schemas.openxmlformats.org/officeDocument/2006/relationships/hyperlink" Target="https://calebasse.com/produits/er-xue-tie-patchs-auriculaires-4954?product=7162" TargetMode="External"/><Relationship Id="rId1316" Type="http://schemas.openxmlformats.org/officeDocument/2006/relationships/hyperlink" Target="https://res.cloudinary.com/laboratoire-calebasse/image/upload/v1746525261/TISANE_POUR_LES_YEUX_100_g_BMMC_0b03fb60fa.jpg" TargetMode="External"/><Relationship Id="rId2647" Type="http://schemas.openxmlformats.org/officeDocument/2006/relationships/hyperlink" Target="https://res.cloudinary.com/laboratoire-calebasse/image/upload/v1700039662/_bddcfb0d01.png" TargetMode="External"/><Relationship Id="rId1317" Type="http://schemas.openxmlformats.org/officeDocument/2006/relationships/hyperlink" Target="https://calebasse.com/produits/preparation-pour-vin-chaud-4696?product=6827" TargetMode="External"/><Relationship Id="rId2648" Type="http://schemas.openxmlformats.org/officeDocument/2006/relationships/hyperlink" Target="https://calebasse.com/produits/tenue-souple-de-qi-gong-5010?product=7220" TargetMode="External"/><Relationship Id="rId1318" Type="http://schemas.openxmlformats.org/officeDocument/2006/relationships/hyperlink" Target="https://res.cloudinary.com/laboratoire-calebasse/image/upload/v1746525300/PREPARATION_POUR_VIN_CHAUD_50_g_BNJXLF_7c57647599.jpg" TargetMode="External"/><Relationship Id="rId2649" Type="http://schemas.openxmlformats.org/officeDocument/2006/relationships/hyperlink" Target="https://res.cloudinary.com/laboratoire-calebasse/image/upload/v1700843708/vetement1_68e7651e09.jpg" TargetMode="External"/><Relationship Id="rId1319" Type="http://schemas.openxmlformats.org/officeDocument/2006/relationships/hyperlink" Target="https://calebasse.com/produits/preparation-pour-vin-chaud-4696?product=7425" TargetMode="External"/><Relationship Id="rId729" Type="http://schemas.openxmlformats.org/officeDocument/2006/relationships/hyperlink" Target="https://res.cloudinary.com/laboratoire-calebasse/image/upload/v1747062387/GRAINES_DE_BARDANE_300_g_ANBZL_0e829bce79.jpg" TargetMode="External"/><Relationship Id="rId728" Type="http://schemas.openxmlformats.org/officeDocument/2006/relationships/hyperlink" Target="https://calebasse.com/produits/niu-bang-zi-graines-de-bardane-3878?product=4533" TargetMode="External"/><Relationship Id="rId723" Type="http://schemas.openxmlformats.org/officeDocument/2006/relationships/hyperlink" Target="https://res.cloudinary.com/laboratoire-calebasse/image/upload/v1746526498/GRAINES_DE_BARDANE_100_g_ANBZ_a99387dcdf.jpg" TargetMode="External"/><Relationship Id="rId722" Type="http://schemas.openxmlformats.org/officeDocument/2006/relationships/hyperlink" Target="https://calebasse.com/produits/niu-bang-zi-graines-de-bardane-3878?product=4532" TargetMode="External"/><Relationship Id="rId721" Type="http://schemas.openxmlformats.org/officeDocument/2006/relationships/hyperlink" Target="https://res.cloudinary.com/laboratoire-calebasse/image/upload/v1747062443/PRELE_CHINOISE_300_g_AMZL_30d64c1cd7.jpg" TargetMode="External"/><Relationship Id="rId720" Type="http://schemas.openxmlformats.org/officeDocument/2006/relationships/hyperlink" Target="https://calebasse.com/produits/mu-zei-prele-chinoise-3876?product=4523" TargetMode="External"/><Relationship Id="rId727" Type="http://schemas.openxmlformats.org/officeDocument/2006/relationships/hyperlink" Target="https://res.cloudinary.com/laboratoire-calebasse/image/upload/v1634201117/A_niubangzigl_2ab1795f97.jpg" TargetMode="External"/><Relationship Id="rId726" Type="http://schemas.openxmlformats.org/officeDocument/2006/relationships/hyperlink" Target="https://calebasse.com/produits/niu-bang-zi-graines-de-bardane-3878?product=4536" TargetMode="External"/><Relationship Id="rId725" Type="http://schemas.openxmlformats.org/officeDocument/2006/relationships/hyperlink" Target="https://res.cloudinary.com/laboratoire-calebasse/image/upload/v1634201118/A_niubangzicp_46baabfd34.jpg" TargetMode="External"/><Relationship Id="rId724" Type="http://schemas.openxmlformats.org/officeDocument/2006/relationships/hyperlink" Target="https://calebasse.com/produits/niu-bang-zi-graines-de-bardane-3878?product=4534" TargetMode="External"/><Relationship Id="rId2640" Type="http://schemas.openxmlformats.org/officeDocument/2006/relationships/hyperlink" Target="https://calebasse.com/produits/100-aiguilles-sans-tube-035-x-75-mm-4614?product=6749" TargetMode="External"/><Relationship Id="rId1310" Type="http://schemas.openxmlformats.org/officeDocument/2006/relationships/hyperlink" Target="https://res.cloudinary.com/laboratoire-calebasse/image/upload/v1674569712/Zhang_zhongjing_bda2c237c4.jpg" TargetMode="External"/><Relationship Id="rId2641" Type="http://schemas.openxmlformats.org/officeDocument/2006/relationships/hyperlink" Target="https://res.cloudinary.com/laboratoire-calebasse/image/upload/v1668597664/aiguille75_ac3afd7782.jpg" TargetMode="External"/><Relationship Id="rId1311" Type="http://schemas.openxmlformats.org/officeDocument/2006/relationships/hyperlink" Target="https://calebasse.com/produits/gua-hua-hua-tuo-illustrationhua-tuo-4702?product=6841" TargetMode="External"/><Relationship Id="rId2642" Type="http://schemas.openxmlformats.org/officeDocument/2006/relationships/hyperlink" Target="https://calebasse.com/produits/wang-bu-liu-xue-wei-ya-li-ci-ji-tie-patchs-auriculaires-4647?product=6803" TargetMode="External"/><Relationship Id="rId1301" Type="http://schemas.openxmlformats.org/officeDocument/2006/relationships/hyperlink" Target="https://calebasse.com/produits/gua-hua-yang-illustrationyang-4997?product=6845" TargetMode="External"/><Relationship Id="rId2632" Type="http://schemas.openxmlformats.org/officeDocument/2006/relationships/hyperlink" Target="https://calebasse.com/produits/100-aiguilles-sans-tube-035-x-50-mm-4604?product=6671" TargetMode="External"/><Relationship Id="rId1302" Type="http://schemas.openxmlformats.org/officeDocument/2006/relationships/hyperlink" Target="https://res.cloudinary.com/laboratoire-calebasse/image/upload/v1674568830/Yang_cf9b60631c.jpg" TargetMode="External"/><Relationship Id="rId2633" Type="http://schemas.openxmlformats.org/officeDocument/2006/relationships/hyperlink" Target="https://res.cloudinary.com/laboratoire-calebasse/image/upload/v1668597178/aiguille50_5161b5d2eb.jpg" TargetMode="External"/><Relationship Id="rId1303" Type="http://schemas.openxmlformats.org/officeDocument/2006/relationships/hyperlink" Target="https://calebasse.com/produits/illustration-jing-qi-shen-qi-4703?product=6842" TargetMode="External"/><Relationship Id="rId2634" Type="http://schemas.openxmlformats.org/officeDocument/2006/relationships/hyperlink" Target="https://calebasse.com/produits/100-aiguilles-dacupuncture-sans-tube-035-x-60-mm-4605?product=6672" TargetMode="External"/><Relationship Id="rId1304" Type="http://schemas.openxmlformats.org/officeDocument/2006/relationships/hyperlink" Target="https://res.cloudinary.com/laboratoire-calebasse/image/upload/v1674568413/Jing_3382c88c4f.jpg" TargetMode="External"/><Relationship Id="rId2635" Type="http://schemas.openxmlformats.org/officeDocument/2006/relationships/hyperlink" Target="https://res.cloudinary.com/laboratoire-calebasse/image/upload/v1668597621/aiguille60_5fe7024ab5.jpg" TargetMode="External"/><Relationship Id="rId1305" Type="http://schemas.openxmlformats.org/officeDocument/2006/relationships/hyperlink" Target="https://calebasse.com/produits/gua-hua-li-shizhen-illustration-li-shizhen-4708?product=6847" TargetMode="External"/><Relationship Id="rId2636" Type="http://schemas.openxmlformats.org/officeDocument/2006/relationships/hyperlink" Target="https://calebasse.com/produits/100-aiguilles-dacupuncture-sans-tube-035-x-60-mm-4605?product=6673" TargetMode="External"/><Relationship Id="rId1306" Type="http://schemas.openxmlformats.org/officeDocument/2006/relationships/hyperlink" Target="https://res.cloudinary.com/laboratoire-calebasse/image/upload/v1674569511/Li_shizhen_c57c1800ba.jpg" TargetMode="External"/><Relationship Id="rId2637" Type="http://schemas.openxmlformats.org/officeDocument/2006/relationships/hyperlink" Target="https://res.cloudinary.com/laboratoire-calebasse/image/upload/v1668597621/aiguille60_5fe7024ab5.jpg" TargetMode="External"/><Relationship Id="rId1307" Type="http://schemas.openxmlformats.org/officeDocument/2006/relationships/hyperlink" Target="https://calebasse.com/produits/gua-hua-sun-simiao-illustration-sun-simiao-4709?product=6848" TargetMode="External"/><Relationship Id="rId2638" Type="http://schemas.openxmlformats.org/officeDocument/2006/relationships/hyperlink" Target="https://calebasse.com/produits/100-aiguilles-sans-tube-035-x-75-mm-4614?product=6748" TargetMode="External"/><Relationship Id="rId1308" Type="http://schemas.openxmlformats.org/officeDocument/2006/relationships/hyperlink" Target="https://res.cloudinary.com/laboratoire-calebasse/image/upload/v1674569585/Sun_simiao_0b2da52da4.jpg" TargetMode="External"/><Relationship Id="rId2639" Type="http://schemas.openxmlformats.org/officeDocument/2006/relationships/hyperlink" Target="https://res.cloudinary.com/laboratoire-calebasse/image/upload/v1668597664/aiguille75_ac3afd7782.jpg" TargetMode="External"/><Relationship Id="rId1309" Type="http://schemas.openxmlformats.org/officeDocument/2006/relationships/hyperlink" Target="https://calebasse.com/produits/gua-hua-zhang-zhongjing-illustration-zhang-zhongjing-4710?product=6849" TargetMode="External"/><Relationship Id="rId719" Type="http://schemas.openxmlformats.org/officeDocument/2006/relationships/hyperlink" Target="https://res.cloudinary.com/laboratoire-calebasse/image/upload/v1634201119/A_muzeigl_14d8c4f409.jpg" TargetMode="External"/><Relationship Id="rId718" Type="http://schemas.openxmlformats.org/officeDocument/2006/relationships/hyperlink" Target="https://calebasse.com/produits/mu-zei-prele-chinoise-3876?product=4526" TargetMode="External"/><Relationship Id="rId717" Type="http://schemas.openxmlformats.org/officeDocument/2006/relationships/hyperlink" Target="https://res.cloudinary.com/laboratoire-calebasse/image/upload/v1634201116/A_muzeicp_a35fa74207.jpg" TargetMode="External"/><Relationship Id="rId712" Type="http://schemas.openxmlformats.org/officeDocument/2006/relationships/hyperlink" Target="https://calebasse.com/produits/mai-ya-sheng-graines-de-malt-germe-3870?product=4493" TargetMode="External"/><Relationship Id="rId711" Type="http://schemas.openxmlformats.org/officeDocument/2006/relationships/hyperlink" Target="https://res.cloudinary.com/laboratoire-calebasse/image/upload/v1665068479/A_shengmaiya_GL_251f5e9fcb.jpg" TargetMode="External"/><Relationship Id="rId710" Type="http://schemas.openxmlformats.org/officeDocument/2006/relationships/hyperlink" Target="https://calebasse.com/produits/mai-ya-sheng-graines-de-malt-germe-3870?product=4494" TargetMode="External"/><Relationship Id="rId716" Type="http://schemas.openxmlformats.org/officeDocument/2006/relationships/hyperlink" Target="https://calebasse.com/produits/mu-zei-prele-chinoise-3876?product=4524" TargetMode="External"/><Relationship Id="rId715" Type="http://schemas.openxmlformats.org/officeDocument/2006/relationships/hyperlink" Target="https://res.cloudinary.com/laboratoire-calebasse/image/upload/v1746525404/PRELE_CHINOISE_100_g_AMZ_add3eef02a.jpg" TargetMode="External"/><Relationship Id="rId714" Type="http://schemas.openxmlformats.org/officeDocument/2006/relationships/hyperlink" Target="https://calebasse.com/produits/mu-zei-prele-chinoise-3876?product=4522" TargetMode="External"/><Relationship Id="rId713" Type="http://schemas.openxmlformats.org/officeDocument/2006/relationships/hyperlink" Target="https://res.cloudinary.com/laboratoire-calebasse/image/upload/v1748271891/GRAINES_DE_MALT_GERME_300_g_AMYSL_250c42d4b6.jpg" TargetMode="External"/><Relationship Id="rId2630" Type="http://schemas.openxmlformats.org/officeDocument/2006/relationships/hyperlink" Target="https://calebasse.com/produits/100-aiguilles-sans-tube-035-x-50-mm-4604?product=6670" TargetMode="External"/><Relationship Id="rId1300" Type="http://schemas.openxmlformats.org/officeDocument/2006/relationships/hyperlink" Target="https://res.cloudinary.com/laboratoire-calebasse/image/upload/v1739800310/Yin_Yang_efc95f4180.jpg" TargetMode="External"/><Relationship Id="rId2631" Type="http://schemas.openxmlformats.org/officeDocument/2006/relationships/hyperlink" Target="https://res.cloudinary.com/laboratoire-calebasse/image/upload/v1668597178/aiguille50_5161b5d2eb.jpg" TargetMode="External"/><Relationship Id="rId3117" Type="http://schemas.openxmlformats.org/officeDocument/2006/relationships/hyperlink" Target="https://res.cloudinary.com/laboratoire-calebasse/image/upload/v1713149507/_c378f402e1.jpg" TargetMode="External"/><Relationship Id="rId3116" Type="http://schemas.openxmlformats.org/officeDocument/2006/relationships/hyperlink" Target="https://calebasse.com/produits/tou-gu-ji-zhu-mo-xing-crane-sur-colonne-vertebrale-cervicale-5063?product=7288" TargetMode="External"/><Relationship Id="rId3119" Type="http://schemas.openxmlformats.org/officeDocument/2006/relationships/hyperlink" Target="https://res.cloudinary.com/laboratoire-calebasse/image/upload/v1714116186/Boite_moxa_e673ead2ec.jpg" TargetMode="External"/><Relationship Id="rId3118" Type="http://schemas.openxmlformats.org/officeDocument/2006/relationships/hyperlink" Target="https://calebasse.com/produits/boite-a-moxa-pour-3-rouleaux-de-moxa-avec-couvercle-4914?product=7312" TargetMode="External"/><Relationship Id="rId3111" Type="http://schemas.openxmlformats.org/officeDocument/2006/relationships/hyperlink" Target="https://res.cloudinary.com/laboratoire-calebasse/image/upload/v1713155634/_0ab4e19df3.jpg" TargetMode="External"/><Relationship Id="rId3110" Type="http://schemas.openxmlformats.org/officeDocument/2006/relationships/hyperlink" Target="https://calebasse.com/produits/cai-se-ji-zhu-modele-didactique-de-colonne-vertebrale-colore-5058?product=7292" TargetMode="External"/><Relationship Id="rId3113" Type="http://schemas.openxmlformats.org/officeDocument/2006/relationships/hyperlink" Target="https://res.cloudinary.com/laboratoire-calebasse/image/upload/v1713150187/_ef1f9ed54d.jpg" TargetMode="External"/><Relationship Id="rId3112" Type="http://schemas.openxmlformats.org/officeDocument/2006/relationships/hyperlink" Target="https://calebasse.com/produits/ji-zhu-fu-pen-mo-xing-modele-colonne-vertebrale-avec-bassin-5064?product=7290" TargetMode="External"/><Relationship Id="rId3115" Type="http://schemas.openxmlformats.org/officeDocument/2006/relationships/hyperlink" Target="https://res.cloudinary.com/laboratoire-calebasse/image/upload/v1713150503/_732d13265d.jpg" TargetMode="External"/><Relationship Id="rId3114" Type="http://schemas.openxmlformats.org/officeDocument/2006/relationships/hyperlink" Target="https://calebasse.com/produits/ji-zhu-ji-rou-modele-colonne-vertebrale-bassin-avec-muscle-5065?product=7291" TargetMode="External"/><Relationship Id="rId3106" Type="http://schemas.openxmlformats.org/officeDocument/2006/relationships/hyperlink" Target="https://calebasse.com/produits/gou-gu-mo-xing-modele-de-squelette-chien-5068?product=7296" TargetMode="External"/><Relationship Id="rId3105" Type="http://schemas.openxmlformats.org/officeDocument/2006/relationships/hyperlink" Target="https://res.cloudinary.com/laboratoire-calebasse/image/upload/v1713163254/_a74d1344b7.jpg" TargetMode="External"/><Relationship Id="rId3108" Type="http://schemas.openxmlformats.org/officeDocument/2006/relationships/hyperlink" Target="https://calebasse.com/produits/ji-rou-tou-gu-crane-humain-avec-marquage-des-muscles-5062?product=7287" TargetMode="External"/><Relationship Id="rId3107" Type="http://schemas.openxmlformats.org/officeDocument/2006/relationships/hyperlink" Target="https://res.cloudinary.com/laboratoire-calebasse/image/upload/v1713163050/_52d7cc33b7.jpg" TargetMode="External"/><Relationship Id="rId3109" Type="http://schemas.openxmlformats.org/officeDocument/2006/relationships/hyperlink" Target="https://res.cloudinary.com/laboratoire-calebasse/image/upload/v1713149134/_e6a2cb43ab.jpg" TargetMode="External"/><Relationship Id="rId3100" Type="http://schemas.openxmlformats.org/officeDocument/2006/relationships/hyperlink" Target="https://calebasse.com/produits/dian-huo-bang-tige-dallumage-a-ventouse-reutilisable-avec-coton-5054?product=7307" TargetMode="External"/><Relationship Id="rId3102" Type="http://schemas.openxmlformats.org/officeDocument/2006/relationships/hyperlink" Target="https://calebasse.com/produits/er-xue-mo-xing-modele-dacupuncture-de-loreille-5069?product=7297" TargetMode="External"/><Relationship Id="rId3101" Type="http://schemas.openxmlformats.org/officeDocument/2006/relationships/hyperlink" Target="https://res.cloudinary.com/laboratoire-calebasse/image/upload/v1713170852/_ee522f6931.jpg" TargetMode="External"/><Relationship Id="rId3104" Type="http://schemas.openxmlformats.org/officeDocument/2006/relationships/hyperlink" Target="https://calebasse.com/produits/er-xue-mo-xing-modele-dacupuncture-de-loreille-5069?product=7298" TargetMode="External"/><Relationship Id="rId3103" Type="http://schemas.openxmlformats.org/officeDocument/2006/relationships/hyperlink" Target="https://res.cloudinary.com/laboratoire-calebasse/image/upload/v1713163216/_b6b63edec0.jpg" TargetMode="External"/><Relationship Id="rId3139" Type="http://schemas.openxmlformats.org/officeDocument/2006/relationships/hyperlink" Target="https://res.cloudinary.com/laboratoire-calebasse/image/upload/v1746534331/TREMELLE_EN_FUSEAU_100_g_MYME_bac86ae486.jpg" TargetMode="External"/><Relationship Id="rId3138" Type="http://schemas.openxmlformats.org/officeDocument/2006/relationships/hyperlink" Target="https://calebasse.com/produits/yin-mu-er-tremelle-en-fuseau-4372?product=6269" TargetMode="External"/><Relationship Id="rId3131" Type="http://schemas.openxmlformats.org/officeDocument/2006/relationships/hyperlink" Target="https://res.cloudinary.com/laboratoire-calebasse/image/upload/v1713164137/_6d67de8e3f.jpg" TargetMode="External"/><Relationship Id="rId3130" Type="http://schemas.openxmlformats.org/officeDocument/2006/relationships/hyperlink" Target="https://calebasse.com/produits/zu-zhen-jiu-yu-fan-she-qu-modele-de-pied-avec-points-dacupuncture-5071?product=7300" TargetMode="External"/><Relationship Id="rId3133" Type="http://schemas.openxmlformats.org/officeDocument/2006/relationships/hyperlink" Target="https://res.cloudinary.com/laboratoire-calebasse/image/upload/v1746525424/PLEUROTE_DU_PANICAUT_50_g_MXBG_a251e27e58.jpg" TargetMode="External"/><Relationship Id="rId3132" Type="http://schemas.openxmlformats.org/officeDocument/2006/relationships/hyperlink" Target="https://calebasse.com/produits/xing-bao-gu-pleurote-du-panicaut-4378?product=6281" TargetMode="External"/><Relationship Id="rId3135" Type="http://schemas.openxmlformats.org/officeDocument/2006/relationships/hyperlink" Target="https://res.cloudinary.com/laboratoire-calebasse/image/upload/v1746534412/TREMELLE_FUCUS_100_g_MXME_de43938e47.jpg" TargetMode="External"/><Relationship Id="rId3134" Type="http://schemas.openxmlformats.org/officeDocument/2006/relationships/hyperlink" Target="https://calebasse.com/produits/xue-mu-er-tremelle-fucus-4379?product=6283" TargetMode="External"/><Relationship Id="rId3137" Type="http://schemas.openxmlformats.org/officeDocument/2006/relationships/hyperlink" Target="https://res.cloudinary.com/laboratoire-calebasse/image/upload/v1753347789/_ec37a29e68.jpg" TargetMode="External"/><Relationship Id="rId3136" Type="http://schemas.openxmlformats.org/officeDocument/2006/relationships/hyperlink" Target="https://calebasse.com/produits/xue-mu-er-tremelle-fucus-4379?product=7374" TargetMode="External"/><Relationship Id="rId3128" Type="http://schemas.openxmlformats.org/officeDocument/2006/relationships/hyperlink" Target="https://calebasse.com/produits/yan-qiu-yan-kuang-mo-xing-modele-oeil-dans-lorbite-en-10-parties-agrandi-3x-5066?product=7294" TargetMode="External"/><Relationship Id="rId3127" Type="http://schemas.openxmlformats.org/officeDocument/2006/relationships/hyperlink" Target="https://res.cloudinary.com/laboratoire-calebasse/image/upload/v1713155710/_79de2f805b.jpg" TargetMode="External"/><Relationship Id="rId3129" Type="http://schemas.openxmlformats.org/officeDocument/2006/relationships/hyperlink" Target="https://res.cloudinary.com/laboratoire-calebasse/image/upload/v1713163347/_5325e56967.jpg" TargetMode="External"/><Relationship Id="rId3120" Type="http://schemas.openxmlformats.org/officeDocument/2006/relationships/hyperlink" Target="https://calebasse.com/produits/shou-zhen-jiu-yu-fan-she-qu-modele-main-gauche-avec-points-acupuncture-5070?product=7299" TargetMode="External"/><Relationship Id="rId3122" Type="http://schemas.openxmlformats.org/officeDocument/2006/relationships/hyperlink" Target="https://calebasse.com/produits/tou-ming-fei-mo-xing-modele-de-segment-pulmonaire-transparent-5067?product=7295" TargetMode="External"/><Relationship Id="rId3121" Type="http://schemas.openxmlformats.org/officeDocument/2006/relationships/hyperlink" Target="https://res.cloudinary.com/laboratoire-calebasse/image/upload/v1739878073/modele_main_de68127305.jpg" TargetMode="External"/><Relationship Id="rId3124" Type="http://schemas.openxmlformats.org/officeDocument/2006/relationships/hyperlink" Target="https://calebasse.com/produits/xiao-tou-gu-mo-xing-mini-crane-anatomique-humain-5057?product=7289" TargetMode="External"/><Relationship Id="rId3123" Type="http://schemas.openxmlformats.org/officeDocument/2006/relationships/hyperlink" Target="https://res.cloudinary.com/laboratoire-calebasse/image/upload/v1713162982/_86582fdd54.jpg" TargetMode="External"/><Relationship Id="rId3126" Type="http://schemas.openxmlformats.org/officeDocument/2006/relationships/hyperlink" Target="https://calebasse.com/produits/yan-qiu-6x-mo-xing-modele-anatomique-de-loeil-humain-agrandi-6x-5059?product=7293" TargetMode="External"/><Relationship Id="rId3125" Type="http://schemas.openxmlformats.org/officeDocument/2006/relationships/hyperlink" Target="https://res.cloudinary.com/laboratoire-calebasse/image/upload/v1713150098/_50e6081915.jpg" TargetMode="External"/><Relationship Id="rId1378" Type="http://schemas.openxmlformats.org/officeDocument/2006/relationships/hyperlink" Target="https://res.cloudinary.com/laboratoire-calebasse/image/upload/v1746524090/TISANE_BEAUTE_DES_CHEVEUX_100_g_BWHT_672deb4736.jpg" TargetMode="External"/><Relationship Id="rId1379" Type="http://schemas.openxmlformats.org/officeDocument/2006/relationships/hyperlink" Target="https://calebasse.com/produits/wu-wei-jiang-tang-tang-tisane-equilibre-du-sucre-4001?product=4972" TargetMode="External"/><Relationship Id="rId789" Type="http://schemas.openxmlformats.org/officeDocument/2006/relationships/hyperlink" Target="https://res.cloudinary.com/laboratoire-calebasse/image/upload/v1748272155/DENT_DE_LION_PISSENLIT_150_g_APGYL_a7e37ad8c8.jpg" TargetMode="External"/><Relationship Id="rId788" Type="http://schemas.openxmlformats.org/officeDocument/2006/relationships/hyperlink" Target="https://calebasse.com/produits/pu-gong-ying-dent-de-lion-pissenlit-3891?product=4584" TargetMode="External"/><Relationship Id="rId787" Type="http://schemas.openxmlformats.org/officeDocument/2006/relationships/hyperlink" Target="https://res.cloudinary.com/laboratoire-calebasse/image/upload/v1707823511/A_pugongying_GL_4535ff1ae1.jpg" TargetMode="External"/><Relationship Id="rId786" Type="http://schemas.openxmlformats.org/officeDocument/2006/relationships/hyperlink" Target="https://calebasse.com/produits/pu-gong-ying-dent-de-lion-pissenlit-3891?product=4588" TargetMode="External"/><Relationship Id="rId781" Type="http://schemas.openxmlformats.org/officeDocument/2006/relationships/hyperlink" Target="https://res.cloudinary.com/laboratoire-calebasse/image/upload/v1746528165/POMMIER_FLEUR_50_g_APGH_30753a0dd0.jpg" TargetMode="External"/><Relationship Id="rId1370" Type="http://schemas.openxmlformats.org/officeDocument/2006/relationships/hyperlink" Target="https://res.cloudinary.com/laboratoire-calebasse/image/upload/v1746525807/TISANE_MOBILITE_DES_EPAULES_100_g_BSZSST_495ad432ea.jpg" TargetMode="External"/><Relationship Id="rId780" Type="http://schemas.openxmlformats.org/officeDocument/2006/relationships/hyperlink" Target="https://calebasse.com/produits/ping-guo-hua-fleurs-de-pommier-3888?product=4579" TargetMode="External"/><Relationship Id="rId1371" Type="http://schemas.openxmlformats.org/officeDocument/2006/relationships/hyperlink" Target="https://calebasse.com/produits/tong-jing-zhi-tong-tang-tisane-regles-difficiles-3999?product=4968" TargetMode="External"/><Relationship Id="rId1372" Type="http://schemas.openxmlformats.org/officeDocument/2006/relationships/hyperlink" Target="https://res.cloudinary.com/laboratoire-calebasse/image/upload/v1746526750/TISANE_REGLES_DIFFICILES_100_g_BTJZTT_cd28adbb6b.jpg" TargetMode="External"/><Relationship Id="rId1373" Type="http://schemas.openxmlformats.org/officeDocument/2006/relationships/hyperlink" Target="https://calebasse.com/produits/wen-gong-nuan-jing-pao-jiao-bao-bain-de-pieds-pour-les-troubles-du-cycle-4553?product=6576" TargetMode="External"/><Relationship Id="rId785" Type="http://schemas.openxmlformats.org/officeDocument/2006/relationships/hyperlink" Target="https://res.cloudinary.com/laboratoire-calebasse/image/upload/v1707823497/A_pugongying_CP_71050af053.jpg" TargetMode="External"/><Relationship Id="rId1374" Type="http://schemas.openxmlformats.org/officeDocument/2006/relationships/hyperlink" Target="https://res.cloudinary.com/laboratoire-calebasse/image/upload/v1744105505/bain_de_pieds_small_mockup_MAX_fa0cc0c75b.jpg" TargetMode="External"/><Relationship Id="rId784" Type="http://schemas.openxmlformats.org/officeDocument/2006/relationships/hyperlink" Target="https://calebasse.com/produits/pu-gong-ying-dent-de-lion-pissenlit-3891?product=4586" TargetMode="External"/><Relationship Id="rId1375" Type="http://schemas.openxmlformats.org/officeDocument/2006/relationships/hyperlink" Target="https://calebasse.com/produits/wen-gong-nuan-jing-pao-jiao-bao-bain-de-pieds-pour-les-troubles-du-cycle-4553?product=6907" TargetMode="External"/><Relationship Id="rId783" Type="http://schemas.openxmlformats.org/officeDocument/2006/relationships/hyperlink" Target="https://res.cloudinary.com/laboratoire-calebasse/image/upload/v1746528849/DENT_DE_LION_PISSENLIT_50_g_APGY_0c63aa9825.jpg" TargetMode="External"/><Relationship Id="rId1376" Type="http://schemas.openxmlformats.org/officeDocument/2006/relationships/hyperlink" Target="https://res.cloudinary.com/laboratoire-calebasse/image/upload/v1744105466/bain_de_pieds_large_mockup_MAX_1d1acefe9c.jpg" TargetMode="External"/><Relationship Id="rId782" Type="http://schemas.openxmlformats.org/officeDocument/2006/relationships/hyperlink" Target="https://calebasse.com/produits/pu-gong-ying-dent-de-lion-pissenlit-3891?product=4585" TargetMode="External"/><Relationship Id="rId1377" Type="http://schemas.openxmlformats.org/officeDocument/2006/relationships/hyperlink" Target="https://calebasse.com/produits/wu-hei-tang-tisane-beaute-des-cheveux-4784?product=6988" TargetMode="External"/><Relationship Id="rId1367" Type="http://schemas.openxmlformats.org/officeDocument/2006/relationships/hyperlink" Target="https://calebasse.com/produits/si-shen-tang-4475?product=6505" TargetMode="External"/><Relationship Id="rId2698" Type="http://schemas.openxmlformats.org/officeDocument/2006/relationships/hyperlink" Target="https://calebasse.com/produits/100-aiguilles-couteau-050-x-60-mm-4655?product=6690" TargetMode="External"/><Relationship Id="rId1368" Type="http://schemas.openxmlformats.org/officeDocument/2006/relationships/hyperlink" Target="https://res.cloudinary.com/laboratoire-calebasse/image/upload/v1746524597/SI_SHEN_TANG_100_g_BSST_4a756cc203.jpg" TargetMode="External"/><Relationship Id="rId2699" Type="http://schemas.openxmlformats.org/officeDocument/2006/relationships/hyperlink" Target="https://res.cloudinary.com/laboratoire-calebasse/image/upload/v1672995742/Lame_d_acupuncture60_d9bacebdfa.jpg" TargetMode="External"/><Relationship Id="rId1369" Type="http://schemas.openxmlformats.org/officeDocument/2006/relationships/hyperlink" Target="https://calebasse.com/produits/sang-zhi-sheng-shi-tang-tisane-mobilite-des-epaules-3995?product=4958" TargetMode="External"/><Relationship Id="rId778" Type="http://schemas.openxmlformats.org/officeDocument/2006/relationships/hyperlink" Target="https://calebasse.com/produits/pu-er-huang-the-puer-jaune-3890?product=7438" TargetMode="External"/><Relationship Id="rId777" Type="http://schemas.openxmlformats.org/officeDocument/2006/relationships/hyperlink" Target="https://res.cloudinary.com/laboratoire-calebasse/image/upload/v1751624068/THE_PUER_JAUNE_300_g_APEHL_a7f30c05ce.jpg" TargetMode="External"/><Relationship Id="rId776" Type="http://schemas.openxmlformats.org/officeDocument/2006/relationships/hyperlink" Target="https://calebasse.com/produits/pu-er-huang-the-puer-jaune-3890?product=4583" TargetMode="External"/><Relationship Id="rId775" Type="http://schemas.openxmlformats.org/officeDocument/2006/relationships/hyperlink" Target="https://res.cloudinary.com/laboratoire-calebasse/image/upload/v1751624080/THE_PUER_JAUNE_100_g_APEH_84f61e239d.jpg" TargetMode="External"/><Relationship Id="rId779" Type="http://schemas.openxmlformats.org/officeDocument/2006/relationships/hyperlink" Target="https://res.cloudinary.com/laboratoire-calebasse/image/upload/v1753347432/_5c7a9f49c7.jpg" TargetMode="External"/><Relationship Id="rId770" Type="http://schemas.openxmlformats.org/officeDocument/2006/relationships/hyperlink" Target="https://calebasse.com/produits/pu-er-bai-the-puer-blanc-3889?product=4580" TargetMode="External"/><Relationship Id="rId2690" Type="http://schemas.openxmlformats.org/officeDocument/2006/relationships/hyperlink" Target="https://calebasse.com/produits/100-aiguilles-couteau-050-x-40-mm-4653?product=6686" TargetMode="External"/><Relationship Id="rId1360" Type="http://schemas.openxmlformats.org/officeDocument/2006/relationships/hyperlink" Target="https://res.cloudinary.com/laboratoire-calebasse/image/upload/v1744105408/bain_de_pieds_large_mockup_MAX_0dfa58d310.jpg" TargetMode="External"/><Relationship Id="rId2691" Type="http://schemas.openxmlformats.org/officeDocument/2006/relationships/hyperlink" Target="https://res.cloudinary.com/laboratoire-calebasse/image/upload/v1672995472/Lame_d_acupuncture40_91efacf7a2.jpg" TargetMode="External"/><Relationship Id="rId1361" Type="http://schemas.openxmlformats.org/officeDocument/2006/relationships/hyperlink" Target="https://calebasse.com/produits/suan-mei-tang-boisson-a-base-de-prunes-chinoises-4468?product=6496" TargetMode="External"/><Relationship Id="rId2692" Type="http://schemas.openxmlformats.org/officeDocument/2006/relationships/hyperlink" Target="https://calebasse.com/produits/100-aiguilles-couteau-050-x-40-mm-4653?product=6687" TargetMode="External"/><Relationship Id="rId1362" Type="http://schemas.openxmlformats.org/officeDocument/2006/relationships/hyperlink" Target="https://res.cloudinary.com/laboratoire-calebasse/image/upload/v1746534108/BOISSON_A_BASE_DE_PRUNES_CHINOISES_50_g_BSMT_4d419f20e5.jpg" TargetMode="External"/><Relationship Id="rId2693" Type="http://schemas.openxmlformats.org/officeDocument/2006/relationships/hyperlink" Target="https://res.cloudinary.com/laboratoire-calebasse/image/upload/v1672995472/Lame_d_acupuncture40_91efacf7a2.jpg" TargetMode="External"/><Relationship Id="rId774" Type="http://schemas.openxmlformats.org/officeDocument/2006/relationships/hyperlink" Target="https://calebasse.com/produits/pu-er-huang-the-puer-jaune-3890?product=4582" TargetMode="External"/><Relationship Id="rId1363" Type="http://schemas.openxmlformats.org/officeDocument/2006/relationships/hyperlink" Target="https://calebasse.com/produits/suan-mei-tang-boisson-a-base-de-prunes-chinoises-4468?product=6497" TargetMode="External"/><Relationship Id="rId2694" Type="http://schemas.openxmlformats.org/officeDocument/2006/relationships/hyperlink" Target="https://calebasse.com/produits/100-aiguilles-couteau-050-x-50-mm-4654?product=6688" TargetMode="External"/><Relationship Id="rId773" Type="http://schemas.openxmlformats.org/officeDocument/2006/relationships/hyperlink" Target="https://res.cloudinary.com/laboratoire-calebasse/image/upload/v1751623950/THE_PUER_BLANC_300_g_APEBL_467651f99d.jpg" TargetMode="External"/><Relationship Id="rId1364" Type="http://schemas.openxmlformats.org/officeDocument/2006/relationships/hyperlink" Target="https://res.cloudinary.com/laboratoire-calebasse/image/upload/v1750753763/Suan_Mei_Tang_Bundle_3_8131e1feef.png" TargetMode="External"/><Relationship Id="rId2695" Type="http://schemas.openxmlformats.org/officeDocument/2006/relationships/hyperlink" Target="https://res.cloudinary.com/laboratoire-calebasse/image/upload/v1672995500/Lame_d_acupuncture50_596a6088bf.jpg" TargetMode="External"/><Relationship Id="rId772" Type="http://schemas.openxmlformats.org/officeDocument/2006/relationships/hyperlink" Target="https://calebasse.com/produits/pu-er-bai-the-puer-blanc-3889?product=4581" TargetMode="External"/><Relationship Id="rId1365" Type="http://schemas.openxmlformats.org/officeDocument/2006/relationships/hyperlink" Target="https://calebasse.com/produits/sheng-mai-yin-decoction-du-pouls-et-de-la-vie-3994?product=4962" TargetMode="External"/><Relationship Id="rId2696" Type="http://schemas.openxmlformats.org/officeDocument/2006/relationships/hyperlink" Target="https://calebasse.com/produits/100-aiguilles-couteau-050-x-50-mm-4654?product=6689" TargetMode="External"/><Relationship Id="rId771" Type="http://schemas.openxmlformats.org/officeDocument/2006/relationships/hyperlink" Target="https://res.cloudinary.com/laboratoire-calebasse/image/upload/v1751623964/THE_PUER_BLANC_100_g_APEB_0f02311974.jpg" TargetMode="External"/><Relationship Id="rId1366" Type="http://schemas.openxmlformats.org/officeDocument/2006/relationships/hyperlink" Target="https://res.cloudinary.com/laboratoire-calebasse/image/upload/v1746526719/DECOCTION_DU_POULS_ET_DE_LA_VIE_100_g_BSMY_3f242787ac.jpg" TargetMode="External"/><Relationship Id="rId2697" Type="http://schemas.openxmlformats.org/officeDocument/2006/relationships/hyperlink" Target="https://res.cloudinary.com/laboratoire-calebasse/image/upload/v1672995500/Lame_d_acupuncture50_596a6088bf.jpg" TargetMode="External"/><Relationship Id="rId1390" Type="http://schemas.openxmlformats.org/officeDocument/2006/relationships/hyperlink" Target="https://res.cloudinary.com/laboratoire-calebasse/image/upload/v1746529225/TISANE_MEMOIRE_ET_CONCENTRATION_100_g_BYZCPS_77241b1d1d.jpg" TargetMode="External"/><Relationship Id="rId1391" Type="http://schemas.openxmlformats.org/officeDocument/2006/relationships/hyperlink" Target="https://calebasse.com/produits/zhang-qi-tang-tisane-ballonnements-4006?product=4982" TargetMode="External"/><Relationship Id="rId1392" Type="http://schemas.openxmlformats.org/officeDocument/2006/relationships/hyperlink" Target="https://res.cloudinary.com/laboratoire-calebasse/image/upload/v1746528016/TISANE_BALLONNEMENTS_100_g_BZQT_03d3a9f568.jpg" TargetMode="External"/><Relationship Id="rId1393" Type="http://schemas.openxmlformats.org/officeDocument/2006/relationships/hyperlink" Target="https://calebasse.com/produits/zhang-qi-tang-tisane-ballonnements-4006?product=7368" TargetMode="External"/><Relationship Id="rId1394" Type="http://schemas.openxmlformats.org/officeDocument/2006/relationships/hyperlink" Target="https://res.cloudinary.com/laboratoire-calebasse/image/upload/v1753347703/_462f7d5c9c.jpg" TargetMode="External"/><Relationship Id="rId1395" Type="http://schemas.openxmlformats.org/officeDocument/2006/relationships/hyperlink" Target="https://calebasse.com/produits/an-mian-pian-4008?product=4984" TargetMode="External"/><Relationship Id="rId1396" Type="http://schemas.openxmlformats.org/officeDocument/2006/relationships/hyperlink" Target="https://res.cloudinary.com/laboratoire-calebasse/image/upload/v1753350957/AN_MIAN_PIAN_CAMP_498898c071.jpg" TargetMode="External"/><Relationship Id="rId1397" Type="http://schemas.openxmlformats.org/officeDocument/2006/relationships/hyperlink" Target="https://calebasse.com/produits/an-mian-pian-4008?product=4986" TargetMode="External"/><Relationship Id="rId1398" Type="http://schemas.openxmlformats.org/officeDocument/2006/relationships/hyperlink" Target="https://res.cloudinary.com/laboratoire-calebasse/image/upload/v1753350976/AN_MIAN_PIAN_CAMPCP_f710b666c5.jpg" TargetMode="External"/><Relationship Id="rId1399" Type="http://schemas.openxmlformats.org/officeDocument/2006/relationships/hyperlink" Target="https://calebasse.com/produits/an-shen-bu-xin-wan-4007?product=4988" TargetMode="External"/><Relationship Id="rId1389" Type="http://schemas.openxmlformats.org/officeDocument/2006/relationships/hyperlink" Target="https://calebasse.com/produits/yuan-zhi-chang-pu-san-tisane-memoire-et-concentration-4005?product=4979" TargetMode="External"/><Relationship Id="rId799" Type="http://schemas.openxmlformats.org/officeDocument/2006/relationships/hyperlink" Target="https://res.cloudinary.com/laboratoire-calebasse/image/upload/v1634201121/A_pipayecp_fb2c2acef1.jpg" TargetMode="External"/><Relationship Id="rId798" Type="http://schemas.openxmlformats.org/officeDocument/2006/relationships/hyperlink" Target="https://calebasse.com/produits/pi-pa-ye-feuilles-de-bibacier-3886?product=4573" TargetMode="External"/><Relationship Id="rId797" Type="http://schemas.openxmlformats.org/officeDocument/2006/relationships/hyperlink" Target="https://res.cloudinary.com/laboratoire-calebasse/image/upload/v1746525506/FEUILLES_DE_BIBACIER_50_g_APPY_55f5e90234.jpg" TargetMode="External"/><Relationship Id="rId1380" Type="http://schemas.openxmlformats.org/officeDocument/2006/relationships/hyperlink" Target="https://res.cloudinary.com/laboratoire-calebasse/image/upload/v1746524056/TISANE_EQUILIBRE_DU_SUCRE_100_g_BWWJTT_b97fe0905a.jpg" TargetMode="External"/><Relationship Id="rId792" Type="http://schemas.openxmlformats.org/officeDocument/2006/relationships/hyperlink" Target="https://calebasse.com/produits/la-jiao-piment-3848?product=4419" TargetMode="External"/><Relationship Id="rId1381" Type="http://schemas.openxmlformats.org/officeDocument/2006/relationships/hyperlink" Target="https://calebasse.com/produits/xiao-shi-cha-tisane-digestive-detox-5091?product=7327" TargetMode="External"/><Relationship Id="rId791" Type="http://schemas.openxmlformats.org/officeDocument/2006/relationships/hyperlink" Target="https://res.cloudinary.com/laboratoire-calebasse/image/upload/v1746524179/HERBE_DE_FORTUNE_50_g_APL_6c38a34a01.jpg" TargetMode="External"/><Relationship Id="rId1382" Type="http://schemas.openxmlformats.org/officeDocument/2006/relationships/hyperlink" Target="https://res.cloudinary.com/laboratoire-calebasse/image/upload/v1746526201/TISANE_DIGESTIVE_DETOX_100_g_BXSC_ebc35cef3d.jpg" TargetMode="External"/><Relationship Id="rId790" Type="http://schemas.openxmlformats.org/officeDocument/2006/relationships/hyperlink" Target="https://calebasse.com/produits/pei-lan-herbe-de-fortune-3887?product=4570" TargetMode="External"/><Relationship Id="rId1383" Type="http://schemas.openxmlformats.org/officeDocument/2006/relationships/hyperlink" Target="https://calebasse.com/produits/xiao-shi-tang-tisane-post-prandiale-4003?product=4976" TargetMode="External"/><Relationship Id="rId1384" Type="http://schemas.openxmlformats.org/officeDocument/2006/relationships/hyperlink" Target="https://res.cloudinary.com/laboratoire-calebasse/image/upload/v1748271466/TISANE_POST_PRANDIALE_100_g_BXST_f31153a102.jpg" TargetMode="External"/><Relationship Id="rId796" Type="http://schemas.openxmlformats.org/officeDocument/2006/relationships/hyperlink" Target="https://calebasse.com/produits/pi-pa-ye-feuilles-de-bibacier-3886?product=4572" TargetMode="External"/><Relationship Id="rId1385" Type="http://schemas.openxmlformats.org/officeDocument/2006/relationships/hyperlink" Target="https://calebasse.com/produits/xun-xi-fang-tisane-pour-toilette-intime-4435?product=6433" TargetMode="External"/><Relationship Id="rId795" Type="http://schemas.openxmlformats.org/officeDocument/2006/relationships/hyperlink" Target="https://res.cloudinary.com/laboratoire-calebasse/image/upload/v1748272187/HERBE_DE_FORTUNE_200_g_APLNL_dee820f28d.jpg" TargetMode="External"/><Relationship Id="rId1386" Type="http://schemas.openxmlformats.org/officeDocument/2006/relationships/hyperlink" Target="https://res.cloudinary.com/laboratoire-calebasse/image/upload/v1746526442/TISANE_POUR_TOILETTE_INTIME_150_g_BXXF_39ec5647fd.jpg" TargetMode="External"/><Relationship Id="rId794" Type="http://schemas.openxmlformats.org/officeDocument/2006/relationships/hyperlink" Target="https://calebasse.com/produits/pei-lan-herbe-de-fortune-3887?product=4571" TargetMode="External"/><Relationship Id="rId1387" Type="http://schemas.openxmlformats.org/officeDocument/2006/relationships/hyperlink" Target="https://calebasse.com/produits/yu-ping-feng-tang-tisane-defenses-immunitaires-4004?product=4978" TargetMode="External"/><Relationship Id="rId793" Type="http://schemas.openxmlformats.org/officeDocument/2006/relationships/hyperlink" Target="https://res.cloudinary.com/laboratoire-calebasse/image/upload/v1747063792/PIMENT_200_g_APLL_df48cbcd93.jpg" TargetMode="External"/><Relationship Id="rId1388" Type="http://schemas.openxmlformats.org/officeDocument/2006/relationships/hyperlink" Target="https://res.cloudinary.com/laboratoire-calebasse/image/upload/v1746526588/YU_PING_FENG_TANG_100_g_BYPFT_4997cf68b0.jpg" TargetMode="External"/><Relationship Id="rId3191" Type="http://schemas.openxmlformats.org/officeDocument/2006/relationships/hyperlink" Target="https://res.cloudinary.com/laboratoire-calebasse/image/upload/v1746522180/BOUILLON_BLANC_100_g_OBOUI_6552d90ebe.jpg" TargetMode="External"/><Relationship Id="rId3190" Type="http://schemas.openxmlformats.org/officeDocument/2006/relationships/hyperlink" Target="https://calebasse.com/produits/bouillon-blanc-4293?product=6104" TargetMode="External"/><Relationship Id="rId3193" Type="http://schemas.openxmlformats.org/officeDocument/2006/relationships/hyperlink" Target="https://res.cloudinary.com/laboratoire-calebasse/image/upload/v1748270336/BOUILLON_BLANC_200_g_OBOUIL_7013c563b2.jpg" TargetMode="External"/><Relationship Id="rId3192" Type="http://schemas.openxmlformats.org/officeDocument/2006/relationships/hyperlink" Target="https://calebasse.com/produits/bouillon-blanc-4293?product=6105" TargetMode="External"/><Relationship Id="rId3195" Type="http://schemas.openxmlformats.org/officeDocument/2006/relationships/hyperlink" Target="https://res.cloudinary.com/laboratoire-calebasse/image/upload/v1746522197/BOULEAU_100_g_OBOUL_24984a1f6f.jpg" TargetMode="External"/><Relationship Id="rId3194" Type="http://schemas.openxmlformats.org/officeDocument/2006/relationships/hyperlink" Target="https://calebasse.com/produits/bouleau-4296?product=6107" TargetMode="External"/><Relationship Id="rId3197" Type="http://schemas.openxmlformats.org/officeDocument/2006/relationships/hyperlink" Target="https://res.cloudinary.com/laboratoire-calebasse/image/upload/v1746522328/BRUYERE_100_g_OBRUY_f8007e4049.jpg" TargetMode="External"/><Relationship Id="rId3196" Type="http://schemas.openxmlformats.org/officeDocument/2006/relationships/hyperlink" Target="https://calebasse.com/produits/bruyere-4298?product=6114" TargetMode="External"/><Relationship Id="rId3199" Type="http://schemas.openxmlformats.org/officeDocument/2006/relationships/hyperlink" Target="https://res.cloudinary.com/laboratoire-calebasse/image/upload/v1752220999/BRUYERE_200_g_OBRUYL_a9a6a17e3f.jpg" TargetMode="External"/><Relationship Id="rId3198" Type="http://schemas.openxmlformats.org/officeDocument/2006/relationships/hyperlink" Target="https://calebasse.com/produits/bruyere-4298?product=6115" TargetMode="External"/><Relationship Id="rId3180" Type="http://schemas.openxmlformats.org/officeDocument/2006/relationships/hyperlink" Target="https://calebasse.com/produits/bourse-a-pasteur-4505?product=6113" TargetMode="External"/><Relationship Id="rId3182" Type="http://schemas.openxmlformats.org/officeDocument/2006/relationships/hyperlink" Target="https://calebasse.com/produits/bleuet-4291?product=6100" TargetMode="External"/><Relationship Id="rId3181" Type="http://schemas.openxmlformats.org/officeDocument/2006/relationships/hyperlink" Target="https://res.cloudinary.com/laboratoire-calebasse/image/upload/v1748270266/BOURSE_A_PASTEUR_300_g_OBAPAL_55367118ae.jpg" TargetMode="External"/><Relationship Id="rId3184" Type="http://schemas.openxmlformats.org/officeDocument/2006/relationships/hyperlink" Target="https://calebasse.com/produits/bleuet-4291?product=6101" TargetMode="External"/><Relationship Id="rId3183" Type="http://schemas.openxmlformats.org/officeDocument/2006/relationships/hyperlink" Target="https://res.cloudinary.com/laboratoire-calebasse/image/upload/v1746522116/BLEUET_30g_OBLEU_4ee91a7a2f.jpg" TargetMode="External"/><Relationship Id="rId3186" Type="http://schemas.openxmlformats.org/officeDocument/2006/relationships/hyperlink" Target="https://calebasse.com/produits/boldo-4292?product=6102" TargetMode="External"/><Relationship Id="rId3185" Type="http://schemas.openxmlformats.org/officeDocument/2006/relationships/hyperlink" Target="https://res.cloudinary.com/laboratoire-calebasse/image/upload/v1748270389/BLEUET_150_g_OBLEUL_d88ee3d235.jpg" TargetMode="External"/><Relationship Id="rId3188" Type="http://schemas.openxmlformats.org/officeDocument/2006/relationships/hyperlink" Target="https://calebasse.com/produits/boldo-4292?product=6103" TargetMode="External"/><Relationship Id="rId3187" Type="http://schemas.openxmlformats.org/officeDocument/2006/relationships/hyperlink" Target="https://res.cloudinary.com/laboratoire-calebasse/image/upload/v1746522142/BOLDO_100_g_OBOLD_82b95408b2.jpg" TargetMode="External"/><Relationship Id="rId3189" Type="http://schemas.openxmlformats.org/officeDocument/2006/relationships/hyperlink" Target="https://res.cloudinary.com/laboratoire-calebasse/image/upload/v1748270366/BOLDO_200_g_OBOLDL_e246d22ef4.jpg" TargetMode="External"/><Relationship Id="rId3151" Type="http://schemas.openxmlformats.org/officeDocument/2006/relationships/hyperlink" Target="https://res.cloudinary.com/laboratoire-calebasse/image/upload/v1748270613/AIL_DES_OURS_200_g_OAILL_79404d7ca7.jpg" TargetMode="External"/><Relationship Id="rId3150" Type="http://schemas.openxmlformats.org/officeDocument/2006/relationships/hyperlink" Target="https://calebasse.com/produits/ail-des-ours-4284?product=6085" TargetMode="External"/><Relationship Id="rId3153" Type="http://schemas.openxmlformats.org/officeDocument/2006/relationships/hyperlink" Target="https://res.cloudinary.com/laboratoire-calebasse/image/upload/v1746521661/ALCHEMILLE_100_g_OALCH_3f8573e96d.jpg" TargetMode="External"/><Relationship Id="rId3152" Type="http://schemas.openxmlformats.org/officeDocument/2006/relationships/hyperlink" Target="https://calebasse.com/produits/alchemille-4281?product=6086" TargetMode="External"/><Relationship Id="rId3155" Type="http://schemas.openxmlformats.org/officeDocument/2006/relationships/hyperlink" Target="https://res.cloudinary.com/laboratoire-calebasse/image/upload/v1748270557/ALCHEMILLE_200_g_OALCHL_6088319df0.jpg" TargetMode="External"/><Relationship Id="rId3154" Type="http://schemas.openxmlformats.org/officeDocument/2006/relationships/hyperlink" Target="https://calebasse.com/produits/alchemille-4281?product=6087" TargetMode="External"/><Relationship Id="rId3157" Type="http://schemas.openxmlformats.org/officeDocument/2006/relationships/hyperlink" Target="https://res.cloudinary.com/laboratoire-calebasse/image/upload/v1746521696/ANETH_100_g_OANET_e42f52605f.jpg" TargetMode="External"/><Relationship Id="rId3156" Type="http://schemas.openxmlformats.org/officeDocument/2006/relationships/hyperlink" Target="https://calebasse.com/produits/aneth-4287?product=6088" TargetMode="External"/><Relationship Id="rId3159" Type="http://schemas.openxmlformats.org/officeDocument/2006/relationships/hyperlink" Target="https://res.cloudinary.com/laboratoire-calebasse/image/upload/v1751625145/ANGELIQUE_FEUILLE_COUPEE_BIO_50_g_OANGE_fc1d5b254b.jpg" TargetMode="External"/><Relationship Id="rId3158" Type="http://schemas.openxmlformats.org/officeDocument/2006/relationships/hyperlink" Target="https://calebasse.com/produits/angelique-4285?product=6090" TargetMode="External"/><Relationship Id="rId3149" Type="http://schemas.openxmlformats.org/officeDocument/2006/relationships/hyperlink" Target="https://res.cloudinary.com/laboratoire-calebasse/image/upload/v1746521623/AIL_DES_OURS_50_g_OAIL_e5de7b49c8.jpg" TargetMode="External"/><Relationship Id="rId3140" Type="http://schemas.openxmlformats.org/officeDocument/2006/relationships/hyperlink" Target="https://calebasse.com/produits/yin-mu-er-tremelle-en-fuseau-4372?product=7372" TargetMode="External"/><Relationship Id="rId3142" Type="http://schemas.openxmlformats.org/officeDocument/2006/relationships/hyperlink" Target="https://calebasse.com/produits/yun-zhi-polypore-versicolor-4380?product=6285" TargetMode="External"/><Relationship Id="rId3141" Type="http://schemas.openxmlformats.org/officeDocument/2006/relationships/hyperlink" Target="https://res.cloudinary.com/laboratoire-calebasse/image/upload/v1753347766/_487b51b5c6.jpg" TargetMode="External"/><Relationship Id="rId3144" Type="http://schemas.openxmlformats.org/officeDocument/2006/relationships/hyperlink" Target="https://calebasse.com/produits/achillee-millefeuille-4283?product=6082" TargetMode="External"/><Relationship Id="rId3143" Type="http://schemas.openxmlformats.org/officeDocument/2006/relationships/hyperlink" Target="https://res.cloudinary.com/laboratoire-calebasse/image/upload/v1748268627/POLYPORE_VERSICOLOR_100_g_MYZ_5010111559.jpg" TargetMode="External"/><Relationship Id="rId3146" Type="http://schemas.openxmlformats.org/officeDocument/2006/relationships/hyperlink" Target="https://calebasse.com/produits/achillee-millefeuille-4283?product=6083" TargetMode="External"/><Relationship Id="rId3145" Type="http://schemas.openxmlformats.org/officeDocument/2006/relationships/hyperlink" Target="https://res.cloudinary.com/laboratoire-calebasse/image/upload/v1746521542/ACHILLEE_MILLEFEUILLE_100_g_OACHI_ad58a542ea.jpg" TargetMode="External"/><Relationship Id="rId3148" Type="http://schemas.openxmlformats.org/officeDocument/2006/relationships/hyperlink" Target="https://calebasse.com/produits/ail-des-ours-4284?product=6084" TargetMode="External"/><Relationship Id="rId3147" Type="http://schemas.openxmlformats.org/officeDocument/2006/relationships/hyperlink" Target="https://res.cloudinary.com/laboratoire-calebasse/image/upload/v1752220959/ACHILLEE_MILLEFEUILLE_200_g_OACHIL_2b100fab53.jpg" TargetMode="External"/><Relationship Id="rId3171" Type="http://schemas.openxmlformats.org/officeDocument/2006/relationships/hyperlink" Target="https://res.cloudinary.com/laboratoire-calebasse/image/upload/v1746521959/ARTICHAUT_FEUILLE_COUPEE_BIO_60_g_OARTI_ff92e4491e.jpg" TargetMode="External"/><Relationship Id="rId3170" Type="http://schemas.openxmlformats.org/officeDocument/2006/relationships/hyperlink" Target="https://calebasse.com/produits/feuilles-dartichaut-4288?product=6094" TargetMode="External"/><Relationship Id="rId3173" Type="http://schemas.openxmlformats.org/officeDocument/2006/relationships/hyperlink" Target="https://res.cloudinary.com/laboratoire-calebasse/image/upload/v1748271016/ARTICHAUT_FEUILLE_COUPEE_BIO_200_g_OARTIL_4f21c5fa80.jpg" TargetMode="External"/><Relationship Id="rId3172" Type="http://schemas.openxmlformats.org/officeDocument/2006/relationships/hyperlink" Target="https://calebasse.com/produits/feuilles-dartichaut-4288?product=6095" TargetMode="External"/><Relationship Id="rId3175" Type="http://schemas.openxmlformats.org/officeDocument/2006/relationships/hyperlink" Target="https://res.cloudinary.com/laboratoire-calebasse/image/upload/v1746522069/AUBEPINE_SOMITES_FLEURIES_100_g_OAUBE_25ad877ce3.jpg" TargetMode="External"/><Relationship Id="rId3174" Type="http://schemas.openxmlformats.org/officeDocument/2006/relationships/hyperlink" Target="https://calebasse.com/produits/aubepine-4482?product=6096" TargetMode="External"/><Relationship Id="rId3177" Type="http://schemas.openxmlformats.org/officeDocument/2006/relationships/hyperlink" Target="https://res.cloudinary.com/laboratoire-calebasse/image/upload/v1748270411/AUBEPINE_SOMITES_FLEURIES_200_g_OAUBEL_d075929f54.jpg" TargetMode="External"/><Relationship Id="rId3176" Type="http://schemas.openxmlformats.org/officeDocument/2006/relationships/hyperlink" Target="https://calebasse.com/produits/aubepine-4482?product=6097" TargetMode="External"/><Relationship Id="rId3179" Type="http://schemas.openxmlformats.org/officeDocument/2006/relationships/hyperlink" Target="https://res.cloudinary.com/laboratoire-calebasse/image/upload/v1746522225/BOURSE_A_PASTEUR_100_g_OBAPA_e82c2a74e5.jpg" TargetMode="External"/><Relationship Id="rId3178" Type="http://schemas.openxmlformats.org/officeDocument/2006/relationships/hyperlink" Target="https://calebasse.com/produits/bourse-a-pasteur-4505?product=6112" TargetMode="External"/><Relationship Id="rId3160" Type="http://schemas.openxmlformats.org/officeDocument/2006/relationships/hyperlink" Target="https://calebasse.com/produits/angelique-4285?product=6091" TargetMode="External"/><Relationship Id="rId3162" Type="http://schemas.openxmlformats.org/officeDocument/2006/relationships/hyperlink" Target="https://calebasse.com/produits/angelique-racine-coupee-bio-5186?product=7494" TargetMode="External"/><Relationship Id="rId3161" Type="http://schemas.openxmlformats.org/officeDocument/2006/relationships/hyperlink" Target="https://res.cloudinary.com/laboratoire-calebasse/image/upload/v1751625100/ANGELIQUE_FEUILLE_COUPEE_BIO_200_g_OANGEL_8c9f7f00ff.jpg" TargetMode="External"/><Relationship Id="rId3164" Type="http://schemas.openxmlformats.org/officeDocument/2006/relationships/hyperlink" Target="https://calebasse.com/produits/angelique-racine-coupee-bio-5186?product=7495" TargetMode="External"/><Relationship Id="rId3163" Type="http://schemas.openxmlformats.org/officeDocument/2006/relationships/hyperlink" Target="https://res.cloudinary.com/laboratoire-calebasse/image/upload/v1753800174/ANGELIQUE_RACINE_COUPEE_BIO_50_g_OANGR_ceccba9f17.jpg" TargetMode="External"/><Relationship Id="rId3166" Type="http://schemas.openxmlformats.org/officeDocument/2006/relationships/hyperlink" Target="https://calebasse.com/produits/anis-vert-4286?product=6092" TargetMode="External"/><Relationship Id="rId3165" Type="http://schemas.openxmlformats.org/officeDocument/2006/relationships/hyperlink" Target="https://res.cloudinary.com/laboratoire-calebasse/image/upload/v1753800187/ANGELIQUE_RACINE_COUPEE_BIO_200_g_OANGRL_1c730c4b91.jpg" TargetMode="External"/><Relationship Id="rId3168" Type="http://schemas.openxmlformats.org/officeDocument/2006/relationships/hyperlink" Target="https://calebasse.com/produits/anis-vert-4286?product=6093" TargetMode="External"/><Relationship Id="rId3167" Type="http://schemas.openxmlformats.org/officeDocument/2006/relationships/hyperlink" Target="https://res.cloudinary.com/laboratoire-calebasse/image/upload/v1746521793/ANIS_VERT_100_g_OANIS_298b201490.jpg" TargetMode="External"/><Relationship Id="rId3169" Type="http://schemas.openxmlformats.org/officeDocument/2006/relationships/hyperlink" Target="https://res.cloudinary.com/laboratoire-calebasse/image/upload/v1748270435/ANIS_VERT_200_g_OANISL_f55b4398a5.jpg" TargetMode="External"/><Relationship Id="rId2700" Type="http://schemas.openxmlformats.org/officeDocument/2006/relationships/hyperlink" Target="https://calebasse.com/produits/100-aiguilles-couteau-050-x-60-mm-4655?product=6691" TargetMode="External"/><Relationship Id="rId2701" Type="http://schemas.openxmlformats.org/officeDocument/2006/relationships/hyperlink" Target="https://res.cloudinary.com/laboratoire-calebasse/image/upload/v1672995742/Lame_d_acupuncture60_d9bacebdfa.jpg" TargetMode="External"/><Relationship Id="rId2702" Type="http://schemas.openxmlformats.org/officeDocument/2006/relationships/hyperlink" Target="https://calebasse.com/produits/100-aiguilles-couteau-050-x-75-mm-4656?product=6692" TargetMode="External"/><Relationship Id="rId2703" Type="http://schemas.openxmlformats.org/officeDocument/2006/relationships/hyperlink" Target="https://res.cloudinary.com/laboratoire-calebasse/image/upload/v1672995535/Lame_d_acupuncture75_09dc91c652.jpg" TargetMode="External"/><Relationship Id="rId2704" Type="http://schemas.openxmlformats.org/officeDocument/2006/relationships/hyperlink" Target="https://calebasse.com/produits/100-aiguilles-couteau-050-x-75-mm-4656?product=6693" TargetMode="External"/><Relationship Id="rId2705" Type="http://schemas.openxmlformats.org/officeDocument/2006/relationships/hyperlink" Target="https://res.cloudinary.com/laboratoire-calebasse/image/upload/v1672995535/Lame_d_acupuncture75_09dc91c652.jpg" TargetMode="External"/><Relationship Id="rId2706" Type="http://schemas.openxmlformats.org/officeDocument/2006/relationships/hyperlink" Target="https://calebasse.com/produits/100-aiguilles-couteau-060-x-40-mm-4657?product=6694" TargetMode="External"/><Relationship Id="rId2707" Type="http://schemas.openxmlformats.org/officeDocument/2006/relationships/hyperlink" Target="https://res.cloudinary.com/laboratoire-calebasse/image/upload/v1672995472/Lame_d_acupuncture40_91efacf7a2.jpg" TargetMode="External"/><Relationship Id="rId2708" Type="http://schemas.openxmlformats.org/officeDocument/2006/relationships/hyperlink" Target="https://calebasse.com/produits/100-aiguilles-couteau-060-x-40-mm-4657?product=6695" TargetMode="External"/><Relationship Id="rId2709" Type="http://schemas.openxmlformats.org/officeDocument/2006/relationships/hyperlink" Target="https://res.cloudinary.com/laboratoire-calebasse/image/upload/v1672995472/Lame_d_acupuncture40_91efacf7a2.jpg" TargetMode="External"/><Relationship Id="rId2720" Type="http://schemas.openxmlformats.org/officeDocument/2006/relationships/hyperlink" Target="https://calebasse.com/produits/100-aiguilles-couteau-040-x-50-mm-4660?product=6683" TargetMode="External"/><Relationship Id="rId2721" Type="http://schemas.openxmlformats.org/officeDocument/2006/relationships/hyperlink" Target="https://res.cloudinary.com/laboratoire-calebasse/image/upload/v1672995500/Lame_d_acupuncture50_596a6088bf.jpg" TargetMode="External"/><Relationship Id="rId2722" Type="http://schemas.openxmlformats.org/officeDocument/2006/relationships/hyperlink" Target="https://calebasse.com/produits/100-aiguilles-couteau-040-x-25-mm-4661?product=6678" TargetMode="External"/><Relationship Id="rId2723" Type="http://schemas.openxmlformats.org/officeDocument/2006/relationships/hyperlink" Target="https://res.cloudinary.com/laboratoire-calebasse/image/upload/v1672995426/Lame_d_acupuncture25_2f168e560c.jpg" TargetMode="External"/><Relationship Id="rId2724" Type="http://schemas.openxmlformats.org/officeDocument/2006/relationships/hyperlink" Target="https://calebasse.com/produits/100-aiguilles-couteau-040-x-25-mm-4661?product=6679" TargetMode="External"/><Relationship Id="rId2725" Type="http://schemas.openxmlformats.org/officeDocument/2006/relationships/hyperlink" Target="https://res.cloudinary.com/laboratoire-calebasse/image/upload/v1672995426/Lame_d_acupuncture25_2f168e560c.jpg" TargetMode="External"/><Relationship Id="rId2726" Type="http://schemas.openxmlformats.org/officeDocument/2006/relationships/hyperlink" Target="https://calebasse.com/produits/100-aiguilles-couteau-035-x-75-mm-4662?product=6700" TargetMode="External"/><Relationship Id="rId2727" Type="http://schemas.openxmlformats.org/officeDocument/2006/relationships/hyperlink" Target="https://res.cloudinary.com/laboratoire-calebasse/image/upload/v1672995535/Lame_d_acupuncture75_09dc91c652.jpg" TargetMode="External"/><Relationship Id="rId2728" Type="http://schemas.openxmlformats.org/officeDocument/2006/relationships/hyperlink" Target="https://calebasse.com/produits/100-aiguilles-couteau-035-x-75-mm-4662?product=6701" TargetMode="External"/><Relationship Id="rId2729" Type="http://schemas.openxmlformats.org/officeDocument/2006/relationships/hyperlink" Target="https://res.cloudinary.com/laboratoire-calebasse/image/upload/v1672995535/Lame_d_acupuncture75_09dc91c652.jpg" TargetMode="External"/><Relationship Id="rId2710" Type="http://schemas.openxmlformats.org/officeDocument/2006/relationships/hyperlink" Target="https://calebasse.com/produits/100-aiguilles-couteau-060-x-50-mm-4658?product=6696" TargetMode="External"/><Relationship Id="rId2711" Type="http://schemas.openxmlformats.org/officeDocument/2006/relationships/hyperlink" Target="https://res.cloudinary.com/laboratoire-calebasse/image/upload/v1672995500/Lame_d_acupuncture50_596a6088bf.jpg" TargetMode="External"/><Relationship Id="rId2712" Type="http://schemas.openxmlformats.org/officeDocument/2006/relationships/hyperlink" Target="https://calebasse.com/produits/100-aiguilles-couteau-060-x-50-mm-4658?product=6697" TargetMode="External"/><Relationship Id="rId2713" Type="http://schemas.openxmlformats.org/officeDocument/2006/relationships/hyperlink" Target="https://res.cloudinary.com/laboratoire-calebasse/image/upload/v1672995500/Lame_d_acupuncture50_596a6088bf.jpg" TargetMode="External"/><Relationship Id="rId2714" Type="http://schemas.openxmlformats.org/officeDocument/2006/relationships/hyperlink" Target="https://calebasse.com/produits/100-aiguilles-couteau-060-x-75-mm-4659?product=6698" TargetMode="External"/><Relationship Id="rId2715" Type="http://schemas.openxmlformats.org/officeDocument/2006/relationships/hyperlink" Target="https://res.cloudinary.com/laboratoire-calebasse/image/upload/v1672995535/Lame_d_acupuncture75_09dc91c652.jpg" TargetMode="External"/><Relationship Id="rId2716" Type="http://schemas.openxmlformats.org/officeDocument/2006/relationships/hyperlink" Target="https://calebasse.com/produits/100-aiguilles-couteau-060-x-75-mm-4659?product=6699" TargetMode="External"/><Relationship Id="rId2717" Type="http://schemas.openxmlformats.org/officeDocument/2006/relationships/hyperlink" Target="https://res.cloudinary.com/laboratoire-calebasse/image/upload/v1672995535/Lame_d_acupuncture75_09dc91c652.jpg" TargetMode="External"/><Relationship Id="rId2718" Type="http://schemas.openxmlformats.org/officeDocument/2006/relationships/hyperlink" Target="https://calebasse.com/produits/100-aiguilles-couteau-040-x-50-mm-4660?product=6682" TargetMode="External"/><Relationship Id="rId2719" Type="http://schemas.openxmlformats.org/officeDocument/2006/relationships/hyperlink" Target="https://res.cloudinary.com/laboratoire-calebasse/image/upload/v1672995500/Lame_d_acupuncture50_596a6088bf.jpg" TargetMode="External"/><Relationship Id="rId1455" Type="http://schemas.openxmlformats.org/officeDocument/2006/relationships/hyperlink" Target="https://calebasse.com/produits/ba-zheng-san-4489?product=5002" TargetMode="External"/><Relationship Id="rId2786" Type="http://schemas.openxmlformats.org/officeDocument/2006/relationships/hyperlink" Target="https://calebasse.com/produits/500-aiguilles-avec-tube-025-x-25-mm-4415?product=6390" TargetMode="External"/><Relationship Id="rId1456" Type="http://schemas.openxmlformats.org/officeDocument/2006/relationships/hyperlink" Target="https://res.cloudinary.com/laboratoire-calebasse/image/upload/v1753351023/BA_ZHENG_SAN_CBZSCP_a106f43e2c.jpg" TargetMode="External"/><Relationship Id="rId2787" Type="http://schemas.openxmlformats.org/officeDocument/2006/relationships/hyperlink" Target="https://res.cloudinary.com/laboratoire-calebasse/image/upload/v1754468685/aiguilles_yunlong_02525_sku_97dc8c6403.jpg" TargetMode="External"/><Relationship Id="rId1457" Type="http://schemas.openxmlformats.org/officeDocument/2006/relationships/hyperlink" Target="https://calebasse.com/produits/bai-zhu-shao-yao-san-4900?product=7105" TargetMode="External"/><Relationship Id="rId2788" Type="http://schemas.openxmlformats.org/officeDocument/2006/relationships/hyperlink" Target="https://calebasse.com/produits/500-aiguilles-avec-tube-025-x-25-mm-4415?product=6472" TargetMode="External"/><Relationship Id="rId1458" Type="http://schemas.openxmlformats.org/officeDocument/2006/relationships/hyperlink" Target="https://res.cloudinary.com/laboratoire-calebasse/image/upload/v1753351052/BAI_ZHU_SHAO_YAO_SAN_CBZSYS_456cc0e783.jpg" TargetMode="External"/><Relationship Id="rId2789" Type="http://schemas.openxmlformats.org/officeDocument/2006/relationships/hyperlink" Target="https://res.cloudinary.com/laboratoire-calebasse/image/upload/v1754468685/aiguilles_yunlong_02525_sku_97dc8c6403.jpg" TargetMode="External"/><Relationship Id="rId1459" Type="http://schemas.openxmlformats.org/officeDocument/2006/relationships/hyperlink" Target="https://calebasse.com/produits/bai-zhu-shao-yao-san-4900?product=7106" TargetMode="External"/><Relationship Id="rId629" Type="http://schemas.openxmlformats.org/officeDocument/2006/relationships/hyperlink" Target="https://res.cloudinary.com/laboratoire-calebasse/image/upload/v1746526335/REISHI_100_g_ALZ_86bb6a1eb2.jpg" TargetMode="External"/><Relationship Id="rId624" Type="http://schemas.openxmlformats.org/officeDocument/2006/relationships/hyperlink" Target="https://calebasse.com/produits/long-yan-rou-fruit-de-longan-3858?product=4466" TargetMode="External"/><Relationship Id="rId623" Type="http://schemas.openxmlformats.org/officeDocument/2006/relationships/hyperlink" Target="https://res.cloudinary.com/laboratoire-calebasse/image/upload/v1634201117/A_longyanroucp_ed9a3af37a.jpg" TargetMode="External"/><Relationship Id="rId622" Type="http://schemas.openxmlformats.org/officeDocument/2006/relationships/hyperlink" Target="https://calebasse.com/produits/long-yan-rou-fruit-de-longan-3858?product=4465" TargetMode="External"/><Relationship Id="rId621" Type="http://schemas.openxmlformats.org/officeDocument/2006/relationships/hyperlink" Target="https://res.cloudinary.com/laboratoire-calebasse/image/upload/v1746535296/FRUIT_DE_LONGAN_100_g_ALYR_9dd55bba6a.jpg" TargetMode="External"/><Relationship Id="rId628" Type="http://schemas.openxmlformats.org/officeDocument/2006/relationships/hyperlink" Target="https://calebasse.com/produits/ling-zhi-ganoderma-reishi-3856?product=4449" TargetMode="External"/><Relationship Id="rId627" Type="http://schemas.openxmlformats.org/officeDocument/2006/relationships/hyperlink" Target="https://res.cloudinary.com/laboratoire-calebasse/image/upload/v1754492163/FRUIT_DE_LONGAN_300_g_ALYRL_8d0f3d467a.jpg" TargetMode="External"/><Relationship Id="rId626" Type="http://schemas.openxmlformats.org/officeDocument/2006/relationships/hyperlink" Target="https://calebasse.com/produits/long-yan-rou-fruit-de-longan-3858?product=4463" TargetMode="External"/><Relationship Id="rId625" Type="http://schemas.openxmlformats.org/officeDocument/2006/relationships/hyperlink" Target="https://res.cloudinary.com/laboratoire-calebasse/image/upload/v1634201118/A_longyanrougl_c84055861f.jpg" TargetMode="External"/><Relationship Id="rId2780" Type="http://schemas.openxmlformats.org/officeDocument/2006/relationships/hyperlink" Target="https://calebasse.com/produits/500-aiguilles-avec-tube-022-x-40-mm-4428?product=6473" TargetMode="External"/><Relationship Id="rId1450" Type="http://schemas.openxmlformats.org/officeDocument/2006/relationships/hyperlink" Target="https://res.cloudinary.com/laboratoire-calebasse/image/upload/v1745504249/RESPIRATION_gl_c16ab0dcf1.jpg" TargetMode="External"/><Relationship Id="rId2781" Type="http://schemas.openxmlformats.org/officeDocument/2006/relationships/hyperlink" Target="https://res.cloudinary.com/laboratoire-calebasse/image/upload/v1672222872/0_20_40_4ed17de6a0.jpg" TargetMode="External"/><Relationship Id="rId620" Type="http://schemas.openxmlformats.org/officeDocument/2006/relationships/hyperlink" Target="https://calebasse.com/produits/long-yan-rou-fruit-de-longan-3858?product=4462" TargetMode="External"/><Relationship Id="rId1451" Type="http://schemas.openxmlformats.org/officeDocument/2006/relationships/hyperlink" Target="https://calebasse.com/produits/bi-yan-pian-4022?product=5043" TargetMode="External"/><Relationship Id="rId2782" Type="http://schemas.openxmlformats.org/officeDocument/2006/relationships/hyperlink" Target="https://calebasse.com/produits/500-aiguilles-avec-tube-022-x-50-mm-4644?product=6594" TargetMode="External"/><Relationship Id="rId1452" Type="http://schemas.openxmlformats.org/officeDocument/2006/relationships/hyperlink" Target="https://res.cloudinary.com/laboratoire-calebasse/image/upload/v1740588297/RESPIRATION_cp_20a188ea9b.jpg" TargetMode="External"/><Relationship Id="rId2783" Type="http://schemas.openxmlformats.org/officeDocument/2006/relationships/hyperlink" Target="https://res.cloudinary.com/laboratoire-calebasse/image/upload/v1672758871/0_22_50_e9e5cac185.jpg" TargetMode="External"/><Relationship Id="rId1453" Type="http://schemas.openxmlformats.org/officeDocument/2006/relationships/hyperlink" Target="https://calebasse.com/produits/ba-zheng-san-4489?product=5000" TargetMode="External"/><Relationship Id="rId2784" Type="http://schemas.openxmlformats.org/officeDocument/2006/relationships/hyperlink" Target="https://calebasse.com/produits/500-aiguilles-avec-tube-022-x-50-mm-4644?product=6595" TargetMode="External"/><Relationship Id="rId1454" Type="http://schemas.openxmlformats.org/officeDocument/2006/relationships/hyperlink" Target="https://res.cloudinary.com/laboratoire-calebasse/image/upload/v1753351013/BA_ZHENG_SAN_CBZS_64b4b2bed7.jpg" TargetMode="External"/><Relationship Id="rId2785" Type="http://schemas.openxmlformats.org/officeDocument/2006/relationships/hyperlink" Target="https://res.cloudinary.com/laboratoire-calebasse/image/upload/v1672758871/0_22_50_e9e5cac185.jpg" TargetMode="External"/><Relationship Id="rId1444" Type="http://schemas.openxmlformats.org/officeDocument/2006/relationships/hyperlink" Target="https://res.cloudinary.com/laboratoire-calebasse/image/upload/v1753351239/BI_XIE_SHEN_SHI_TANG_CBXSSTCP_b0079613dd.jpg" TargetMode="External"/><Relationship Id="rId2775" Type="http://schemas.openxmlformats.org/officeDocument/2006/relationships/hyperlink" Target="https://res.cloudinary.com/laboratoire-calebasse/image/upload/v1672219738/0_16_25_66f2d7033d.jpg" TargetMode="External"/><Relationship Id="rId1445" Type="http://schemas.openxmlformats.org/officeDocument/2006/relationships/hyperlink" Target="https://calebasse.com/produits/bu-yang-huan-wu-tang-4023?product=5053" TargetMode="External"/><Relationship Id="rId2776" Type="http://schemas.openxmlformats.org/officeDocument/2006/relationships/hyperlink" Target="https://calebasse.com/produits/500-aiguilles-avec-tube-022-x-25-mm-4418?product=6477" TargetMode="External"/><Relationship Id="rId1446" Type="http://schemas.openxmlformats.org/officeDocument/2006/relationships/hyperlink" Target="https://res.cloudinary.com/laboratoire-calebasse/image/upload/v1753351321/BU_YANG_HUAN_WU_TANG_CBYHWT_5263f463ae.jpg" TargetMode="External"/><Relationship Id="rId2777" Type="http://schemas.openxmlformats.org/officeDocument/2006/relationships/hyperlink" Target="https://res.cloudinary.com/laboratoire-calebasse/image/upload/v1672219738/0_16_25_66f2d7033d.jpg" TargetMode="External"/><Relationship Id="rId1447" Type="http://schemas.openxmlformats.org/officeDocument/2006/relationships/hyperlink" Target="https://calebasse.com/produits/bu-yang-huan-wu-tang-4023?product=5054" TargetMode="External"/><Relationship Id="rId2778" Type="http://schemas.openxmlformats.org/officeDocument/2006/relationships/hyperlink" Target="https://calebasse.com/produits/500-aiguilles-avec-tube-022-x-40-mm-4428?product=6459" TargetMode="External"/><Relationship Id="rId1448" Type="http://schemas.openxmlformats.org/officeDocument/2006/relationships/hyperlink" Target="https://res.cloudinary.com/laboratoire-calebasse/image/upload/v1753351579/BU_YANG_HUAN_WU_TANG_CBYHWTCP_c65c8db896.jpg" TargetMode="External"/><Relationship Id="rId2779" Type="http://schemas.openxmlformats.org/officeDocument/2006/relationships/hyperlink" Target="https://res.cloudinary.com/laboratoire-calebasse/image/upload/v1672222872/0_20_40_4ed17de6a0.jpg" TargetMode="External"/><Relationship Id="rId1449" Type="http://schemas.openxmlformats.org/officeDocument/2006/relationships/hyperlink" Target="https://calebasse.com/produits/bi-yan-pian-4022?product=5040" TargetMode="External"/><Relationship Id="rId619" Type="http://schemas.openxmlformats.org/officeDocument/2006/relationships/hyperlink" Target="https://res.cloudinary.com/laboratoire-calebasse/image/upload/v1748268544/BIGNONE_A_GRANDES_FLEURS_50_g_ALXH_8f2f395327.jpg" TargetMode="External"/><Relationship Id="rId618" Type="http://schemas.openxmlformats.org/officeDocument/2006/relationships/hyperlink" Target="https://calebasse.com/produits/ling-xiao-hua-bignone-a-grandes-fleurs-3855?product=4444" TargetMode="External"/><Relationship Id="rId613" Type="http://schemas.openxmlformats.org/officeDocument/2006/relationships/hyperlink" Target="https://res.cloudinary.com/laboratoire-calebasse/image/upload/v1747063743/FRUITS_DE_CLOCHES_DOREES_260_g_ALQL_013dd9961a.jpg" TargetMode="External"/><Relationship Id="rId612" Type="http://schemas.openxmlformats.org/officeDocument/2006/relationships/hyperlink" Target="https://calebasse.com/produits/lian-qiao-fruits-de-cloches-dorees-3852?product=4429" TargetMode="External"/><Relationship Id="rId611" Type="http://schemas.openxmlformats.org/officeDocument/2006/relationships/hyperlink" Target="https://res.cloudinary.com/laboratoire-calebasse/image/upload/v1634201111/A_lianqiaogl_07f3c90f07.jpg" TargetMode="External"/><Relationship Id="rId610" Type="http://schemas.openxmlformats.org/officeDocument/2006/relationships/hyperlink" Target="https://calebasse.com/produits/lian-qiao-fruits-de-cloches-dorees-3852?product=4432" TargetMode="External"/><Relationship Id="rId617" Type="http://schemas.openxmlformats.org/officeDocument/2006/relationships/hyperlink" Target="https://res.cloudinary.com/laboratoire-calebasse/image/upload/v1747062577/LIANE_DE_JASMIN_ETOILE_300_g_ALSTL_9e9b2bb359.jpg" TargetMode="External"/><Relationship Id="rId616" Type="http://schemas.openxmlformats.org/officeDocument/2006/relationships/hyperlink" Target="https://calebasse.com/produits/luo-shi-teng-liane-de-jasmin-etoile-3866?product=4481" TargetMode="External"/><Relationship Id="rId615" Type="http://schemas.openxmlformats.org/officeDocument/2006/relationships/hyperlink" Target="https://res.cloudinary.com/laboratoire-calebasse/image/upload/v1746527457/LIANE_DE_JASMIN_ETOILE_100_g_ALST_0144a16f22.jpg" TargetMode="External"/><Relationship Id="rId614" Type="http://schemas.openxmlformats.org/officeDocument/2006/relationships/hyperlink" Target="https://calebasse.com/produits/luo-shi-teng-liane-de-jasmin-etoile-3866?product=4480" TargetMode="External"/><Relationship Id="rId2770" Type="http://schemas.openxmlformats.org/officeDocument/2006/relationships/hyperlink" Target="https://calebasse.com/produits/500-aiguilles-avec-tube-020-x-40-mm-4414?product=6469" TargetMode="External"/><Relationship Id="rId1440" Type="http://schemas.openxmlformats.org/officeDocument/2006/relationships/hyperlink" Target="https://res.cloudinary.com/laboratoire-calebasse/image/upload/v1753351212/BI_XIE_QU_SHI_TANG_CBXQSTCP_41e3c59956.jpg" TargetMode="External"/><Relationship Id="rId2771" Type="http://schemas.openxmlformats.org/officeDocument/2006/relationships/hyperlink" Target="https://res.cloudinary.com/laboratoire-calebasse/image/upload/v1672222872/0_20_40_4ed17de6a0.jpg" TargetMode="External"/><Relationship Id="rId1441" Type="http://schemas.openxmlformats.org/officeDocument/2006/relationships/hyperlink" Target="https://calebasse.com/produits/bi-xie-shen-shi-tang-4385?product=6309" TargetMode="External"/><Relationship Id="rId2772" Type="http://schemas.openxmlformats.org/officeDocument/2006/relationships/hyperlink" Target="https://calebasse.com/produits/500-aiguilles-avec-tube-020-x-50-mm-4619?product=6754" TargetMode="External"/><Relationship Id="rId1442" Type="http://schemas.openxmlformats.org/officeDocument/2006/relationships/hyperlink" Target="https://res.cloudinary.com/laboratoire-calebasse/image/upload/v1753351229/BI_XIE_SHEN_SHI_TANG_CBXSST_c4e13396a2.jpg" TargetMode="External"/><Relationship Id="rId2773" Type="http://schemas.openxmlformats.org/officeDocument/2006/relationships/hyperlink" Target="https://res.cloudinary.com/laboratoire-calebasse/image/upload/v1672758819/0_20_50_62f89f6455.jpg" TargetMode="External"/><Relationship Id="rId1443" Type="http://schemas.openxmlformats.org/officeDocument/2006/relationships/hyperlink" Target="https://calebasse.com/produits/bi-xie-shen-shi-tang-4385?product=6312" TargetMode="External"/><Relationship Id="rId2774" Type="http://schemas.openxmlformats.org/officeDocument/2006/relationships/hyperlink" Target="https://calebasse.com/produits/500-aiguilles-avec-tube-022-x-25-mm-4418?product=6395" TargetMode="External"/><Relationship Id="rId1477" Type="http://schemas.openxmlformats.org/officeDocument/2006/relationships/hyperlink" Target="https://calebasse.com/produits/chai-hu-gui-zhi-gan-jiang-tang-4488?product=5068" TargetMode="External"/><Relationship Id="rId1478" Type="http://schemas.openxmlformats.org/officeDocument/2006/relationships/hyperlink" Target="https://res.cloudinary.com/laboratoire-calebasse/image/upload/v1753351716/CHAI_HU_GUI_ZHI_GAN_JIANG_TANG_CCHGZGJT_5a82a5f96a.jpg" TargetMode="External"/><Relationship Id="rId1479" Type="http://schemas.openxmlformats.org/officeDocument/2006/relationships/hyperlink" Target="https://calebasse.com/produits/chai-hu-gui-zhi-gan-jiang-tang-4488?product=5070" TargetMode="External"/><Relationship Id="rId646" Type="http://schemas.openxmlformats.org/officeDocument/2006/relationships/hyperlink" Target="https://calebasse.com/produits/ma-chi-xian-pourpier-maraicher-3865?product=4483" TargetMode="External"/><Relationship Id="rId645" Type="http://schemas.openxmlformats.org/officeDocument/2006/relationships/hyperlink" Target="https://res.cloudinary.com/laboratoire-calebasse/image/upload/v1746534527/POURPIER_MARAICHER_50_g_AMCX_2fb4573f84.jpg" TargetMode="External"/><Relationship Id="rId644" Type="http://schemas.openxmlformats.org/officeDocument/2006/relationships/hyperlink" Target="https://calebasse.com/produits/ma-chi-xian-pourpier-maraicher-3865?product=4482" TargetMode="External"/><Relationship Id="rId643" Type="http://schemas.openxmlformats.org/officeDocument/2006/relationships/hyperlink" Target="https://res.cloudinary.com/laboratoire-calebasse/image/upload/v1754486141/lian_zi_xin_5522393077.jpg" TargetMode="External"/><Relationship Id="rId649" Type="http://schemas.openxmlformats.org/officeDocument/2006/relationships/hyperlink" Target="https://res.cloudinary.com/laboratoire-calebasse/image/upload/v1746534863/MUGUET_DU_JAPON_50_g_AMD_e7441812ec.jpg" TargetMode="External"/><Relationship Id="rId648" Type="http://schemas.openxmlformats.org/officeDocument/2006/relationships/hyperlink" Target="https://calebasse.com/produits/mai-dong-muguet-du-japon-4537?product=6562" TargetMode="External"/><Relationship Id="rId647" Type="http://schemas.openxmlformats.org/officeDocument/2006/relationships/hyperlink" Target="https://res.cloudinary.com/laboratoire-calebasse/image/upload/v1747062544/POURPIER_MARAICHER_200_g_AMCXL_63ec223272.jpg" TargetMode="External"/><Relationship Id="rId1470" Type="http://schemas.openxmlformats.org/officeDocument/2006/relationships/hyperlink" Target="https://res.cloudinary.com/laboratoire-calebasse/image/upload/v1753351082/BAI_ZI_YANG_XIN_WAN_CBZYXW_f297697224.jpg" TargetMode="External"/><Relationship Id="rId1471" Type="http://schemas.openxmlformats.org/officeDocument/2006/relationships/hyperlink" Target="https://calebasse.com/produits/bai-zi-yang-xin-wan-4013?product=5010" TargetMode="External"/><Relationship Id="rId1472" Type="http://schemas.openxmlformats.org/officeDocument/2006/relationships/hyperlink" Target="https://res.cloudinary.com/laboratoire-calebasse/image/upload/v1753351103/BAI_ZI_YANG_XIN_WAN_CBZYXWCP_42ff15f56c.jpg" TargetMode="External"/><Relationship Id="rId642" Type="http://schemas.openxmlformats.org/officeDocument/2006/relationships/hyperlink" Target="https://calebasse.com/produits/lian-zi-xin-germes-de-lotus-3854?product=4440" TargetMode="External"/><Relationship Id="rId1473" Type="http://schemas.openxmlformats.org/officeDocument/2006/relationships/hyperlink" Target="https://calebasse.com/produits/bai-zi-zi-xin-wan-4014?product=5011" TargetMode="External"/><Relationship Id="rId641" Type="http://schemas.openxmlformats.org/officeDocument/2006/relationships/hyperlink" Target="https://res.cloudinary.com/laboratoire-calebasse/image/upload/v1747063716/REISHI_200_g_ALZL_0df62c3426.jpg" TargetMode="External"/><Relationship Id="rId1474" Type="http://schemas.openxmlformats.org/officeDocument/2006/relationships/hyperlink" Target="https://res.cloudinary.com/laboratoire-calebasse/image/upload/v1753351121/BAI_ZI_ZI_XIN_WAN_CBZZXW_12ef9f17e9.jpg" TargetMode="External"/><Relationship Id="rId640" Type="http://schemas.openxmlformats.org/officeDocument/2006/relationships/hyperlink" Target="https://calebasse.com/produits/ling-zhi-ganoderma-reishi-3856?product=4448" TargetMode="External"/><Relationship Id="rId1475" Type="http://schemas.openxmlformats.org/officeDocument/2006/relationships/hyperlink" Target="https://calebasse.com/produits/bai-zi-zi-xin-wan-4014?product=5014" TargetMode="External"/><Relationship Id="rId1476" Type="http://schemas.openxmlformats.org/officeDocument/2006/relationships/hyperlink" Target="https://res.cloudinary.com/laboratoire-calebasse/image/upload/v1753351133/BAI_ZI_ZI_XIN_WAN_CBZZXWCP_52bac3bcb1.jpg" TargetMode="External"/><Relationship Id="rId1466" Type="http://schemas.openxmlformats.org/officeDocument/2006/relationships/hyperlink" Target="https://res.cloudinary.com/laboratoire-calebasse/image/upload/v1753351597/BU_ZHONG_YI_QI_TANG_CBZYQW_1b45bb737c.jpg" TargetMode="External"/><Relationship Id="rId2797" Type="http://schemas.openxmlformats.org/officeDocument/2006/relationships/hyperlink" Target="https://res.cloudinary.com/laboratoire-calebasse/image/upload/v1672222872/0_20_40_4ed17de6a0.jpg" TargetMode="External"/><Relationship Id="rId1467" Type="http://schemas.openxmlformats.org/officeDocument/2006/relationships/hyperlink" Target="https://calebasse.com/produits/bu-zhong-yi-qi-tang-4025?product=5058" TargetMode="External"/><Relationship Id="rId2798" Type="http://schemas.openxmlformats.org/officeDocument/2006/relationships/hyperlink" Target="https://calebasse.com/produits/500-aiguilles-avec-tube-025-x-60-mm-4621?product=6756" TargetMode="External"/><Relationship Id="rId1468" Type="http://schemas.openxmlformats.org/officeDocument/2006/relationships/hyperlink" Target="https://res.cloudinary.com/laboratoire-calebasse/image/upload/v1753351610/BU_ZHONG_YI_QI_TANG_CBZYQWCP_0bdd51898a.jpg" TargetMode="External"/><Relationship Id="rId2799" Type="http://schemas.openxmlformats.org/officeDocument/2006/relationships/hyperlink" Target="https://res.cloudinary.com/laboratoire-calebasse/image/upload/v1672758900/0_25_60_2873841c07.jpg" TargetMode="External"/><Relationship Id="rId1469" Type="http://schemas.openxmlformats.org/officeDocument/2006/relationships/hyperlink" Target="https://calebasse.com/produits/bai-zi-yang-xin-wan-4013?product=5008" TargetMode="External"/><Relationship Id="rId635" Type="http://schemas.openxmlformats.org/officeDocument/2006/relationships/hyperlink" Target="https://res.cloudinary.com/laboratoire-calebasse/image/upload/v1746528778/GRAINES_DE_LOTUS_100_g_ALZI_e6c18e95d3.jpg" TargetMode="External"/><Relationship Id="rId634" Type="http://schemas.openxmlformats.org/officeDocument/2006/relationships/hyperlink" Target="https://calebasse.com/produits/lian-zi-graines-de-lotus-3853?product=4434" TargetMode="External"/><Relationship Id="rId633" Type="http://schemas.openxmlformats.org/officeDocument/2006/relationships/hyperlink" Target="https://res.cloudinary.com/laboratoire-calebasse/image/upload/v1741963539/4x_ABCD_mockup_MAX_8bef61de57.jpg" TargetMode="External"/><Relationship Id="rId632" Type="http://schemas.openxmlformats.org/officeDocument/2006/relationships/hyperlink" Target="https://calebasse.com/produits/ling-zhi-ganoderma-reishi-3856?product=4452" TargetMode="External"/><Relationship Id="rId639" Type="http://schemas.openxmlformats.org/officeDocument/2006/relationships/hyperlink" Target="https://res.cloudinary.com/laboratoire-calebasse/image/upload/v1747063731/GRAINES_DE_LOTUS_300_g_ALZIL_00f6c33b2b.jpg" TargetMode="External"/><Relationship Id="rId638" Type="http://schemas.openxmlformats.org/officeDocument/2006/relationships/hyperlink" Target="https://calebasse.com/produits/lian-zi-graines-de-lotus-3853?product=4435" TargetMode="External"/><Relationship Id="rId637" Type="http://schemas.openxmlformats.org/officeDocument/2006/relationships/hyperlink" Target="https://res.cloudinary.com/laboratoire-calebasse/image/upload/v1634201111/A_lianzigl_70c114a140.jpg" TargetMode="External"/><Relationship Id="rId636" Type="http://schemas.openxmlformats.org/officeDocument/2006/relationships/hyperlink" Target="https://calebasse.com/produits/lian-zi-graines-de-lotus-3853?product=4439" TargetMode="External"/><Relationship Id="rId2790" Type="http://schemas.openxmlformats.org/officeDocument/2006/relationships/hyperlink" Target="https://calebasse.com/produits/500-aiguilles-avec-tube-025-x-30-mm-4453?product=6456" TargetMode="External"/><Relationship Id="rId1460" Type="http://schemas.openxmlformats.org/officeDocument/2006/relationships/hyperlink" Target="https://res.cloudinary.com/laboratoire-calebasse/image/upload/v1753351063/BAI_ZHU_SHAO_YAO_SAN_CBZSYSCP_a1b893de30.jpg" TargetMode="External"/><Relationship Id="rId2791" Type="http://schemas.openxmlformats.org/officeDocument/2006/relationships/hyperlink" Target="https://res.cloudinary.com/laboratoire-calebasse/image/upload/v1672222983/0_25_30_07ac680c45.jpg" TargetMode="External"/><Relationship Id="rId1461" Type="http://schemas.openxmlformats.org/officeDocument/2006/relationships/hyperlink" Target="https://calebasse.com/produits/ba-zhen-tang-4010?product=4996" TargetMode="External"/><Relationship Id="rId2792" Type="http://schemas.openxmlformats.org/officeDocument/2006/relationships/hyperlink" Target="https://calebasse.com/produits/500-aiguilles-avec-tube-025-x-30-mm-4453?product=6468" TargetMode="External"/><Relationship Id="rId631" Type="http://schemas.openxmlformats.org/officeDocument/2006/relationships/hyperlink" Target="https://res.cloudinary.com/laboratoire-calebasse/image/upload/v1741963492/4x_ABCD_mockup_MAX_111aa9509a.jpg" TargetMode="External"/><Relationship Id="rId1462" Type="http://schemas.openxmlformats.org/officeDocument/2006/relationships/hyperlink" Target="https://res.cloudinary.com/laboratoire-calebasse/image/upload/v1753102402/BA_ZHEN_TANG_CBZW_Gelule_5a97b75691.jpg" TargetMode="External"/><Relationship Id="rId2793" Type="http://schemas.openxmlformats.org/officeDocument/2006/relationships/hyperlink" Target="https://res.cloudinary.com/laboratoire-calebasse/image/upload/v1672222983/0_25_30_07ac680c45.jpg" TargetMode="External"/><Relationship Id="rId630" Type="http://schemas.openxmlformats.org/officeDocument/2006/relationships/hyperlink" Target="https://calebasse.com/produits/ling-zhi-ganoderma-reishi-3856?product=4450" TargetMode="External"/><Relationship Id="rId1463" Type="http://schemas.openxmlformats.org/officeDocument/2006/relationships/hyperlink" Target="https://calebasse.com/produits/ba-zhen-tang-4010?product=4998" TargetMode="External"/><Relationship Id="rId2794" Type="http://schemas.openxmlformats.org/officeDocument/2006/relationships/hyperlink" Target="https://calebasse.com/produits/500-aiguilles-avec-tube-025-x-40-mm-4412?product=6383" TargetMode="External"/><Relationship Id="rId1464" Type="http://schemas.openxmlformats.org/officeDocument/2006/relationships/hyperlink" Target="https://res.cloudinary.com/laboratoire-calebasse/image/upload/v1753102387/BA_ZHEN_TANG_CBZWCP_Poudre_ad5569b937.jpg" TargetMode="External"/><Relationship Id="rId2795" Type="http://schemas.openxmlformats.org/officeDocument/2006/relationships/hyperlink" Target="https://res.cloudinary.com/laboratoire-calebasse/image/upload/v1672222872/0_20_40_4ed17de6a0.jpg" TargetMode="External"/><Relationship Id="rId1465" Type="http://schemas.openxmlformats.org/officeDocument/2006/relationships/hyperlink" Target="https://calebasse.com/produits/bu-zhong-yi-qi-tang-4025?product=5055" TargetMode="External"/><Relationship Id="rId2796" Type="http://schemas.openxmlformats.org/officeDocument/2006/relationships/hyperlink" Target="https://calebasse.com/produits/500-aiguilles-avec-tube-025-x-40-mm-4412?product=6466" TargetMode="External"/><Relationship Id="rId1411" Type="http://schemas.openxmlformats.org/officeDocument/2006/relationships/hyperlink" Target="https://calebasse.com/produits/bai-he-gu-jin-wan-4012?product=5006" TargetMode="External"/><Relationship Id="rId2742" Type="http://schemas.openxmlformats.org/officeDocument/2006/relationships/hyperlink" Target="https://calebasse.com/produits/500-aiguilles-avec-tube-016-x-13-mm-4555?product=6578" TargetMode="External"/><Relationship Id="rId1412" Type="http://schemas.openxmlformats.org/officeDocument/2006/relationships/hyperlink" Target="https://res.cloudinary.com/laboratoire-calebasse/image/upload/v1753102429/BAI_HE_GU_JIN_WAN_CBHGJWCP_Poudre_64ff1f32e0.jpg" TargetMode="External"/><Relationship Id="rId2743" Type="http://schemas.openxmlformats.org/officeDocument/2006/relationships/hyperlink" Target="https://res.cloudinary.com/laboratoire-calebasse/image/upload/v1672758537/0_16_13_81866cd2b7.jpg" TargetMode="External"/><Relationship Id="rId1413" Type="http://schemas.openxmlformats.org/officeDocument/2006/relationships/hyperlink" Target="https://calebasse.com/produits/bao-he-wan-4018?product=5028" TargetMode="External"/><Relationship Id="rId2744" Type="http://schemas.openxmlformats.org/officeDocument/2006/relationships/hyperlink" Target="https://calebasse.com/produits/500-aiguilles-avec-tube-016-x-15-mm-4628?product=6763" TargetMode="External"/><Relationship Id="rId1414" Type="http://schemas.openxmlformats.org/officeDocument/2006/relationships/hyperlink" Target="https://res.cloudinary.com/laboratoire-calebasse/image/upload/v1753785752/BAO_HE_WAN_CBHW_5464099371.jpg" TargetMode="External"/><Relationship Id="rId2745" Type="http://schemas.openxmlformats.org/officeDocument/2006/relationships/hyperlink" Target="https://res.cloudinary.com/laboratoire-calebasse/image/upload/v1672758567/0_16_15_af4a43b67c.jpg" TargetMode="External"/><Relationship Id="rId1415" Type="http://schemas.openxmlformats.org/officeDocument/2006/relationships/hyperlink" Target="https://calebasse.com/produits/bao-he-wan-4018?product=5030" TargetMode="External"/><Relationship Id="rId2746" Type="http://schemas.openxmlformats.org/officeDocument/2006/relationships/hyperlink" Target="https://calebasse.com/produits/500-aiguilles-avec-tube-016-x-15-mm-4628?product=6774" TargetMode="External"/><Relationship Id="rId1416" Type="http://schemas.openxmlformats.org/officeDocument/2006/relationships/hyperlink" Target="https://res.cloudinary.com/laboratoire-calebasse/image/upload/v1753102507/BAO_HE_WAN_CBHWCP_7c66577f11.jpg" TargetMode="External"/><Relationship Id="rId2747" Type="http://schemas.openxmlformats.org/officeDocument/2006/relationships/hyperlink" Target="https://res.cloudinary.com/laboratoire-calebasse/image/upload/v1672758567/0_16_15_af4a43b67c.jpg" TargetMode="External"/><Relationship Id="rId1417" Type="http://schemas.openxmlformats.org/officeDocument/2006/relationships/hyperlink" Target="https://calebasse.com/produits/bao-ji-wan-po-chai-pills-4019?product=5031" TargetMode="External"/><Relationship Id="rId2748" Type="http://schemas.openxmlformats.org/officeDocument/2006/relationships/hyperlink" Target="https://calebasse.com/produits/500-aiguilles-avec-tube-016-x-25-mm-4413?product=6386" TargetMode="External"/><Relationship Id="rId1418" Type="http://schemas.openxmlformats.org/officeDocument/2006/relationships/hyperlink" Target="https://res.cloudinary.com/laboratoire-calebasse/image/upload/v1753104717/PO_CHAI_PILLS_CBJW_efc6382e74.jpg" TargetMode="External"/><Relationship Id="rId2749" Type="http://schemas.openxmlformats.org/officeDocument/2006/relationships/hyperlink" Target="https://res.cloudinary.com/laboratoire-calebasse/image/upload/v1672219738/0_16_25_66f2d7033d.jpg" TargetMode="External"/><Relationship Id="rId1419" Type="http://schemas.openxmlformats.org/officeDocument/2006/relationships/hyperlink" Target="https://calebasse.com/produits/bao-ji-wan-po-chai-pills-4019?product=5034" TargetMode="External"/><Relationship Id="rId2740" Type="http://schemas.openxmlformats.org/officeDocument/2006/relationships/hyperlink" Target="https://calebasse.com/produits/500-aiguilles-avec-tube-016-x-13-mm-4555?product=6577" TargetMode="External"/><Relationship Id="rId1410" Type="http://schemas.openxmlformats.org/officeDocument/2006/relationships/hyperlink" Target="https://res.cloudinary.com/laboratoire-calebasse/image/upload/v1634201206/C_baihegujinwan_17259f30e2.jpg" TargetMode="External"/><Relationship Id="rId2741" Type="http://schemas.openxmlformats.org/officeDocument/2006/relationships/hyperlink" Target="https://res.cloudinary.com/laboratoire-calebasse/image/upload/v1672758537/0_16_13_81866cd2b7.jpg" TargetMode="External"/><Relationship Id="rId1400" Type="http://schemas.openxmlformats.org/officeDocument/2006/relationships/hyperlink" Target="https://res.cloudinary.com/laboratoire-calebasse/image/upload/v1753785730/AN_SHEN_BU_XIN_WAN_CASBX_Gelule_428213a3d6.jpg" TargetMode="External"/><Relationship Id="rId2731" Type="http://schemas.openxmlformats.org/officeDocument/2006/relationships/hyperlink" Target="https://res.cloudinary.com/laboratoire-calebasse/image/upload/v1672995391/Lame_d_acupuncture15_ce2a102d80.jpg" TargetMode="External"/><Relationship Id="rId1401" Type="http://schemas.openxmlformats.org/officeDocument/2006/relationships/hyperlink" Target="https://calebasse.com/produits/an-shen-bu-xin-wan-4007?product=4990" TargetMode="External"/><Relationship Id="rId2732" Type="http://schemas.openxmlformats.org/officeDocument/2006/relationships/hyperlink" Target="https://calebasse.com/produits/ai-jiu-he-boite-de-moxibustion-sans-fumee-4607?product=6740" TargetMode="External"/><Relationship Id="rId1402" Type="http://schemas.openxmlformats.org/officeDocument/2006/relationships/hyperlink" Target="https://res.cloudinary.com/laboratoire-calebasse/image/upload/v1753102323/AN_SHEN_BU_XIN_WAN_CASBXCP_Poudre_26be43f829.jpg" TargetMode="External"/><Relationship Id="rId2733" Type="http://schemas.openxmlformats.org/officeDocument/2006/relationships/hyperlink" Target="https://res.cloudinary.com/laboratoire-calebasse/image/upload/v1668607230/Boite_de_moxibustion_en_argent_a86896544d.jpg" TargetMode="External"/><Relationship Id="rId1403" Type="http://schemas.openxmlformats.org/officeDocument/2006/relationships/hyperlink" Target="https://calebasse.com/produits/an-shen-ding-zhi-wan-4901?product=7108" TargetMode="External"/><Relationship Id="rId2734" Type="http://schemas.openxmlformats.org/officeDocument/2006/relationships/hyperlink" Target="https://calebasse.com/produits/ai-jiu-he-boite-de-moxibustion-sans-fumee-4607?product=6739" TargetMode="External"/><Relationship Id="rId1404" Type="http://schemas.openxmlformats.org/officeDocument/2006/relationships/hyperlink" Target="https://res.cloudinary.com/laboratoire-calebasse/image/upload/v1753350996/AN_SHEN_DING_ZHI_WAN_CASDZW_215b7991ec.jpg" TargetMode="External"/><Relationship Id="rId2735" Type="http://schemas.openxmlformats.org/officeDocument/2006/relationships/hyperlink" Target="https://res.cloudinary.com/laboratoire-calebasse/image/upload/v1667994772/_8dbd806048.jpg" TargetMode="External"/><Relationship Id="rId1405" Type="http://schemas.openxmlformats.org/officeDocument/2006/relationships/hyperlink" Target="https://calebasse.com/produits/bu-fei-tang-4386?product=6313" TargetMode="External"/><Relationship Id="rId2736" Type="http://schemas.openxmlformats.org/officeDocument/2006/relationships/hyperlink" Target="https://calebasse.com/produits/ai-jiu-he-boite-de-moxibustion-sans-fumee-4607?product=6741" TargetMode="External"/><Relationship Id="rId1406" Type="http://schemas.openxmlformats.org/officeDocument/2006/relationships/hyperlink" Target="https://res.cloudinary.com/laboratoire-calebasse/image/upload/v1634201188/bu_fei_tang_d2255eb51b.jpg" TargetMode="External"/><Relationship Id="rId2737" Type="http://schemas.openxmlformats.org/officeDocument/2006/relationships/hyperlink" Target="https://res.cloudinary.com/laboratoire-calebasse/image/upload/v1670490182/Boite_de_moxibustion_98f010a1f8.jpg" TargetMode="External"/><Relationship Id="rId1407" Type="http://schemas.openxmlformats.org/officeDocument/2006/relationships/hyperlink" Target="https://calebasse.com/produits/bu-fei-tang-4386?product=6315" TargetMode="External"/><Relationship Id="rId2738" Type="http://schemas.openxmlformats.org/officeDocument/2006/relationships/hyperlink" Target="https://calebasse.com/produits/jiu-zhen-tu-tableau-neuf-aiguilles-4683?product=6820" TargetMode="External"/><Relationship Id="rId1408" Type="http://schemas.openxmlformats.org/officeDocument/2006/relationships/hyperlink" Target="https://res.cloudinary.com/laboratoire-calebasse/image/upload/v1753103789/BU_FEI_TANG_CBFTCP_Poudre_26be6dec7f.jpg" TargetMode="External"/><Relationship Id="rId2739" Type="http://schemas.openxmlformats.org/officeDocument/2006/relationships/hyperlink" Target="https://res.cloudinary.com/laboratoire-calebasse/image/upload/v1672219305/logo_89cdab090d.jpg" TargetMode="External"/><Relationship Id="rId1409" Type="http://schemas.openxmlformats.org/officeDocument/2006/relationships/hyperlink" Target="https://calebasse.com/produits/bai-he-gu-jin-wan-4012?product=5004" TargetMode="External"/><Relationship Id="rId2730" Type="http://schemas.openxmlformats.org/officeDocument/2006/relationships/hyperlink" Target="https://calebasse.com/produits/100-aiguilles-couteau-040-x-15-mm-4663?product=6676" TargetMode="External"/><Relationship Id="rId1433" Type="http://schemas.openxmlformats.org/officeDocument/2006/relationships/hyperlink" Target="https://calebasse.com/produits/ba-wei-di-huang-wan-4009?product=4992" TargetMode="External"/><Relationship Id="rId2764" Type="http://schemas.openxmlformats.org/officeDocument/2006/relationships/hyperlink" Target="https://calebasse.com/produits/500-aiguilles-avec-tube-020-x-25-mm-4417?product=6394" TargetMode="External"/><Relationship Id="rId1434" Type="http://schemas.openxmlformats.org/officeDocument/2006/relationships/hyperlink" Target="https://res.cloudinary.com/laboratoire-calebasse/image/upload/v1753102364/BA_WEI_DI_HUANG_WAN_CBWDHW_Gelule_9ee677ee34.jpg" TargetMode="External"/><Relationship Id="rId2765" Type="http://schemas.openxmlformats.org/officeDocument/2006/relationships/hyperlink" Target="https://res.cloudinary.com/laboratoire-calebasse/image/upload/v1672219738/0_16_25_66f2d7033d.jpg" TargetMode="External"/><Relationship Id="rId1435" Type="http://schemas.openxmlformats.org/officeDocument/2006/relationships/hyperlink" Target="https://calebasse.com/produits/ba-wei-di-huang-wan-4009?product=4994" TargetMode="External"/><Relationship Id="rId2766" Type="http://schemas.openxmlformats.org/officeDocument/2006/relationships/hyperlink" Target="https://calebasse.com/produits/500-aiguilles-avec-tube-020-x-25-mm-4417?product=6476" TargetMode="External"/><Relationship Id="rId1436" Type="http://schemas.openxmlformats.org/officeDocument/2006/relationships/hyperlink" Target="https://res.cloudinary.com/laboratoire-calebasse/image/upload/v1753102354/BA_WEI_DI_HUANG_WAN_6909f3ce55.jpg" TargetMode="External"/><Relationship Id="rId2767" Type="http://schemas.openxmlformats.org/officeDocument/2006/relationships/hyperlink" Target="https://res.cloudinary.com/laboratoire-calebasse/image/upload/v1672219738/0_16_25_66f2d7033d.jpg" TargetMode="External"/><Relationship Id="rId1437" Type="http://schemas.openxmlformats.org/officeDocument/2006/relationships/hyperlink" Target="https://calebasse.com/produits/bi-xie-qu-shi-tang-4420?product=6400" TargetMode="External"/><Relationship Id="rId2768" Type="http://schemas.openxmlformats.org/officeDocument/2006/relationships/hyperlink" Target="https://calebasse.com/produits/500-aiguilles-avec-tube-020-x-40-mm-4414?product=6388" TargetMode="External"/><Relationship Id="rId1438" Type="http://schemas.openxmlformats.org/officeDocument/2006/relationships/hyperlink" Target="https://res.cloudinary.com/laboratoire-calebasse/image/upload/v1753351200/BI_XIE_QU_SHI_TANG_CBXQST_a0cf267eb5.jpg" TargetMode="External"/><Relationship Id="rId2769" Type="http://schemas.openxmlformats.org/officeDocument/2006/relationships/hyperlink" Target="https://res.cloudinary.com/laboratoire-calebasse/image/upload/v1672222872/0_20_40_4ed17de6a0.jpg" TargetMode="External"/><Relationship Id="rId1439" Type="http://schemas.openxmlformats.org/officeDocument/2006/relationships/hyperlink" Target="https://calebasse.com/produits/bi-xie-qu-shi-tang-4420?product=6402" TargetMode="External"/><Relationship Id="rId609" Type="http://schemas.openxmlformats.org/officeDocument/2006/relationships/hyperlink" Target="https://res.cloudinary.com/laboratoire-calebasse/image/upload/v1634201111/A_lianqiaocp_0367b67e86.jpg" TargetMode="External"/><Relationship Id="rId608" Type="http://schemas.openxmlformats.org/officeDocument/2006/relationships/hyperlink" Target="https://calebasse.com/produits/lian-qiao-fruits-de-cloches-dorees-3852?product=4430" TargetMode="External"/><Relationship Id="rId607" Type="http://schemas.openxmlformats.org/officeDocument/2006/relationships/hyperlink" Target="https://res.cloudinary.com/laboratoire-calebasse/image/upload/v1746533893/FRUITS_DE_CLOCHES_DOREES_100_g_ALQ_b5f5c70b20.jpg" TargetMode="External"/><Relationship Id="rId602" Type="http://schemas.openxmlformats.org/officeDocument/2006/relationships/hyperlink" Target="https://calebasse.com/produits/liu-ji-nu-armoise-irreguliere-3857?product=4455" TargetMode="External"/><Relationship Id="rId601" Type="http://schemas.openxmlformats.org/officeDocument/2006/relationships/hyperlink" Target="https://res.cloudinary.com/laboratoire-calebasse/image/upload/v1747062245/FRUITS_DU_ARHAT_160_g_ALHGL_c0356769f1.jpg" TargetMode="External"/><Relationship Id="rId600" Type="http://schemas.openxmlformats.org/officeDocument/2006/relationships/hyperlink" Target="https://calebasse.com/produits/luo-han-guo-fruits-du-arhat-3864?product=4479" TargetMode="External"/><Relationship Id="rId606" Type="http://schemas.openxmlformats.org/officeDocument/2006/relationships/hyperlink" Target="https://calebasse.com/produits/lian-qiao-fruits-de-cloches-dorees-3852?product=4428" TargetMode="External"/><Relationship Id="rId605" Type="http://schemas.openxmlformats.org/officeDocument/2006/relationships/hyperlink" Target="https://res.cloudinary.com/laboratoire-calebasse/image/upload/v1747063697/ARMOISE_IRREGULIERE_260_g_ALJNL_e902b02f02.jpg" TargetMode="External"/><Relationship Id="rId604" Type="http://schemas.openxmlformats.org/officeDocument/2006/relationships/hyperlink" Target="https://calebasse.com/produits/liu-ji-nu-armoise-irreguliere-3857?product=4454" TargetMode="External"/><Relationship Id="rId603" Type="http://schemas.openxmlformats.org/officeDocument/2006/relationships/hyperlink" Target="https://res.cloudinary.com/laboratoire-calebasse/image/upload/v1746524394/ARMOISE_IRREGULIERE_100_g_ALJN_a90225fcdb.jpg" TargetMode="External"/><Relationship Id="rId2760" Type="http://schemas.openxmlformats.org/officeDocument/2006/relationships/hyperlink" Target="https://calebasse.com/produits/500-aiguilles-avec-tube-018-x-50-mm-4618?product=6752" TargetMode="External"/><Relationship Id="rId1430" Type="http://schemas.openxmlformats.org/officeDocument/2006/relationships/hyperlink" Target="https://res.cloudinary.com/laboratoire-calebasse/image/upload/v1753351283/BU_PI_YI_CHANG_WAN_CBPYCW_019174f9a6.jpg" TargetMode="External"/><Relationship Id="rId2761" Type="http://schemas.openxmlformats.org/officeDocument/2006/relationships/hyperlink" Target="https://res.cloudinary.com/laboratoire-calebasse/image/upload/v1672758791/0_18_50_b4e94b830a.jpg" TargetMode="External"/><Relationship Id="rId1431" Type="http://schemas.openxmlformats.org/officeDocument/2006/relationships/hyperlink" Target="https://calebasse.com/produits/bu-pi-yi-chang-wan-4024?product=5051" TargetMode="External"/><Relationship Id="rId2762" Type="http://schemas.openxmlformats.org/officeDocument/2006/relationships/hyperlink" Target="https://calebasse.com/produits/500-aiguilles-avec-tube-018-x-50-mm-4618?product=6753" TargetMode="External"/><Relationship Id="rId1432" Type="http://schemas.openxmlformats.org/officeDocument/2006/relationships/hyperlink" Target="https://res.cloudinary.com/laboratoire-calebasse/image/upload/v1753351295/BU_PI_YI_CHANG_WAN_CBPYCWCP_6c9d697e1f.jpg" TargetMode="External"/><Relationship Id="rId2763" Type="http://schemas.openxmlformats.org/officeDocument/2006/relationships/hyperlink" Target="https://res.cloudinary.com/laboratoire-calebasse/image/upload/v1672758791/0_18_50_b4e94b830a.jpg" TargetMode="External"/><Relationship Id="rId1422" Type="http://schemas.openxmlformats.org/officeDocument/2006/relationships/hyperlink" Target="https://res.cloudinary.com/laboratoire-calebasse/image/upload/v1753103806/BU_NAO_AN_SHEN_WAN_CBNASW_b2c91b6a5a.jpg" TargetMode="External"/><Relationship Id="rId2753" Type="http://schemas.openxmlformats.org/officeDocument/2006/relationships/hyperlink" Target="https://res.cloudinary.com/laboratoire-calebasse/image/upload/v1672758731/0_18_10_182f566ce5.jpg" TargetMode="External"/><Relationship Id="rId1423" Type="http://schemas.openxmlformats.org/officeDocument/2006/relationships/hyperlink" Target="https://calebasse.com/produits/bu-nao-an-shen-wan-4021?product=5046" TargetMode="External"/><Relationship Id="rId2754" Type="http://schemas.openxmlformats.org/officeDocument/2006/relationships/hyperlink" Target="https://calebasse.com/produits/500-aiguilles-avec-tube-018-x-10-mm-4616?product=6751" TargetMode="External"/><Relationship Id="rId1424" Type="http://schemas.openxmlformats.org/officeDocument/2006/relationships/hyperlink" Target="https://res.cloudinary.com/laboratoire-calebasse/image/upload/v1753103822/BU_NAO_AN_SHEN_WAN_CBNASWCP_c4f8a98b43.jpg" TargetMode="External"/><Relationship Id="rId2755" Type="http://schemas.openxmlformats.org/officeDocument/2006/relationships/hyperlink" Target="https://res.cloudinary.com/laboratoire-calebasse/image/upload/v1672758731/0_18_10_182f566ce5.jpg" TargetMode="External"/><Relationship Id="rId1425" Type="http://schemas.openxmlformats.org/officeDocument/2006/relationships/hyperlink" Target="https://calebasse.com/produits/bu-nao-wan-4387?product=6317" TargetMode="External"/><Relationship Id="rId2756" Type="http://schemas.openxmlformats.org/officeDocument/2006/relationships/hyperlink" Target="https://calebasse.com/produits/500-aiguilles-avec-tube-018-x-30-mm-4617?product=6585" TargetMode="External"/><Relationship Id="rId1426" Type="http://schemas.openxmlformats.org/officeDocument/2006/relationships/hyperlink" Target="https://res.cloudinary.com/laboratoire-calebasse/image/upload/v1753351253/BU_NAO_WAN_CBNW_4f16c931d3.jpg" TargetMode="External"/><Relationship Id="rId2757" Type="http://schemas.openxmlformats.org/officeDocument/2006/relationships/hyperlink" Target="https://res.cloudinary.com/laboratoire-calebasse/image/upload/v1672758762/0_18_30_5355d12ac0.jpg" TargetMode="External"/><Relationship Id="rId1427" Type="http://schemas.openxmlformats.org/officeDocument/2006/relationships/hyperlink" Target="https://calebasse.com/produits/bu-nao-wan-4387?product=6319" TargetMode="External"/><Relationship Id="rId2758" Type="http://schemas.openxmlformats.org/officeDocument/2006/relationships/hyperlink" Target="https://calebasse.com/produits/500-aiguilles-avec-tube-018-x-30-mm-4617?product=6587" TargetMode="External"/><Relationship Id="rId1428" Type="http://schemas.openxmlformats.org/officeDocument/2006/relationships/hyperlink" Target="https://res.cloudinary.com/laboratoire-calebasse/image/upload/v1753351265/BU_NAO_WAN_CBNWCP_21d14b61d9.jpg" TargetMode="External"/><Relationship Id="rId2759" Type="http://schemas.openxmlformats.org/officeDocument/2006/relationships/hyperlink" Target="https://res.cloudinary.com/laboratoire-calebasse/image/upload/v1672758762/0_18_30_5355d12ac0.jpg" TargetMode="External"/><Relationship Id="rId1429" Type="http://schemas.openxmlformats.org/officeDocument/2006/relationships/hyperlink" Target="https://calebasse.com/produits/bu-pi-yi-chang-wan-4024?product=5048" TargetMode="External"/><Relationship Id="rId2750" Type="http://schemas.openxmlformats.org/officeDocument/2006/relationships/hyperlink" Target="https://calebasse.com/produits/500-aiguilles-avec-tube-016-x-25-mm-4413?product=6475" TargetMode="External"/><Relationship Id="rId1420" Type="http://schemas.openxmlformats.org/officeDocument/2006/relationships/hyperlink" Target="https://res.cloudinary.com/laboratoire-calebasse/image/upload/v1753104728/PO_CHAI_PILLS_CBJWCP_4e1f8107f0.jpg" TargetMode="External"/><Relationship Id="rId2751" Type="http://schemas.openxmlformats.org/officeDocument/2006/relationships/hyperlink" Target="https://res.cloudinary.com/laboratoire-calebasse/image/upload/v1672219738/0_16_25_66f2d7033d.jpg" TargetMode="External"/><Relationship Id="rId1421" Type="http://schemas.openxmlformats.org/officeDocument/2006/relationships/hyperlink" Target="https://calebasse.com/produits/bu-nao-an-shen-wan-4021?product=5044" TargetMode="External"/><Relationship Id="rId2752" Type="http://schemas.openxmlformats.org/officeDocument/2006/relationships/hyperlink" Target="https://calebasse.com/produits/500-aiguilles-avec-tube-018-x-10-mm-4616?product=6750" TargetMode="External"/><Relationship Id="rId3238" Type="http://schemas.openxmlformats.org/officeDocument/2006/relationships/hyperlink" Target="https://calebasse.com/produits/chicoree-4306?product=6132" TargetMode="External"/><Relationship Id="rId3237" Type="http://schemas.openxmlformats.org/officeDocument/2006/relationships/hyperlink" Target="https://res.cloudinary.com/laboratoire-calebasse/image/upload/v1746522511/CHICOREE_100_g_OCHIC_f83162a5cc.jpg" TargetMode="External"/><Relationship Id="rId3239" Type="http://schemas.openxmlformats.org/officeDocument/2006/relationships/hyperlink" Target="https://res.cloudinary.com/laboratoire-calebasse/image/upload/v1752221042/CHICOREE_300_g_OCHICL_908755504a.jpg" TargetMode="External"/><Relationship Id="rId3230" Type="http://schemas.openxmlformats.org/officeDocument/2006/relationships/hyperlink" Target="https://calebasse.com/produits/cerfeuil-4305?product=6127" TargetMode="External"/><Relationship Id="rId3232" Type="http://schemas.openxmlformats.org/officeDocument/2006/relationships/hyperlink" Target="https://calebasse.com/produits/chardon-marie-4474?product=6129" TargetMode="External"/><Relationship Id="rId3231" Type="http://schemas.openxmlformats.org/officeDocument/2006/relationships/hyperlink" Target="https://res.cloudinary.com/laboratoire-calebasse/image/upload/v1663747464/O_cerfeuil_ba9e5a2927.jpg" TargetMode="External"/><Relationship Id="rId3234" Type="http://schemas.openxmlformats.org/officeDocument/2006/relationships/hyperlink" Target="https://calebasse.com/produits/chardon-marie-4474?product=6128" TargetMode="External"/><Relationship Id="rId3233" Type="http://schemas.openxmlformats.org/officeDocument/2006/relationships/hyperlink" Target="https://res.cloudinary.com/laboratoire-calebasse/image/upload/v1744901301/CHARDON_MARIE_GRAINE_ENTIERE_BIO_50_g_OCHAR_2025_04_10_a973782c11.jpg" TargetMode="External"/><Relationship Id="rId3236" Type="http://schemas.openxmlformats.org/officeDocument/2006/relationships/hyperlink" Target="https://calebasse.com/produits/chicoree-4306?product=6130" TargetMode="External"/><Relationship Id="rId3235" Type="http://schemas.openxmlformats.org/officeDocument/2006/relationships/hyperlink" Target="https://res.cloudinary.com/laboratoire-calebasse/image/upload/v1748270992/CHARDON_MARIE_GRAINE_ENTIERE_BIO_200_g_OCHARL_f7fbf65710.jpg" TargetMode="External"/><Relationship Id="rId3227" Type="http://schemas.openxmlformats.org/officeDocument/2006/relationships/hyperlink" Target="https://res.cloudinary.com/laboratoire-calebasse/image/upload/v1760605496/CASSIS_FRUIT_BIO_150_g_OCASSL_44580520cc.jpg" TargetMode="External"/><Relationship Id="rId3226" Type="http://schemas.openxmlformats.org/officeDocument/2006/relationships/hyperlink" Target="https://calebasse.com/produits/cassis-4304?product=6125" TargetMode="External"/><Relationship Id="rId3229" Type="http://schemas.openxmlformats.org/officeDocument/2006/relationships/hyperlink" Target="https://res.cloudinary.com/laboratoire-calebasse/image/upload/v1746522432/CERFEUIL_100_g_OCERF_04cea63c07.jpg" TargetMode="External"/><Relationship Id="rId3228" Type="http://schemas.openxmlformats.org/officeDocument/2006/relationships/hyperlink" Target="https://calebasse.com/produits/cerfeuil-4305?product=6126" TargetMode="External"/><Relationship Id="rId699" Type="http://schemas.openxmlformats.org/officeDocument/2006/relationships/hyperlink" Target="https://res.cloudinary.com/laboratoire-calebasse/image/upload/v1634201224/A_chaomaiyacp_71685a8642.jpg" TargetMode="External"/><Relationship Id="rId698" Type="http://schemas.openxmlformats.org/officeDocument/2006/relationships/hyperlink" Target="https://calebasse.com/produits/mai-ya-chao-graines-de-malt-germe-cuit-3868?product=4488" TargetMode="External"/><Relationship Id="rId693" Type="http://schemas.openxmlformats.org/officeDocument/2006/relationships/hyperlink" Target="https://res.cloudinary.com/laboratoire-calebasse/image/upload/v1746526303/RHODODENDRON_50_g_AMSH_6bf8d576f8.jpg" TargetMode="External"/><Relationship Id="rId692" Type="http://schemas.openxmlformats.org/officeDocument/2006/relationships/hyperlink" Target="https://calebasse.com/produits/man-shan-hong-rhododendron-3871?product=4504" TargetMode="External"/><Relationship Id="rId691" Type="http://schemas.openxmlformats.org/officeDocument/2006/relationships/hyperlink" Target="https://res.cloudinary.com/laboratoire-calebasse/image/upload/v1753346999/_13431e7c41.jpg" TargetMode="External"/><Relationship Id="rId3221" Type="http://schemas.openxmlformats.org/officeDocument/2006/relationships/hyperlink" Target="https://res.cloudinary.com/laboratoire-calebasse/image/upload/v1754471890/CANNELLE_DE_CEYLAN_TUYAU_ENTIER_BIO_200_g_OCANTL_c0866bfcd5.jpg" TargetMode="External"/><Relationship Id="rId690" Type="http://schemas.openxmlformats.org/officeDocument/2006/relationships/hyperlink" Target="https://calebasse.com/produits/mo-li-hua-fleurs-de-jasmin-3873?product=7365" TargetMode="External"/><Relationship Id="rId3220" Type="http://schemas.openxmlformats.org/officeDocument/2006/relationships/hyperlink" Target="https://calebasse.com/produits/cannelle-tuyau-entier-bio-5189?product=7501" TargetMode="External"/><Relationship Id="rId697" Type="http://schemas.openxmlformats.org/officeDocument/2006/relationships/hyperlink" Target="https://res.cloudinary.com/laboratoire-calebasse/image/upload/v1746526418/GRAINES_DEMALT_GERME_CUIT_100_g_AMYC_e031360b01.jpg" TargetMode="External"/><Relationship Id="rId3223" Type="http://schemas.openxmlformats.org/officeDocument/2006/relationships/hyperlink" Target="https://res.cloudinary.com/laboratoire-calebasse/image/upload/v1754556673/CAMOMILLE_ROMAINE_30_g_OCARO_bcffb08bef.jpg" TargetMode="External"/><Relationship Id="rId696" Type="http://schemas.openxmlformats.org/officeDocument/2006/relationships/hyperlink" Target="https://calebasse.com/produits/mai-ya-chao-graines-de-malt-germe-cuit-3868?product=4486" TargetMode="External"/><Relationship Id="rId3222" Type="http://schemas.openxmlformats.org/officeDocument/2006/relationships/hyperlink" Target="https://calebasse.com/produits/camomille-romaine-4301?product=6120" TargetMode="External"/><Relationship Id="rId695" Type="http://schemas.openxmlformats.org/officeDocument/2006/relationships/hyperlink" Target="https://res.cloudinary.com/laboratoire-calebasse/image/upload/v1747062514/RHODODENDRON_200_g_AMSHL_ac47c43b5a.jpg" TargetMode="External"/><Relationship Id="rId3225" Type="http://schemas.openxmlformats.org/officeDocument/2006/relationships/hyperlink" Target="https://res.cloudinary.com/laboratoire-calebasse/image/upload/v1746522404/CASSIS_50_g_OCASS_39ddd06067.jpg" TargetMode="External"/><Relationship Id="rId694" Type="http://schemas.openxmlformats.org/officeDocument/2006/relationships/hyperlink" Target="https://calebasse.com/produits/man-shan-hong-rhododendron-3871?product=4506" TargetMode="External"/><Relationship Id="rId3224" Type="http://schemas.openxmlformats.org/officeDocument/2006/relationships/hyperlink" Target="https://calebasse.com/produits/cassis-4304?product=6124" TargetMode="External"/><Relationship Id="rId3259" Type="http://schemas.openxmlformats.org/officeDocument/2006/relationships/hyperlink" Target="https://res.cloudinary.com/laboratoire-calebasse/image/upload/v1748268246/CORIANDRE_FEUILLE_COUPEE_BIO_200_g_OCORIL_48eb12711b.jpg" TargetMode="External"/><Relationship Id="rId3250" Type="http://schemas.openxmlformats.org/officeDocument/2006/relationships/hyperlink" Target="https://calebasse.com/produits/consoude-4310?product=6139" TargetMode="External"/><Relationship Id="rId3252" Type="http://schemas.openxmlformats.org/officeDocument/2006/relationships/hyperlink" Target="https://calebasse.com/produits/petales-de-coquelicot-4311?product=6140" TargetMode="External"/><Relationship Id="rId3251" Type="http://schemas.openxmlformats.org/officeDocument/2006/relationships/hyperlink" Target="https://res.cloudinary.com/laboratoire-calebasse/image/upload/v1753104008/CONSOUDE_RACINE_COUPEE_BIO_200_g_OCONSL_57fe9636ab.jpg" TargetMode="External"/><Relationship Id="rId3254" Type="http://schemas.openxmlformats.org/officeDocument/2006/relationships/hyperlink" Target="https://calebasse.com/produits/petales-de-coquelicot-4311?product=6141" TargetMode="External"/><Relationship Id="rId3253" Type="http://schemas.openxmlformats.org/officeDocument/2006/relationships/hyperlink" Target="https://res.cloudinary.com/laboratoire-calebasse/image/upload/v1751624228/PETALES_DE_COQUELICOT_50_g_OCOQU_f8c7487773.jpg" TargetMode="External"/><Relationship Id="rId3256" Type="http://schemas.openxmlformats.org/officeDocument/2006/relationships/hyperlink" Target="https://calebasse.com/produits/coriandre-4312?product=6142" TargetMode="External"/><Relationship Id="rId3255" Type="http://schemas.openxmlformats.org/officeDocument/2006/relationships/hyperlink" Target="https://res.cloudinary.com/laboratoire-calebasse/image/upload/v1751624217/PETALES_DE_COQUELICOT_240_g_OCOQUL_6f9cfa7454.jpg" TargetMode="External"/><Relationship Id="rId3258" Type="http://schemas.openxmlformats.org/officeDocument/2006/relationships/hyperlink" Target="https://calebasse.com/produits/coriandre-4312?product=6143" TargetMode="External"/><Relationship Id="rId3257" Type="http://schemas.openxmlformats.org/officeDocument/2006/relationships/hyperlink" Target="https://res.cloudinary.com/laboratoire-calebasse/image/upload/v1748268268/CORIANDRE_FEUILLE_COUPEE_BIO_50_g_OCORI_a45f7c25a1.jpg" TargetMode="External"/><Relationship Id="rId3249" Type="http://schemas.openxmlformats.org/officeDocument/2006/relationships/hyperlink" Target="https://res.cloudinary.com/laboratoire-calebasse/image/upload/v1753103998/CONSOUDE_RACINE_COUPEE_BIO_50_g_OCONS_821ac0a32b.jpg" TargetMode="External"/><Relationship Id="rId3248" Type="http://schemas.openxmlformats.org/officeDocument/2006/relationships/hyperlink" Target="https://calebasse.com/produits/consoude-4310?product=6138" TargetMode="External"/><Relationship Id="rId3241" Type="http://schemas.openxmlformats.org/officeDocument/2006/relationships/hyperlink" Target="https://res.cloudinary.com/laboratoire-calebasse/image/upload/v1746522528/CHIENDENT_100_g_OCHIE_98403289c9.jpg" TargetMode="External"/><Relationship Id="rId3240" Type="http://schemas.openxmlformats.org/officeDocument/2006/relationships/hyperlink" Target="https://calebasse.com/produits/chiendent-4307?product=6131" TargetMode="External"/><Relationship Id="rId3243" Type="http://schemas.openxmlformats.org/officeDocument/2006/relationships/hyperlink" Target="https://res.cloudinary.com/laboratoire-calebasse/image/upload/v1753800308/CHIA_GRAINE_BIO_200_g_OCHIGL_525a76e3cb.jpg" TargetMode="External"/><Relationship Id="rId3242" Type="http://schemas.openxmlformats.org/officeDocument/2006/relationships/hyperlink" Target="https://calebasse.com/produits/chia-graine-bio-5190?product=7503" TargetMode="External"/><Relationship Id="rId3245" Type="http://schemas.openxmlformats.org/officeDocument/2006/relationships/hyperlink" Target="https://res.cloudinary.com/laboratoire-calebasse/image/upload/v1746522545/CIBOULETTE_100_g_OCIBO_b00c561a30.jpg" TargetMode="External"/><Relationship Id="rId3244" Type="http://schemas.openxmlformats.org/officeDocument/2006/relationships/hyperlink" Target="https://calebasse.com/produits/ciboulette-4308?product=6134" TargetMode="External"/><Relationship Id="rId3247" Type="http://schemas.openxmlformats.org/officeDocument/2006/relationships/hyperlink" Target="https://res.cloudinary.com/laboratoire-calebasse/image/upload/v1746522570/CITRONNELLE_100_g_OCITR_0663348f72.jpg" TargetMode="External"/><Relationship Id="rId3246" Type="http://schemas.openxmlformats.org/officeDocument/2006/relationships/hyperlink" Target="https://calebasse.com/produits/citronnelle-4309?product=6136" TargetMode="External"/><Relationship Id="rId1499" Type="http://schemas.openxmlformats.org/officeDocument/2006/relationships/hyperlink" Target="https://calebasse.com/produits/chai-hu-xiao-shi-wan-4034?product=5097" TargetMode="External"/><Relationship Id="rId668" Type="http://schemas.openxmlformats.org/officeDocument/2006/relationships/hyperlink" Target="https://calebasse.com/produits/mu-gua-fruits-de-papaye-4554?product=4520" TargetMode="External"/><Relationship Id="rId667" Type="http://schemas.openxmlformats.org/officeDocument/2006/relationships/hyperlink" Target="https://res.cloudinary.com/laboratoire-calebasse/image/upload/v1747062194/COGNASSIER_FRUIT_100_g_AMG_814541870b.jpg" TargetMode="External"/><Relationship Id="rId666" Type="http://schemas.openxmlformats.org/officeDocument/2006/relationships/hyperlink" Target="https://calebasse.com/produits/mu-gua-fruits-de-papaye-4554?product=4516" TargetMode="External"/><Relationship Id="rId665" Type="http://schemas.openxmlformats.org/officeDocument/2006/relationships/hyperlink" Target="https://res.cloudinary.com/laboratoire-calebasse/image/upload/v1747062460/RACINES_DE_PIVOINE_300_g_AMDPL_7890642130.jpg" TargetMode="External"/><Relationship Id="rId669" Type="http://schemas.openxmlformats.org/officeDocument/2006/relationships/hyperlink" Target="https://res.cloudinary.com/laboratoire-calebasse/image/upload/v1698326867/A_mugua_2f40e54a94.jpg" TargetMode="External"/><Relationship Id="rId1490" Type="http://schemas.openxmlformats.org/officeDocument/2006/relationships/hyperlink" Target="https://res.cloudinary.com/laboratoire-calebasse/image/upload/v1753351631/CHAI_HU_LONG_GU_MU_LI_WAN_CCHLGMLW_1693167c76.jpg" TargetMode="External"/><Relationship Id="rId660" Type="http://schemas.openxmlformats.org/officeDocument/2006/relationships/hyperlink" Target="https://calebasse.com/produits/mu-dan-pi-racines-de-pivoine-3875?product=4511" TargetMode="External"/><Relationship Id="rId1491" Type="http://schemas.openxmlformats.org/officeDocument/2006/relationships/hyperlink" Target="https://calebasse.com/produits/chai-hu-long-gu-mu-li-wan-4032?product=5086" TargetMode="External"/><Relationship Id="rId1492" Type="http://schemas.openxmlformats.org/officeDocument/2006/relationships/hyperlink" Target="https://res.cloudinary.com/laboratoire-calebasse/image/upload/v1753351641/CHAI_HU_LONG_GU_MU_LI_WAN_CCHLGMLWCP_447c91436c.jpg" TargetMode="External"/><Relationship Id="rId1493" Type="http://schemas.openxmlformats.org/officeDocument/2006/relationships/hyperlink" Target="https://calebasse.com/produits/chai-hu-shu-gan-wan-4035?product=5092" TargetMode="External"/><Relationship Id="rId1494" Type="http://schemas.openxmlformats.org/officeDocument/2006/relationships/hyperlink" Target="https://res.cloudinary.com/laboratoire-calebasse/image/upload/v1753103880/CHAI_HU_SHU_GAN_WAN_CCHSGW_Gelule_4cb4c4fc98.jpg" TargetMode="External"/><Relationship Id="rId664" Type="http://schemas.openxmlformats.org/officeDocument/2006/relationships/hyperlink" Target="https://calebasse.com/produits/mu-dan-pi-racines-de-pivoine-3875?product=4512" TargetMode="External"/><Relationship Id="rId1495" Type="http://schemas.openxmlformats.org/officeDocument/2006/relationships/hyperlink" Target="https://calebasse.com/produits/chai-hu-shu-gan-wan-4035?product=5094" TargetMode="External"/><Relationship Id="rId663" Type="http://schemas.openxmlformats.org/officeDocument/2006/relationships/hyperlink" Target="https://res.cloudinary.com/laboratoire-calebasse/image/upload/v1704448765/A_mudanpi_GL_0843349ada.jpg" TargetMode="External"/><Relationship Id="rId1496" Type="http://schemas.openxmlformats.org/officeDocument/2006/relationships/hyperlink" Target="https://res.cloudinary.com/laboratoire-calebasse/image/upload/v1753103864/CHAI_HU_SHU_GAN_WAN_CCHSGWCP_Poudre_09f6ee9d18.jpg" TargetMode="External"/><Relationship Id="rId662" Type="http://schemas.openxmlformats.org/officeDocument/2006/relationships/hyperlink" Target="https://calebasse.com/produits/mu-dan-pi-racines-de-pivoine-3875?product=4517" TargetMode="External"/><Relationship Id="rId1497" Type="http://schemas.openxmlformats.org/officeDocument/2006/relationships/hyperlink" Target="https://calebasse.com/produits/chai-hu-xiao-shi-wan-4034?product=5096" TargetMode="External"/><Relationship Id="rId661" Type="http://schemas.openxmlformats.org/officeDocument/2006/relationships/hyperlink" Target="https://res.cloudinary.com/laboratoire-calebasse/image/upload/v1704448742/A_mudanpi_CP_7d59fc1d22.jpg" TargetMode="External"/><Relationship Id="rId1498" Type="http://schemas.openxmlformats.org/officeDocument/2006/relationships/hyperlink" Target="https://res.cloudinary.com/laboratoire-calebasse/image/upload/v1753351663/CHAI_HU_XIAO_SHI_WAN_CCHXSW_9387b8e7aa.jpg" TargetMode="External"/><Relationship Id="rId1488" Type="http://schemas.openxmlformats.org/officeDocument/2006/relationships/hyperlink" Target="https://res.cloudinary.com/laboratoire-calebasse/image/upload/v1753351752/CHAI_HU_HU_PO_TANG_CCHHPTCP_bc0b5b2844.jpg" TargetMode="External"/><Relationship Id="rId1489" Type="http://schemas.openxmlformats.org/officeDocument/2006/relationships/hyperlink" Target="https://calebasse.com/produits/chai-hu-long-gu-mu-li-wan-4032?product=5084" TargetMode="External"/><Relationship Id="rId657" Type="http://schemas.openxmlformats.org/officeDocument/2006/relationships/hyperlink" Target="https://res.cloudinary.com/laboratoire-calebasse/image/upload/v1747062529/MUGUET_DU_JAPON_200_g_AMDL_43474ec22c.jpg" TargetMode="External"/><Relationship Id="rId656" Type="http://schemas.openxmlformats.org/officeDocument/2006/relationships/hyperlink" Target="https://calebasse.com/produits/mai-dong-muguet-du-japon-4537?product=6563" TargetMode="External"/><Relationship Id="rId655" Type="http://schemas.openxmlformats.org/officeDocument/2006/relationships/hyperlink" Target="https://res.cloudinary.com/laboratoire-calebasse/image/upload/v1746526541/PIVOINE_EN_ARBRE_50_g_AMDH_4e2baa6110.jpg" TargetMode="External"/><Relationship Id="rId654" Type="http://schemas.openxmlformats.org/officeDocument/2006/relationships/hyperlink" Target="https://calebasse.com/produits/mu-dan-hua-pivoine-en-arbre-5036?product=6534" TargetMode="External"/><Relationship Id="rId659" Type="http://schemas.openxmlformats.org/officeDocument/2006/relationships/hyperlink" Target="https://res.cloudinary.com/laboratoire-calebasse/image/upload/v1746526528/RACINES_DE_PIVOINE_100_g_AMDP_0f1c2a48d4.jpg" TargetMode="External"/><Relationship Id="rId658" Type="http://schemas.openxmlformats.org/officeDocument/2006/relationships/hyperlink" Target="https://calebasse.com/produits/mu-dan-pi-racines-de-pivoine-3875?product=4510" TargetMode="External"/><Relationship Id="rId1480" Type="http://schemas.openxmlformats.org/officeDocument/2006/relationships/hyperlink" Target="https://res.cloudinary.com/laboratoire-calebasse/image/upload/v1753351728/CHAI_HU_GUI_ZHI_GAN_JIANG_TANG_CCHGZGJTCP_df03c8820f.jpg" TargetMode="External"/><Relationship Id="rId1481" Type="http://schemas.openxmlformats.org/officeDocument/2006/relationships/hyperlink" Target="https://calebasse.com/produits/chai-hu-gui-zhi-tang-4487?product=5072" TargetMode="External"/><Relationship Id="rId1482" Type="http://schemas.openxmlformats.org/officeDocument/2006/relationships/hyperlink" Target="https://res.cloudinary.com/laboratoire-calebasse/image/upload/v1753351690/CHAI_HU_GUI_ZHI_TANG_CCHGZT_18c2d44079.jpg" TargetMode="External"/><Relationship Id="rId1483" Type="http://schemas.openxmlformats.org/officeDocument/2006/relationships/hyperlink" Target="https://calebasse.com/produits/chai-hu-gui-zhi-tang-4487?product=5074" TargetMode="External"/><Relationship Id="rId653" Type="http://schemas.openxmlformats.org/officeDocument/2006/relationships/hyperlink" Target="https://res.cloudinary.com/laboratoire-calebasse/image/upload/v1704444132/A_mai_dong_GL_804f184c76.jpg" TargetMode="External"/><Relationship Id="rId1484" Type="http://schemas.openxmlformats.org/officeDocument/2006/relationships/hyperlink" Target="https://res.cloudinary.com/laboratoire-calebasse/image/upload/v1753351699/CHAI_HU_GUI_ZHI_TANG_CCHGZTCP_2e6bb78339.jpg" TargetMode="External"/><Relationship Id="rId652" Type="http://schemas.openxmlformats.org/officeDocument/2006/relationships/hyperlink" Target="https://calebasse.com/produits/mai-dong-muguet-du-japon-4537?product=6564" TargetMode="External"/><Relationship Id="rId1485" Type="http://schemas.openxmlformats.org/officeDocument/2006/relationships/hyperlink" Target="https://calebasse.com/produits/chai-hu-hu-po-tang-4786?product=5076" TargetMode="External"/><Relationship Id="rId651" Type="http://schemas.openxmlformats.org/officeDocument/2006/relationships/hyperlink" Target="https://res.cloudinary.com/laboratoire-calebasse/image/upload/v1704444093/A_mai_dong_CP_34d9999264.jpg" TargetMode="External"/><Relationship Id="rId1486" Type="http://schemas.openxmlformats.org/officeDocument/2006/relationships/hyperlink" Target="https://res.cloudinary.com/laboratoire-calebasse/image/upload/v1753351742/CHAI_HU_HU_PO_TANG_CCHHPT_9f92109bef.jpg" TargetMode="External"/><Relationship Id="rId650" Type="http://schemas.openxmlformats.org/officeDocument/2006/relationships/hyperlink" Target="https://calebasse.com/produits/mai-dong-muguet-du-japon-4537?product=6567" TargetMode="External"/><Relationship Id="rId1487" Type="http://schemas.openxmlformats.org/officeDocument/2006/relationships/hyperlink" Target="https://calebasse.com/produits/chai-hu-hu-po-tang-4786?product=5077" TargetMode="External"/><Relationship Id="rId3216" Type="http://schemas.openxmlformats.org/officeDocument/2006/relationships/hyperlink" Target="https://calebasse.com/produits/cannelle-ecorce-morceaux-poudre-bio-5204?product=7534" TargetMode="External"/><Relationship Id="rId3215" Type="http://schemas.openxmlformats.org/officeDocument/2006/relationships/hyperlink" Target="https://res.cloudinary.com/laboratoire-calebasse/image/upload/v1754471889/CANNELLE_DE_CEYLAN_ECORCE_MORCEAUX_POUDRE_BIO_50_g_OCANP_4e44712241.jpg" TargetMode="External"/><Relationship Id="rId3218" Type="http://schemas.openxmlformats.org/officeDocument/2006/relationships/hyperlink" Target="https://calebasse.com/produits/cannelle-tuyau-entier-bio-5189?product=7500" TargetMode="External"/><Relationship Id="rId3217" Type="http://schemas.openxmlformats.org/officeDocument/2006/relationships/hyperlink" Target="https://res.cloudinary.com/laboratoire-calebasse/image/upload/v1754471890/CANNELLE_DE_CEYLAN_ECORCE_MORCEAUX_POUDRE_BIO_200_g_OCANPL_23c2aa4b30.jpg" TargetMode="External"/><Relationship Id="rId3219" Type="http://schemas.openxmlformats.org/officeDocument/2006/relationships/hyperlink" Target="https://res.cloudinary.com/laboratoire-calebasse/image/upload/v1754471889/CANNELLE_DE_CEYLAN_TUYAU_ENTIER_BIO_50_g_OCANT_0aa5cb1013.jpg" TargetMode="External"/><Relationship Id="rId689" Type="http://schemas.openxmlformats.org/officeDocument/2006/relationships/hyperlink" Target="https://res.cloudinary.com/laboratoire-calebasse/image/upload/v1747062477/FLEURS_DE_JASMIN_260_g_AMLHL_fe7c5ad858.jpg" TargetMode="External"/><Relationship Id="rId688" Type="http://schemas.openxmlformats.org/officeDocument/2006/relationships/hyperlink" Target="https://calebasse.com/produits/mo-li-hua-fleurs-de-jasmin-3873?product=4509" TargetMode="External"/><Relationship Id="rId687" Type="http://schemas.openxmlformats.org/officeDocument/2006/relationships/hyperlink" Target="https://res.cloudinary.com/laboratoire-calebasse/image/upload/v1746528197/FLEURS_DE_JASMIN_50_g_AMLH_8a55f5aa2d.jpg" TargetMode="External"/><Relationship Id="rId682" Type="http://schemas.openxmlformats.org/officeDocument/2006/relationships/hyperlink" Target="https://calebasse.com/produits/man-jing-zi-poivre-des-moines-3869?product=4500" TargetMode="External"/><Relationship Id="rId681" Type="http://schemas.openxmlformats.org/officeDocument/2006/relationships/hyperlink" Target="https://res.cloudinary.com/laboratoire-calebasse/image/upload/v1634201117/A_manjingzigl_de6deeabeb.jpg" TargetMode="External"/><Relationship Id="rId680" Type="http://schemas.openxmlformats.org/officeDocument/2006/relationships/hyperlink" Target="https://calebasse.com/produits/man-jing-zi-poivre-des-moines-3869?product=4502" TargetMode="External"/><Relationship Id="rId3210" Type="http://schemas.openxmlformats.org/officeDocument/2006/relationships/hyperlink" Target="https://calebasse.com/produits/cannelle-ecorce-morceaux-coupe-bio-5188?product=7498" TargetMode="External"/><Relationship Id="rId686" Type="http://schemas.openxmlformats.org/officeDocument/2006/relationships/hyperlink" Target="https://calebasse.com/produits/mo-li-hua-fleurs-de-jasmin-3873?product=4508" TargetMode="External"/><Relationship Id="rId3212" Type="http://schemas.openxmlformats.org/officeDocument/2006/relationships/hyperlink" Target="https://calebasse.com/produits/cannelle-ecorce-morceaux-coupe-bio-5188?product=7499" TargetMode="External"/><Relationship Id="rId685" Type="http://schemas.openxmlformats.org/officeDocument/2006/relationships/hyperlink" Target="https://res.cloudinary.com/laboratoire-calebasse/image/upload/v1754487627/ma_ka_0d8712d6b0.jpg" TargetMode="External"/><Relationship Id="rId3211" Type="http://schemas.openxmlformats.org/officeDocument/2006/relationships/hyperlink" Target="https://res.cloudinary.com/laboratoire-calebasse/image/upload/v1754471889/CANNELLE_DE_CEYLAN_ECORCE_MORCEAUX_COUPE_BIO_50_g_OCANE_ee17cbaa00.jpg" TargetMode="External"/><Relationship Id="rId684" Type="http://schemas.openxmlformats.org/officeDocument/2006/relationships/hyperlink" Target="https://calebasse.com/produits/maca-3867?product=4484" TargetMode="External"/><Relationship Id="rId3214" Type="http://schemas.openxmlformats.org/officeDocument/2006/relationships/hyperlink" Target="https://calebasse.com/produits/cannelle-ecorce-morceaux-poudre-bio-5204?product=7532" TargetMode="External"/><Relationship Id="rId683" Type="http://schemas.openxmlformats.org/officeDocument/2006/relationships/hyperlink" Target="https://res.cloudinary.com/laboratoire-calebasse/image/upload/v1747062496/POIVRE_DES_MOINES_300_g_AMJZL_b898ad2764.jpg" TargetMode="External"/><Relationship Id="rId3213" Type="http://schemas.openxmlformats.org/officeDocument/2006/relationships/hyperlink" Target="https://res.cloudinary.com/laboratoire-calebasse/image/upload/v1754471890/CANNELLE_DE_CEYLAN_ECORCE_MORCEAUX_COUPE_BIO_200_g_OCANEL_ea51a7750e.jpg" TargetMode="External"/><Relationship Id="rId3205" Type="http://schemas.openxmlformats.org/officeDocument/2006/relationships/hyperlink" Target="https://res.cloudinary.com/laboratoire-calebasse/image/upload/v1753800226/CANNEBERGE_FRUIT_SUCRE_BIO_200_g_OCABFL_2627d4e3f4.jpg" TargetMode="External"/><Relationship Id="rId3204" Type="http://schemas.openxmlformats.org/officeDocument/2006/relationships/hyperlink" Target="https://calebasse.com/produits/canneberge-fruit-sucre-bio-5187?product=7497" TargetMode="External"/><Relationship Id="rId3207" Type="http://schemas.openxmlformats.org/officeDocument/2006/relationships/hyperlink" Target="https://res.cloudinary.com/laboratoire-calebasse/image/upload/v1746522378/CAMOMILLE_MATRICAIRE_50_g_OCAMA_f3cb0c28a9.jpg" TargetMode="External"/><Relationship Id="rId3206" Type="http://schemas.openxmlformats.org/officeDocument/2006/relationships/hyperlink" Target="https://calebasse.com/produits/camomille-matricaire-4300?product=6117" TargetMode="External"/><Relationship Id="rId3209" Type="http://schemas.openxmlformats.org/officeDocument/2006/relationships/hyperlink" Target="https://res.cloudinary.com/laboratoire-calebasse/image/upload/v1752221022/CAMOMILLE_MATRICAIRE_300_g_OCAMAL_a2e26364a9.jpg" TargetMode="External"/><Relationship Id="rId3208" Type="http://schemas.openxmlformats.org/officeDocument/2006/relationships/hyperlink" Target="https://calebasse.com/produits/camomille-matricaire-4300?product=6119" TargetMode="External"/><Relationship Id="rId679" Type="http://schemas.openxmlformats.org/officeDocument/2006/relationships/hyperlink" Target="https://res.cloudinary.com/laboratoire-calebasse/image/upload/v1634201118/A_manjingzicp_e0baf43ce4.jpg" TargetMode="External"/><Relationship Id="rId678" Type="http://schemas.openxmlformats.org/officeDocument/2006/relationships/hyperlink" Target="https://calebasse.com/produits/man-jing-zi-poivre-des-moines-3869?product=4501" TargetMode="External"/><Relationship Id="rId677" Type="http://schemas.openxmlformats.org/officeDocument/2006/relationships/hyperlink" Target="https://res.cloudinary.com/laboratoire-calebasse/image/upload/v1746528868/POIVRE_DES_MOINES_100_g_AMJZ_bc21146e8d.jpg" TargetMode="External"/><Relationship Id="rId676" Type="http://schemas.openxmlformats.org/officeDocument/2006/relationships/hyperlink" Target="https://calebasse.com/produits/man-jing-zi-poivre-des-moines-3869?product=4498" TargetMode="External"/><Relationship Id="rId671" Type="http://schemas.openxmlformats.org/officeDocument/2006/relationships/hyperlink" Target="https://res.cloudinary.com/laboratoire-calebasse/image/upload/v1746526619/BOUTONS_DE_ROSE_100_g_AMGH_99ebfdf9a5.jpg" TargetMode="External"/><Relationship Id="rId670" Type="http://schemas.openxmlformats.org/officeDocument/2006/relationships/hyperlink" Target="https://calebasse.com/produits/mei-gui-hua-boutons-de-rose-3872?product=4505" TargetMode="External"/><Relationship Id="rId675" Type="http://schemas.openxmlformats.org/officeDocument/2006/relationships/hyperlink" Target="https://res.cloudinary.com/laboratoire-calebasse/image/upload/v1747062207/COGNASSIER_FRUIT_300_g_AMGL_1788d4059e.jpg" TargetMode="External"/><Relationship Id="rId3201" Type="http://schemas.openxmlformats.org/officeDocument/2006/relationships/hyperlink" Target="https://res.cloudinary.com/laboratoire-calebasse/image/upload/v1746522360/BUSSEROLE_100_g_OBUSS_ad9819756b.jpg" TargetMode="External"/><Relationship Id="rId674" Type="http://schemas.openxmlformats.org/officeDocument/2006/relationships/hyperlink" Target="https://calebasse.com/produits/mu-gua-fruits-de-papaye-4554?product=4515" TargetMode="External"/><Relationship Id="rId3200" Type="http://schemas.openxmlformats.org/officeDocument/2006/relationships/hyperlink" Target="https://calebasse.com/produits/busserole-4299?product=6116" TargetMode="External"/><Relationship Id="rId673" Type="http://schemas.openxmlformats.org/officeDocument/2006/relationships/hyperlink" Target="https://res.cloudinary.com/laboratoire-calebasse/image/upload/v1747062226/BOUTONS_DE_ROSE_300_g_AMGHL_78729073c2.jpg" TargetMode="External"/><Relationship Id="rId3203" Type="http://schemas.openxmlformats.org/officeDocument/2006/relationships/hyperlink" Target="https://res.cloudinary.com/laboratoire-calebasse/image/upload/v1753800209/CANNEBERGE_FRUIT_SUCRE_BIO_50_g_OCABF_4b331c5ec5.jpg" TargetMode="External"/><Relationship Id="rId672" Type="http://schemas.openxmlformats.org/officeDocument/2006/relationships/hyperlink" Target="https://calebasse.com/produits/mei-gui-hua-boutons-de-rose-3872?product=4507" TargetMode="External"/><Relationship Id="rId3202" Type="http://schemas.openxmlformats.org/officeDocument/2006/relationships/hyperlink" Target="https://calebasse.com/produits/canneberge-fruit-sucre-bio-5187?product=7496" TargetMode="External"/><Relationship Id="rId190" Type="http://schemas.openxmlformats.org/officeDocument/2006/relationships/hyperlink" Target="https://res.cloudinary.com/laboratoire-calebasse/image/upload/v1747132748/COURGE_CIREUSE_PEAU_140_g_ADGPIL_44e8674231.jpg" TargetMode="External"/><Relationship Id="rId194" Type="http://schemas.openxmlformats.org/officeDocument/2006/relationships/hyperlink" Target="https://res.cloudinary.com/laboratoire-calebasse/image/upload/v1746524722/HERBE_DE_CIRCE_100_g_ADJ_c8eba8b842.jpg" TargetMode="External"/><Relationship Id="rId193" Type="http://schemas.openxmlformats.org/officeDocument/2006/relationships/hyperlink" Target="https://calebasse.com/produits/da-ji-herbe-de-circe-3778?product=4090" TargetMode="External"/><Relationship Id="rId192" Type="http://schemas.openxmlformats.org/officeDocument/2006/relationships/hyperlink" Target="https://res.cloudinary.com/laboratoire-calebasse/image/upload/v1751623529/RACINES_DE_GOJI_240_g_ADGPL_e2e5506273.jpg" TargetMode="External"/><Relationship Id="rId191" Type="http://schemas.openxmlformats.org/officeDocument/2006/relationships/hyperlink" Target="https://calebasse.com/produits/di-gu-pi-racines-de-goji-3773?product=4129" TargetMode="External"/><Relationship Id="rId187" Type="http://schemas.openxmlformats.org/officeDocument/2006/relationships/hyperlink" Target="https://calebasse.com/produits/dong-gua-pi-peau-de-courge-cireuse-3761?product=4146" TargetMode="External"/><Relationship Id="rId186" Type="http://schemas.openxmlformats.org/officeDocument/2006/relationships/hyperlink" Target="https://res.cloudinary.com/laboratoire-calebasse/image/upload/v1698332160/A_digupi_4dbef33ed1.jpg" TargetMode="External"/><Relationship Id="rId185" Type="http://schemas.openxmlformats.org/officeDocument/2006/relationships/hyperlink" Target="https://calebasse.com/produits/di-gu-pi-racines-de-goji-3773?product=4132" TargetMode="External"/><Relationship Id="rId184" Type="http://schemas.openxmlformats.org/officeDocument/2006/relationships/hyperlink" Target="https://res.cloudinary.com/laboratoire-calebasse/image/upload/v1698332180/A_digupicp_ac4c47963c.jpg" TargetMode="External"/><Relationship Id="rId189" Type="http://schemas.openxmlformats.org/officeDocument/2006/relationships/hyperlink" Target="https://calebasse.com/produits/dong-gua-pi-peau-de-courge-cireuse-3761?product=4148" TargetMode="External"/><Relationship Id="rId188" Type="http://schemas.openxmlformats.org/officeDocument/2006/relationships/hyperlink" Target="https://res.cloudinary.com/laboratoire-calebasse/image/upload/v1746524315/COURGE_CIREUSE_PEAU_50_g_ADGPI_5aa3734a90.jpg" TargetMode="External"/><Relationship Id="rId183" Type="http://schemas.openxmlformats.org/officeDocument/2006/relationships/hyperlink" Target="https://calebasse.com/produits/di-gu-pi-racines-de-goji-3773?product=4130" TargetMode="External"/><Relationship Id="rId182" Type="http://schemas.openxmlformats.org/officeDocument/2006/relationships/hyperlink" Target="https://res.cloudinary.com/laboratoire-calebasse/image/upload/v1751623546/RACINES_DE_GOJI_100_g_ADGP_f47fe8c24d.jpg" TargetMode="External"/><Relationship Id="rId181" Type="http://schemas.openxmlformats.org/officeDocument/2006/relationships/hyperlink" Target="https://calebasse.com/produits/di-gu-pi-racines-de-goji-3773?product=4128" TargetMode="External"/><Relationship Id="rId180" Type="http://schemas.openxmlformats.org/officeDocument/2006/relationships/hyperlink" Target="https://res.cloudinary.com/laboratoire-calebasse/image/upload/v1747132873/SAUGE_ROUGE_300_g_ADASL_abc418ce3b.jpg" TargetMode="External"/><Relationship Id="rId176" Type="http://schemas.openxmlformats.org/officeDocument/2006/relationships/hyperlink" Target="https://res.cloudinary.com/laboratoire-calebasse/image/upload/v1751624291/LIVECHE_STRIEE_300_g_ACXL_ef39c7c5db.jpg" TargetMode="External"/><Relationship Id="rId175" Type="http://schemas.openxmlformats.org/officeDocument/2006/relationships/hyperlink" Target="https://calebasse.com/produits/chuan-xiong-liveche-striee-3775?product=4063" TargetMode="External"/><Relationship Id="rId174" Type="http://schemas.openxmlformats.org/officeDocument/2006/relationships/hyperlink" Target="https://res.cloudinary.com/laboratoire-calebasse/image/upload/v1634201099/A_chuanxionggl_ed2c0fcef8.jpg" TargetMode="External"/><Relationship Id="rId173" Type="http://schemas.openxmlformats.org/officeDocument/2006/relationships/hyperlink" Target="https://calebasse.com/produits/chuan-xiong-liveche-striee-3775?product=4066" TargetMode="External"/><Relationship Id="rId179" Type="http://schemas.openxmlformats.org/officeDocument/2006/relationships/hyperlink" Target="https://calebasse.com/produits/dan-shen-sauge-rouge-3788?product=4108" TargetMode="External"/><Relationship Id="rId178" Type="http://schemas.openxmlformats.org/officeDocument/2006/relationships/hyperlink" Target="https://res.cloudinary.com/laboratoire-calebasse/image/upload/v1746523921/SAUGE_ROUGE_100_g_ADAS_c9ab45baca.jpg" TargetMode="External"/><Relationship Id="rId177" Type="http://schemas.openxmlformats.org/officeDocument/2006/relationships/hyperlink" Target="https://calebasse.com/produits/dan-shen-sauge-rouge-3788?product=4109" TargetMode="External"/><Relationship Id="rId198" Type="http://schemas.openxmlformats.org/officeDocument/2006/relationships/hyperlink" Target="https://res.cloudinary.com/laboratoire-calebasse/image/upload/v1746524737/INDIGO_FEUILLE_100_g_ADQY_61adeed040.jpg" TargetMode="External"/><Relationship Id="rId197" Type="http://schemas.openxmlformats.org/officeDocument/2006/relationships/hyperlink" Target="https://calebasse.com/produits/da-qing-ye-feuilles-dindigo-3837?product=4096" TargetMode="External"/><Relationship Id="rId196" Type="http://schemas.openxmlformats.org/officeDocument/2006/relationships/hyperlink" Target="https://res.cloudinary.com/laboratoire-calebasse/image/upload/v1747132904/HERBE_DE_CIRCE_200_g_ADJ_3_fa917f240b.jpg" TargetMode="External"/><Relationship Id="rId195" Type="http://schemas.openxmlformats.org/officeDocument/2006/relationships/hyperlink" Target="https://calebasse.com/produits/da-ji-herbe-de-circe-3778?product=4091" TargetMode="External"/><Relationship Id="rId199" Type="http://schemas.openxmlformats.org/officeDocument/2006/relationships/hyperlink" Target="https://calebasse.com/produits/da-qing-ye-feuilles-dindigo-3837?product=4097" TargetMode="External"/><Relationship Id="rId150" Type="http://schemas.openxmlformats.org/officeDocument/2006/relationships/hyperlink" Target="https://res.cloudinary.com/laboratoire-calebasse/image/upload/v1746525228/ECORCE_DE_MANDARINE_DU_XIN_HUI_50_g_ACPXH_2a97159744.jpg" TargetMode="External"/><Relationship Id="rId149" Type="http://schemas.openxmlformats.org/officeDocument/2006/relationships/hyperlink" Target="https://calebasse.com/produits/chen-pi-xin-hui-ecorce-de-mandarine-du-xin-hui-4517?product=6523" TargetMode="External"/><Relationship Id="rId148" Type="http://schemas.openxmlformats.org/officeDocument/2006/relationships/hyperlink" Target="https://res.cloudinary.com/laboratoire-calebasse/image/upload/v1753347139/_61e2344471.jpg" TargetMode="External"/><Relationship Id="rId3270" Type="http://schemas.openxmlformats.org/officeDocument/2006/relationships/hyperlink" Target="https://calebasse.com/produits/curcuma-racine-coupee-bio-5192?product=7506" TargetMode="External"/><Relationship Id="rId3272" Type="http://schemas.openxmlformats.org/officeDocument/2006/relationships/hyperlink" Target="https://calebasse.com/produits/droseras-4480?product=6146" TargetMode="External"/><Relationship Id="rId3271" Type="http://schemas.openxmlformats.org/officeDocument/2006/relationships/hyperlink" Target="https://res.cloudinary.com/laboratoire-calebasse/image/upload/v1753800377/CURCUMA_RACINE_COUPEE_BIO_200_g_OCURL_2764729c4d.jpg" TargetMode="External"/><Relationship Id="rId143" Type="http://schemas.openxmlformats.org/officeDocument/2006/relationships/hyperlink" Target="https://calebasse.com/produits/chen-pi-peau-de-mandarine-3781?product=4059" TargetMode="External"/><Relationship Id="rId3274" Type="http://schemas.openxmlformats.org/officeDocument/2006/relationships/hyperlink" Target="https://calebasse.com/produits/droseras-4480?product=6147" TargetMode="External"/><Relationship Id="rId142" Type="http://schemas.openxmlformats.org/officeDocument/2006/relationships/hyperlink" Target="https://res.cloudinary.com/laboratoire-calebasse/image/upload/v1634201103/A_chenpicp_36f0f144b5.jpg" TargetMode="External"/><Relationship Id="rId3273" Type="http://schemas.openxmlformats.org/officeDocument/2006/relationships/hyperlink" Target="https://res.cloudinary.com/laboratoire-calebasse/image/upload/v1746522662/DROSERAS_100_g_ODROS_ab6d5bdd96.jpg" TargetMode="External"/><Relationship Id="rId141" Type="http://schemas.openxmlformats.org/officeDocument/2006/relationships/hyperlink" Target="https://calebasse.com/produits/chen-pi-peau-de-mandarine-3781?product=4055" TargetMode="External"/><Relationship Id="rId3276" Type="http://schemas.openxmlformats.org/officeDocument/2006/relationships/hyperlink" Target="https://calebasse.com/produits/echinacee-4504?product=6148" TargetMode="External"/><Relationship Id="rId140" Type="http://schemas.openxmlformats.org/officeDocument/2006/relationships/hyperlink" Target="https://res.cloudinary.com/laboratoire-calebasse/image/upload/v1747132935/HERBE_DE_SEDI_150_g_ACPCL_d1a7656657.jpg" TargetMode="External"/><Relationship Id="rId3275" Type="http://schemas.openxmlformats.org/officeDocument/2006/relationships/hyperlink" Target="https://res.cloudinary.com/laboratoire-calebasse/image/upload/v1748269878/DROSERAS_300_g_ODROSL_95f485eff6.jpg" TargetMode="External"/><Relationship Id="rId147" Type="http://schemas.openxmlformats.org/officeDocument/2006/relationships/hyperlink" Target="https://calebasse.com/produits/chen-pi-peau-de-mandarine-3781?product=7363" TargetMode="External"/><Relationship Id="rId3278" Type="http://schemas.openxmlformats.org/officeDocument/2006/relationships/hyperlink" Target="https://calebasse.com/produits/echinacee-4504?product=6149" TargetMode="External"/><Relationship Id="rId146" Type="http://schemas.openxmlformats.org/officeDocument/2006/relationships/hyperlink" Target="https://res.cloudinary.com/laboratoire-calebasse/image/upload/v1747132970/PEAU_DE_MANDARINE_300_g_ACPL_d954b0b575.jpg" TargetMode="External"/><Relationship Id="rId3277" Type="http://schemas.openxmlformats.org/officeDocument/2006/relationships/hyperlink" Target="https://res.cloudinary.com/laboratoire-calebasse/image/upload/v1748268340/ECHINACEE_100_g_OECHI_c08e981f9d.jpg" TargetMode="External"/><Relationship Id="rId145" Type="http://schemas.openxmlformats.org/officeDocument/2006/relationships/hyperlink" Target="https://calebasse.com/produits/chen-pi-peau-de-mandarine-3781?product=4054" TargetMode="External"/><Relationship Id="rId144" Type="http://schemas.openxmlformats.org/officeDocument/2006/relationships/hyperlink" Target="https://res.cloudinary.com/laboratoire-calebasse/image/upload/v1634201103/A_chenpigl_26f6766fc3.jpg" TargetMode="External"/><Relationship Id="rId3279" Type="http://schemas.openxmlformats.org/officeDocument/2006/relationships/hyperlink" Target="https://res.cloudinary.com/laboratoire-calebasse/image/upload/v1748268353/ECHINACEE_200_g_OECHIL_21b53ba070.jpg" TargetMode="External"/><Relationship Id="rId139" Type="http://schemas.openxmlformats.org/officeDocument/2006/relationships/hyperlink" Target="https://calebasse.com/produits/chui-pen-cao-herbe-de-sedi-3785?product=4067" TargetMode="External"/><Relationship Id="rId138" Type="http://schemas.openxmlformats.org/officeDocument/2006/relationships/hyperlink" Target="https://res.cloudinary.com/laboratoire-calebasse/image/upload/v1746524672/HERBE_DE_SEDI_50_g_ACPC_68bad39521.jpg" TargetMode="External"/><Relationship Id="rId137" Type="http://schemas.openxmlformats.org/officeDocument/2006/relationships/hyperlink" Target="https://calebasse.com/produits/chui-pen-cao-herbe-de-sedi-3785?product=4069" TargetMode="External"/><Relationship Id="rId3261" Type="http://schemas.openxmlformats.org/officeDocument/2006/relationships/hyperlink" Target="https://res.cloudinary.com/laboratoire-calebasse/image/upload/v1753800327/COURGE_GRAINE_ENTIERE_BIO_70_g_OCOUG_ed2d7091af.jpg" TargetMode="External"/><Relationship Id="rId3260" Type="http://schemas.openxmlformats.org/officeDocument/2006/relationships/hyperlink" Target="https://calebasse.com/produits/courge-graine-entiere-bio-5191?product=7528" TargetMode="External"/><Relationship Id="rId132" Type="http://schemas.openxmlformats.org/officeDocument/2006/relationships/hyperlink" Target="https://res.cloudinary.com/laboratoire-calebasse/image/upload/v1747132920/TRIBULE_TERRESTRE_300_g_ACJLL_7e2d80468a.jpg" TargetMode="External"/><Relationship Id="rId3263" Type="http://schemas.openxmlformats.org/officeDocument/2006/relationships/hyperlink" Target="https://res.cloudinary.com/laboratoire-calebasse/image/upload/v1753800337/COURGE_GRAINE_ENTIERE_BIO_200_g_OCOUGL_4a3f785310.jpg" TargetMode="External"/><Relationship Id="rId131" Type="http://schemas.openxmlformats.org/officeDocument/2006/relationships/hyperlink" Target="https://calebasse.com/produits/ci-ji-li-tribule-terrestre-3754?product=4076" TargetMode="External"/><Relationship Id="rId3262" Type="http://schemas.openxmlformats.org/officeDocument/2006/relationships/hyperlink" Target="https://calebasse.com/produits/courge-graine-entiere-bio-5191?product=7504" TargetMode="External"/><Relationship Id="rId130" Type="http://schemas.openxmlformats.org/officeDocument/2006/relationships/hyperlink" Target="https://res.cloudinary.com/laboratoire-calebasse/image/upload/v1634201103/A_cijiligl_69d1d7d3c2.jpg" TargetMode="External"/><Relationship Id="rId3265" Type="http://schemas.openxmlformats.org/officeDocument/2006/relationships/hyperlink" Target="https://res.cloudinary.com/laboratoire-calebasse/image/upload/v1746522645/CUMIN_DES_PRES_CARVI_100_g_OCUMI_e9f3cb7bd5.jpg" TargetMode="External"/><Relationship Id="rId3264" Type="http://schemas.openxmlformats.org/officeDocument/2006/relationships/hyperlink" Target="https://calebasse.com/produits/cumin-des-pres-carvi-4313?product=6144" TargetMode="External"/><Relationship Id="rId136" Type="http://schemas.openxmlformats.org/officeDocument/2006/relationships/hyperlink" Target="https://res.cloudinary.com/laboratoire-calebasse/image/upload/v1746534383/PEAU_DE_MANDARINE_100_g_ACP_b054baad0a.jpg" TargetMode="External"/><Relationship Id="rId3267" Type="http://schemas.openxmlformats.org/officeDocument/2006/relationships/hyperlink" Target="https://res.cloudinary.com/laboratoire-calebasse/image/upload/v1748269938/CUMIN_DES_PRES_CARVI_300_g_OCUMIL_454cc69bda.jpg" TargetMode="External"/><Relationship Id="rId135" Type="http://schemas.openxmlformats.org/officeDocument/2006/relationships/hyperlink" Target="https://calebasse.com/produits/chen-pi-peau-de-mandarine-3781?product=4056" TargetMode="External"/><Relationship Id="rId3266" Type="http://schemas.openxmlformats.org/officeDocument/2006/relationships/hyperlink" Target="https://calebasse.com/produits/cumin-des-pres-carvi-4313?product=6145" TargetMode="External"/><Relationship Id="rId134" Type="http://schemas.openxmlformats.org/officeDocument/2006/relationships/hyperlink" Target="https://res.cloudinary.com/laboratoire-calebasse/image/upload/v1753346926/_ad8bc90c6f.jpg" TargetMode="External"/><Relationship Id="rId3269" Type="http://schemas.openxmlformats.org/officeDocument/2006/relationships/hyperlink" Target="https://res.cloudinary.com/laboratoire-calebasse/image/upload/v1753800367/CURCUMA_RACINE_COUPEE_BIO_50_g_OCUR_c48ce8b31c.jpg" TargetMode="External"/><Relationship Id="rId133" Type="http://schemas.openxmlformats.org/officeDocument/2006/relationships/hyperlink" Target="https://calebasse.com/produits/ci-ji-li-tribule-terrestre-3754?product=7367" TargetMode="External"/><Relationship Id="rId3268" Type="http://schemas.openxmlformats.org/officeDocument/2006/relationships/hyperlink" Target="https://calebasse.com/produits/curcuma-racine-coupee-bio-5192?product=7505" TargetMode="External"/><Relationship Id="rId172" Type="http://schemas.openxmlformats.org/officeDocument/2006/relationships/hyperlink" Target="https://res.cloudinary.com/laboratoire-calebasse/image/upload/v1634201103/A_chuanxiongcp_709cd4ec55.jpg" TargetMode="External"/><Relationship Id="rId171" Type="http://schemas.openxmlformats.org/officeDocument/2006/relationships/hyperlink" Target="https://calebasse.com/produits/chuan-xiong-liveche-striee-3775?product=4064" TargetMode="External"/><Relationship Id="rId170" Type="http://schemas.openxmlformats.org/officeDocument/2006/relationships/hyperlink" Target="https://res.cloudinary.com/laboratoire-calebasse/image/upload/v1751624303/LIVECHE_STRIEE_100_g_ACX_f5dd01f118.jpg" TargetMode="External"/><Relationship Id="rId3290" Type="http://schemas.openxmlformats.org/officeDocument/2006/relationships/hyperlink" Target="https://calebasse.com/produits/gattilier-4318?product=6154" TargetMode="External"/><Relationship Id="rId3292" Type="http://schemas.openxmlformats.org/officeDocument/2006/relationships/hyperlink" Target="https://calebasse.com/produits/gattilier-4318?product=6155" TargetMode="External"/><Relationship Id="rId3291" Type="http://schemas.openxmlformats.org/officeDocument/2006/relationships/hyperlink" Target="https://res.cloudinary.com/laboratoire-calebasse/image/upload/v1746522823/GATTILIER_100_g_OGATT_f3280be20a.jpg" TargetMode="External"/><Relationship Id="rId3294" Type="http://schemas.openxmlformats.org/officeDocument/2006/relationships/hyperlink" Target="https://calebasse.com/produits/ginseng-siberien-racine-coupe-bio-5193?product=7507" TargetMode="External"/><Relationship Id="rId3293" Type="http://schemas.openxmlformats.org/officeDocument/2006/relationships/hyperlink" Target="https://res.cloudinary.com/laboratoire-calebasse/image/upload/v1748269678/GATTILIER_300_g_OGATTL_c69241b540.jpg" TargetMode="External"/><Relationship Id="rId165" Type="http://schemas.openxmlformats.org/officeDocument/2006/relationships/hyperlink" Target="https://calebasse.com/produits/ci-wu-jia-ginseng-siberien-3772?product=4082" TargetMode="External"/><Relationship Id="rId3296" Type="http://schemas.openxmlformats.org/officeDocument/2006/relationships/hyperlink" Target="https://calebasse.com/produits/ginseng-siberien-racine-coupe-bio-5193?product=7508" TargetMode="External"/><Relationship Id="rId164" Type="http://schemas.openxmlformats.org/officeDocument/2006/relationships/hyperlink" Target="https://res.cloudinary.com/laboratoire-calebasse/image/upload/v1752222170/GRAINES_DE_PLANTAIN_300_g_ACQZL_e47c31ea84.jpg" TargetMode="External"/><Relationship Id="rId3295" Type="http://schemas.openxmlformats.org/officeDocument/2006/relationships/hyperlink" Target="https://res.cloudinary.com/laboratoire-calebasse/image/upload/v1753800395/GINSENG_SIBERIEN_RACINE_COUPEE_BIO_50_g_OGINS_8cd6540a9a.jpg" TargetMode="External"/><Relationship Id="rId163" Type="http://schemas.openxmlformats.org/officeDocument/2006/relationships/hyperlink" Target="https://calebasse.com/produits/che-qian-zi-graines-de-plantain-3779?product=4048" TargetMode="External"/><Relationship Id="rId3298" Type="http://schemas.openxmlformats.org/officeDocument/2006/relationships/hyperlink" Target="https://calebasse.com/produits/goyave-4319?product=6156" TargetMode="External"/><Relationship Id="rId162" Type="http://schemas.openxmlformats.org/officeDocument/2006/relationships/hyperlink" Target="https://res.cloudinary.com/laboratoire-calebasse/image/upload/v1634201092/A_cheqianzigl_ad85bc50f2.jpg" TargetMode="External"/><Relationship Id="rId3297" Type="http://schemas.openxmlformats.org/officeDocument/2006/relationships/hyperlink" Target="https://res.cloudinary.com/laboratoire-calebasse/image/upload/v1753800405/GINSENG_SIBERIEN_RACINE_COUPEE_BIO_200_g_OGINSL_46e787b873.jpg" TargetMode="External"/><Relationship Id="rId169" Type="http://schemas.openxmlformats.org/officeDocument/2006/relationships/hyperlink" Target="https://calebasse.com/produits/chuan-xiong-liveche-striee-3775?product=4061" TargetMode="External"/><Relationship Id="rId168" Type="http://schemas.openxmlformats.org/officeDocument/2006/relationships/hyperlink" Target="https://res.cloudinary.com/laboratoire-calebasse/image/upload/v1747062321/GINSENG_SIBERIEN_300_g_ACWJL_8f8105d6db.jpg" TargetMode="External"/><Relationship Id="rId3299" Type="http://schemas.openxmlformats.org/officeDocument/2006/relationships/hyperlink" Target="https://res.cloudinary.com/laboratoire-calebasse/image/upload/v1746522934/GOYAVE_50_g_OGOYA_d9a5084dcd.jpg" TargetMode="External"/><Relationship Id="rId167" Type="http://schemas.openxmlformats.org/officeDocument/2006/relationships/hyperlink" Target="https://calebasse.com/produits/ci-wu-jia-ginseng-siberien-3772?product=4080" TargetMode="External"/><Relationship Id="rId166" Type="http://schemas.openxmlformats.org/officeDocument/2006/relationships/hyperlink" Target="https://res.cloudinary.com/laboratoire-calebasse/image/upload/v1746524407/GINSENG_SIBERIEN_100_g_ACWJ_521e764543.jpg" TargetMode="External"/><Relationship Id="rId161" Type="http://schemas.openxmlformats.org/officeDocument/2006/relationships/hyperlink" Target="https://calebasse.com/produits/che-qian-zi-graines-de-plantain-3779?product=4053" TargetMode="External"/><Relationship Id="rId160" Type="http://schemas.openxmlformats.org/officeDocument/2006/relationships/hyperlink" Target="https://res.cloudinary.com/laboratoire-calebasse/image/upload/v1634201103/A_cheqianzicp_87c4336a41.jpg" TargetMode="External"/><Relationship Id="rId159" Type="http://schemas.openxmlformats.org/officeDocument/2006/relationships/hyperlink" Target="https://calebasse.com/produits/che-qian-zi-graines-de-plantain-3779?product=4050" TargetMode="External"/><Relationship Id="rId3281" Type="http://schemas.openxmlformats.org/officeDocument/2006/relationships/hyperlink" Target="https://res.cloudinary.com/laboratoire-calebasse/image/upload/v1751624144/EPILOBE_100_g_OEPIL_653d07dd48.jpg" TargetMode="External"/><Relationship Id="rId3280" Type="http://schemas.openxmlformats.org/officeDocument/2006/relationships/hyperlink" Target="https://calebasse.com/produits/epilobe-epilobe-5048?product=7279" TargetMode="External"/><Relationship Id="rId3283" Type="http://schemas.openxmlformats.org/officeDocument/2006/relationships/hyperlink" Target="https://res.cloudinary.com/laboratoire-calebasse/image/upload/v1746522717/EUCALYPTUS_100_g_OEUCA_2caa41d696.jpg" TargetMode="External"/><Relationship Id="rId3282" Type="http://schemas.openxmlformats.org/officeDocument/2006/relationships/hyperlink" Target="https://calebasse.com/produits/eucalyptus-4316?product=6150" TargetMode="External"/><Relationship Id="rId154" Type="http://schemas.openxmlformats.org/officeDocument/2006/relationships/hyperlink" Target="https://res.cloudinary.com/laboratoire-calebasse/image/upload/v1634201097/A_cheqiancaocp_6f94692b83.jpg" TargetMode="External"/><Relationship Id="rId3285" Type="http://schemas.openxmlformats.org/officeDocument/2006/relationships/hyperlink" Target="https://res.cloudinary.com/laboratoire-calebasse/image/upload/v1760606601/EUCALYPTUS_FEUILLE_ENTIERE_BIO_200_g_OEUCAL_5c03aeb8f3.jpg" TargetMode="External"/><Relationship Id="rId153" Type="http://schemas.openxmlformats.org/officeDocument/2006/relationships/hyperlink" Target="https://calebasse.com/produits/che-qian-cao-grand-plantain-3771?product=4044" TargetMode="External"/><Relationship Id="rId3284" Type="http://schemas.openxmlformats.org/officeDocument/2006/relationships/hyperlink" Target="https://calebasse.com/produits/eucalyptus-4316?product=7604" TargetMode="External"/><Relationship Id="rId152" Type="http://schemas.openxmlformats.org/officeDocument/2006/relationships/hyperlink" Target="https://res.cloudinary.com/laboratoire-calebasse/image/upload/v1746529139/GRAND_PLANTAIN_50_g_ACQC_0caa1100d0.jpg" TargetMode="External"/><Relationship Id="rId3287" Type="http://schemas.openxmlformats.org/officeDocument/2006/relationships/hyperlink" Target="https://res.cloudinary.com/laboratoire-calebasse/image/upload/v1746522801/FRENE_100_g_OFREN_024e95d5ff.jpg" TargetMode="External"/><Relationship Id="rId151" Type="http://schemas.openxmlformats.org/officeDocument/2006/relationships/hyperlink" Target="https://calebasse.com/produits/che-qian-cao-grand-plantain-3771?product=4036" TargetMode="External"/><Relationship Id="rId3286" Type="http://schemas.openxmlformats.org/officeDocument/2006/relationships/hyperlink" Target="https://calebasse.com/produits/frene-4317?product=6152" TargetMode="External"/><Relationship Id="rId158" Type="http://schemas.openxmlformats.org/officeDocument/2006/relationships/hyperlink" Target="https://res.cloudinary.com/laboratoire-calebasse/image/upload/v1752222183/GRAINES_DE_PLANTAIN_100_g_ACQZ_31fe0d8f1a.jpg" TargetMode="External"/><Relationship Id="rId3289" Type="http://schemas.openxmlformats.org/officeDocument/2006/relationships/hyperlink" Target="https://res.cloudinary.com/laboratoire-calebasse/image/upload/v1748269709/FRENE_200_g_OFRENL_e3e0b9b6f6.jpg" TargetMode="External"/><Relationship Id="rId157" Type="http://schemas.openxmlformats.org/officeDocument/2006/relationships/hyperlink" Target="https://calebasse.com/produits/che-qian-zi-graines-de-plantain-3779?product=4049" TargetMode="External"/><Relationship Id="rId3288" Type="http://schemas.openxmlformats.org/officeDocument/2006/relationships/hyperlink" Target="https://calebasse.com/produits/frene-4317?product=6153" TargetMode="External"/><Relationship Id="rId156" Type="http://schemas.openxmlformats.org/officeDocument/2006/relationships/hyperlink" Target="https://res.cloudinary.com/laboratoire-calebasse/image/upload/v1634201092/A_cheqiancaogl_b264af761a.jpg" TargetMode="External"/><Relationship Id="rId155" Type="http://schemas.openxmlformats.org/officeDocument/2006/relationships/hyperlink" Target="https://calebasse.com/produits/che-qian-cao-grand-plantain-3771?product=4046" TargetMode="External"/><Relationship Id="rId2820" Type="http://schemas.openxmlformats.org/officeDocument/2006/relationships/hyperlink" Target="https://calebasse.com/produits/500-aiguilles-avec-tube-040-x-40-mm-4623?product=6769" TargetMode="External"/><Relationship Id="rId2821" Type="http://schemas.openxmlformats.org/officeDocument/2006/relationships/hyperlink" Target="https://res.cloudinary.com/laboratoire-calebasse/image/upload/v1672759012/0_40_40_1a7ec3b095.jpg" TargetMode="External"/><Relationship Id="rId2822" Type="http://schemas.openxmlformats.org/officeDocument/2006/relationships/hyperlink" Target="https://calebasse.com/produits/500-aiguilles-avec-tube-040-x-50-mm-4624?product=6759" TargetMode="External"/><Relationship Id="rId2823" Type="http://schemas.openxmlformats.org/officeDocument/2006/relationships/hyperlink" Target="https://res.cloudinary.com/laboratoire-calebasse/image/upload/v1672759044/0_40_50_88bfb8763e.jpg" TargetMode="External"/><Relationship Id="rId2824" Type="http://schemas.openxmlformats.org/officeDocument/2006/relationships/hyperlink" Target="https://calebasse.com/produits/500-aiguilles-avec-tube-040-x-50-mm-4624?product=6770" TargetMode="External"/><Relationship Id="rId2825" Type="http://schemas.openxmlformats.org/officeDocument/2006/relationships/hyperlink" Target="https://res.cloudinary.com/laboratoire-calebasse/image/upload/v1672759044/0_40_50_88bfb8763e.jpg" TargetMode="External"/><Relationship Id="rId2826" Type="http://schemas.openxmlformats.org/officeDocument/2006/relationships/hyperlink" Target="https://calebasse.com/produits/500-aiguilles-avec-tube-040-x-60-mm-4625?product=6760" TargetMode="External"/><Relationship Id="rId2827" Type="http://schemas.openxmlformats.org/officeDocument/2006/relationships/hyperlink" Target="https://res.cloudinary.com/laboratoire-calebasse/image/upload/v1672759075/0_40_60_d6bdfb79dd.jpg" TargetMode="External"/><Relationship Id="rId2828" Type="http://schemas.openxmlformats.org/officeDocument/2006/relationships/hyperlink" Target="https://calebasse.com/produits/500-aiguilles-avec-tube-040-x-60-mm-4625?product=6771" TargetMode="External"/><Relationship Id="rId2829" Type="http://schemas.openxmlformats.org/officeDocument/2006/relationships/hyperlink" Target="https://res.cloudinary.com/laboratoire-calebasse/image/upload/v1672759075/0_40_60_d6bdfb79dd.jpg" TargetMode="External"/><Relationship Id="rId2810" Type="http://schemas.openxmlformats.org/officeDocument/2006/relationships/hyperlink" Target="https://calebasse.com/produits/500-aiguilles-avec-tube-030-x-75-mm-4449?product=6451" TargetMode="External"/><Relationship Id="rId2811" Type="http://schemas.openxmlformats.org/officeDocument/2006/relationships/hyperlink" Target="https://res.cloudinary.com/laboratoire-calebasse/image/upload/v1672223071/0_3_75_15a53ba9a4.jpg" TargetMode="External"/><Relationship Id="rId2812" Type="http://schemas.openxmlformats.org/officeDocument/2006/relationships/hyperlink" Target="https://calebasse.com/produits/500-aiguilles-avec-tube-030-x-75-mm-4449?product=6467" TargetMode="External"/><Relationship Id="rId2813" Type="http://schemas.openxmlformats.org/officeDocument/2006/relationships/hyperlink" Target="https://res.cloudinary.com/laboratoire-calebasse/image/upload/v1672223071/0_3_75_15a53ba9a4.jpg" TargetMode="External"/><Relationship Id="rId2814" Type="http://schemas.openxmlformats.org/officeDocument/2006/relationships/hyperlink" Target="https://calebasse.com/produits/500-aiguilles-avec-tube-040-x-25-mm-4622?product=6757" TargetMode="External"/><Relationship Id="rId2815" Type="http://schemas.openxmlformats.org/officeDocument/2006/relationships/hyperlink" Target="https://res.cloudinary.com/laboratoire-calebasse/image/upload/v1672758975/0_40_25_2e2f4df9ae.jpg" TargetMode="External"/><Relationship Id="rId2816" Type="http://schemas.openxmlformats.org/officeDocument/2006/relationships/hyperlink" Target="https://calebasse.com/produits/500-aiguilles-avec-tube-040-x-25-mm-4622?product=6768" TargetMode="External"/><Relationship Id="rId2817" Type="http://schemas.openxmlformats.org/officeDocument/2006/relationships/hyperlink" Target="https://res.cloudinary.com/laboratoire-calebasse/image/upload/v1672758975/0_40_25_2e2f4df9ae.jpg" TargetMode="External"/><Relationship Id="rId2818" Type="http://schemas.openxmlformats.org/officeDocument/2006/relationships/hyperlink" Target="https://calebasse.com/produits/500-aiguilles-avec-tube-040-x-40-mm-4623?product=6758" TargetMode="External"/><Relationship Id="rId2819" Type="http://schemas.openxmlformats.org/officeDocument/2006/relationships/hyperlink" Target="https://res.cloudinary.com/laboratoire-calebasse/image/upload/v1672759012/0_40_40_1a7ec3b095.jpg" TargetMode="External"/><Relationship Id="rId1510" Type="http://schemas.openxmlformats.org/officeDocument/2006/relationships/hyperlink" Target="https://res.cloudinary.com/laboratoire-calebasse/image/upload/v1634201206/C_dabuyinwan_a800eb4725.jpg" TargetMode="External"/><Relationship Id="rId2841" Type="http://schemas.openxmlformats.org/officeDocument/2006/relationships/hyperlink" Target="https://res.cloudinary.com/laboratoire-calebasse/image/upload/v1744015763/mise_en_ligne_720_89baf18eca.png" TargetMode="External"/><Relationship Id="rId1511" Type="http://schemas.openxmlformats.org/officeDocument/2006/relationships/hyperlink" Target="https://calebasse.com/produits/da-bu-yin-wan-4038?product=5110" TargetMode="External"/><Relationship Id="rId2842" Type="http://schemas.openxmlformats.org/officeDocument/2006/relationships/hyperlink" Target="https://calebasse.com/produits/bu-xiu-gang-mie-jiu-qi-eteignoir-a-moxa-en-acider-inoxydable-4973?product=7181" TargetMode="External"/><Relationship Id="rId1512" Type="http://schemas.openxmlformats.org/officeDocument/2006/relationships/hyperlink" Target="https://res.cloudinary.com/laboratoire-calebasse/image/upload/v1753104030/DA_BU_YIN_WAN_CDBYWCP_ff38659900.jpg" TargetMode="External"/><Relationship Id="rId2843" Type="http://schemas.openxmlformats.org/officeDocument/2006/relationships/hyperlink" Target="https://res.cloudinary.com/laboratoire-calebasse/image/upload/v1700039319/_1ba1ff14dd.jpg" TargetMode="External"/><Relationship Id="rId1513" Type="http://schemas.openxmlformats.org/officeDocument/2006/relationships/hyperlink" Target="https://calebasse.com/produits/dang-gui-si-ni-tang-4501?product=5120" TargetMode="External"/><Relationship Id="rId2844" Type="http://schemas.openxmlformats.org/officeDocument/2006/relationships/hyperlink" Target="https://calebasse.com/produits/qian-qiu-du-tong-jiu-qi-boite-de-moxa-en-bronze-avec-trous-4902?product=7110" TargetMode="External"/><Relationship Id="rId1514" Type="http://schemas.openxmlformats.org/officeDocument/2006/relationships/hyperlink" Target="https://res.cloudinary.com/laboratoire-calebasse/image/upload/v1753351825/DANG_GUI_SI_NI_TANG_CDGSNT_090f1506e8.jpg" TargetMode="External"/><Relationship Id="rId2845" Type="http://schemas.openxmlformats.org/officeDocument/2006/relationships/hyperlink" Target="https://res.cloudinary.com/laboratoire-calebasse/image/upload/v1700650787/_5ce8be98f9.jpg" TargetMode="External"/><Relationship Id="rId1515" Type="http://schemas.openxmlformats.org/officeDocument/2006/relationships/hyperlink" Target="https://calebasse.com/produits/dang-gui-si-ni-tang-4501?product=5123" TargetMode="External"/><Relationship Id="rId2846" Type="http://schemas.openxmlformats.org/officeDocument/2006/relationships/hyperlink" Target="https://calebasse.com/produits/wen-jiu-tong-jiu-dou-pipe-a-moxa-en-bronze-4904?product=7112" TargetMode="External"/><Relationship Id="rId1516" Type="http://schemas.openxmlformats.org/officeDocument/2006/relationships/hyperlink" Target="https://res.cloudinary.com/laboratoire-calebasse/image/upload/v1753351838/DANG_GUI_SI_NI_TANG_CDGSNTCP_7de7d3d2df.jpg" TargetMode="External"/><Relationship Id="rId2847" Type="http://schemas.openxmlformats.org/officeDocument/2006/relationships/hyperlink" Target="https://res.cloudinary.com/laboratoire-calebasse/image/upload/v1700650805/OR_57e0c39fc7.jpg" TargetMode="External"/><Relationship Id="rId1517" Type="http://schemas.openxmlformats.org/officeDocument/2006/relationships/hyperlink" Target="https://calebasse.com/produits/du-huo-ji-sheng-tang-4043?product=5128" TargetMode="External"/><Relationship Id="rId2848" Type="http://schemas.openxmlformats.org/officeDocument/2006/relationships/hyperlink" Target="https://calebasse.com/produits/ai-jiu-shao-cuillere-a-moxa-4948?product=7156" TargetMode="External"/><Relationship Id="rId1518" Type="http://schemas.openxmlformats.org/officeDocument/2006/relationships/hyperlink" Target="https://res.cloudinary.com/laboratoire-calebasse/image/upload/v1753785773/DU_HUO_JI_SHENG_TANG_CDHJSW_805461dc44.jpg" TargetMode="External"/><Relationship Id="rId2849" Type="http://schemas.openxmlformats.org/officeDocument/2006/relationships/hyperlink" Target="https://res.cloudinary.com/laboratoire-calebasse/image/upload/v1699881993/AN_6411_701ec97ccb.png" TargetMode="External"/><Relationship Id="rId1519" Type="http://schemas.openxmlformats.org/officeDocument/2006/relationships/hyperlink" Target="https://calebasse.com/produits/du-huo-ji-sheng-tang-4043?product=5130" TargetMode="External"/><Relationship Id="rId2840" Type="http://schemas.openxmlformats.org/officeDocument/2006/relationships/hyperlink" Target="https://calebasse.com/produits/batonnets-de-moxa-de-tongbai-5165?product=7458" TargetMode="External"/><Relationship Id="rId2830" Type="http://schemas.openxmlformats.org/officeDocument/2006/relationships/hyperlink" Target="https://calebasse.com/produits/500-aiguilles-avec-tube-040-x-75-mm-4626?product=6761" TargetMode="External"/><Relationship Id="rId1500" Type="http://schemas.openxmlformats.org/officeDocument/2006/relationships/hyperlink" Target="https://res.cloudinary.com/laboratoire-calebasse/image/upload/v1753351674/CHAI_HU_XIAO_SHI_WAN_CCHXSWCP_6fcea884ac.jpg" TargetMode="External"/><Relationship Id="rId2831" Type="http://schemas.openxmlformats.org/officeDocument/2006/relationships/hyperlink" Target="https://res.cloudinary.com/laboratoire-calebasse/image/upload/v1672759115/0_40_75_17bf0330d3.jpg" TargetMode="External"/><Relationship Id="rId1501" Type="http://schemas.openxmlformats.org/officeDocument/2006/relationships/hyperlink" Target="https://calebasse.com/produits/chang-chun-teng-lierre-grimpant-4670?product=6807" TargetMode="External"/><Relationship Id="rId2832" Type="http://schemas.openxmlformats.org/officeDocument/2006/relationships/hyperlink" Target="https://calebasse.com/produits/500-aiguilles-avec-tube-040-x-75-mm-4626?product=6772" TargetMode="External"/><Relationship Id="rId1502" Type="http://schemas.openxmlformats.org/officeDocument/2006/relationships/hyperlink" Target="https://res.cloudinary.com/laboratoire-calebasse/image/upload/v1746525046/LIERRE_GRIMPANT_100_g_CCT_34b23d4a61.jpg" TargetMode="External"/><Relationship Id="rId2833" Type="http://schemas.openxmlformats.org/officeDocument/2006/relationships/hyperlink" Target="https://res.cloudinary.com/laboratoire-calebasse/image/upload/v1672759115/0_40_75_17bf0330d3.jpg" TargetMode="External"/><Relationship Id="rId1503" Type="http://schemas.openxmlformats.org/officeDocument/2006/relationships/hyperlink" Target="https://calebasse.com/produits/chang-chun-teng-lierre-grimpant-4670?product=6809" TargetMode="External"/><Relationship Id="rId2834" Type="http://schemas.openxmlformats.org/officeDocument/2006/relationships/hyperlink" Target="https://calebasse.com/produits/kit-precision-acupuncture-5017?product=7235" TargetMode="External"/><Relationship Id="rId1504" Type="http://schemas.openxmlformats.org/officeDocument/2006/relationships/hyperlink" Target="https://res.cloudinary.com/laboratoire-calebasse/image/upload/v1747133067/LIERRE_GRIMPANT_300_g_CCTL_8e5a2dd238.jpg" TargetMode="External"/><Relationship Id="rId2835" Type="http://schemas.openxmlformats.org/officeDocument/2006/relationships/hyperlink" Target="https://res.cloudinary.com/laboratoire-calebasse/image/upload/v1702480235/2_2_01deceec9e.jpg" TargetMode="External"/><Relationship Id="rId1505" Type="http://schemas.openxmlformats.org/officeDocument/2006/relationships/hyperlink" Target="https://calebasse.com/produits/chuan-xiong-cha-tiao-wan-4037?product=5104" TargetMode="External"/><Relationship Id="rId2836" Type="http://schemas.openxmlformats.org/officeDocument/2006/relationships/hyperlink" Target="https://calebasse.com/produits/zi-tie-shi-wu-yan-ai-li-mini-batonnets-de-moxa-adhesifs-sans-fumee-zhongyan-4911?product=7119" TargetMode="External"/><Relationship Id="rId1506" Type="http://schemas.openxmlformats.org/officeDocument/2006/relationships/hyperlink" Target="https://res.cloudinary.com/laboratoire-calebasse/image/upload/v1753351769/CHUAN_XIONG_CHA_TIAO_WAN_CCXCTW_956ac2d4f9.jpg" TargetMode="External"/><Relationship Id="rId2837" Type="http://schemas.openxmlformats.org/officeDocument/2006/relationships/hyperlink" Target="https://res.cloudinary.com/laboratoire-calebasse/image/upload/v1699281872/_c3e83b6820.png" TargetMode="External"/><Relationship Id="rId1507" Type="http://schemas.openxmlformats.org/officeDocument/2006/relationships/hyperlink" Target="https://calebasse.com/produits/chuan-xiong-cha-tiao-wan-4037?product=5106" TargetMode="External"/><Relationship Id="rId2838" Type="http://schemas.openxmlformats.org/officeDocument/2006/relationships/hyperlink" Target="https://calebasse.com/produits/zi-tie-shi-ruo-yan-ai-li-mini-batonnets-de-moxa-adhesifs-a-faible-fumee-zhongyan-4912?product=7120" TargetMode="External"/><Relationship Id="rId1508" Type="http://schemas.openxmlformats.org/officeDocument/2006/relationships/hyperlink" Target="https://res.cloudinary.com/laboratoire-calebasse/image/upload/v1753351780/CHUAN_XIONG_CHA_TIAO_WAN_CCXCTWCP_445e4e2f12.jpg" TargetMode="External"/><Relationship Id="rId2839" Type="http://schemas.openxmlformats.org/officeDocument/2006/relationships/hyperlink" Target="https://res.cloudinary.com/laboratoire-calebasse/image/upload/v1699283480/_1ca8f3eaf8.png" TargetMode="External"/><Relationship Id="rId1509" Type="http://schemas.openxmlformats.org/officeDocument/2006/relationships/hyperlink" Target="https://calebasse.com/produits/da-bu-yin-wan-4038?product=5108" TargetMode="External"/><Relationship Id="rId2800" Type="http://schemas.openxmlformats.org/officeDocument/2006/relationships/hyperlink" Target="https://calebasse.com/produits/500-aiguilles-avec-tube-025-x-60-mm-4621?product=6767" TargetMode="External"/><Relationship Id="rId2801" Type="http://schemas.openxmlformats.org/officeDocument/2006/relationships/hyperlink" Target="https://res.cloudinary.com/laboratoire-calebasse/image/upload/v1672758900/0_25_60_2873841c07.jpg" TargetMode="External"/><Relationship Id="rId2802" Type="http://schemas.openxmlformats.org/officeDocument/2006/relationships/hyperlink" Target="https://calebasse.com/produits/500-aiguilles-avec-tube-030-x-25-mm-4627?product=6762" TargetMode="External"/><Relationship Id="rId2803" Type="http://schemas.openxmlformats.org/officeDocument/2006/relationships/hyperlink" Target="https://res.cloudinary.com/laboratoire-calebasse/image/upload/v1672758934/0_30_25_be69e9be6e.jpg" TargetMode="External"/><Relationship Id="rId2804" Type="http://schemas.openxmlformats.org/officeDocument/2006/relationships/hyperlink" Target="https://calebasse.com/produits/500-aiguilles-avec-tube-030-x-25-mm-4627?product=6773" TargetMode="External"/><Relationship Id="rId2805" Type="http://schemas.openxmlformats.org/officeDocument/2006/relationships/hyperlink" Target="https://res.cloudinary.com/laboratoire-calebasse/image/upload/v1672758934/0_30_25_be69e9be6e.jpg" TargetMode="External"/><Relationship Id="rId2806" Type="http://schemas.openxmlformats.org/officeDocument/2006/relationships/hyperlink" Target="https://calebasse.com/produits/500-aiguilles-avec-tube-030-x-40-mm-4416?product=6392" TargetMode="External"/><Relationship Id="rId2807" Type="http://schemas.openxmlformats.org/officeDocument/2006/relationships/hyperlink" Target="https://res.cloudinary.com/laboratoire-calebasse/image/upload/v1672222872/0_20_40_4ed17de6a0.jpg" TargetMode="External"/><Relationship Id="rId2808" Type="http://schemas.openxmlformats.org/officeDocument/2006/relationships/hyperlink" Target="https://calebasse.com/produits/500-aiguilles-avec-tube-030-x-40-mm-4416?product=6470" TargetMode="External"/><Relationship Id="rId2809" Type="http://schemas.openxmlformats.org/officeDocument/2006/relationships/hyperlink" Target="https://res.cloudinary.com/laboratoire-calebasse/image/upload/v1672222872/0_20_40_4ed17de6a0.jpg" TargetMode="External"/><Relationship Id="rId1576" Type="http://schemas.openxmlformats.org/officeDocument/2006/relationships/hyperlink" Target="https://res.cloudinary.com/laboratoire-calebasse/image/upload/v1753352044/GAN_MAO_TUI_RE_CHONG_JI_CGMTRCJCP_27018f0c5f.jpg" TargetMode="External"/><Relationship Id="rId1577" Type="http://schemas.openxmlformats.org/officeDocument/2006/relationships/hyperlink" Target="https://calebasse.com/produits/gui-pi-tang-4667?product=5200" TargetMode="External"/><Relationship Id="rId1578" Type="http://schemas.openxmlformats.org/officeDocument/2006/relationships/hyperlink" Target="https://res.cloudinary.com/laboratoire-calebasse/image/upload/v1753104327/GUI_PI_TANG_CGPW_Gelule_ffdf916b7f.jpg" TargetMode="External"/><Relationship Id="rId1579" Type="http://schemas.openxmlformats.org/officeDocument/2006/relationships/hyperlink" Target="https://calebasse.com/produits/gui-pi-tang-4667?product=5202" TargetMode="External"/><Relationship Id="rId987" Type="http://schemas.openxmlformats.org/officeDocument/2006/relationships/hyperlink" Target="https://calebasse.com/produits/wu-hei-yang-fa-zhou-gruau-aux-sesames-et-haricots-noirs-4693?product=7359" TargetMode="External"/><Relationship Id="rId986" Type="http://schemas.openxmlformats.org/officeDocument/2006/relationships/hyperlink" Target="https://res.cloudinary.com/laboratoire-calebasse/image/upload/v1751624166/GRUAU_AUX_SESAMES_ET_HARICOTS_NOIRS_100_g_AWHYF_900b0a72d9.jpg" TargetMode="External"/><Relationship Id="rId985" Type="http://schemas.openxmlformats.org/officeDocument/2006/relationships/hyperlink" Target="https://calebasse.com/produits/wu-hei-yang-fa-zhou-gruau-aux-sesames-et-haricots-noirs-4693?product=6812" TargetMode="External"/><Relationship Id="rId984" Type="http://schemas.openxmlformats.org/officeDocument/2006/relationships/hyperlink" Target="https://res.cloudinary.com/laboratoire-calebasse/image/upload/v1748271684/SAPONAIRE_GRAINES_300_g_AWBLL_01ff57990f.jpg" TargetMode="External"/><Relationship Id="rId989" Type="http://schemas.openxmlformats.org/officeDocument/2006/relationships/hyperlink" Target="https://calebasse.com/produits/wu-jia-pi-eleutherocoque-3930?product=4736" TargetMode="External"/><Relationship Id="rId988" Type="http://schemas.openxmlformats.org/officeDocument/2006/relationships/hyperlink" Target="https://res.cloudinary.com/laboratoire-calebasse/image/upload/v1753347865/10_f923f6003a.jpg" TargetMode="External"/><Relationship Id="rId1570" Type="http://schemas.openxmlformats.org/officeDocument/2006/relationships/hyperlink" Target="https://res.cloudinary.com/laboratoire-calebasse/image/upload/v1753352004/GAN_MAO_QING_RE_CHONG_JI_CGMQRCJ_a78b730600.jpg" TargetMode="External"/><Relationship Id="rId1571" Type="http://schemas.openxmlformats.org/officeDocument/2006/relationships/hyperlink" Target="https://calebasse.com/produits/gan-mao-qing-re-chong-ji-4056?product=5181" TargetMode="External"/><Relationship Id="rId983" Type="http://schemas.openxmlformats.org/officeDocument/2006/relationships/hyperlink" Target="https://calebasse.com/produits/wang-bu-liu-xing-graines-de-saponaire-3928?product=4731" TargetMode="External"/><Relationship Id="rId1572" Type="http://schemas.openxmlformats.org/officeDocument/2006/relationships/hyperlink" Target="https://res.cloudinary.com/laboratoire-calebasse/image/upload/v1753352015/GAN_MAO_QING_RE_CHONG_JI_CGMQRCJCP_7bfe08ee9e.jpg" TargetMode="External"/><Relationship Id="rId982" Type="http://schemas.openxmlformats.org/officeDocument/2006/relationships/hyperlink" Target="https://res.cloudinary.com/laboratoire-calebasse/image/upload/v1746526605/SAPONAIRE_GRAINES_100_g_AWBL_4b16bc435c.jpg" TargetMode="External"/><Relationship Id="rId1573" Type="http://schemas.openxmlformats.org/officeDocument/2006/relationships/hyperlink" Target="https://calebasse.com/produits/gan-mao-tui-re-chong-ji-4058?product=5184" TargetMode="External"/><Relationship Id="rId981" Type="http://schemas.openxmlformats.org/officeDocument/2006/relationships/hyperlink" Target="https://calebasse.com/produits/wang-bu-liu-xing-graines-de-saponaire-3928?product=4728" TargetMode="External"/><Relationship Id="rId1574" Type="http://schemas.openxmlformats.org/officeDocument/2006/relationships/hyperlink" Target="https://res.cloudinary.com/laboratoire-calebasse/image/upload/v1753352033/GAN_MAO_TUI_RE_CHONG_JI_CGMTRCJ_44cbca9013.jpg" TargetMode="External"/><Relationship Id="rId980" Type="http://schemas.openxmlformats.org/officeDocument/2006/relationships/hyperlink" Target="https://res.cloudinary.com/laboratoire-calebasse/image/upload/v1748271727/GRAINES_DE_CUSCUTE_300_g_ATSZL_bbedd69cf9.jpg" TargetMode="External"/><Relationship Id="rId1575" Type="http://schemas.openxmlformats.org/officeDocument/2006/relationships/hyperlink" Target="https://calebasse.com/produits/gan-mao-tui-re-chong-ji-4058?product=5186" TargetMode="External"/><Relationship Id="rId1565" Type="http://schemas.openxmlformats.org/officeDocument/2006/relationships/hyperlink" Target="https://calebasse.com/produits/gan-mai-da-zao-tang-4484?product=5176" TargetMode="External"/><Relationship Id="rId2896" Type="http://schemas.openxmlformats.org/officeDocument/2006/relationships/hyperlink" Target="https://calebasse.com/produits/hua-li-mu-liu-jiao-shou-qiu-boule-de-massage-de-la-main-en-bois-palissandre-5007?product=7217" TargetMode="External"/><Relationship Id="rId1566" Type="http://schemas.openxmlformats.org/officeDocument/2006/relationships/hyperlink" Target="https://res.cloudinary.com/laboratoire-calebasse/image/upload/v1753104301/GAN_MAI_DA_ZAO_TANG_CGMDZT_Gelule_519b29c069.jpg" TargetMode="External"/><Relationship Id="rId2897" Type="http://schemas.openxmlformats.org/officeDocument/2006/relationships/hyperlink" Target="https://res.cloudinary.com/laboratoire-calebasse/image/upload/v1700817464/_09b4a21202.jpg" TargetMode="External"/><Relationship Id="rId1567" Type="http://schemas.openxmlformats.org/officeDocument/2006/relationships/hyperlink" Target="https://calebasse.com/produits/gan-mai-da-zao-tang-4484?product=5177" TargetMode="External"/><Relationship Id="rId2898" Type="http://schemas.openxmlformats.org/officeDocument/2006/relationships/hyperlink" Target="https://calebasse.com/produits/hua-li-mu-san-jiao-que-instrument-de-massage-en-bois-palissandre-oiseau-5008?product=7218" TargetMode="External"/><Relationship Id="rId1568" Type="http://schemas.openxmlformats.org/officeDocument/2006/relationships/hyperlink" Target="https://res.cloudinary.com/laboratoire-calebasse/image/upload/v1753104286/GAN_MAI_DA_ZAO_TANG_CGMDZTCP_Poudre_0787d28a5c.jpg" TargetMode="External"/><Relationship Id="rId2899" Type="http://schemas.openxmlformats.org/officeDocument/2006/relationships/hyperlink" Target="https://res.cloudinary.com/laboratoire-calebasse/image/upload/v1700817565/_e091990b80.jpg" TargetMode="External"/><Relationship Id="rId1569" Type="http://schemas.openxmlformats.org/officeDocument/2006/relationships/hyperlink" Target="https://calebasse.com/produits/gan-mao-qing-re-chong-ji-4056?product=5180" TargetMode="External"/><Relationship Id="rId976" Type="http://schemas.openxmlformats.org/officeDocument/2006/relationships/hyperlink" Target="https://res.cloudinary.com/laboratoire-calebasse/image/upload/v1634201206/A_tusizicp_c19c529bad.jpg" TargetMode="External"/><Relationship Id="rId975" Type="http://schemas.openxmlformats.org/officeDocument/2006/relationships/hyperlink" Target="https://calebasse.com/produits/tu-si-zi-graines-de-cuscute-3927?product=4724" TargetMode="External"/><Relationship Id="rId974" Type="http://schemas.openxmlformats.org/officeDocument/2006/relationships/hyperlink" Target="https://res.cloudinary.com/laboratoire-calebasse/image/upload/v1746528807/GRAINES_DE_CUSCUTE_100_g_ATSZ_5cf2d547d4.jpg" TargetMode="External"/><Relationship Id="rId973" Type="http://schemas.openxmlformats.org/officeDocument/2006/relationships/hyperlink" Target="https://calebasse.com/produits/tu-si-zi-graines-de-cuscute-3927?product=4722" TargetMode="External"/><Relationship Id="rId979" Type="http://schemas.openxmlformats.org/officeDocument/2006/relationships/hyperlink" Target="https://calebasse.com/produits/tu-si-zi-graines-de-cuscute-3927?product=4723" TargetMode="External"/><Relationship Id="rId978" Type="http://schemas.openxmlformats.org/officeDocument/2006/relationships/hyperlink" Target="https://res.cloudinary.com/laboratoire-calebasse/image/upload/v1634201206/A_tusizigl_d15a9517c1.jpg" TargetMode="External"/><Relationship Id="rId977" Type="http://schemas.openxmlformats.org/officeDocument/2006/relationships/hyperlink" Target="https://calebasse.com/produits/tu-si-zi-graines-de-cuscute-3927?product=4726" TargetMode="External"/><Relationship Id="rId2890" Type="http://schemas.openxmlformats.org/officeDocument/2006/relationships/hyperlink" Target="https://calebasse.com/produits/hua-li-mu-shi-zi-an-mo-instrument-de-massage-en-bois-palissandre-croix-4944?product=7152" TargetMode="External"/><Relationship Id="rId1560" Type="http://schemas.openxmlformats.org/officeDocument/2006/relationships/hyperlink" Target="https://res.cloudinary.com/laboratoire-calebasse/image/upload/v1753104263/FPPP_CFPPPCP_dfc38282f8.jpg" TargetMode="External"/><Relationship Id="rId2891" Type="http://schemas.openxmlformats.org/officeDocument/2006/relationships/hyperlink" Target="https://res.cloudinary.com/laboratoire-calebasse/image/upload/v1700236801/_685484b9a7.jpg" TargetMode="External"/><Relationship Id="rId972" Type="http://schemas.openxmlformats.org/officeDocument/2006/relationships/hyperlink" Target="https://res.cloudinary.com/laboratoire-calebasse/image/upload/v1746528041/CAMOMILLE_CHINOISE_BOUTONS_50_g_ATJUH_473939ebb0.jpg" TargetMode="External"/><Relationship Id="rId1561" Type="http://schemas.openxmlformats.org/officeDocument/2006/relationships/hyperlink" Target="https://calebasse.com/produits/fu-yuan-huo-xue-tang-4495?product=5172" TargetMode="External"/><Relationship Id="rId2892" Type="http://schemas.openxmlformats.org/officeDocument/2006/relationships/hyperlink" Target="https://calebasse.com/produits/hua-li-mu-er-lun-bi-lun-roller-de-massage-en-bois-palissandre-4945?product=7153" TargetMode="External"/><Relationship Id="rId971" Type="http://schemas.openxmlformats.org/officeDocument/2006/relationships/hyperlink" Target="https://calebasse.com/produits/ju-hua-tai-boutons-de-chrysantheme-boreal-3841?product=4399" TargetMode="External"/><Relationship Id="rId1562" Type="http://schemas.openxmlformats.org/officeDocument/2006/relationships/hyperlink" Target="https://res.cloudinary.com/laboratoire-calebasse/image/upload/v1753351976/FU_YUAN_HUO_XUE_TANG_CFYHXT_7b2d676709.jpg" TargetMode="External"/><Relationship Id="rId2893" Type="http://schemas.openxmlformats.org/officeDocument/2006/relationships/hyperlink" Target="https://res.cloudinary.com/laboratoire-calebasse/image/upload/v1700235083/2_3b1c9a2208.jpg" TargetMode="External"/><Relationship Id="rId970" Type="http://schemas.openxmlformats.org/officeDocument/2006/relationships/hyperlink" Target="https://res.cloudinary.com/laboratoire-calebasse/image/upload/v1748271744/FLEURS_DE_PECHER_300_g_ATHL_1ef6272537.jpg" TargetMode="External"/><Relationship Id="rId1563" Type="http://schemas.openxmlformats.org/officeDocument/2006/relationships/hyperlink" Target="https://calebasse.com/produits/fu-yuan-huo-xue-tang-4495?product=5174" TargetMode="External"/><Relationship Id="rId2894" Type="http://schemas.openxmlformats.org/officeDocument/2006/relationships/hyperlink" Target="https://calebasse.com/produits/hua-li-mu-xie-chan-instrument-de-massage-en-bois-palissandre-pelle-4947?product=7155" TargetMode="External"/><Relationship Id="rId1564" Type="http://schemas.openxmlformats.org/officeDocument/2006/relationships/hyperlink" Target="https://res.cloudinary.com/laboratoire-calebasse/image/upload/v1753351985/FU_YUAN_HUO_XUE_TANG_CFYHXTCP_9296e16615.jpg" TargetMode="External"/><Relationship Id="rId2895" Type="http://schemas.openxmlformats.org/officeDocument/2006/relationships/hyperlink" Target="https://res.cloudinary.com/laboratoire-calebasse/image/upload/v1700236975/_0ea73b03bd.jpg" TargetMode="External"/><Relationship Id="rId1598" Type="http://schemas.openxmlformats.org/officeDocument/2006/relationships/hyperlink" Target="https://res.cloudinary.com/laboratoire-calebasse/image/upload/v1754485516/HUANG_QIN_SHI_GAO_TANG_CHQSGT_ef6d24433b.jpg" TargetMode="External"/><Relationship Id="rId1599" Type="http://schemas.openxmlformats.org/officeDocument/2006/relationships/hyperlink" Target="https://calebasse.com/produits/he-shou-wu-wan-4064?product=5212" TargetMode="External"/><Relationship Id="rId1590" Type="http://schemas.openxmlformats.org/officeDocument/2006/relationships/hyperlink" Target="https://res.cloudinary.com/laboratoire-calebasse/image/upload/v1753352060/HUAI_JIAO_WAN_CHJW_12c434ebb8.jpg" TargetMode="External"/><Relationship Id="rId1591" Type="http://schemas.openxmlformats.org/officeDocument/2006/relationships/hyperlink" Target="https://calebasse.com/produits/huai-jiao-wan-4065?product=5218" TargetMode="External"/><Relationship Id="rId1592" Type="http://schemas.openxmlformats.org/officeDocument/2006/relationships/hyperlink" Target="https://res.cloudinary.com/laboratoire-calebasse/image/upload/v1753352072/HUAI_JIAO_WAN_CHJWCP_e4ee1a4e34.jpg" TargetMode="External"/><Relationship Id="rId1593" Type="http://schemas.openxmlformats.org/officeDocument/2006/relationships/hyperlink" Target="https://calebasse.com/produits/huang-lian-e-jiao-wan-4066?product=5220" TargetMode="External"/><Relationship Id="rId1594" Type="http://schemas.openxmlformats.org/officeDocument/2006/relationships/hyperlink" Target="https://res.cloudinary.com/laboratoire-calebasse/image/upload/v1753104433/HUANG_LIAN_E_JIAO_WAN_CHLEJW_c9041f6d4a.jpg" TargetMode="External"/><Relationship Id="rId1595" Type="http://schemas.openxmlformats.org/officeDocument/2006/relationships/hyperlink" Target="https://calebasse.com/produits/huang-lian-e-jiao-wan-4066?product=5222" TargetMode="External"/><Relationship Id="rId1596" Type="http://schemas.openxmlformats.org/officeDocument/2006/relationships/hyperlink" Target="https://res.cloudinary.com/laboratoire-calebasse/image/upload/v1753104443/HUANG_LIAN_E_JIAO_WAN_CHLEJWCP_a7008e2a66.jpg" TargetMode="External"/><Relationship Id="rId1597" Type="http://schemas.openxmlformats.org/officeDocument/2006/relationships/hyperlink" Target="https://calebasse.com/produits/huang-qin-shi-gao-tang-4443?product=6441" TargetMode="External"/><Relationship Id="rId1587" Type="http://schemas.openxmlformats.org/officeDocument/2006/relationships/hyperlink" Target="https://calebasse.com/produits/gui-zhi-tang-4486?product=5210" TargetMode="External"/><Relationship Id="rId1588" Type="http://schemas.openxmlformats.org/officeDocument/2006/relationships/hyperlink" Target="https://res.cloudinary.com/laboratoire-calebasse/image/upload/v1753104372/GUI_ZHI_TANG_CGZTCP_1c0bd241ed.jpg" TargetMode="External"/><Relationship Id="rId1589" Type="http://schemas.openxmlformats.org/officeDocument/2006/relationships/hyperlink" Target="https://calebasse.com/produits/huai-jiao-wan-4065?product=5216" TargetMode="External"/><Relationship Id="rId998" Type="http://schemas.openxmlformats.org/officeDocument/2006/relationships/hyperlink" Target="https://res.cloudinary.com/laboratoire-calebasse/image/upload/v1746523941/PRUNE_100_g_AWM_eba41b1bff.jpg" TargetMode="External"/><Relationship Id="rId997" Type="http://schemas.openxmlformats.org/officeDocument/2006/relationships/hyperlink" Target="https://calebasse.com/produits/wu-mei-prune-4525?product=6539" TargetMode="External"/><Relationship Id="rId996" Type="http://schemas.openxmlformats.org/officeDocument/2006/relationships/hyperlink" Target="https://res.cloudinary.com/laboratoire-calebasse/image/upload/v1752221609/CLEMATITE_260_g_AWLXL_6b99b970a8.jpg" TargetMode="External"/><Relationship Id="rId995" Type="http://schemas.openxmlformats.org/officeDocument/2006/relationships/hyperlink" Target="https://calebasse.com/produits/wei-ling-xian-racine-de-clematite-3929?product=4735" TargetMode="External"/><Relationship Id="rId999" Type="http://schemas.openxmlformats.org/officeDocument/2006/relationships/hyperlink" Target="https://calebasse.com/produits/wu-mei-prune-4525?product=6540" TargetMode="External"/><Relationship Id="rId990" Type="http://schemas.openxmlformats.org/officeDocument/2006/relationships/hyperlink" Target="https://res.cloudinary.com/laboratoire-calebasse/image/upload/v1746523999/ELEUTHEROCOQUE_100_g_AWJP_bbc909ed50.jpg" TargetMode="External"/><Relationship Id="rId1580" Type="http://schemas.openxmlformats.org/officeDocument/2006/relationships/hyperlink" Target="https://res.cloudinary.com/laboratoire-calebasse/image/upload/v1753104316/GUI_PI_TANG_CGPWCP_Poudre_8a767b7264.jpg" TargetMode="External"/><Relationship Id="rId1581" Type="http://schemas.openxmlformats.org/officeDocument/2006/relationships/hyperlink" Target="https://calebasse.com/produits/gui-zhi-fu-ling-wan-4062?product=5204" TargetMode="External"/><Relationship Id="rId1582" Type="http://schemas.openxmlformats.org/officeDocument/2006/relationships/hyperlink" Target="https://res.cloudinary.com/laboratoire-calebasse/image/upload/v1753104356/GUI_ZHI_FU_LING_WAN_CGZFLW_Gelule_fc15cca86d.jpg" TargetMode="External"/><Relationship Id="rId994" Type="http://schemas.openxmlformats.org/officeDocument/2006/relationships/hyperlink" Target="https://res.cloudinary.com/laboratoire-calebasse/image/upload/v1746524827/CLEMATITE_50_g_AWLX_fe4aea4416.jpg" TargetMode="External"/><Relationship Id="rId1583" Type="http://schemas.openxmlformats.org/officeDocument/2006/relationships/hyperlink" Target="https://calebasse.com/produits/gui-zhi-fu-ling-wan-4062?product=5205" TargetMode="External"/><Relationship Id="rId993" Type="http://schemas.openxmlformats.org/officeDocument/2006/relationships/hyperlink" Target="https://calebasse.com/produits/wei-ling-xian-racine-de-clematite-3929?product=4734" TargetMode="External"/><Relationship Id="rId1584" Type="http://schemas.openxmlformats.org/officeDocument/2006/relationships/hyperlink" Target="https://res.cloudinary.com/laboratoire-calebasse/image/upload/v1753104344/GUI_ZHI_FU_LING_WAN_CGZFLWCP_Poudre_e007e337a4.jpg" TargetMode="External"/><Relationship Id="rId992" Type="http://schemas.openxmlformats.org/officeDocument/2006/relationships/hyperlink" Target="https://res.cloudinary.com/laboratoire-calebasse/image/upload/v1748271632/ELEUTHEROCOQUE_300_g_AWJPL_73f6473c31.jpg" TargetMode="External"/><Relationship Id="rId1585" Type="http://schemas.openxmlformats.org/officeDocument/2006/relationships/hyperlink" Target="https://calebasse.com/produits/gui-zhi-tang-4486?product=5208" TargetMode="External"/><Relationship Id="rId991" Type="http://schemas.openxmlformats.org/officeDocument/2006/relationships/hyperlink" Target="https://calebasse.com/produits/wu-jia-pi-eleutherocoque-3930?product=4737" TargetMode="External"/><Relationship Id="rId1586" Type="http://schemas.openxmlformats.org/officeDocument/2006/relationships/hyperlink" Target="https://res.cloudinary.com/laboratoire-calebasse/image/upload/v1753785810/GUI_ZHI_TANG_CGZT_f8f4063b6d.jpg" TargetMode="External"/><Relationship Id="rId1532" Type="http://schemas.openxmlformats.org/officeDocument/2006/relationships/hyperlink" Target="https://res.cloudinary.com/laboratoire-calebasse/image/upload/v1753351868/ER_CHEN_HE_SAN_ZI_YANG_QIN_TANG_CECHSZYQTCP_3ccec88c11.jpg" TargetMode="External"/><Relationship Id="rId2863" Type="http://schemas.openxmlformats.org/officeDocument/2006/relationships/hyperlink" Target="https://res.cloudinary.com/laboratoire-calebasse/image/upload/v1699444861/_f9c9b8c12d.png" TargetMode="External"/><Relationship Id="rId1533" Type="http://schemas.openxmlformats.org/officeDocument/2006/relationships/hyperlink" Target="https://calebasse.com/produits/er-chen-tang-4047?product=5135" TargetMode="External"/><Relationship Id="rId2864" Type="http://schemas.openxmlformats.org/officeDocument/2006/relationships/hyperlink" Target="https://calebasse.com/produits/shui-niu-jiao-gua-sha-shu-gua-sha-en-corne-de-buffle-peigne-4936?product=7145" TargetMode="External"/><Relationship Id="rId1534" Type="http://schemas.openxmlformats.org/officeDocument/2006/relationships/hyperlink" Target="https://res.cloudinary.com/laboratoire-calebasse/image/upload/v1753104179/ER_CHEN_TANG_CECW_Gelule_34d74ce2c8.jpg" TargetMode="External"/><Relationship Id="rId2865" Type="http://schemas.openxmlformats.org/officeDocument/2006/relationships/hyperlink" Target="https://res.cloudinary.com/laboratoire-calebasse/image/upload/v1699440713/_31eea2a5e8.png" TargetMode="External"/><Relationship Id="rId1535" Type="http://schemas.openxmlformats.org/officeDocument/2006/relationships/hyperlink" Target="https://calebasse.com/produits/er-chen-tang-4047?product=5138" TargetMode="External"/><Relationship Id="rId2866" Type="http://schemas.openxmlformats.org/officeDocument/2006/relationships/hyperlink" Target="https://calebasse.com/produits/shui-niu-jiao-s-xing-gua-sha-ban-gua-sha-en-corne-de-buffle-couteau-4938?product=7146" TargetMode="External"/><Relationship Id="rId1536" Type="http://schemas.openxmlformats.org/officeDocument/2006/relationships/hyperlink" Target="https://res.cloudinary.com/laboratoire-calebasse/image/upload/v1753104169/ER_CHEN_TANG_CECWCP_Poudre_7362adcead.jpg" TargetMode="External"/><Relationship Id="rId2867" Type="http://schemas.openxmlformats.org/officeDocument/2006/relationships/hyperlink" Target="https://res.cloudinary.com/laboratoire-calebasse/image/upload/v1699442032/S_8c5aa4d77a.png" TargetMode="External"/><Relationship Id="rId1537" Type="http://schemas.openxmlformats.org/officeDocument/2006/relationships/hyperlink" Target="https://calebasse.com/produits/er-long-zuo-ci-wan-4045?product=5140" TargetMode="External"/><Relationship Id="rId2868" Type="http://schemas.openxmlformats.org/officeDocument/2006/relationships/hyperlink" Target="https://calebasse.com/produits/shui-niu-jiao-an-mo-qi-gua-sha-en-corne-de-buffle-roller-de-massage-4943?product=7151" TargetMode="External"/><Relationship Id="rId1538" Type="http://schemas.openxmlformats.org/officeDocument/2006/relationships/hyperlink" Target="https://res.cloudinary.com/laboratoire-calebasse/image/upload/v1753104196/ER_LONG_ZUO_CI_WAN_CELZCW_cce03c5ac6.jpg" TargetMode="External"/><Relationship Id="rId2869" Type="http://schemas.openxmlformats.org/officeDocument/2006/relationships/hyperlink" Target="https://res.cloudinary.com/laboratoire-calebasse/image/upload/v1699443034/_3f0a3d8b7e.png" TargetMode="External"/><Relationship Id="rId1539" Type="http://schemas.openxmlformats.org/officeDocument/2006/relationships/hyperlink" Target="https://calebasse.com/produits/er-long-zuo-ci-wan-4045?product=5141" TargetMode="External"/><Relationship Id="rId949" Type="http://schemas.openxmlformats.org/officeDocument/2006/relationships/hyperlink" Target="https://calebasse.com/produits/sang-zhi-tiges-de-murier-3909?product=4656" TargetMode="External"/><Relationship Id="rId948" Type="http://schemas.openxmlformats.org/officeDocument/2006/relationships/hyperlink" Target="https://res.cloudinary.com/laboratoire-calebasse/image/upload/v1746525779/TIGES_DE_MURIER_100_g_ASZHI_29ef95de6c.jpg" TargetMode="External"/><Relationship Id="rId943" Type="http://schemas.openxmlformats.org/officeDocument/2006/relationships/hyperlink" Target="https://calebasse.com/produits/shan-zha-fruits-daubepine-3912?product=4673" TargetMode="External"/><Relationship Id="rId942" Type="http://schemas.openxmlformats.org/officeDocument/2006/relationships/hyperlink" Target="https://res.cloudinary.com/laboratoire-calebasse/image/upload/v1746524959/FRUITS_D_AUBEPINE_100_g_ASZ_5fcbed0783.jpg" TargetMode="External"/><Relationship Id="rId941" Type="http://schemas.openxmlformats.org/officeDocument/2006/relationships/hyperlink" Target="https://calebasse.com/produits/shan-zha-fruits-daubepine-3912?product=4670" TargetMode="External"/><Relationship Id="rId940" Type="http://schemas.openxmlformats.org/officeDocument/2006/relationships/hyperlink" Target="https://res.cloudinary.com/laboratoire-calebasse/image/upload/v1748271996/IGNAME_300_g_ASYL_c01f363466.jpg" TargetMode="External"/><Relationship Id="rId947" Type="http://schemas.openxmlformats.org/officeDocument/2006/relationships/hyperlink" Target="https://calebasse.com/produits/sang-zhi-tiges-de-murier-3909?product=4654" TargetMode="External"/><Relationship Id="rId946" Type="http://schemas.openxmlformats.org/officeDocument/2006/relationships/hyperlink" Target="https://res.cloudinary.com/laboratoire-calebasse/image/upload/v1634201206/A_shanzhagl_f8618b38ce.jpg" TargetMode="External"/><Relationship Id="rId945" Type="http://schemas.openxmlformats.org/officeDocument/2006/relationships/hyperlink" Target="https://calebasse.com/produits/shan-zha-fruits-daubepine-3912?product=4674" TargetMode="External"/><Relationship Id="rId944" Type="http://schemas.openxmlformats.org/officeDocument/2006/relationships/hyperlink" Target="https://res.cloudinary.com/laboratoire-calebasse/image/upload/v1634201206/A_shanzhacp_0f20e04750.jpg" TargetMode="External"/><Relationship Id="rId2860" Type="http://schemas.openxmlformats.org/officeDocument/2006/relationships/hyperlink" Target="https://calebasse.com/produits/autocuiseur-pour-decoction-4992?product=7202" TargetMode="External"/><Relationship Id="rId1530" Type="http://schemas.openxmlformats.org/officeDocument/2006/relationships/hyperlink" Target="https://res.cloudinary.com/laboratoire-calebasse/image/upload/v1753351857/ER_CHEN_HE_SAN_ZI_YANG_QIN_TANG_CECHSZYQT_3cbb0a1f13.jpg" TargetMode="External"/><Relationship Id="rId2861" Type="http://schemas.openxmlformats.org/officeDocument/2006/relationships/hyperlink" Target="https://res.cloudinary.com/laboratoire-calebasse/image/upload/v1753869708/A_9ea1dfce67.jpg" TargetMode="External"/><Relationship Id="rId1531" Type="http://schemas.openxmlformats.org/officeDocument/2006/relationships/hyperlink" Target="https://calebasse.com/produits/er-chen-he-san-zi-yang-qin-tang-4044?product=5134" TargetMode="External"/><Relationship Id="rId2862" Type="http://schemas.openxmlformats.org/officeDocument/2006/relationships/hyperlink" Target="https://calebasse.com/produits/huang-niu-jiao-yue-xing-gua-sha-ban-gua-sha-en-corne-de-buffle-jaune-corne-4949?product=7157" TargetMode="External"/><Relationship Id="rId1521" Type="http://schemas.openxmlformats.org/officeDocument/2006/relationships/hyperlink" Target="https://calebasse.com/produits/dan-shen-pian-4039?product=5112" TargetMode="External"/><Relationship Id="rId2852" Type="http://schemas.openxmlformats.org/officeDocument/2006/relationships/hyperlink" Target="https://calebasse.com/produits/shi-zhen-qi-stylet-ramasse-aiguille-aimante-4952?product=7160" TargetMode="External"/><Relationship Id="rId1522" Type="http://schemas.openxmlformats.org/officeDocument/2006/relationships/hyperlink" Target="https://res.cloudinary.com/laboratoire-calebasse/image/upload/v1753351795/DAN_SHEN_PIAN_CDSP_f6a5f9e0f9.jpg" TargetMode="External"/><Relationship Id="rId2853" Type="http://schemas.openxmlformats.org/officeDocument/2006/relationships/hyperlink" Target="https://res.cloudinary.com/laboratoire-calebasse/image/upload/v1700650873/_892c304cd7.jpg" TargetMode="External"/><Relationship Id="rId1523" Type="http://schemas.openxmlformats.org/officeDocument/2006/relationships/hyperlink" Target="https://calebasse.com/produits/dan-shen-pian-4039?product=5114" TargetMode="External"/><Relationship Id="rId2854" Type="http://schemas.openxmlformats.org/officeDocument/2006/relationships/hyperlink" Target="https://calebasse.com/produits/chen-bai-jian-balance-traditionnelle-chinoise-5011?product=7225" TargetMode="External"/><Relationship Id="rId1524" Type="http://schemas.openxmlformats.org/officeDocument/2006/relationships/hyperlink" Target="https://res.cloudinary.com/laboratoire-calebasse/image/upload/v1753351806/DAN_SHEN_PIAN_CDSPCP_4ea63e5382.jpg" TargetMode="External"/><Relationship Id="rId2855" Type="http://schemas.openxmlformats.org/officeDocument/2006/relationships/hyperlink" Target="https://res.cloudinary.com/laboratoire-calebasse/image/upload/v1701355632/balance_ancienne_95dd1ec1c5.jpg" TargetMode="External"/><Relationship Id="rId1525" Type="http://schemas.openxmlformats.org/officeDocument/2006/relationships/hyperlink" Target="https://calebasse.com/produits/dan-zhi-xiao-yao-san-4040?product=5116" TargetMode="External"/><Relationship Id="rId2856" Type="http://schemas.openxmlformats.org/officeDocument/2006/relationships/hyperlink" Target="https://calebasse.com/produits/chen-bai-jian-balance-traditionnelle-chinoise-5011?product=7226" TargetMode="External"/><Relationship Id="rId1526" Type="http://schemas.openxmlformats.org/officeDocument/2006/relationships/hyperlink" Target="https://res.cloudinary.com/laboratoire-calebasse/image/upload/v1753104049/DAN_ZHI_XIAO_YAO_SAN_CDZXYS_01ca0de468.jpg" TargetMode="External"/><Relationship Id="rId2857" Type="http://schemas.openxmlformats.org/officeDocument/2006/relationships/hyperlink" Target="https://res.cloudinary.com/laboratoire-calebasse/image/upload/v1701355673/balance_ancienne_fad2eb04a4.jpg" TargetMode="External"/><Relationship Id="rId1527" Type="http://schemas.openxmlformats.org/officeDocument/2006/relationships/hyperlink" Target="https://calebasse.com/produits/dan-zhi-xiao-yao-san-4040?product=5118" TargetMode="External"/><Relationship Id="rId2858" Type="http://schemas.openxmlformats.org/officeDocument/2006/relationships/hyperlink" Target="https://calebasse.com/produits/chen-bai-jian-balance-traditionnelle-chinoise-5011?product=7227" TargetMode="External"/><Relationship Id="rId1528" Type="http://schemas.openxmlformats.org/officeDocument/2006/relationships/hyperlink" Target="https://res.cloudinary.com/laboratoire-calebasse/image/upload/v1753104061/DAN_ZHI_XIAO_YAO_SAN_CDZXYSCP_9c902643c1.jpg" TargetMode="External"/><Relationship Id="rId2859" Type="http://schemas.openxmlformats.org/officeDocument/2006/relationships/hyperlink" Target="https://res.cloudinary.com/laboratoire-calebasse/image/upload/v1701355726/balance_ancienne_56e6b04d35.jpg" TargetMode="External"/><Relationship Id="rId1529" Type="http://schemas.openxmlformats.org/officeDocument/2006/relationships/hyperlink" Target="https://calebasse.com/produits/er-chen-he-san-zi-yang-qin-tang-4044?product=5131" TargetMode="External"/><Relationship Id="rId939" Type="http://schemas.openxmlformats.org/officeDocument/2006/relationships/hyperlink" Target="https://calebasse.com/produits/shan-yao-igname-3913?product=4665" TargetMode="External"/><Relationship Id="rId938" Type="http://schemas.openxmlformats.org/officeDocument/2006/relationships/hyperlink" Target="https://res.cloudinary.com/laboratoire-calebasse/image/upload/v1704448220/A_shanyao_GL_378a7e32b4.jpg" TargetMode="External"/><Relationship Id="rId937" Type="http://schemas.openxmlformats.org/officeDocument/2006/relationships/hyperlink" Target="https://calebasse.com/produits/shan-yao-igname-3913?product=4668" TargetMode="External"/><Relationship Id="rId932" Type="http://schemas.openxmlformats.org/officeDocument/2006/relationships/hyperlink" Target="https://res.cloudinary.com/laboratoire-calebasse/image/upload/v1748271760/RACINE_DE_CYNOMORE_300_g_ASYANGL_57babd1cf3.jpg" TargetMode="External"/><Relationship Id="rId931" Type="http://schemas.openxmlformats.org/officeDocument/2006/relationships/hyperlink" Target="https://calebasse.com/produits/suo-yang-racine-de-cynomore-3923?product=4711" TargetMode="External"/><Relationship Id="rId930" Type="http://schemas.openxmlformats.org/officeDocument/2006/relationships/hyperlink" Target="https://res.cloudinary.com/laboratoire-calebasse/image/upload/v1746534359/RACINE_DE_CYNOMORE_100_g_ASYANG_e3398156dd.jpg" TargetMode="External"/><Relationship Id="rId936" Type="http://schemas.openxmlformats.org/officeDocument/2006/relationships/hyperlink" Target="https://res.cloudinary.com/laboratoire-calebasse/image/upload/v1634201124/A_sangyegl_0be474d9a0.jpg" TargetMode="External"/><Relationship Id="rId935" Type="http://schemas.openxmlformats.org/officeDocument/2006/relationships/hyperlink" Target="https://calebasse.com/produits/sang-ye-feuilles-de-murier-3908?product=4652" TargetMode="External"/><Relationship Id="rId934" Type="http://schemas.openxmlformats.org/officeDocument/2006/relationships/hyperlink" Target="https://res.cloudinary.com/laboratoire-calebasse/image/upload/v1634201120/A_sangyecp_96926392ee.jpg" TargetMode="External"/><Relationship Id="rId933" Type="http://schemas.openxmlformats.org/officeDocument/2006/relationships/hyperlink" Target="https://calebasse.com/produits/sang-ye-feuilles-de-murier-3908?product=4650" TargetMode="External"/><Relationship Id="rId2850" Type="http://schemas.openxmlformats.org/officeDocument/2006/relationships/hyperlink" Target="https://calebasse.com/produits/lv-zhi-shi-ai-qi-ramasseur-a-moxa-4950?product=7158" TargetMode="External"/><Relationship Id="rId1520" Type="http://schemas.openxmlformats.org/officeDocument/2006/relationships/hyperlink" Target="https://res.cloudinary.com/laboratoire-calebasse/image/upload/v1753104129/DU_HUO_JI_SHENG_TANG_CDHJSWCP_18488870de.jpg" TargetMode="External"/><Relationship Id="rId2851" Type="http://schemas.openxmlformats.org/officeDocument/2006/relationships/hyperlink" Target="https://res.cloudinary.com/laboratoire-calebasse/image/upload/v1701774712/shi_ai_qi_720_9d4fbd15f8.jpg" TargetMode="External"/><Relationship Id="rId1554" Type="http://schemas.openxmlformats.org/officeDocument/2006/relationships/hyperlink" Target="https://res.cloudinary.com/laboratoire-calebasse/image/upload/v1753351942/FU_KE_ZHONG_ZI_WAN_CFKZZW_2735d4fecc.jpg" TargetMode="External"/><Relationship Id="rId2885" Type="http://schemas.openxmlformats.org/officeDocument/2006/relationships/hyperlink" Target="https://res.cloudinary.com/laboratoire-calebasse/image/upload/v1699454718/_4098037b49.png" TargetMode="External"/><Relationship Id="rId1555" Type="http://schemas.openxmlformats.org/officeDocument/2006/relationships/hyperlink" Target="https://calebasse.com/produits/fu-ke-zhong-zi-wan-5028?product=7248" TargetMode="External"/><Relationship Id="rId2886" Type="http://schemas.openxmlformats.org/officeDocument/2006/relationships/hyperlink" Target="https://calebasse.com/produits/fen-shui-jing-san-jiao-shuang-kou-xing-gua-sha-ban-fen-shui-jing-san-jiao-shuang-kou-xing-gua-sha-ban-4972?product=7456" TargetMode="External"/><Relationship Id="rId1556" Type="http://schemas.openxmlformats.org/officeDocument/2006/relationships/hyperlink" Target="https://res.cloudinary.com/laboratoire-calebasse/image/upload/v1753351956/FU_KE_ZHONG_ZI_WAN_CFKZZWCP_a202ceae37.jpg" TargetMode="External"/><Relationship Id="rId2887" Type="http://schemas.openxmlformats.org/officeDocument/2006/relationships/hyperlink" Target="https://res.cloudinary.com/laboratoire-calebasse/image/upload/v1742831350/1_d22b91766f.png" TargetMode="External"/><Relationship Id="rId1557" Type="http://schemas.openxmlformats.org/officeDocument/2006/relationships/hyperlink" Target="https://calebasse.com/produits/fppp-4700?product=6836" TargetMode="External"/><Relationship Id="rId2888" Type="http://schemas.openxmlformats.org/officeDocument/2006/relationships/hyperlink" Target="https://calebasse.com/produits/xiang-mu-gua-sha-ban-dao-xing-gua-sha-en-bois-parfume-couteau-5009?product=7219" TargetMode="External"/><Relationship Id="rId1558" Type="http://schemas.openxmlformats.org/officeDocument/2006/relationships/hyperlink" Target="https://res.cloudinary.com/laboratoire-calebasse/image/upload/v1753104246/FPPP_CFPPP_a75001c114.jpg" TargetMode="External"/><Relationship Id="rId2889" Type="http://schemas.openxmlformats.org/officeDocument/2006/relationships/hyperlink" Target="https://res.cloudinary.com/laboratoire-calebasse/image/upload/v1700820889/720_bd22803509.jpg" TargetMode="External"/><Relationship Id="rId1559" Type="http://schemas.openxmlformats.org/officeDocument/2006/relationships/hyperlink" Target="https://calebasse.com/produits/fppp-4700?product=6837" TargetMode="External"/><Relationship Id="rId965" Type="http://schemas.openxmlformats.org/officeDocument/2006/relationships/hyperlink" Target="https://calebasse.com/produits/tu-fu-ling-salsepareille-de-chine-3926?product=4717" TargetMode="External"/><Relationship Id="rId964" Type="http://schemas.openxmlformats.org/officeDocument/2006/relationships/hyperlink" Target="https://res.cloudinary.com/laboratoire-calebasse/image/upload/v1634201124/A_tufulinggl_32562244de.jpg" TargetMode="External"/><Relationship Id="rId963" Type="http://schemas.openxmlformats.org/officeDocument/2006/relationships/hyperlink" Target="https://calebasse.com/produits/tu-fu-ling-salsepareille-de-chine-3926?product=4720" TargetMode="External"/><Relationship Id="rId962" Type="http://schemas.openxmlformats.org/officeDocument/2006/relationships/hyperlink" Target="https://res.cloudinary.com/laboratoire-calebasse/image/upload/v1634201206/A_tufulingcp_c3065685cc.jpg" TargetMode="External"/><Relationship Id="rId969" Type="http://schemas.openxmlformats.org/officeDocument/2006/relationships/hyperlink" Target="https://calebasse.com/produits/tao-hua-fleurs-de-pecher-3925?product=4713" TargetMode="External"/><Relationship Id="rId968" Type="http://schemas.openxmlformats.org/officeDocument/2006/relationships/hyperlink" Target="https://res.cloudinary.com/laboratoire-calebasse/image/upload/v1746525734/FLEURS_DE_PECHER_50_g_ATH_ecc193f51a.jpg" TargetMode="External"/><Relationship Id="rId967" Type="http://schemas.openxmlformats.org/officeDocument/2006/relationships/hyperlink" Target="https://calebasse.com/produits/tao-hua-fleurs-de-pecher-3925?product=4712" TargetMode="External"/><Relationship Id="rId966" Type="http://schemas.openxmlformats.org/officeDocument/2006/relationships/hyperlink" Target="https://res.cloudinary.com/laboratoire-calebasse/image/upload/v1746524622/SALSEPAREILLE_DE_CHINE_300_g_ATFLL_3d474ed35b.jpg" TargetMode="External"/><Relationship Id="rId2880" Type="http://schemas.openxmlformats.org/officeDocument/2006/relationships/hyperlink" Target="https://calebasse.com/produits/yu-shi-shi-t-xing-an-mo-zhui-gua-sha-en-jade-forme-de-t-4969?product=7177" TargetMode="External"/><Relationship Id="rId961" Type="http://schemas.openxmlformats.org/officeDocument/2006/relationships/hyperlink" Target="https://calebasse.com/produits/tu-fu-ling-salsepareille-de-chine-3926?product=4718" TargetMode="External"/><Relationship Id="rId1550" Type="http://schemas.openxmlformats.org/officeDocument/2006/relationships/hyperlink" Target="https://res.cloudinary.com/laboratoire-calebasse/image/upload/v1753351912/FU_FANG_JIE_GENG_PIAN_CFFJGP_d4dd2771ab.jpg" TargetMode="External"/><Relationship Id="rId2881" Type="http://schemas.openxmlformats.org/officeDocument/2006/relationships/hyperlink" Target="https://res.cloudinary.com/laboratoire-calebasse/image/upload/v1699453373/T_4f40d57cd8.png" TargetMode="External"/><Relationship Id="rId960" Type="http://schemas.openxmlformats.org/officeDocument/2006/relationships/hyperlink" Target="https://res.cloudinary.com/laboratoire-calebasse/image/upload/v1748271701/SALSEPAREILLEDE_CHINE_100_g_ATFL_cf639c529e.jpg" TargetMode="External"/><Relationship Id="rId1551" Type="http://schemas.openxmlformats.org/officeDocument/2006/relationships/hyperlink" Target="https://calebasse.com/produits/fu-fang-jie-geng-pian-4050?product=5162" TargetMode="External"/><Relationship Id="rId2882" Type="http://schemas.openxmlformats.org/officeDocument/2006/relationships/hyperlink" Target="https://calebasse.com/produits/fen-shui-jing-san-jiao-shuang-kou-xing-gua-sha-ban-fen-shui-jing-san-jiao-shuang-kou-xing-gua-sha-ban-4972?product=7180" TargetMode="External"/><Relationship Id="rId1552" Type="http://schemas.openxmlformats.org/officeDocument/2006/relationships/hyperlink" Target="https://res.cloudinary.com/laboratoire-calebasse/image/upload/v1753351922/FU_FANG_JIE_GENG_PIAN_CFFJGPCP_9b8c2ca31c.jpg" TargetMode="External"/><Relationship Id="rId2883" Type="http://schemas.openxmlformats.org/officeDocument/2006/relationships/hyperlink" Target="https://res.cloudinary.com/laboratoire-calebasse/image/upload/v1699454475/_69ee01ed3a.png" TargetMode="External"/><Relationship Id="rId1553" Type="http://schemas.openxmlformats.org/officeDocument/2006/relationships/hyperlink" Target="https://calebasse.com/produits/fu-ke-zhong-zi-wan-5028?product=7247" TargetMode="External"/><Relationship Id="rId2884" Type="http://schemas.openxmlformats.org/officeDocument/2006/relationships/hyperlink" Target="https://calebasse.com/produits/fen-shui-jing-san-jiao-shuang-kou-xing-gua-sha-ban-fen-shui-jing-san-jiao-shuang-kou-xing-gua-sha-ban-4972?product=7183" TargetMode="External"/><Relationship Id="rId1543" Type="http://schemas.openxmlformats.org/officeDocument/2006/relationships/hyperlink" Target="https://calebasse.com/produits/er-xian-tang-4046?product=5144" TargetMode="External"/><Relationship Id="rId2874" Type="http://schemas.openxmlformats.org/officeDocument/2006/relationships/hyperlink" Target="https://calebasse.com/produits/yu-shi-shi-mian-bu-mei-rong-qi-roller-pour-le-visage-en-jade-4968?product=7176" TargetMode="External"/><Relationship Id="rId1544" Type="http://schemas.openxmlformats.org/officeDocument/2006/relationships/hyperlink" Target="https://res.cloudinary.com/laboratoire-calebasse/image/upload/v1753785793/ER_XIAN_TANG_CEXTGL_a2b4b50eb7.jpg" TargetMode="External"/><Relationship Id="rId2875" Type="http://schemas.openxmlformats.org/officeDocument/2006/relationships/hyperlink" Target="https://res.cloudinary.com/laboratoire-calebasse/image/upload/v1699453041/_302e0997b4.png" TargetMode="External"/><Relationship Id="rId1545" Type="http://schemas.openxmlformats.org/officeDocument/2006/relationships/hyperlink" Target="https://calebasse.com/produits/fu-fang-dan-shen-pian-4051?product=5156" TargetMode="External"/><Relationship Id="rId2876" Type="http://schemas.openxmlformats.org/officeDocument/2006/relationships/hyperlink" Target="https://calebasse.com/produits/yu-shi-shi-mian-bu-mei-rong-qi-roller-pour-le-visage-en-jade-4968?product=7434" TargetMode="External"/><Relationship Id="rId1546" Type="http://schemas.openxmlformats.org/officeDocument/2006/relationships/hyperlink" Target="https://res.cloudinary.com/laboratoire-calebasse/image/upload/v1753351887/FU_FANG_DAN_SHEN_PIAN_d14a92f719.jpg" TargetMode="External"/><Relationship Id="rId2877" Type="http://schemas.openxmlformats.org/officeDocument/2006/relationships/hyperlink" Target="https://res.cloudinary.com/laboratoire-calebasse/image/upload/v1739784932/Bundles_8d070151e2.jpg" TargetMode="External"/><Relationship Id="rId1547" Type="http://schemas.openxmlformats.org/officeDocument/2006/relationships/hyperlink" Target="https://calebasse.com/produits/fu-fang-dan-shen-pian-4051?product=5157" TargetMode="External"/><Relationship Id="rId2878" Type="http://schemas.openxmlformats.org/officeDocument/2006/relationships/hyperlink" Target="https://calebasse.com/produits/duo-rose-quartz-5158?product=7457" TargetMode="External"/><Relationship Id="rId1548" Type="http://schemas.openxmlformats.org/officeDocument/2006/relationships/hyperlink" Target="https://res.cloudinary.com/laboratoire-calebasse/image/upload/v1753351897/FU_FANG_DAN_SHEN_PIAN_CFFDSPCP_48e75a0eac.jpg" TargetMode="External"/><Relationship Id="rId2879" Type="http://schemas.openxmlformats.org/officeDocument/2006/relationships/hyperlink" Target="https://res.cloudinary.com/laboratoire-calebasse/image/upload/v1742892373/3_60fa1ad777.png" TargetMode="External"/><Relationship Id="rId1549" Type="http://schemas.openxmlformats.org/officeDocument/2006/relationships/hyperlink" Target="https://calebasse.com/produits/fu-fang-jie-geng-pian-4050?product=5160" TargetMode="External"/><Relationship Id="rId959" Type="http://schemas.openxmlformats.org/officeDocument/2006/relationships/hyperlink" Target="https://calebasse.com/produits/tu-fu-ling-salsepareille-de-chine-3926?product=4716" TargetMode="External"/><Relationship Id="rId954" Type="http://schemas.openxmlformats.org/officeDocument/2006/relationships/hyperlink" Target="https://res.cloudinary.com/laboratoire-calebasse/image/upload/v1748272028/TIGES_DE_MURIER_300_g_ASZHIL_298372b689.jpg" TargetMode="External"/><Relationship Id="rId953" Type="http://schemas.openxmlformats.org/officeDocument/2006/relationships/hyperlink" Target="https://calebasse.com/produits/sang-zhi-tiges-de-murier-3909?product=4655" TargetMode="External"/><Relationship Id="rId952" Type="http://schemas.openxmlformats.org/officeDocument/2006/relationships/hyperlink" Target="https://res.cloudinary.com/laboratoire-calebasse/image/upload/v1698328509/A_sangzhi_aa3acc5b12.jpg" TargetMode="External"/><Relationship Id="rId951" Type="http://schemas.openxmlformats.org/officeDocument/2006/relationships/hyperlink" Target="https://calebasse.com/produits/sang-zhi-tiges-de-murier-3909?product=4658" TargetMode="External"/><Relationship Id="rId958" Type="http://schemas.openxmlformats.org/officeDocument/2006/relationships/hyperlink" Target="https://res.cloudinary.com/laboratoire-calebasse/image/upload/v1746524936/PAPYRUS_DE_CHINE_50_g_ATC_36757e3ca8.jpg" TargetMode="External"/><Relationship Id="rId957" Type="http://schemas.openxmlformats.org/officeDocument/2006/relationships/hyperlink" Target="https://calebasse.com/produits/xiao-tong-cao-papyrus-de-chine-3924?product=4714" TargetMode="External"/><Relationship Id="rId956" Type="http://schemas.openxmlformats.org/officeDocument/2006/relationships/hyperlink" Target="https://res.cloudinary.com/laboratoire-calebasse/image/upload/v1748271982/FRUITS_D_AUBEPINE_300_g_ASZL_b6ae6bc389.jpg" TargetMode="External"/><Relationship Id="rId955" Type="http://schemas.openxmlformats.org/officeDocument/2006/relationships/hyperlink" Target="https://calebasse.com/produits/shan-zha-fruits-daubepine-3912?product=4672" TargetMode="External"/><Relationship Id="rId950" Type="http://schemas.openxmlformats.org/officeDocument/2006/relationships/hyperlink" Target="https://res.cloudinary.com/laboratoire-calebasse/image/upload/v1698328489/A_sangzhicp_3d4428b94f.jpg" TargetMode="External"/><Relationship Id="rId2870" Type="http://schemas.openxmlformats.org/officeDocument/2006/relationships/hyperlink" Target="https://calebasse.com/produits/yu-shi-shi-shen-ti-gua-sha-ban-gua-sha-en-jade-pour-le-corps-forme-de-u-4959?product=7167" TargetMode="External"/><Relationship Id="rId1540" Type="http://schemas.openxmlformats.org/officeDocument/2006/relationships/hyperlink" Target="https://res.cloudinary.com/laboratoire-calebasse/image/upload/v1753104206/ER_LONG_ZUO_CI_WAN_CELZCWCP_0d78bb40d4.jpg" TargetMode="External"/><Relationship Id="rId2871" Type="http://schemas.openxmlformats.org/officeDocument/2006/relationships/hyperlink" Target="https://res.cloudinary.com/laboratoire-calebasse/image/upload/v1699451027/_231842fa4a.png" TargetMode="External"/><Relationship Id="rId1541" Type="http://schemas.openxmlformats.org/officeDocument/2006/relationships/hyperlink" Target="https://calebasse.com/produits/er-xian-tang-4046?product=5146" TargetMode="External"/><Relationship Id="rId2872" Type="http://schemas.openxmlformats.org/officeDocument/2006/relationships/hyperlink" Target="https://calebasse.com/produits/yu-shi-shi-yu-xing-gua-sha-ban-gua-sha-en-jade-poisson-4963?product=7171" TargetMode="External"/><Relationship Id="rId1542" Type="http://schemas.openxmlformats.org/officeDocument/2006/relationships/hyperlink" Target="https://res.cloudinary.com/laboratoire-calebasse/image/upload/v1753104229/ER_XIAN_TANG_CEXTCP_a58af45d8c.jpg" TargetMode="External"/><Relationship Id="rId2873" Type="http://schemas.openxmlformats.org/officeDocument/2006/relationships/hyperlink" Target="https://res.cloudinary.com/laboratoire-calebasse/image/upload/v1699452203/_99a10ba2e5.png" TargetMode="External"/><Relationship Id="rId2027" Type="http://schemas.openxmlformats.org/officeDocument/2006/relationships/hyperlink" Target="https://calebasse.com/produits/zi-sheng-wan-4203?product=5762" TargetMode="External"/><Relationship Id="rId3359" Type="http://schemas.openxmlformats.org/officeDocument/2006/relationships/hyperlink" Target="https://res.cloudinary.com/laboratoire-calebasse/image/upload/v1746523219/MARRUBE_BLANC_100_g_OMARB_a4dc03b118.jpg" TargetMode="External"/><Relationship Id="rId2028" Type="http://schemas.openxmlformats.org/officeDocument/2006/relationships/hyperlink" Target="https://res.cloudinary.com/laboratoire-calebasse/image/upload/v1753354254/ZI_SHENG_WAN_CZSWCP_67ddb45c05.jpg" TargetMode="External"/><Relationship Id="rId3358" Type="http://schemas.openxmlformats.org/officeDocument/2006/relationships/hyperlink" Target="https://calebasse.com/produits/marrube-blanc-4332?product=6186" TargetMode="External"/><Relationship Id="rId2029" Type="http://schemas.openxmlformats.org/officeDocument/2006/relationships/hyperlink" Target="https://calebasse.com/produits/zi-yin-huo-xue-tang-4201?product=5764" TargetMode="External"/><Relationship Id="rId107" Type="http://schemas.openxmlformats.org/officeDocument/2006/relationships/hyperlink" Target="https://calebasse.com/produits/bai-zhu-sheng-rhizome-datracylode-3759?product=4018" TargetMode="External"/><Relationship Id="rId106" Type="http://schemas.openxmlformats.org/officeDocument/2006/relationships/hyperlink" Target="https://res.cloudinary.com/laboratoire-calebasse/image/upload/v1748272220/HERBE_DE_BARBATE_50_g_ABZL_200c527bcd.jpg" TargetMode="External"/><Relationship Id="rId105" Type="http://schemas.openxmlformats.org/officeDocument/2006/relationships/hyperlink" Target="https://calebasse.com/produits/ban-zhi-lian-herbe-de-barbate-3760?product=4014" TargetMode="External"/><Relationship Id="rId104" Type="http://schemas.openxmlformats.org/officeDocument/2006/relationships/hyperlink" Target="https://res.cloudinary.com/laboratoire-calebasse/image/upload/v1751623563/ANGELIQUE_DAHURIENNE_300_g_ABZIL_915bee8d89.jpg" TargetMode="External"/><Relationship Id="rId109" Type="http://schemas.openxmlformats.org/officeDocument/2006/relationships/hyperlink" Target="https://calebasse.com/produits/bai-zhu-sheng-rhizome-datracylode-3759?product=3963" TargetMode="External"/><Relationship Id="rId108" Type="http://schemas.openxmlformats.org/officeDocument/2006/relationships/hyperlink" Target="https://res.cloudinary.com/laboratoire-calebasse/image/upload/v1746526698/RHIZOME_D_ATRACYLODE_100_g_ABZS_b87a51aa70.jpg" TargetMode="External"/><Relationship Id="rId3351" Type="http://schemas.openxmlformats.org/officeDocument/2006/relationships/hyperlink" Target="https://res.cloudinary.com/laboratoire-calebasse/image/upload/v1746523166/LIN_100_g_OLIN_50cea76b25.jpg" TargetMode="External"/><Relationship Id="rId2020" Type="http://schemas.openxmlformats.org/officeDocument/2006/relationships/hyperlink" Target="https://res.cloudinary.com/laboratoire-calebasse/image/upload/v1753354232/ZHUANG_GU_XIAO_CI_WAN_CZGXCWCP_31ec33ffde.jpg" TargetMode="External"/><Relationship Id="rId3350" Type="http://schemas.openxmlformats.org/officeDocument/2006/relationships/hyperlink" Target="https://calebasse.com/produits/lin-4331?product=6182" TargetMode="External"/><Relationship Id="rId2021" Type="http://schemas.openxmlformats.org/officeDocument/2006/relationships/hyperlink" Target="https://calebasse.com/produits/zao-ren-an-mian-wan-4197?product=5740" TargetMode="External"/><Relationship Id="rId3353" Type="http://schemas.openxmlformats.org/officeDocument/2006/relationships/hyperlink" Target="https://res.cloudinary.com/laboratoire-calebasse/image/upload/v1748269417/LIN_300_g_OLINL_4b4101bf5e.jpg" TargetMode="External"/><Relationship Id="rId2022" Type="http://schemas.openxmlformats.org/officeDocument/2006/relationships/hyperlink" Target="https://res.cloudinary.com/laboratoire-calebasse/image/upload/v1753106210/ZAO_REN_AN_MIAN_WAN_CZRAMW_3c2cecb374.jpg" TargetMode="External"/><Relationship Id="rId3352" Type="http://schemas.openxmlformats.org/officeDocument/2006/relationships/hyperlink" Target="https://calebasse.com/produits/lin-4331?product=6183" TargetMode="External"/><Relationship Id="rId103" Type="http://schemas.openxmlformats.org/officeDocument/2006/relationships/hyperlink" Target="https://calebasse.com/produits/bai-zhi-angelique-dahurienne-3750?product=4005" TargetMode="External"/><Relationship Id="rId2023" Type="http://schemas.openxmlformats.org/officeDocument/2006/relationships/hyperlink" Target="https://calebasse.com/produits/zao-ren-an-mian-wan-4197?product=5742" TargetMode="External"/><Relationship Id="rId3355" Type="http://schemas.openxmlformats.org/officeDocument/2006/relationships/hyperlink" Target="https://res.cloudinary.com/laboratoire-calebasse/image/upload/v1746523182/MARRON_D_INDE_100_g_OMADI_9fa8e385df.jpg" TargetMode="External"/><Relationship Id="rId102" Type="http://schemas.openxmlformats.org/officeDocument/2006/relationships/hyperlink" Target="https://res.cloudinary.com/laboratoire-calebasse/image/upload/v1751623583/ANGELIQUE_DAHURIENNE_100_g_ABZI_dbf533c998.jpg" TargetMode="External"/><Relationship Id="rId2024" Type="http://schemas.openxmlformats.org/officeDocument/2006/relationships/hyperlink" Target="https://res.cloudinary.com/laboratoire-calebasse/image/upload/v1753106222/ZAO_REN_AN_MIAN_WAN_CZRAMWCP_477212b5bb.jpg" TargetMode="External"/><Relationship Id="rId3354" Type="http://schemas.openxmlformats.org/officeDocument/2006/relationships/hyperlink" Target="https://calebasse.com/produits/marron-dinde-4333?product=6184" TargetMode="External"/><Relationship Id="rId101" Type="http://schemas.openxmlformats.org/officeDocument/2006/relationships/hyperlink" Target="https://calebasse.com/produits/bai-zhi-angelique-dahurienne-3750?product=4006" TargetMode="External"/><Relationship Id="rId2025" Type="http://schemas.openxmlformats.org/officeDocument/2006/relationships/hyperlink" Target="https://calebasse.com/produits/zi-sheng-wan-4203?product=5760" TargetMode="External"/><Relationship Id="rId3357" Type="http://schemas.openxmlformats.org/officeDocument/2006/relationships/hyperlink" Target="https://res.cloudinary.com/laboratoire-calebasse/image/upload/v1748269398/MARRON_D_INDE_300_g_OMADIL_371efe207a.jpg" TargetMode="External"/><Relationship Id="rId100" Type="http://schemas.openxmlformats.org/officeDocument/2006/relationships/hyperlink" Target="https://res.cloudinary.com/laboratoire-calebasse/image/upload/v1634201104/A_baizhigl_c8cd99b01d.jpg" TargetMode="External"/><Relationship Id="rId2026" Type="http://schemas.openxmlformats.org/officeDocument/2006/relationships/hyperlink" Target="https://res.cloudinary.com/laboratoire-calebasse/image/upload/v1753354244/ZI_SHENG_WAN_CZSW_791704333a.jpg" TargetMode="External"/><Relationship Id="rId3356" Type="http://schemas.openxmlformats.org/officeDocument/2006/relationships/hyperlink" Target="https://calebasse.com/produits/marron-dinde-4333?product=6185" TargetMode="External"/><Relationship Id="rId2016" Type="http://schemas.openxmlformats.org/officeDocument/2006/relationships/hyperlink" Target="https://res.cloudinary.com/laboratoire-calebasse/image/upload/v1753106347/ZUO_GUI_WAN_CZGWCP_af3fceff0d.jpg" TargetMode="External"/><Relationship Id="rId3348" Type="http://schemas.openxmlformats.org/officeDocument/2006/relationships/hyperlink" Target="https://calebasse.com/produits/laurier-4330?product=6181" TargetMode="External"/><Relationship Id="rId2017" Type="http://schemas.openxmlformats.org/officeDocument/2006/relationships/hyperlink" Target="https://calebasse.com/produits/zhuang-gu-xiao-ci-wan-4200?product=5756" TargetMode="External"/><Relationship Id="rId3347" Type="http://schemas.openxmlformats.org/officeDocument/2006/relationships/hyperlink" Target="https://res.cloudinary.com/laboratoire-calebasse/image/upload/v1748268321/LAURIER_50_g_OLAUR_8b4d30db47.jpg" TargetMode="External"/><Relationship Id="rId2018" Type="http://schemas.openxmlformats.org/officeDocument/2006/relationships/hyperlink" Target="https://res.cloudinary.com/laboratoire-calebasse/image/upload/v1753354222/ZHUANG_GU_XIAO_CI_WAN_CZGXCW_76f01f8b84.jpg" TargetMode="External"/><Relationship Id="rId2019" Type="http://schemas.openxmlformats.org/officeDocument/2006/relationships/hyperlink" Target="https://calebasse.com/produits/zhuang-gu-xiao-ci-wan-4200?product=5757" TargetMode="External"/><Relationship Id="rId3349" Type="http://schemas.openxmlformats.org/officeDocument/2006/relationships/hyperlink" Target="https://res.cloudinary.com/laboratoire-calebasse/image/upload/v1748268387/LAURIER_160_g_OLAURL_3c197ca21c.jpg" TargetMode="External"/><Relationship Id="rId3340" Type="http://schemas.openxmlformats.org/officeDocument/2006/relationships/hyperlink" Target="https://calebasse.com/produits/ispaghul-4329?product=6178" TargetMode="External"/><Relationship Id="rId2010" Type="http://schemas.openxmlformats.org/officeDocument/2006/relationships/hyperlink" Target="https://res.cloudinary.com/laboratoire-calebasse/image/upload/v1753354166/ZHI_GAN_CAO_TANG_CZGCT_df764b1e79.jpg" TargetMode="External"/><Relationship Id="rId3342" Type="http://schemas.openxmlformats.org/officeDocument/2006/relationships/hyperlink" Target="https://calebasse.com/produits/ispaghul-4329?product=6179" TargetMode="External"/><Relationship Id="rId2011" Type="http://schemas.openxmlformats.org/officeDocument/2006/relationships/hyperlink" Target="https://calebasse.com/produits/zhi-gan-cao-tang-4394?product=6346" TargetMode="External"/><Relationship Id="rId3341" Type="http://schemas.openxmlformats.org/officeDocument/2006/relationships/hyperlink" Target="https://res.cloudinary.com/laboratoire-calebasse/image/upload/v1746523079/ISPAGHUL_100_g_OISPA_e6f10e885f.jpg" TargetMode="External"/><Relationship Id="rId2012" Type="http://schemas.openxmlformats.org/officeDocument/2006/relationships/hyperlink" Target="https://res.cloudinary.com/laboratoire-calebasse/image/upload/v1753354175/ZHI_GAN_CAO_TANG_CZGCTCP_39c6023b9d.jpg" TargetMode="External"/><Relationship Id="rId3344" Type="http://schemas.openxmlformats.org/officeDocument/2006/relationships/hyperlink" Target="https://calebasse.com/produits/jasmin-commun-fleur-bio-5194?product=7509" TargetMode="External"/><Relationship Id="rId2013" Type="http://schemas.openxmlformats.org/officeDocument/2006/relationships/hyperlink" Target="https://calebasse.com/produits/zuo-gui-wan-4204?product=5772" TargetMode="External"/><Relationship Id="rId3343" Type="http://schemas.openxmlformats.org/officeDocument/2006/relationships/hyperlink" Target="https://res.cloudinary.com/laboratoire-calebasse/image/upload/v1748269477/ISPAGHUL_300_g_OISPAL_d482fa2a32.jpg" TargetMode="External"/><Relationship Id="rId2014" Type="http://schemas.openxmlformats.org/officeDocument/2006/relationships/hyperlink" Target="https://res.cloudinary.com/laboratoire-calebasse/image/upload/v1753106336/ZUO_GUI_WAN_CZGW_923b35da1a.jpg" TargetMode="External"/><Relationship Id="rId3346" Type="http://schemas.openxmlformats.org/officeDocument/2006/relationships/hyperlink" Target="https://calebasse.com/produits/laurier-4330?product=6180" TargetMode="External"/><Relationship Id="rId2015" Type="http://schemas.openxmlformats.org/officeDocument/2006/relationships/hyperlink" Target="https://calebasse.com/produits/zuo-gui-wan-4204?product=5774" TargetMode="External"/><Relationship Id="rId3345" Type="http://schemas.openxmlformats.org/officeDocument/2006/relationships/hyperlink" Target="https://res.cloudinary.com/laboratoire-calebasse/image/upload/v1753800423/JASMIN_COMMUN_FLEUR_BIO_50_g_OJACF_01266f6e4e.jpg" TargetMode="External"/><Relationship Id="rId2049" Type="http://schemas.openxmlformats.org/officeDocument/2006/relationships/hyperlink" Target="https://calebasse.com/produits/qu-mai-qing-xia-san-formule-detox-urinaire-4221?product=5840" TargetMode="External"/><Relationship Id="rId129" Type="http://schemas.openxmlformats.org/officeDocument/2006/relationships/hyperlink" Target="https://calebasse.com/produits/ci-ji-li-tribule-terrestre-3754?product=4079" TargetMode="External"/><Relationship Id="rId128" Type="http://schemas.openxmlformats.org/officeDocument/2006/relationships/hyperlink" Target="https://res.cloudinary.com/laboratoire-calebasse/image/upload/v1634201098/A_cijilicp_8e9dd7bd39.jpg" TargetMode="External"/><Relationship Id="rId127" Type="http://schemas.openxmlformats.org/officeDocument/2006/relationships/hyperlink" Target="https://calebasse.com/produits/ci-ji-li-tribule-terrestre-3754?product=4074" TargetMode="External"/><Relationship Id="rId126" Type="http://schemas.openxmlformats.org/officeDocument/2006/relationships/hyperlink" Target="https://res.cloudinary.com/laboratoire-calebasse/image/upload/v1746524422/TRIBULE_TERRESTRE_100_g_ACJL_79b6dc6276.jpg" TargetMode="External"/><Relationship Id="rId3371" Type="http://schemas.openxmlformats.org/officeDocument/2006/relationships/hyperlink" Target="https://res.cloudinary.com/laboratoire-calebasse/image/upload/v1746523261/MELILOT_100_g_OMELT_ec8b37365e.jpg" TargetMode="External"/><Relationship Id="rId2040" Type="http://schemas.openxmlformats.org/officeDocument/2006/relationships/hyperlink" Target="https://res.cloudinary.com/laboratoire-calebasse/image/upload/v1753103894/CHOLESTEROL_D007_3218ad91a6.jpg" TargetMode="External"/><Relationship Id="rId3370" Type="http://schemas.openxmlformats.org/officeDocument/2006/relationships/hyperlink" Target="https://calebasse.com/produits/melilot-4336?product=6192" TargetMode="External"/><Relationship Id="rId121" Type="http://schemas.openxmlformats.org/officeDocument/2006/relationships/hyperlink" Target="https://calebasse.com/produits/chai-hu-racine-de-buplevre-3840?product=4037" TargetMode="External"/><Relationship Id="rId2041" Type="http://schemas.openxmlformats.org/officeDocument/2006/relationships/hyperlink" Target="https://calebasse.com/produits/jian-gu-qu-shi-wan-formule-sante-des-os-4215?product=5816" TargetMode="External"/><Relationship Id="rId3373" Type="http://schemas.openxmlformats.org/officeDocument/2006/relationships/hyperlink" Target="https://res.cloudinary.com/laboratoire-calebasse/image/upload/v1748269344/MELILOT_300_g_OMELTL_a039e5cba7.jpg" TargetMode="External"/><Relationship Id="rId120" Type="http://schemas.openxmlformats.org/officeDocument/2006/relationships/hyperlink" Target="https://res.cloudinary.com/laboratoire-calebasse/image/upload/v1746525536/RACINE_DE_BUPLEVRE_50_g_ACH_81dae40576.jpg" TargetMode="External"/><Relationship Id="rId2042" Type="http://schemas.openxmlformats.org/officeDocument/2006/relationships/hyperlink" Target="https://res.cloudinary.com/laboratoire-calebasse/image/upload/v1753104810/SANTE_DES_OS_D009_Gelule_2284c134f9.jpg" TargetMode="External"/><Relationship Id="rId3372" Type="http://schemas.openxmlformats.org/officeDocument/2006/relationships/hyperlink" Target="https://calebasse.com/produits/melilot-4336?product=6193" TargetMode="External"/><Relationship Id="rId2043" Type="http://schemas.openxmlformats.org/officeDocument/2006/relationships/hyperlink" Target="https://calebasse.com/produits/jin-feng-san-formule-defenses-naturelles-4216?product=5820" TargetMode="External"/><Relationship Id="rId3375" Type="http://schemas.openxmlformats.org/officeDocument/2006/relationships/hyperlink" Target="https://res.cloudinary.com/laboratoire-calebasse/image/upload/v1753800441/MENTHE_POIVREE_PARTIE_AERIENNE_COUPEE_BIO_50_g_OMEN_6f3f82ce64.jpg" TargetMode="External"/><Relationship Id="rId2044" Type="http://schemas.openxmlformats.org/officeDocument/2006/relationships/hyperlink" Target="https://res.cloudinary.com/laboratoire-calebasse/image/upload/v1753104075/DEFENSES_NATURELLES_D010_9b57c5334e.jpg" TargetMode="External"/><Relationship Id="rId3374" Type="http://schemas.openxmlformats.org/officeDocument/2006/relationships/hyperlink" Target="https://calebasse.com/produits/menthe-poivree-partie-aerienne-coupee-bio-5195?product=7510" TargetMode="External"/><Relationship Id="rId125" Type="http://schemas.openxmlformats.org/officeDocument/2006/relationships/hyperlink" Target="https://calebasse.com/produits/ci-ji-li-tribule-terrestre-3754?product=4077" TargetMode="External"/><Relationship Id="rId2045" Type="http://schemas.openxmlformats.org/officeDocument/2006/relationships/hyperlink" Target="https://calebasse.com/produits/nu-bao-tresor-de-la-femme-4559?product=5828" TargetMode="External"/><Relationship Id="rId3377" Type="http://schemas.openxmlformats.org/officeDocument/2006/relationships/hyperlink" Target="https://res.cloudinary.com/laboratoire-calebasse/image/upload/v1753800451/MENTHE_POIVREE_PARTIE_AERIENNE_COUPEE_BIO_200_g_OMENL_5b07b73844.jpg" TargetMode="External"/><Relationship Id="rId124" Type="http://schemas.openxmlformats.org/officeDocument/2006/relationships/hyperlink" Target="https://res.cloudinary.com/laboratoire-calebasse/image/upload/v1634201092/A_chaihugl_b434348d11.jpg" TargetMode="External"/><Relationship Id="rId2046" Type="http://schemas.openxmlformats.org/officeDocument/2006/relationships/hyperlink" Target="https://res.cloudinary.com/laboratoire-calebasse/image/upload/v1740588294/TRESOR_DE_LA_FEMME_gl_8c05c039b7.jpg" TargetMode="External"/><Relationship Id="rId3376" Type="http://schemas.openxmlformats.org/officeDocument/2006/relationships/hyperlink" Target="https://calebasse.com/produits/menthe-poivree-partie-aerienne-coupee-bio-5195?product=7511" TargetMode="External"/><Relationship Id="rId123" Type="http://schemas.openxmlformats.org/officeDocument/2006/relationships/hyperlink" Target="https://calebasse.com/produits/chai-hu-racine-de-buplevre-3840?product=4031" TargetMode="External"/><Relationship Id="rId2047" Type="http://schemas.openxmlformats.org/officeDocument/2006/relationships/hyperlink" Target="https://calebasse.com/produits/qing-zhuo-tang-formule-detox-4691?product=5836" TargetMode="External"/><Relationship Id="rId3379" Type="http://schemas.openxmlformats.org/officeDocument/2006/relationships/hyperlink" Target="https://res.cloudinary.com/laboratoire-calebasse/image/upload/v1746523404/MILLEPERTUIS_100_g_OMILL_885cda8297.jpg" TargetMode="External"/><Relationship Id="rId122" Type="http://schemas.openxmlformats.org/officeDocument/2006/relationships/hyperlink" Target="https://res.cloudinary.com/laboratoire-calebasse/image/upload/v1634201097/A_chaihucp_13b70a2962.jpg" TargetMode="External"/><Relationship Id="rId2048" Type="http://schemas.openxmlformats.org/officeDocument/2006/relationships/hyperlink" Target="https://res.cloudinary.com/laboratoire-calebasse/image/upload/v1740588307/DETOX_gl_6c4e265103.jpg" TargetMode="External"/><Relationship Id="rId3378" Type="http://schemas.openxmlformats.org/officeDocument/2006/relationships/hyperlink" Target="https://calebasse.com/produits/millepertuis-4338?product=6196" TargetMode="External"/><Relationship Id="rId2038" Type="http://schemas.openxmlformats.org/officeDocument/2006/relationships/hyperlink" Target="https://res.cloudinary.com/laboratoire-calebasse/image/upload/v1753103947/CONFORT_GASTRIQUE_D002_da9fc3e5e2.jpg" TargetMode="External"/><Relationship Id="rId2039" Type="http://schemas.openxmlformats.org/officeDocument/2006/relationships/hyperlink" Target="https://calebasse.com/produits/jiang-zhi-wan-formule-cholesterol-4211?product=5800" TargetMode="External"/><Relationship Id="rId3369" Type="http://schemas.openxmlformats.org/officeDocument/2006/relationships/hyperlink" Target="https://res.cloudinary.com/laboratoire-calebasse/image/upload/v1748270929/MELISSE_FEUILLE_COUPEE_BIO_200_g_OMELSL_de3c57c7ed.jpg" TargetMode="External"/><Relationship Id="rId118" Type="http://schemas.openxmlformats.org/officeDocument/2006/relationships/hyperlink" Target="https://res.cloudinary.com/laboratoire-calebasse/image/upload/v1747133031/FRUITS_DE_XANTHIANE_300_g_ACEZL_901c1eea3d.jpg" TargetMode="External"/><Relationship Id="rId117" Type="http://schemas.openxmlformats.org/officeDocument/2006/relationships/hyperlink" Target="https://calebasse.com/produits/chao-cang-er-zi-fruits-de-xanthiane-3770?product=4027" TargetMode="External"/><Relationship Id="rId116" Type="http://schemas.openxmlformats.org/officeDocument/2006/relationships/hyperlink" Target="https://res.cloudinary.com/laboratoire-calebasse/image/upload/v1746526380/FRUITS_DE_XANTHIANE_100_g_ACEZ_1fface5d8e.jpg" TargetMode="External"/><Relationship Id="rId115" Type="http://schemas.openxmlformats.org/officeDocument/2006/relationships/hyperlink" Target="https://calebasse.com/produits/chao-cang-er-zi-fruits-de-xanthiane-3770?product=4039" TargetMode="External"/><Relationship Id="rId3360" Type="http://schemas.openxmlformats.org/officeDocument/2006/relationships/hyperlink" Target="https://calebasse.com/produits/marrube-blanc-4332?product=6187" TargetMode="External"/><Relationship Id="rId119" Type="http://schemas.openxmlformats.org/officeDocument/2006/relationships/hyperlink" Target="https://calebasse.com/produits/chai-hu-racine-de-buplevre-3840?product=4040" TargetMode="External"/><Relationship Id="rId110" Type="http://schemas.openxmlformats.org/officeDocument/2006/relationships/hyperlink" Target="https://res.cloudinary.com/laboratoire-calebasse/image/upload/v1634201098/A_baizhushengcp_a06c8474b7.jpg" TargetMode="External"/><Relationship Id="rId2030" Type="http://schemas.openxmlformats.org/officeDocument/2006/relationships/hyperlink" Target="https://res.cloudinary.com/laboratoire-calebasse/image/upload/v1753354270/ZI_YIN_HUO_XUE_TANG_CZYHXT_a0ed11eeb8.jpg" TargetMode="External"/><Relationship Id="rId3362" Type="http://schemas.openxmlformats.org/officeDocument/2006/relationships/hyperlink" Target="https://calebasse.com/produits/marrube-noir-4334?product=6188" TargetMode="External"/><Relationship Id="rId2031" Type="http://schemas.openxmlformats.org/officeDocument/2006/relationships/hyperlink" Target="https://calebasse.com/produits/zi-yin-huo-xue-tang-4201?product=5766" TargetMode="External"/><Relationship Id="rId3361" Type="http://schemas.openxmlformats.org/officeDocument/2006/relationships/hyperlink" Target="https://res.cloudinary.com/laboratoire-calebasse/image/upload/v1748269363/MARRUBE_BLANC_200_g_OMARBL_753fc39efa.jpg" TargetMode="External"/><Relationship Id="rId2032" Type="http://schemas.openxmlformats.org/officeDocument/2006/relationships/hyperlink" Target="https://res.cloudinary.com/laboratoire-calebasse/image/upload/v1753354279/ZI_YIN_HUO_XUE_TANG_CZYHXTCP_5e9e5f3a38.jpg" TargetMode="External"/><Relationship Id="rId3364" Type="http://schemas.openxmlformats.org/officeDocument/2006/relationships/hyperlink" Target="https://calebasse.com/produits/marrube-noir-4334?product=6190" TargetMode="External"/><Relationship Id="rId2033" Type="http://schemas.openxmlformats.org/officeDocument/2006/relationships/hyperlink" Target="https://calebasse.com/produits/zhen-zhu-an-chuang-wan-4196?product=5743" TargetMode="External"/><Relationship Id="rId3363" Type="http://schemas.openxmlformats.org/officeDocument/2006/relationships/hyperlink" Target="https://res.cloudinary.com/laboratoire-calebasse/image/upload/v1746523199/MARRUBE_NOIR_100_g_OMARN_454c9b63d8.jpg" TargetMode="External"/><Relationship Id="rId114" Type="http://schemas.openxmlformats.org/officeDocument/2006/relationships/hyperlink" Target="https://res.cloudinary.com/laboratoire-calebasse/image/upload/v1748271953/RHIZOME_D_ATRACYLODE_300_g_ABZSL_98f259599c.jpg" TargetMode="External"/><Relationship Id="rId2034" Type="http://schemas.openxmlformats.org/officeDocument/2006/relationships/hyperlink" Target="https://res.cloudinary.com/laboratoire-calebasse/image/upload/v1753354140/ZHEN_ZHU_AN_CHUANG_WAN_CZZACW_c1fc81bdce.jpg" TargetMode="External"/><Relationship Id="rId3366" Type="http://schemas.openxmlformats.org/officeDocument/2006/relationships/hyperlink" Target="https://calebasse.com/produits/melisse-4337?product=6194" TargetMode="External"/><Relationship Id="rId113" Type="http://schemas.openxmlformats.org/officeDocument/2006/relationships/hyperlink" Target="https://calebasse.com/produits/bai-zhu-sheng-rhizome-datracylode-3759?product=3966" TargetMode="External"/><Relationship Id="rId2035" Type="http://schemas.openxmlformats.org/officeDocument/2006/relationships/hyperlink" Target="https://calebasse.com/produits/zhen-zhu-an-chuang-wan-4196?product=5745" TargetMode="External"/><Relationship Id="rId3365" Type="http://schemas.openxmlformats.org/officeDocument/2006/relationships/hyperlink" Target="https://res.cloudinary.com/laboratoire-calebasse/image/upload/v1748269380/MARRUBE_NOIR_200_g_OMARNL_d9f72884e8.jpg" TargetMode="External"/><Relationship Id="rId112" Type="http://schemas.openxmlformats.org/officeDocument/2006/relationships/hyperlink" Target="https://res.cloudinary.com/laboratoire-calebasse/image/upload/v1634201097/A_baizhushenggl_f8ad61b627.jpg" TargetMode="External"/><Relationship Id="rId2036" Type="http://schemas.openxmlformats.org/officeDocument/2006/relationships/hyperlink" Target="https://res.cloudinary.com/laboratoire-calebasse/image/upload/v1753354150/ZHEN_ZHU_AN_CHUANG_WAN_CZZACWCP_5dd72920dc.jpg" TargetMode="External"/><Relationship Id="rId3368" Type="http://schemas.openxmlformats.org/officeDocument/2006/relationships/hyperlink" Target="https://calebasse.com/produits/melisse-4337?product=6195" TargetMode="External"/><Relationship Id="rId111" Type="http://schemas.openxmlformats.org/officeDocument/2006/relationships/hyperlink" Target="https://calebasse.com/produits/bai-zhu-sheng-rhizome-datracylode-3759?product=3981" TargetMode="External"/><Relationship Id="rId2037" Type="http://schemas.openxmlformats.org/officeDocument/2006/relationships/hyperlink" Target="https://calebasse.com/produits/chai-hu-qu-suan-wan-formule-confort-gastrique-4695?product=5780" TargetMode="External"/><Relationship Id="rId3367" Type="http://schemas.openxmlformats.org/officeDocument/2006/relationships/hyperlink" Target="https://res.cloudinary.com/laboratoire-calebasse/image/upload/v1744901789/MELISSE_FEUILLE_COUPEE_BIO_80_g_OMELS_2025_04_10_55536908eb.jpg" TargetMode="External"/><Relationship Id="rId3315" Type="http://schemas.openxmlformats.org/officeDocument/2006/relationships/hyperlink" Target="https://res.cloudinary.com/laboratoire-calebasse/image/upload/v1752672032/GUIMAUVE_RACINE_COUPEE_BIO_200_g_OGUIRL_e9b362fb9a.jpg" TargetMode="External"/><Relationship Id="rId3314" Type="http://schemas.openxmlformats.org/officeDocument/2006/relationships/hyperlink" Target="https://calebasse.com/produits/racine-de-guimauve-4481?product=6165" TargetMode="External"/><Relationship Id="rId3317" Type="http://schemas.openxmlformats.org/officeDocument/2006/relationships/hyperlink" Target="https://res.cloudinary.com/laboratoire-calebasse/image/upload/v1746522987/HAMAMELIS_100_g_OHAMA_e0c875166e.jpg" TargetMode="External"/><Relationship Id="rId3316" Type="http://schemas.openxmlformats.org/officeDocument/2006/relationships/hyperlink" Target="https://calebasse.com/produits/hamamelis-4323?product=6166" TargetMode="External"/><Relationship Id="rId3319" Type="http://schemas.openxmlformats.org/officeDocument/2006/relationships/hyperlink" Target="https://res.cloudinary.com/laboratoire-calebasse/image/upload/v1748269574/HAMAMELIS_260_g_OHAMAL_c47acb400c.jpg" TargetMode="External"/><Relationship Id="rId3318" Type="http://schemas.openxmlformats.org/officeDocument/2006/relationships/hyperlink" Target="https://calebasse.com/produits/hamamelis-4323?product=6167" TargetMode="External"/><Relationship Id="rId3311" Type="http://schemas.openxmlformats.org/officeDocument/2006/relationships/hyperlink" Target="https://res.cloudinary.com/laboratoire-calebasse/image/upload/v1748269734/FEUILLES_DE_GUIMAUVE_180_g_OGUIFL_340357da86.jpg" TargetMode="External"/><Relationship Id="rId3310" Type="http://schemas.openxmlformats.org/officeDocument/2006/relationships/hyperlink" Target="https://calebasse.com/produits/feuilles-de-guimauve-4321?product=6163" TargetMode="External"/><Relationship Id="rId3313" Type="http://schemas.openxmlformats.org/officeDocument/2006/relationships/hyperlink" Target="https://res.cloudinary.com/laboratoire-calebasse/image/upload/v1752671998/GUIMAUVE_RACINE_COUPEE_BIO_50_g_OGUIR_c4ca369d2b.jpg" TargetMode="External"/><Relationship Id="rId3312" Type="http://schemas.openxmlformats.org/officeDocument/2006/relationships/hyperlink" Target="https://calebasse.com/produits/racine-de-guimauve-4481?product=6164" TargetMode="External"/><Relationship Id="rId3304" Type="http://schemas.openxmlformats.org/officeDocument/2006/relationships/hyperlink" Target="https://calebasse.com/produits/guarana-4320?product=6258" TargetMode="External"/><Relationship Id="rId3303" Type="http://schemas.openxmlformats.org/officeDocument/2006/relationships/hyperlink" Target="https://res.cloudinary.com/laboratoire-calebasse/image/upload/v1751624107/GUARANA_100_g_OGUAR_c32eaf04f6.jpg" TargetMode="External"/><Relationship Id="rId3306" Type="http://schemas.openxmlformats.org/officeDocument/2006/relationships/hyperlink" Target="https://calebasse.com/produits/guarana-4320?product=6260" TargetMode="External"/><Relationship Id="rId3305" Type="http://schemas.openxmlformats.org/officeDocument/2006/relationships/hyperlink" Target="https://res.cloudinary.com/laboratoire-calebasse/image/upload/v1634201176/O_guaranagl_aa0b6f7378.jpg" TargetMode="External"/><Relationship Id="rId3308" Type="http://schemas.openxmlformats.org/officeDocument/2006/relationships/hyperlink" Target="https://calebasse.com/produits/feuilles-de-guimauve-4321?product=6162" TargetMode="External"/><Relationship Id="rId3307" Type="http://schemas.openxmlformats.org/officeDocument/2006/relationships/hyperlink" Target="https://res.cloudinary.com/laboratoire-calebasse/image/upload/v1751624096/GUARANA_300_g_OGUARL_c78cae929e.jpg" TargetMode="External"/><Relationship Id="rId3309" Type="http://schemas.openxmlformats.org/officeDocument/2006/relationships/hyperlink" Target="https://res.cloudinary.com/laboratoire-calebasse/image/upload/v1746522779/FEUILLES_DE_GUIMAUVE_100_g_OGUIF_34e1c30452.jpg" TargetMode="External"/><Relationship Id="rId3300" Type="http://schemas.openxmlformats.org/officeDocument/2006/relationships/hyperlink" Target="https://calebasse.com/produits/goyave-4319?product=6157" TargetMode="External"/><Relationship Id="rId3302" Type="http://schemas.openxmlformats.org/officeDocument/2006/relationships/hyperlink" Target="https://calebasse.com/produits/guarana-4320?product=6259" TargetMode="External"/><Relationship Id="rId3301" Type="http://schemas.openxmlformats.org/officeDocument/2006/relationships/hyperlink" Target="https://res.cloudinary.com/laboratoire-calebasse/image/upload/v1748269659/GOYAVE_140_g_OGOYAL_7b171f2fb0.jpg" TargetMode="External"/><Relationship Id="rId2005" Type="http://schemas.openxmlformats.org/officeDocument/2006/relationships/hyperlink" Target="https://calebasse.com/produits/zhi-bai-di-huang-wan-4199?product=5752" TargetMode="External"/><Relationship Id="rId3337" Type="http://schemas.openxmlformats.org/officeDocument/2006/relationships/hyperlink" Target="https://res.cloudinary.com/laboratoire-calebasse/image/upload/v1746523066/HYDROCOTYLE_100_g_OHYDR_091ac06bcf.jpg" TargetMode="External"/><Relationship Id="rId2006" Type="http://schemas.openxmlformats.org/officeDocument/2006/relationships/hyperlink" Target="https://res.cloudinary.com/laboratoire-calebasse/image/upload/v1753106239/ZHI_BAI_DI_HUANG_WAN_CZBDHW_22fb3748ad.jpg" TargetMode="External"/><Relationship Id="rId3336" Type="http://schemas.openxmlformats.org/officeDocument/2006/relationships/hyperlink" Target="https://calebasse.com/produits/hydrocotyle-4328?product=6176" TargetMode="External"/><Relationship Id="rId2007" Type="http://schemas.openxmlformats.org/officeDocument/2006/relationships/hyperlink" Target="https://calebasse.com/produits/zhi-bai-di-huang-wan-4199?product=5754" TargetMode="External"/><Relationship Id="rId3339" Type="http://schemas.openxmlformats.org/officeDocument/2006/relationships/hyperlink" Target="https://res.cloudinary.com/laboratoire-calebasse/image/upload/v1748269495/HYDROCOTYLE_200_g_OHYDRL_5540fdd7f2.jpg" TargetMode="External"/><Relationship Id="rId2008" Type="http://schemas.openxmlformats.org/officeDocument/2006/relationships/hyperlink" Target="https://res.cloudinary.com/laboratoire-calebasse/image/upload/v1753106321/ZHI_BAI_DI_HUANG_WAN_CZBDHWCP_8382a6dd60.jpg" TargetMode="External"/><Relationship Id="rId3338" Type="http://schemas.openxmlformats.org/officeDocument/2006/relationships/hyperlink" Target="https://calebasse.com/produits/hydrocotyle-4328?product=6177" TargetMode="External"/><Relationship Id="rId2009" Type="http://schemas.openxmlformats.org/officeDocument/2006/relationships/hyperlink" Target="https://calebasse.com/produits/zhi-gan-cao-tang-4394?product=6344" TargetMode="External"/><Relationship Id="rId3331" Type="http://schemas.openxmlformats.org/officeDocument/2006/relationships/hyperlink" Target="https://res.cloudinary.com/laboratoire-calebasse/image/upload/v1748270973/HIBISCUS_FLEUR_COUPEE_BIO_200_g_OHIBIL_37c3055e84.jpg" TargetMode="External"/><Relationship Id="rId2000" Type="http://schemas.openxmlformats.org/officeDocument/2006/relationships/hyperlink" Target="https://res.cloudinary.com/laboratoire-calebasse/image/upload/v1753354079/YI_YI_REN_TANG_CYYRTCP_b3fd668a50.jpg" TargetMode="External"/><Relationship Id="rId3330" Type="http://schemas.openxmlformats.org/officeDocument/2006/relationships/hyperlink" Target="https://calebasse.com/produits/hibiscus-4326?product=6173" TargetMode="External"/><Relationship Id="rId2001" Type="http://schemas.openxmlformats.org/officeDocument/2006/relationships/hyperlink" Target="https://calebasse.com/produits/yuan-zhi-chang-pu-san-4195?product=5736" TargetMode="External"/><Relationship Id="rId3333" Type="http://schemas.openxmlformats.org/officeDocument/2006/relationships/hyperlink" Target="https://res.cloudinary.com/laboratoire-calebasse/image/upload/v1751624197/CONES_DE_HOUBLON_50_g_OHOUB_8eed15f191.jpg" TargetMode="External"/><Relationship Id="rId2002" Type="http://schemas.openxmlformats.org/officeDocument/2006/relationships/hyperlink" Target="https://res.cloudinary.com/laboratoire-calebasse/image/upload/v1634201208/C_yuanzhichangpusan_eb86c8dd29.jpg" TargetMode="External"/><Relationship Id="rId3332" Type="http://schemas.openxmlformats.org/officeDocument/2006/relationships/hyperlink" Target="https://calebasse.com/produits/cones-de-houblon-4327?product=6174" TargetMode="External"/><Relationship Id="rId2003" Type="http://schemas.openxmlformats.org/officeDocument/2006/relationships/hyperlink" Target="https://calebasse.com/produits/yuan-zhi-chang-pu-san-4195?product=5738" TargetMode="External"/><Relationship Id="rId3335" Type="http://schemas.openxmlformats.org/officeDocument/2006/relationships/hyperlink" Target="https://res.cloudinary.com/laboratoire-calebasse/image/upload/v1751624181/CONES_DE_HOUBLON_140_g_OHOUBL_996a90c910.jpg" TargetMode="External"/><Relationship Id="rId2004" Type="http://schemas.openxmlformats.org/officeDocument/2006/relationships/hyperlink" Target="https://res.cloudinary.com/laboratoire-calebasse/image/upload/v1634201208/C_yuanzhichangpusancp_bd6e8ded76.jpg" TargetMode="External"/><Relationship Id="rId3334" Type="http://schemas.openxmlformats.org/officeDocument/2006/relationships/hyperlink" Target="https://calebasse.com/produits/cones-de-houblon-4327?product=6175" TargetMode="External"/><Relationship Id="rId3326" Type="http://schemas.openxmlformats.org/officeDocument/2006/relationships/hyperlink" Target="https://calebasse.com/produits/herbe-aux-chantres-4324?product=6171" TargetMode="External"/><Relationship Id="rId3325" Type="http://schemas.openxmlformats.org/officeDocument/2006/relationships/hyperlink" Target="https://res.cloudinary.com/laboratoire-calebasse/image/upload/v1746523019/HERBE_AUX_CHANTRES_100_g_OHERB_809c833156.jpg" TargetMode="External"/><Relationship Id="rId3328" Type="http://schemas.openxmlformats.org/officeDocument/2006/relationships/hyperlink" Target="https://calebasse.com/produits/hibiscus-4326?product=6172" TargetMode="External"/><Relationship Id="rId3327" Type="http://schemas.openxmlformats.org/officeDocument/2006/relationships/hyperlink" Target="https://res.cloudinary.com/laboratoire-calebasse/image/upload/v1748269525/HERBE_AUX_CHANTRES_240_g_OHERBL_482f150e86.jpg" TargetMode="External"/><Relationship Id="rId3329" Type="http://schemas.openxmlformats.org/officeDocument/2006/relationships/hyperlink" Target="https://res.cloudinary.com/laboratoire-calebasse/image/upload/v1744901486/HIBISCUS_FLEUR_COUPEE_BIO_50_g_OHIBI_2025_04_10_ad8a513eb9.jpg" TargetMode="External"/><Relationship Id="rId3320" Type="http://schemas.openxmlformats.org/officeDocument/2006/relationships/hyperlink" Target="https://calebasse.com/produits/harpagophytum-4325?product=6168" TargetMode="External"/><Relationship Id="rId3322" Type="http://schemas.openxmlformats.org/officeDocument/2006/relationships/hyperlink" Target="https://calebasse.com/produits/harpagophytum-4325?product=6169" TargetMode="External"/><Relationship Id="rId3321" Type="http://schemas.openxmlformats.org/officeDocument/2006/relationships/hyperlink" Target="https://res.cloudinary.com/laboratoire-calebasse/image/upload/v1746523005/HARPAGOPHYTUM_100_g_OHARP_d7ae104be9.jpg" TargetMode="External"/><Relationship Id="rId3324" Type="http://schemas.openxmlformats.org/officeDocument/2006/relationships/hyperlink" Target="https://calebasse.com/produits/herbe-aux-chantres-4324?product=6170" TargetMode="External"/><Relationship Id="rId3323" Type="http://schemas.openxmlformats.org/officeDocument/2006/relationships/hyperlink" Target="https://res.cloudinary.com/laboratoire-calebasse/image/upload/v1748269555/HARPAGOPHYTUM_300_g_OHARPL_5f017b1f54.jpg" TargetMode="External"/><Relationship Id="rId2090" Type="http://schemas.openxmlformats.org/officeDocument/2006/relationships/hyperlink" Target="https://res.cloudinary.com/laboratoire-calebasse/image/upload/v1740588301/CALME_and_DETENTE_gl_967df1b8e0.jpg" TargetMode="External"/><Relationship Id="rId2091" Type="http://schemas.openxmlformats.org/officeDocument/2006/relationships/hyperlink" Target="https://calebasse.com/produits/jia-wei-zhi-pu-san-formule-tonifiant-intellectuel-4267?product=6020" TargetMode="External"/><Relationship Id="rId2092" Type="http://schemas.openxmlformats.org/officeDocument/2006/relationships/hyperlink" Target="https://res.cloudinary.com/laboratoire-calebasse/image/upload/v1740588299/MEMOIRE_and_CONCEN_TRATION_gl_6b7de98865.jpg" TargetMode="External"/><Relationship Id="rId2093" Type="http://schemas.openxmlformats.org/officeDocument/2006/relationships/hyperlink" Target="https://calebasse.com/produits/nan-bao-tresor-de-lhomme-4558?product=6076" TargetMode="External"/><Relationship Id="rId2094" Type="http://schemas.openxmlformats.org/officeDocument/2006/relationships/hyperlink" Target="https://res.cloudinary.com/laboratoire-calebasse/image/upload/v1740588310/TRESOR_DE_L_HOMME_gl_fa7eb3ea94.jpg" TargetMode="External"/><Relationship Id="rId2095" Type="http://schemas.openxmlformats.org/officeDocument/2006/relationships/hyperlink" Target="https://calebasse.com/produits/zhen-zhu-fen-poudre-de-perle-4279?product=6072" TargetMode="External"/><Relationship Id="rId2096" Type="http://schemas.openxmlformats.org/officeDocument/2006/relationships/hyperlink" Target="https://res.cloudinary.com/laboratoire-calebasse/image/upload/v1754487881/zhen_zhu_fen_c27d5b71f4.jpg" TargetMode="External"/><Relationship Id="rId2097" Type="http://schemas.openxmlformats.org/officeDocument/2006/relationships/hyperlink" Target="https://calebasse.com/produits/formule-anti-fatigue-5185?product=7529" TargetMode="External"/><Relationship Id="rId2098" Type="http://schemas.openxmlformats.org/officeDocument/2006/relationships/hyperlink" Target="https://res.cloudinary.com/laboratoire-calebasse/image/upload/v1753176392/ANTI_FATIGUE_GL_234224193a.jpg" TargetMode="External"/><Relationship Id="rId2099" Type="http://schemas.openxmlformats.org/officeDocument/2006/relationships/hyperlink" Target="https://calebasse.com/produits/liu-wei-xiao-yao-san-formule-humeur-4850?product=7050" TargetMode="External"/><Relationship Id="rId3391" Type="http://schemas.openxmlformats.org/officeDocument/2006/relationships/hyperlink" Target="https://res.cloudinary.com/laboratoire-calebasse/image/upload/v1746522741/FEUILLES_D_ORANGER_100_g_OODFE_1f7a8b07b0.jpg" TargetMode="External"/><Relationship Id="rId2060" Type="http://schemas.openxmlformats.org/officeDocument/2006/relationships/hyperlink" Target="https://res.cloudinary.com/laboratoire-calebasse/image/upload/v1753104703/MUCOSITE_D022_Gelule_3b9d6a8f60.jpg" TargetMode="External"/><Relationship Id="rId3390" Type="http://schemas.openxmlformats.org/officeDocument/2006/relationships/hyperlink" Target="https://calebasse.com/produits/feuilles-doranger-4342?product=6204" TargetMode="External"/><Relationship Id="rId2061" Type="http://schemas.openxmlformats.org/officeDocument/2006/relationships/hyperlink" Target="https://calebasse.com/produits/tong-feng-wan-formule-acide-urique-4229?product=5872" TargetMode="External"/><Relationship Id="rId3393" Type="http://schemas.openxmlformats.org/officeDocument/2006/relationships/hyperlink" Target="https://res.cloudinary.com/laboratoire-calebasse/image/upload/v1748269834/FEUILLES_D_ORANGER_300_g_OODFEL_b9dd064ab8.jpg" TargetMode="External"/><Relationship Id="rId2062" Type="http://schemas.openxmlformats.org/officeDocument/2006/relationships/hyperlink" Target="https://res.cloudinary.com/laboratoire-calebasse/image/upload/v1753102281/ACIDE_URIQUE_D023_Gelule_f22ba3edb2.jpg" TargetMode="External"/><Relationship Id="rId3392" Type="http://schemas.openxmlformats.org/officeDocument/2006/relationships/hyperlink" Target="https://calebasse.com/produits/feuilles-doranger-4342?product=6205" TargetMode="External"/><Relationship Id="rId2063" Type="http://schemas.openxmlformats.org/officeDocument/2006/relationships/hyperlink" Target="https://calebasse.com/produits/qi-miao-san-formule-circulation-4231?product=5880" TargetMode="External"/><Relationship Id="rId3395" Type="http://schemas.openxmlformats.org/officeDocument/2006/relationships/hyperlink" Target="https://res.cloudinary.com/laboratoire-calebasse/image/upload/v1746523523/PETALES_D_ORANGER_100_g_OODPE_5b0add3f85.jpg" TargetMode="External"/><Relationship Id="rId2064" Type="http://schemas.openxmlformats.org/officeDocument/2006/relationships/hyperlink" Target="https://res.cloudinary.com/laboratoire-calebasse/image/upload/v1753103933/CIRCULATION_D025_Gelule_0653aa57b6.jpg" TargetMode="External"/><Relationship Id="rId3394" Type="http://schemas.openxmlformats.org/officeDocument/2006/relationships/hyperlink" Target="https://calebasse.com/produits/petales-doranger-4343?product=6206" TargetMode="External"/><Relationship Id="rId2065" Type="http://schemas.openxmlformats.org/officeDocument/2006/relationships/hyperlink" Target="https://calebasse.com/produits/ba-miao-san-formule-jambes-lourdes-4408?product=5888" TargetMode="External"/><Relationship Id="rId3397" Type="http://schemas.openxmlformats.org/officeDocument/2006/relationships/hyperlink" Target="https://res.cloudinary.com/laboratoire-calebasse/image/upload/v1748268880/PETALES_D_ORANGER_300_g_OODPEL_a5845e9f32.jpg" TargetMode="External"/><Relationship Id="rId2066" Type="http://schemas.openxmlformats.org/officeDocument/2006/relationships/hyperlink" Target="https://res.cloudinary.com/laboratoire-calebasse/image/upload/v1740588293/JAMBES_LOURDES_gl_c8fbedd248.jpg" TargetMode="External"/><Relationship Id="rId3396" Type="http://schemas.openxmlformats.org/officeDocument/2006/relationships/hyperlink" Target="https://calebasse.com/produits/petales-doranger-4343?product=6207" TargetMode="External"/><Relationship Id="rId2067" Type="http://schemas.openxmlformats.org/officeDocument/2006/relationships/hyperlink" Target="https://calebasse.com/produits/ba-miao-san-formule-jambes-lourdes-4408?product=5889" TargetMode="External"/><Relationship Id="rId3399" Type="http://schemas.openxmlformats.org/officeDocument/2006/relationships/hyperlink" Target="https://res.cloudinary.com/laboratoire-calebasse/image/upload/v1746523424/OLIVIER_100_g_OOLIV_b170bf6d76.jpg" TargetMode="External"/><Relationship Id="rId2068" Type="http://schemas.openxmlformats.org/officeDocument/2006/relationships/hyperlink" Target="https://res.cloudinary.com/laboratoire-calebasse/image/upload/v1750682887/Bundles_042413a67f.jpg" TargetMode="External"/><Relationship Id="rId3398" Type="http://schemas.openxmlformats.org/officeDocument/2006/relationships/hyperlink" Target="https://calebasse.com/produits/olivier-4339?product=6198" TargetMode="External"/><Relationship Id="rId2069" Type="http://schemas.openxmlformats.org/officeDocument/2006/relationships/hyperlink" Target="https://calebasse.com/produits/gou-teng-qing-kong-tang-formule-tete-apaisee-4666?product=5892" TargetMode="External"/><Relationship Id="rId3380" Type="http://schemas.openxmlformats.org/officeDocument/2006/relationships/hyperlink" Target="https://calebasse.com/produits/millepertuis-4338?product=6197" TargetMode="External"/><Relationship Id="rId2050" Type="http://schemas.openxmlformats.org/officeDocument/2006/relationships/hyperlink" Target="https://res.cloudinary.com/laboratoire-calebasse/image/upload/v1753104100/DETOX_URINAIRE_D014_7318f0a167.jpg" TargetMode="External"/><Relationship Id="rId3382" Type="http://schemas.openxmlformats.org/officeDocument/2006/relationships/hyperlink" Target="https://calebasse.com/produits/sang-ye-feuilles-de-murier-3908?product=4648" TargetMode="External"/><Relationship Id="rId2051" Type="http://schemas.openxmlformats.org/officeDocument/2006/relationships/hyperlink" Target="https://calebasse.com/produits/bao-he-xiao-shi-wan-formule-digestion-4222?product=5844" TargetMode="External"/><Relationship Id="rId3381" Type="http://schemas.openxmlformats.org/officeDocument/2006/relationships/hyperlink" Target="https://res.cloudinary.com/laboratoire-calebasse/image/upload/v1748269178/MILLEPERTUIS_300_g_OMILLL_9f83a56c2a.jpg" TargetMode="External"/><Relationship Id="rId2052" Type="http://schemas.openxmlformats.org/officeDocument/2006/relationships/hyperlink" Target="https://res.cloudinary.com/laboratoire-calebasse/image/upload/v1740588291/DIGESTION_gl_0423d4c040.jpg" TargetMode="External"/><Relationship Id="rId3384" Type="http://schemas.openxmlformats.org/officeDocument/2006/relationships/hyperlink" Target="https://calebasse.com/produits/sang-ye-feuilles-de-murier-3908?product=4648" TargetMode="External"/><Relationship Id="rId2053" Type="http://schemas.openxmlformats.org/officeDocument/2006/relationships/hyperlink" Target="https://calebasse.com/produits/chai-hu-zhi-tong-tang-formule-confort-articulaire-4223?product=5848" TargetMode="External"/><Relationship Id="rId3383" Type="http://schemas.openxmlformats.org/officeDocument/2006/relationships/hyperlink" Target="https://res.cloudinary.com/laboratoire-calebasse/image/upload/v1746525749/FEUILLES_DE_MURIER_50_g_ASYE_65e588c5aa.jpg" TargetMode="External"/><Relationship Id="rId2054" Type="http://schemas.openxmlformats.org/officeDocument/2006/relationships/hyperlink" Target="https://res.cloudinary.com/laboratoire-calebasse/image/upload/v1740588287/ARTICULATION_gl_f8f3762d0f.jpg" TargetMode="External"/><Relationship Id="rId3386" Type="http://schemas.openxmlformats.org/officeDocument/2006/relationships/hyperlink" Target="https://calebasse.com/produits/boutons-doranger-4341?product=6203" TargetMode="External"/><Relationship Id="rId2055" Type="http://schemas.openxmlformats.org/officeDocument/2006/relationships/hyperlink" Target="https://calebasse.com/produits/tong-jing-wan-formule-confort-menstruel-4224?product=5852" TargetMode="External"/><Relationship Id="rId3385" Type="http://schemas.openxmlformats.org/officeDocument/2006/relationships/hyperlink" Target="https://res.cloudinary.com/laboratoire-calebasse/image/upload/v1746525749/FEUILLES_DE_MURIER_50_g_ASYE_65e588c5aa.jpg" TargetMode="External"/><Relationship Id="rId2056" Type="http://schemas.openxmlformats.org/officeDocument/2006/relationships/hyperlink" Target="https://res.cloudinary.com/laboratoire-calebasse/image/upload/v1753106524/CONFORT_MENSTRUEL_1a9540b07b.jpg" TargetMode="External"/><Relationship Id="rId3388" Type="http://schemas.openxmlformats.org/officeDocument/2006/relationships/hyperlink" Target="https://calebasse.com/produits/boutons-doranger-4341?product=6202" TargetMode="External"/><Relationship Id="rId2057" Type="http://schemas.openxmlformats.org/officeDocument/2006/relationships/hyperlink" Target="https://calebasse.com/produits/jian-shen-wan-formule-energie-sportive-4225?product=5856" TargetMode="External"/><Relationship Id="rId3387" Type="http://schemas.openxmlformats.org/officeDocument/2006/relationships/hyperlink" Target="https://res.cloudinary.com/laboratoire-calebasse/image/upload/v1746522242/BOUTONS_D_ORANGER_50_g_OODBO_a4c4b21f49.jpg" TargetMode="External"/><Relationship Id="rId2058" Type="http://schemas.openxmlformats.org/officeDocument/2006/relationships/hyperlink" Target="https://res.cloudinary.com/laboratoire-calebasse/image/upload/v1753104143/ENERGIE_SPORTIVE_D018_d9cef00aa0.jpg" TargetMode="External"/><Relationship Id="rId2059" Type="http://schemas.openxmlformats.org/officeDocument/2006/relationships/hyperlink" Target="https://calebasse.com/produits/qing-fei-qu-tan-wan-formule-mucosite-4405?product=5868" TargetMode="External"/><Relationship Id="rId3389" Type="http://schemas.openxmlformats.org/officeDocument/2006/relationships/hyperlink" Target="https://res.cloudinary.com/laboratoire-calebasse/image/upload/v1752220977/BOUTONS_D_ORANGER_260_g_OODBOL_01d28682d8.jpg" TargetMode="External"/><Relationship Id="rId2080" Type="http://schemas.openxmlformats.org/officeDocument/2006/relationships/hyperlink" Target="https://res.cloudinary.com/laboratoire-calebasse/image/upload/v1740588290/CHEVEUX_gl_08289d6b1a.jpg" TargetMode="External"/><Relationship Id="rId2081" Type="http://schemas.openxmlformats.org/officeDocument/2006/relationships/hyperlink" Target="https://calebasse.com/produits/si-miao-qian-lie-wan-formule-prostate-4245?product=5936" TargetMode="External"/><Relationship Id="rId2082" Type="http://schemas.openxmlformats.org/officeDocument/2006/relationships/hyperlink" Target="https://res.cloudinary.com/laboratoire-calebasse/image/upload/v1740588287/PROSTATE_gl_30497a5537.jpg" TargetMode="External"/><Relationship Id="rId2083" Type="http://schemas.openxmlformats.org/officeDocument/2006/relationships/hyperlink" Target="https://calebasse.com/produits/jin-qian-xiao-shi-wan-formule-repas-riches-4250?product=5956" TargetMode="External"/><Relationship Id="rId2084" Type="http://schemas.openxmlformats.org/officeDocument/2006/relationships/hyperlink" Target="https://res.cloudinary.com/laboratoire-calebasse/image/upload/v1753104766/REPAS_RICHES_D044_b039349525.jpg" TargetMode="External"/><Relationship Id="rId2085" Type="http://schemas.openxmlformats.org/officeDocument/2006/relationships/hyperlink" Target="https://calebasse.com/produits/chai-hu-ge-gen-tang-formule-serenite-4643?product=5976" TargetMode="External"/><Relationship Id="rId2086" Type="http://schemas.openxmlformats.org/officeDocument/2006/relationships/hyperlink" Target="https://res.cloudinary.com/laboratoire-calebasse/image/upload/v1753105054/SERENITE_D050_Gelule_f012f59bf9.jpg" TargetMode="External"/><Relationship Id="rId2087" Type="http://schemas.openxmlformats.org/officeDocument/2006/relationships/hyperlink" Target="https://calebasse.com/produits/wu-wei-jiang-tang-tang-formule-sucre-4406?product=5991" TargetMode="External"/><Relationship Id="rId2088" Type="http://schemas.openxmlformats.org/officeDocument/2006/relationships/hyperlink" Target="https://res.cloudinary.com/laboratoire-calebasse/image/upload/v1753106037/SUCRE_D053_Gelule_023d69fa60.jpg" TargetMode="External"/><Relationship Id="rId2089" Type="http://schemas.openxmlformats.org/officeDocument/2006/relationships/hyperlink" Target="https://calebasse.com/produits/san-shen-shuang-dong-tang-formule-stress-et-surmenage-4409?product=5996" TargetMode="External"/><Relationship Id="rId2070" Type="http://schemas.openxmlformats.org/officeDocument/2006/relationships/hyperlink" Target="https://res.cloudinary.com/laboratoire-calebasse/image/upload/v1753106070/TETE_APAISEE_D028_2afc6d5e2b.jpg" TargetMode="External"/><Relationship Id="rId2071" Type="http://schemas.openxmlformats.org/officeDocument/2006/relationships/hyperlink" Target="https://calebasse.com/produits/huang-qi-sheng-mai-yin-formule-tresor-de-jeunesse-4271?product=6040" TargetMode="External"/><Relationship Id="rId2072" Type="http://schemas.openxmlformats.org/officeDocument/2006/relationships/hyperlink" Target="https://res.cloudinary.com/laboratoire-calebasse/image/upload/v1753106144/TRESOR_DE_JEUNESSE_D030_57e8e22078.jpg" TargetMode="External"/><Relationship Id="rId2073" Type="http://schemas.openxmlformats.org/officeDocument/2006/relationships/hyperlink" Target="https://calebasse.com/produits/geng-nian-an-formule-menopause-4236?product=5904" TargetMode="External"/><Relationship Id="rId2074" Type="http://schemas.openxmlformats.org/officeDocument/2006/relationships/hyperlink" Target="https://res.cloudinary.com/laboratoire-calebasse/image/upload/v1740588306/MENOPAUSE_gl_1202df0f8a.jpg" TargetMode="External"/><Relationship Id="rId2075" Type="http://schemas.openxmlformats.org/officeDocument/2006/relationships/hyperlink" Target="https://calebasse.com/produits/chai-hu-jian-zhou-wan-formule-mobilite-4239?product=5911" TargetMode="External"/><Relationship Id="rId2076" Type="http://schemas.openxmlformats.org/officeDocument/2006/relationships/hyperlink" Target="https://res.cloudinary.com/laboratoire-calebasse/image/upload/v1753104659/MOBILITE_D034_b3e55df314.jpg" TargetMode="External"/><Relationship Id="rId2077" Type="http://schemas.openxmlformats.org/officeDocument/2006/relationships/hyperlink" Target="https://calebasse.com/produits/chai-hu-an-mian-wan-formule-sommeil-4255?product=5980" TargetMode="External"/><Relationship Id="rId2078" Type="http://schemas.openxmlformats.org/officeDocument/2006/relationships/hyperlink" Target="https://res.cloudinary.com/laboratoire-calebasse/image/upload/v1740588303/SOMMEIL_gl_073509e26f.jpg" TargetMode="External"/><Relationship Id="rId2079" Type="http://schemas.openxmlformats.org/officeDocument/2006/relationships/hyperlink" Target="https://calebasse.com/produits/shou-wu-mei-fa-wan-formule-nutrition-des-cheveux-4240?product=5916" TargetMode="External"/><Relationship Id="rId2940" Type="http://schemas.openxmlformats.org/officeDocument/2006/relationships/hyperlink" Target="https://calebasse.com/produits/ba-duan-jin-juan-zhou-ban-illustration-huit-pieces-du-brocart-ba-duan-jin-4930?product=7138" TargetMode="External"/><Relationship Id="rId1610" Type="http://schemas.openxmlformats.org/officeDocument/2006/relationships/hyperlink" Target="https://res.cloudinary.com/laboratoire-calebasse/image/upload/v1753352220/JIAN_ZHOU_TONG_WAN_CJAZTW_1f0233dab6.jpg" TargetMode="External"/><Relationship Id="rId2941" Type="http://schemas.openxmlformats.org/officeDocument/2006/relationships/hyperlink" Target="https://res.cloudinary.com/laboratoire-calebasse/image/upload/v1699956640/sans_titre_2_720_db54178fb9.jpg" TargetMode="External"/><Relationship Id="rId1611" Type="http://schemas.openxmlformats.org/officeDocument/2006/relationships/hyperlink" Target="https://calebasse.com/produits/jian-zhou-tong-wan-4081?product=5282" TargetMode="External"/><Relationship Id="rId2942" Type="http://schemas.openxmlformats.org/officeDocument/2006/relationships/hyperlink" Target="https://calebasse.com/produits/zhong-yi-si-zhen-tu-wang-illustration-des-quatre-diagnostics-wang-observation-4931?product=7139" TargetMode="External"/><Relationship Id="rId1612" Type="http://schemas.openxmlformats.org/officeDocument/2006/relationships/hyperlink" Target="https://res.cloudinary.com/laboratoire-calebasse/image/upload/v1753352230/JIAN_ZHOU_TONG_WAN_CJAZTWCP_eec4f562d6.jpg" TargetMode="External"/><Relationship Id="rId2943" Type="http://schemas.openxmlformats.org/officeDocument/2006/relationships/hyperlink" Target="https://res.cloudinary.com/laboratoire-calebasse/image/upload/v1699956968/_fa53559d2d.png" TargetMode="External"/><Relationship Id="rId1613" Type="http://schemas.openxmlformats.org/officeDocument/2006/relationships/hyperlink" Target="https://calebasse.com/produits/jian-bu-wan-4535?product=5264" TargetMode="External"/><Relationship Id="rId2944" Type="http://schemas.openxmlformats.org/officeDocument/2006/relationships/hyperlink" Target="https://calebasse.com/produits/zhong-yi-si-zhen-tu-wen-illustration-des-quatre-diagnostics-wen-olfaction-and-ecoute-4932?product=7140" TargetMode="External"/><Relationship Id="rId1614" Type="http://schemas.openxmlformats.org/officeDocument/2006/relationships/hyperlink" Target="https://res.cloudinary.com/laboratoire-calebasse/image/upload/v1753352194/JIAN_BU_WAN_CJBW_8cae58e459.jpg" TargetMode="External"/><Relationship Id="rId2945" Type="http://schemas.openxmlformats.org/officeDocument/2006/relationships/hyperlink" Target="https://res.cloudinary.com/laboratoire-calebasse/image/upload/v1699956982/_6f5700b70b.png" TargetMode="External"/><Relationship Id="rId1615" Type="http://schemas.openxmlformats.org/officeDocument/2006/relationships/hyperlink" Target="https://calebasse.com/produits/jian-bu-wan-4535?product=5266" TargetMode="External"/><Relationship Id="rId2946" Type="http://schemas.openxmlformats.org/officeDocument/2006/relationships/hyperlink" Target="https://calebasse.com/produits/zhong-yi-si-zhen-tu-wen-illustration-des-quatre-diagnostics-wen-interrogation-4933?product=7141" TargetMode="External"/><Relationship Id="rId1616" Type="http://schemas.openxmlformats.org/officeDocument/2006/relationships/hyperlink" Target="https://res.cloudinary.com/laboratoire-calebasse/image/upload/v1753352205/JIAN_BU_WAN_CJBWCP_ee054000d2.jpg" TargetMode="External"/><Relationship Id="rId2947" Type="http://schemas.openxmlformats.org/officeDocument/2006/relationships/hyperlink" Target="https://res.cloudinary.com/laboratoire-calebasse/image/upload/v1699957008/_bc7785041b.png" TargetMode="External"/><Relationship Id="rId907" Type="http://schemas.openxmlformats.org/officeDocument/2006/relationships/hyperlink" Target="https://calebasse.com/produits/sang-shen-zi-mures-sechees-3907?product=4642" TargetMode="External"/><Relationship Id="rId1617" Type="http://schemas.openxmlformats.org/officeDocument/2006/relationships/hyperlink" Target="https://calebasse.com/produits/jiang-dan-gu-chun-wan-4082?product=5284" TargetMode="External"/><Relationship Id="rId2948" Type="http://schemas.openxmlformats.org/officeDocument/2006/relationships/hyperlink" Target="https://calebasse.com/produits/zhong-yi-si-zhen-tu-qie-illustration-des-quatre-diagnostics-qie-palpation-4934?product=7142" TargetMode="External"/><Relationship Id="rId906" Type="http://schemas.openxmlformats.org/officeDocument/2006/relationships/hyperlink" Target="https://res.cloudinary.com/laboratoire-calebasse/image/upload/v1746526028/GRUAU_AU_LOTUS_ET_PORIA_100_g_ASRYBZ_313256481e.jpg" TargetMode="External"/><Relationship Id="rId1618" Type="http://schemas.openxmlformats.org/officeDocument/2006/relationships/hyperlink" Target="https://res.cloudinary.com/laboratoire-calebasse/image/upload/v1634201137/C_jiangdanguchunwan_efbd70d473.jpg" TargetMode="External"/><Relationship Id="rId2949" Type="http://schemas.openxmlformats.org/officeDocument/2006/relationships/hyperlink" Target="https://res.cloudinary.com/laboratoire-calebasse/image/upload/v1699956914/_54ce27147e.png" TargetMode="External"/><Relationship Id="rId905" Type="http://schemas.openxmlformats.org/officeDocument/2006/relationships/hyperlink" Target="https://calebasse.com/produits/shui-run-yang-bai-zhou-gruau-au-lotus-et-poria-4671?product=6810" TargetMode="External"/><Relationship Id="rId1619" Type="http://schemas.openxmlformats.org/officeDocument/2006/relationships/hyperlink" Target="https://calebasse.com/produits/jiang-dan-gu-chun-wan-4082?product=5286" TargetMode="External"/><Relationship Id="rId904" Type="http://schemas.openxmlformats.org/officeDocument/2006/relationships/hyperlink" Target="https://res.cloudinary.com/laboratoire-calebasse/image/upload/v1751624264/FLEURS_DE_NOTOGINSENG_50_g_ASQH_87345e87b0.jpg" TargetMode="External"/><Relationship Id="rId909" Type="http://schemas.openxmlformats.org/officeDocument/2006/relationships/hyperlink" Target="https://calebasse.com/produits/sang-shen-zi-mures-sechees-3907?product=4645" TargetMode="External"/><Relationship Id="rId908" Type="http://schemas.openxmlformats.org/officeDocument/2006/relationships/hyperlink" Target="https://res.cloudinary.com/laboratoire-calebasse/image/upload/v1746525821/MURES_SECHEES_100_g_ASSZ_f27fa0598d.jpg" TargetMode="External"/><Relationship Id="rId903" Type="http://schemas.openxmlformats.org/officeDocument/2006/relationships/hyperlink" Target="https://calebasse.com/produits/san-qi-hua-fleurs-de-notoginseng-3904?product=4632" TargetMode="External"/><Relationship Id="rId902" Type="http://schemas.openxmlformats.org/officeDocument/2006/relationships/hyperlink" Target="https://res.cloudinary.com/laboratoire-calebasse/image/upload/v1634201123/A_sanqigl_8b4a968fa5.jpg" TargetMode="External"/><Relationship Id="rId901" Type="http://schemas.openxmlformats.org/officeDocument/2006/relationships/hyperlink" Target="https://calebasse.com/produits/san-qi-racine-de-notoginseng-3903?product=4631" TargetMode="External"/><Relationship Id="rId900" Type="http://schemas.openxmlformats.org/officeDocument/2006/relationships/hyperlink" Target="https://res.cloudinary.com/laboratoire-calebasse/image/upload/v1634201124/A_sanqicp_e3516d0158.jpg" TargetMode="External"/><Relationship Id="rId2930" Type="http://schemas.openxmlformats.org/officeDocument/2006/relationships/hyperlink" Target="https://calebasse.com/produits/wu-xing-tu-shui-illustration-cinq-elements-eau-4925?product=7135" TargetMode="External"/><Relationship Id="rId1600" Type="http://schemas.openxmlformats.org/officeDocument/2006/relationships/hyperlink" Target="https://res.cloudinary.com/laboratoire-calebasse/image/upload/v1753104412/HE_SHOU_WU_CHSW_Gelule_8e1f21a3c7.jpg" TargetMode="External"/><Relationship Id="rId2931" Type="http://schemas.openxmlformats.org/officeDocument/2006/relationships/hyperlink" Target="https://res.cloudinary.com/laboratoire-calebasse/image/upload/v1699956779/_d8d8e4d6da.png" TargetMode="External"/><Relationship Id="rId1601" Type="http://schemas.openxmlformats.org/officeDocument/2006/relationships/hyperlink" Target="https://calebasse.com/produits/he-shou-wu-wan-4064?product=5213" TargetMode="External"/><Relationship Id="rId2932" Type="http://schemas.openxmlformats.org/officeDocument/2006/relationships/hyperlink" Target="https://calebasse.com/produits/wu-xing-tu-huo-illustration-cinq-elements-feu-4926?product=7134" TargetMode="External"/><Relationship Id="rId1602" Type="http://schemas.openxmlformats.org/officeDocument/2006/relationships/hyperlink" Target="https://res.cloudinary.com/laboratoire-calebasse/image/upload/v1753104400/HE_SHOU_WU_CHSWCP_Poudre_15f178fac2.jpg" TargetMode="External"/><Relationship Id="rId2933" Type="http://schemas.openxmlformats.org/officeDocument/2006/relationships/hyperlink" Target="https://res.cloudinary.com/laboratoire-calebasse/image/upload/v1699956762/_404a29dbb3.png" TargetMode="External"/><Relationship Id="rId1603" Type="http://schemas.openxmlformats.org/officeDocument/2006/relationships/hyperlink" Target="https://calebasse.com/produits/huo-xiang-zheng-qi-wan-4067?product=5232" TargetMode="External"/><Relationship Id="rId2934" Type="http://schemas.openxmlformats.org/officeDocument/2006/relationships/hyperlink" Target="https://calebasse.com/produits/wu-xing-tu-tu-illustration-cinq-elements-terre-4927?product=7133" TargetMode="External"/><Relationship Id="rId1604" Type="http://schemas.openxmlformats.org/officeDocument/2006/relationships/hyperlink" Target="https://res.cloudinary.com/laboratoire-calebasse/image/upload/v1753352089/HUO_XIANG_ZHENG_QI_WAN_CHXZQW_1f13c11ae5.jpg" TargetMode="External"/><Relationship Id="rId2935" Type="http://schemas.openxmlformats.org/officeDocument/2006/relationships/hyperlink" Target="https://res.cloudinary.com/laboratoire-calebasse/image/upload/v1699956862/_40b817572a.png" TargetMode="External"/><Relationship Id="rId1605" Type="http://schemas.openxmlformats.org/officeDocument/2006/relationships/hyperlink" Target="https://calebasse.com/produits/huo-xiang-zheng-qi-wan-4067?product=5233" TargetMode="External"/><Relationship Id="rId2936" Type="http://schemas.openxmlformats.org/officeDocument/2006/relationships/hyperlink" Target="https://calebasse.com/produits/jing-qi-shen-qi-illustration-jing-qi-shen-qi-4928?product=7136" TargetMode="External"/><Relationship Id="rId1606" Type="http://schemas.openxmlformats.org/officeDocument/2006/relationships/hyperlink" Target="https://res.cloudinary.com/laboratoire-calebasse/image/upload/v1753352099/HUO_XIANG_ZHENG_QI_WAN_CHXZQWCP_c6ba800fde.jpg" TargetMode="External"/><Relationship Id="rId2937" Type="http://schemas.openxmlformats.org/officeDocument/2006/relationships/hyperlink" Target="https://res.cloudinary.com/laboratoire-calebasse/image/upload/v1699956527/_2f5fc79a21.png" TargetMode="External"/><Relationship Id="rId1607" Type="http://schemas.openxmlformats.org/officeDocument/2006/relationships/hyperlink" Target="https://calebasse.com/produits/hai-zao-yu-hu-tang-4715?product=6851" TargetMode="External"/><Relationship Id="rId2938" Type="http://schemas.openxmlformats.org/officeDocument/2006/relationships/hyperlink" Target="https://calebasse.com/produits/zhong-yi-zhen-duan-quan-tu-illustration-diagnostic-mtc-4929?product=7137" TargetMode="External"/><Relationship Id="rId1608" Type="http://schemas.openxmlformats.org/officeDocument/2006/relationships/hyperlink" Target="https://res.cloudinary.com/laboratoire-calebasse/image/upload/v1753104385/HAI_ZAO_YU_HU_TANG_CHZYHT_25842c94ff.jpg" TargetMode="External"/><Relationship Id="rId2939" Type="http://schemas.openxmlformats.org/officeDocument/2006/relationships/hyperlink" Target="https://res.cloudinary.com/laboratoire-calebasse/image/upload/v1699956881/2_7ef57ed75e.png" TargetMode="External"/><Relationship Id="rId1609" Type="http://schemas.openxmlformats.org/officeDocument/2006/relationships/hyperlink" Target="https://calebasse.com/produits/jian-zhou-tong-wan-4081?product=5280" TargetMode="External"/><Relationship Id="rId1631" Type="http://schemas.openxmlformats.org/officeDocument/2006/relationships/hyperlink" Target="https://calebasse.com/produits/jin-suo-gu-jing-wan-4089?product=5314" TargetMode="External"/><Relationship Id="rId2962" Type="http://schemas.openxmlformats.org/officeDocument/2006/relationships/hyperlink" Target="https://calebasse.com/produits/mao-ti-zhen-jiu-mo-xing-mannequin-dacupuncture-chat-4919?product=7127" TargetMode="External"/><Relationship Id="rId1632" Type="http://schemas.openxmlformats.org/officeDocument/2006/relationships/hyperlink" Target="https://res.cloudinary.com/laboratoire-calebasse/image/upload/v1753352279/JIN_SUO_GU_JING_WAN_CJSGJWCP_4169c18f9e.jpg" TargetMode="External"/><Relationship Id="rId2963" Type="http://schemas.openxmlformats.org/officeDocument/2006/relationships/hyperlink" Target="https://res.cloudinary.com/laboratoire-calebasse/image/upload/v1704190055/chat_3a07061b78.jpg" TargetMode="External"/><Relationship Id="rId1633" Type="http://schemas.openxmlformats.org/officeDocument/2006/relationships/hyperlink" Target="https://calebasse.com/produits/jia-wei-bao-he-wan-4071?product=5240" TargetMode="External"/><Relationship Id="rId2964" Type="http://schemas.openxmlformats.org/officeDocument/2006/relationships/hyperlink" Target="https://calebasse.com/produits/tao-ci-cai-guan-set-de-5-ventouses-en-porcelaine-4955?product=7164" TargetMode="External"/><Relationship Id="rId1634" Type="http://schemas.openxmlformats.org/officeDocument/2006/relationships/hyperlink" Target="https://res.cloudinary.com/laboratoire-calebasse/image/upload/v1753352143/JIA_WEI_BAO_HE_WAN_CJWBHW_ab2dac2acf.jpg" TargetMode="External"/><Relationship Id="rId2965" Type="http://schemas.openxmlformats.org/officeDocument/2006/relationships/hyperlink" Target="https://res.cloudinary.com/laboratoire-calebasse/image/upload/v1700235767/5_Verres_4d9b4c428b.jpg" TargetMode="External"/><Relationship Id="rId1635" Type="http://schemas.openxmlformats.org/officeDocument/2006/relationships/hyperlink" Target="https://calebasse.com/produits/jia-wei-bao-he-wan-4071?product=5243" TargetMode="External"/><Relationship Id="rId2966" Type="http://schemas.openxmlformats.org/officeDocument/2006/relationships/hyperlink" Target="https://calebasse.com/produits/zhu-xi-tong-te-da-hao-grand-pot-en-bambou-4964?product=7172" TargetMode="External"/><Relationship Id="rId1636" Type="http://schemas.openxmlformats.org/officeDocument/2006/relationships/hyperlink" Target="https://res.cloudinary.com/laboratoire-calebasse/image/upload/v1753352152/JIA_WEI_BAO_HE_WAN_CJWBHWCP_afa5679d7e.jpg" TargetMode="External"/><Relationship Id="rId2967" Type="http://schemas.openxmlformats.org/officeDocument/2006/relationships/hyperlink" Target="https://res.cloudinary.com/laboratoire-calebasse/image/upload/v1700473544/Tongtong_ea94ebbac3.jpg" TargetMode="External"/><Relationship Id="rId1637" Type="http://schemas.openxmlformats.org/officeDocument/2006/relationships/hyperlink" Target="https://calebasse.com/produits/jia-wei-xiao-yao-san-4074?product=5252" TargetMode="External"/><Relationship Id="rId2968" Type="http://schemas.openxmlformats.org/officeDocument/2006/relationships/hyperlink" Target="https://calebasse.com/produits/tan-hua-zhu-xi-tong-3-set-de-pots-en-bambou-3-4962?product=7170" TargetMode="External"/><Relationship Id="rId1638" Type="http://schemas.openxmlformats.org/officeDocument/2006/relationships/hyperlink" Target="https://res.cloudinary.com/laboratoire-calebasse/image/upload/v1753273887/jia_wei_xiao_yao_san_cjwxys_ge_lule_720_cc6d9c770c.jpg" TargetMode="External"/><Relationship Id="rId2969" Type="http://schemas.openxmlformats.org/officeDocument/2006/relationships/hyperlink" Target="https://res.cloudinary.com/laboratoire-calebasse/image/upload/v1699883360/_9874cf5628.png" TargetMode="External"/><Relationship Id="rId929" Type="http://schemas.openxmlformats.org/officeDocument/2006/relationships/hyperlink" Target="https://calebasse.com/produits/suo-yang-racine-de-cynomore-3923?product=4709" TargetMode="External"/><Relationship Id="rId1639" Type="http://schemas.openxmlformats.org/officeDocument/2006/relationships/hyperlink" Target="https://calebasse.com/produits/jia-wei-xiao-yao-san-4074?product=5254" TargetMode="External"/><Relationship Id="rId928" Type="http://schemas.openxmlformats.org/officeDocument/2006/relationships/hyperlink" Target="https://res.cloudinary.com/laboratoire-calebasse/image/upload/v1746524989/IGNAME_100_g_ASY_2576fac93a.jpg" TargetMode="External"/><Relationship Id="rId927" Type="http://schemas.openxmlformats.org/officeDocument/2006/relationships/hyperlink" Target="https://calebasse.com/produits/shan-yao-igname-3913?product=4663" TargetMode="External"/><Relationship Id="rId926" Type="http://schemas.openxmlformats.org/officeDocument/2006/relationships/hyperlink" Target="https://res.cloudinary.com/laboratoire-calebasse/image/upload/v1748271835/FOUGERE_ROCHEUSE_200_g_ASWL_a3fea93b5e.jpg" TargetMode="External"/><Relationship Id="rId921" Type="http://schemas.openxmlformats.org/officeDocument/2006/relationships/hyperlink" Target="https://calebasse.com/produits/shu-di-huang-racine-de-rehmannia-preparee-3919?product=4695" TargetMode="External"/><Relationship Id="rId920" Type="http://schemas.openxmlformats.org/officeDocument/2006/relationships/hyperlink" Target="https://res.cloudinary.com/laboratoire-calebasse/image/upload/v1634201206/A_shudihuanggl_e614ea7d12.jpg" TargetMode="External"/><Relationship Id="rId925" Type="http://schemas.openxmlformats.org/officeDocument/2006/relationships/hyperlink" Target="https://calebasse.com/produits/shi-wei-fougere-rocheuse-3917?product=4693" TargetMode="External"/><Relationship Id="rId924" Type="http://schemas.openxmlformats.org/officeDocument/2006/relationships/hyperlink" Target="https://res.cloudinary.com/laboratoire-calebasse/image/upload/v1746527040/FOUGERE_ROCHEUSE_50_g_ASW_04c77bced8.jpg" TargetMode="External"/><Relationship Id="rId923" Type="http://schemas.openxmlformats.org/officeDocument/2006/relationships/hyperlink" Target="https://calebasse.com/produits/shi-wei-fougere-rocheuse-3917?product=4692" TargetMode="External"/><Relationship Id="rId922" Type="http://schemas.openxmlformats.org/officeDocument/2006/relationships/hyperlink" Target="https://res.cloudinary.com/laboratoire-calebasse/image/upload/v1748271819/REHMANNIA_RACINE_PREPAREE_300_g_ASUDHL_4706db3db0.jpg" TargetMode="External"/><Relationship Id="rId2960" Type="http://schemas.openxmlformats.org/officeDocument/2006/relationships/hyperlink" Target="https://calebasse.com/produits/gou-ti-zhen-jiu-mo-xing-mannequin-dacupuncture-chien-4918?product=7126" TargetMode="External"/><Relationship Id="rId1630" Type="http://schemas.openxmlformats.org/officeDocument/2006/relationships/hyperlink" Target="https://res.cloudinary.com/laboratoire-calebasse/image/upload/v1753352270/JIN_SUO_GU_JING_WAN_CJSGJW_71742aee4b.jpg" TargetMode="External"/><Relationship Id="rId2961" Type="http://schemas.openxmlformats.org/officeDocument/2006/relationships/hyperlink" Target="https://res.cloudinary.com/laboratoire-calebasse/image/upload/v1704190038/chien_f7e6f053b1.jpg" TargetMode="External"/><Relationship Id="rId1620" Type="http://schemas.openxmlformats.org/officeDocument/2006/relationships/hyperlink" Target="https://res.cloudinary.com/laboratoire-calebasse/image/upload/v1634201136/C_jiangdanguchunwancp_74e4ce8d91.jpg" TargetMode="External"/><Relationship Id="rId2951" Type="http://schemas.openxmlformats.org/officeDocument/2006/relationships/hyperlink" Target="https://res.cloudinary.com/laboratoire-calebasse/image/upload/v1699957074/_a28c8c725d.png" TargetMode="External"/><Relationship Id="rId1621" Type="http://schemas.openxmlformats.org/officeDocument/2006/relationships/hyperlink" Target="https://calebasse.com/produits/jing-fang-bai-du-san-4091?product=5316" TargetMode="External"/><Relationship Id="rId2952" Type="http://schemas.openxmlformats.org/officeDocument/2006/relationships/hyperlink" Target="https://calebasse.com/produits/illustration-de-cultivation-spirituelle-5002?product=7214" TargetMode="External"/><Relationship Id="rId1622" Type="http://schemas.openxmlformats.org/officeDocument/2006/relationships/hyperlink" Target="https://res.cloudinary.com/laboratoire-calebasse/image/upload/v1753352297/JING_FANG_BAI_DU_SAN_CJFBDS_1397a34fb4.jpg" TargetMode="External"/><Relationship Id="rId2953" Type="http://schemas.openxmlformats.org/officeDocument/2006/relationships/hyperlink" Target="https://res.cloudinary.com/laboratoire-calebasse/image/upload/v1700744807/_e3e7d79acd.jpg" TargetMode="External"/><Relationship Id="rId1623" Type="http://schemas.openxmlformats.org/officeDocument/2006/relationships/hyperlink" Target="https://calebasse.com/produits/jing-fang-bai-du-san-4091?product=5318" TargetMode="External"/><Relationship Id="rId2954" Type="http://schemas.openxmlformats.org/officeDocument/2006/relationships/hyperlink" Target="https://calebasse.com/produits/niu-ti-zhen-jiu-mo-xing-mannequin-dacupuncture-vache-4915?product=7123" TargetMode="External"/><Relationship Id="rId1624" Type="http://schemas.openxmlformats.org/officeDocument/2006/relationships/hyperlink" Target="https://res.cloudinary.com/laboratoire-calebasse/image/upload/v1753352312/JING_FANG_BAI_DU_SAN_CJFBDSCP_0993a7e7d1.jpg" TargetMode="External"/><Relationship Id="rId2955" Type="http://schemas.openxmlformats.org/officeDocument/2006/relationships/hyperlink" Target="https://res.cloudinary.com/laboratoire-calebasse/image/upload/v1704190088/boeuf_b7324121fc.jpg" TargetMode="External"/><Relationship Id="rId1625" Type="http://schemas.openxmlformats.org/officeDocument/2006/relationships/hyperlink" Target="https://calebasse.com/produits/jin-gui-shen-qi-wan-4086?product=5300" TargetMode="External"/><Relationship Id="rId2956" Type="http://schemas.openxmlformats.org/officeDocument/2006/relationships/hyperlink" Target="https://calebasse.com/produits/ma-ti-zhen-jiu-mo-xing-mannequin-dacupuncture-cheval-4916?product=7124" TargetMode="External"/><Relationship Id="rId1626" Type="http://schemas.openxmlformats.org/officeDocument/2006/relationships/hyperlink" Target="https://res.cloudinary.com/laboratoire-calebasse/image/upload/v1753104501/JIN_GUI_SHEN_QI_WAN_CJKSQW_db3692d86d.jpg" TargetMode="External"/><Relationship Id="rId2957" Type="http://schemas.openxmlformats.org/officeDocument/2006/relationships/hyperlink" Target="https://res.cloudinary.com/laboratoire-calebasse/image/upload/v1704190072/cheval_45fde14f94.jpg" TargetMode="External"/><Relationship Id="rId1627" Type="http://schemas.openxmlformats.org/officeDocument/2006/relationships/hyperlink" Target="https://calebasse.com/produits/jin-gui-shen-qi-wan-4086?product=5302" TargetMode="External"/><Relationship Id="rId2958" Type="http://schemas.openxmlformats.org/officeDocument/2006/relationships/hyperlink" Target="https://calebasse.com/produits/zhu-ti-zhen-jiu-mo-xing-mannequin-dacupuncture-cochon-4917?product=7125" TargetMode="External"/><Relationship Id="rId918" Type="http://schemas.openxmlformats.org/officeDocument/2006/relationships/hyperlink" Target="https://res.cloudinary.com/laboratoire-calebasse/image/upload/v1634201206/A_shudihuangcp_b6f7a5db2b.jpg" TargetMode="External"/><Relationship Id="rId1628" Type="http://schemas.openxmlformats.org/officeDocument/2006/relationships/hyperlink" Target="https://res.cloudinary.com/laboratoire-calebasse/image/upload/v1753104511/JIN_GUI_SHEN_QI_WAN_CJKSQWCP_Poudre_1aa37d97c0.jpg" TargetMode="External"/><Relationship Id="rId2959" Type="http://schemas.openxmlformats.org/officeDocument/2006/relationships/hyperlink" Target="https://res.cloudinary.com/laboratoire-calebasse/image/upload/v1704190105/cochon_a5314bf7dc.jpg" TargetMode="External"/><Relationship Id="rId917" Type="http://schemas.openxmlformats.org/officeDocument/2006/relationships/hyperlink" Target="https://calebasse.com/produits/shu-di-huang-racine-de-rehmannia-preparee-3919?product=4696" TargetMode="External"/><Relationship Id="rId1629" Type="http://schemas.openxmlformats.org/officeDocument/2006/relationships/hyperlink" Target="https://calebasse.com/produits/jin-suo-gu-jing-wan-4089?product=5312" TargetMode="External"/><Relationship Id="rId916" Type="http://schemas.openxmlformats.org/officeDocument/2006/relationships/hyperlink" Target="https://res.cloudinary.com/laboratoire-calebasse/image/upload/v1746526465/REHMANNIA_RACINE_PREPAREE_100_g_ASUDH_cbfa441d75.jpg" TargetMode="External"/><Relationship Id="rId915" Type="http://schemas.openxmlformats.org/officeDocument/2006/relationships/hyperlink" Target="https://calebasse.com/produits/shu-di-huang-racine-de-rehmannia-preparee-3919?product=4694" TargetMode="External"/><Relationship Id="rId919" Type="http://schemas.openxmlformats.org/officeDocument/2006/relationships/hyperlink" Target="https://calebasse.com/produits/shu-di-huang-racine-de-rehmannia-preparee-3919?product=4698" TargetMode="External"/><Relationship Id="rId910" Type="http://schemas.openxmlformats.org/officeDocument/2006/relationships/hyperlink" Target="https://res.cloudinary.com/laboratoire-calebasse/image/upload/v1704445503/A_sangshenzi_CP_e559b3a9d0.jpg" TargetMode="External"/><Relationship Id="rId914" Type="http://schemas.openxmlformats.org/officeDocument/2006/relationships/hyperlink" Target="https://res.cloudinary.com/laboratoire-calebasse/image/upload/v1748272044/MURES_SECHEES_300_g_ASSZL_a0fcecc3ef.jpg" TargetMode="External"/><Relationship Id="rId913" Type="http://schemas.openxmlformats.org/officeDocument/2006/relationships/hyperlink" Target="https://calebasse.com/produits/sang-shen-zi-mures-sechees-3907?product=4644" TargetMode="External"/><Relationship Id="rId912" Type="http://schemas.openxmlformats.org/officeDocument/2006/relationships/hyperlink" Target="https://res.cloudinary.com/laboratoire-calebasse/image/upload/v1704445849/A_sangshenzi_GL_f0a5915d25.jpg" TargetMode="External"/><Relationship Id="rId911" Type="http://schemas.openxmlformats.org/officeDocument/2006/relationships/hyperlink" Target="https://calebasse.com/produits/sang-shen-zi-mures-sechees-3907?product=4646" TargetMode="External"/><Relationship Id="rId2950" Type="http://schemas.openxmlformats.org/officeDocument/2006/relationships/hyperlink" Target="https://calebasse.com/produits/que-bing-yan-nian-dao-yin-tu-illustration-que-bing-yan-nian-4935?product=7143" TargetMode="External"/><Relationship Id="rId2900" Type="http://schemas.openxmlformats.org/officeDocument/2006/relationships/hyperlink" Target="https://calebasse.com/produits/lu-tan-gua-sha-ban-yu-xing-gua-sha-en-bois-de-santal-poisson-4983?product=7192" TargetMode="External"/><Relationship Id="rId2901" Type="http://schemas.openxmlformats.org/officeDocument/2006/relationships/hyperlink" Target="https://res.cloudinary.com/laboratoire-calebasse/image/upload/v1700236176/_0a5bf3535a.jpg" TargetMode="External"/><Relationship Id="rId2902" Type="http://schemas.openxmlformats.org/officeDocument/2006/relationships/hyperlink" Target="https://calebasse.com/produits/liu-jiao-er-zhen-zhi-chercheur-de-point-droit-4939?product=7147" TargetMode="External"/><Relationship Id="rId2903" Type="http://schemas.openxmlformats.org/officeDocument/2006/relationships/hyperlink" Target="https://res.cloudinary.com/laboratoire-calebasse/image/upload/v1700650937/2_e0d364fff0.jpg" TargetMode="External"/><Relationship Id="rId2904" Type="http://schemas.openxmlformats.org/officeDocument/2006/relationships/hyperlink" Target="https://calebasse.com/produits/liu-jiao-er-zhen-wan-chercheur-de-point-recourbe-4941?product=7149" TargetMode="External"/><Relationship Id="rId2905" Type="http://schemas.openxmlformats.org/officeDocument/2006/relationships/hyperlink" Target="https://res.cloudinary.com/laboratoire-calebasse/image/upload/v1700650919/_35745a8d26.jpg" TargetMode="External"/><Relationship Id="rId2906" Type="http://schemas.openxmlformats.org/officeDocument/2006/relationships/hyperlink" Target="https://calebasse.com/produits/shuang-tou-tan-xue-bi-chercheur-de-point-double-tete-4937?product=7144" TargetMode="External"/><Relationship Id="rId2907" Type="http://schemas.openxmlformats.org/officeDocument/2006/relationships/hyperlink" Target="https://res.cloudinary.com/laboratoire-calebasse/image/upload/v1699438646/AN_6209_d80d033726.png" TargetMode="External"/><Relationship Id="rId2908" Type="http://schemas.openxmlformats.org/officeDocument/2006/relationships/hyperlink" Target="https://calebasse.com/produits/shuang-tou-gun-zhen-chercheur-de-point-et-stylo-de-therapie-manuelle-4942?product=7150" TargetMode="External"/><Relationship Id="rId2909" Type="http://schemas.openxmlformats.org/officeDocument/2006/relationships/hyperlink" Target="https://res.cloudinary.com/laboratoire-calebasse/image/upload/v1699881693/AN_6404_354a778ea8.png" TargetMode="External"/><Relationship Id="rId2920" Type="http://schemas.openxmlformats.org/officeDocument/2006/relationships/hyperlink" Target="https://calebasse.com/produits/hong-mu-dian-xue-bang-stylo-dacupression-en-bois-de-palissandre-5027?product=7246" TargetMode="External"/><Relationship Id="rId2921" Type="http://schemas.openxmlformats.org/officeDocument/2006/relationships/hyperlink" Target="https://res.cloudinary.com/laboratoire-calebasse/image/upload/v1704206864/1_0b8029075b.jpg" TargetMode="External"/><Relationship Id="rId2922" Type="http://schemas.openxmlformats.org/officeDocument/2006/relationships/hyperlink" Target="https://calebasse.com/produits/xiao-er-shi-si-jing-luo-tu-juan-zhou-ban-illustration-des-14-meridiens-de-lenfant-4993?product=7204" TargetMode="External"/><Relationship Id="rId2923" Type="http://schemas.openxmlformats.org/officeDocument/2006/relationships/hyperlink" Target="https://res.cloudinary.com/laboratoire-calebasse/image/upload/v1699957424/_0fdc5e892b.png" TargetMode="External"/><Relationship Id="rId2924" Type="http://schemas.openxmlformats.org/officeDocument/2006/relationships/hyperlink" Target="https://calebasse.com/produits/illustration-de-structure-interne-neijing-5004?product=7212" TargetMode="External"/><Relationship Id="rId2925" Type="http://schemas.openxmlformats.org/officeDocument/2006/relationships/hyperlink" Target="https://res.cloudinary.com/laboratoire-calebasse/image/upload/v1700744521/_f818eb9ac1.jpg" TargetMode="External"/><Relationship Id="rId2926" Type="http://schemas.openxmlformats.org/officeDocument/2006/relationships/hyperlink" Target="https://calebasse.com/produits/wu-xing-tu-jin-illustration-cinq-elements-metal-4923?product=7131" TargetMode="External"/><Relationship Id="rId2927" Type="http://schemas.openxmlformats.org/officeDocument/2006/relationships/hyperlink" Target="https://res.cloudinary.com/laboratoire-calebasse/image/upload/v1699956601/_4e60a6a7a5.png" TargetMode="External"/><Relationship Id="rId2928" Type="http://schemas.openxmlformats.org/officeDocument/2006/relationships/hyperlink" Target="https://calebasse.com/produits/wu-xing-tu-mu-illustration-cinq-elements-bois-4924?product=7132" TargetMode="External"/><Relationship Id="rId2929" Type="http://schemas.openxmlformats.org/officeDocument/2006/relationships/hyperlink" Target="https://res.cloudinary.com/laboratoire-calebasse/image/upload/v1699956742/_ed19d62725.png" TargetMode="External"/><Relationship Id="rId2910" Type="http://schemas.openxmlformats.org/officeDocument/2006/relationships/hyperlink" Target="https://calebasse.com/produits/luan-yuan-qian-1-8-zhi-pince-a-pansement-ballenger-droit-18-cm-4987?product=7197" TargetMode="External"/><Relationship Id="rId2911" Type="http://schemas.openxmlformats.org/officeDocument/2006/relationships/hyperlink" Target="https://res.cloudinary.com/laboratoire-calebasse/image/upload/v1700650997/Ciseaux_78f8086440.jpg" TargetMode="External"/><Relationship Id="rId2912" Type="http://schemas.openxmlformats.org/officeDocument/2006/relationships/hyperlink" Target="https://calebasse.com/produits/yi-yong-shou-shu-jian-1-8-c-m-zhi-ciseau-chirurgical-droit-18-cm-4988?product=7198" TargetMode="External"/><Relationship Id="rId2913" Type="http://schemas.openxmlformats.org/officeDocument/2006/relationships/hyperlink" Target="https://res.cloudinary.com/laboratoire-calebasse/image/upload/v1700651054/Ciseaux_2_03f4dd4041.jpg" TargetMode="External"/><Relationship Id="rId2914" Type="http://schemas.openxmlformats.org/officeDocument/2006/relationships/hyperlink" Target="https://calebasse.com/produits/zhi-xie-qian-1-6-c-m-zhi-wu-gou-pince-a-pansement-droit-16-cm-4986?product=7196" TargetMode="External"/><Relationship Id="rId2915" Type="http://schemas.openxmlformats.org/officeDocument/2006/relationships/hyperlink" Target="https://res.cloudinary.com/laboratoire-calebasse/image/upload/v1700237367/Ciseaux_3_b1d0750005.jpg" TargetMode="External"/><Relationship Id="rId2916" Type="http://schemas.openxmlformats.org/officeDocument/2006/relationships/hyperlink" Target="https://calebasse.com/produits/bu-xiu-gang-yao-pan-xiao-hao-haricot-medical-en-acier-inoxydable-4989?product=7199" TargetMode="External"/><Relationship Id="rId2917" Type="http://schemas.openxmlformats.org/officeDocument/2006/relationships/hyperlink" Target="https://res.cloudinary.com/laboratoire-calebasse/image/upload/v1699883030/TM_3001_fe6b0166ef.png" TargetMode="External"/><Relationship Id="rId2918" Type="http://schemas.openxmlformats.org/officeDocument/2006/relationships/hyperlink" Target="https://calebasse.com/produits/yi-yong-nie-zi-1-6-c-m-pincette-16-cm-4985?product=7195" TargetMode="External"/><Relationship Id="rId2919" Type="http://schemas.openxmlformats.org/officeDocument/2006/relationships/hyperlink" Target="https://res.cloudinary.com/laboratoire-calebasse/image/upload/v1700237236/_dfe2958ca2.jpg" TargetMode="External"/><Relationship Id="rId1697" Type="http://schemas.openxmlformats.org/officeDocument/2006/relationships/hyperlink" Target="https://calebasse.com/produits/mu-gua-wan-4107?product=5385" TargetMode="External"/><Relationship Id="rId1698" Type="http://schemas.openxmlformats.org/officeDocument/2006/relationships/hyperlink" Target="https://res.cloudinary.com/laboratoire-calebasse/image/upload/v1753352518/MU_GUA_WAN_CMGWCP_1c77c042d9.jpg" TargetMode="External"/><Relationship Id="rId1699" Type="http://schemas.openxmlformats.org/officeDocument/2006/relationships/hyperlink" Target="https://calebasse.com/produits/ming-mu-di-huang-wan-4106?product=5380" TargetMode="External"/><Relationship Id="rId866" Type="http://schemas.openxmlformats.org/officeDocument/2006/relationships/hyperlink" Target="https://calebasse.com/produits/chou-kale-en-poudre-supergreen-antioxydante-and-nourrissant-5218?product=7593" TargetMode="External"/><Relationship Id="rId865" Type="http://schemas.openxmlformats.org/officeDocument/2006/relationships/hyperlink" Target="https://res.cloudinary.com/laboratoire-calebasse/image/upload/v1748271934/RACINE_DE_REHMANNIA_300_g_ASEDHL_887e776296.jpg" TargetMode="External"/><Relationship Id="rId864" Type="http://schemas.openxmlformats.org/officeDocument/2006/relationships/hyperlink" Target="https://calebasse.com/produits/sheng-di-huang-racine-de-rehmannia-3916?product=4679" TargetMode="External"/><Relationship Id="rId863" Type="http://schemas.openxmlformats.org/officeDocument/2006/relationships/hyperlink" Target="https://res.cloudinary.com/laboratoire-calebasse/image/upload/v1634201206/A_shengdihuanggl_0ce5dea58e.jpg" TargetMode="External"/><Relationship Id="rId869" Type="http://schemas.openxmlformats.org/officeDocument/2006/relationships/hyperlink" Target="https://calebasse.com/produits/herbe-dorge-en-poudre-supergreen-detox-and-alcalinisant-5217?product=7592" TargetMode="External"/><Relationship Id="rId868" Type="http://schemas.openxmlformats.org/officeDocument/2006/relationships/hyperlink" Target="https://res.cloudinary.com/laboratoire-calebasse/image/upload/v1760010651/1_f5624aef1f.jpg,https://res.cloudinary.com/laboratoire-calebasse/image/upload/v1760010651/2_66e19a386a.jpg,https://res.cloudinary.com/laboratoire-calebasse/image/upload/v1760010651/3_0499e6106c.jpg,https://res.cloudinary.com/laboratoire-calebasse/image/upload/v1760010649/4_b8fe8dffc7.jpg,https://res.cloudinary.com/laboratoire-calebasse/image/upload/v1760010716/5_3b4203ef63.jpg,https://res.cloudinary.com/laboratoire-calebasse/image/upload/v1760010716/6_578d7dded4.jpg,https://res.cloudinary.com/laboratoire-calebasse/image/upload/v1761035704/3_26df8eea9f.jpg" TargetMode="External"/><Relationship Id="rId867" Type="http://schemas.openxmlformats.org/officeDocument/2006/relationships/hyperlink" Target="https://res.cloudinary.com/laboratoire-calebasse/image/upload/v1760457611/SG_chou_kale_0781dd737c.jpg" TargetMode="External"/><Relationship Id="rId1690" Type="http://schemas.openxmlformats.org/officeDocument/2006/relationships/hyperlink" Target="https://res.cloudinary.com/laboratoire-calebasse/image/upload/v1753104584/LIU_WEI_DI_HUANG_WAN_CLWDHWCP_Poudre_bd53a8d2d8.jpg" TargetMode="External"/><Relationship Id="rId1691" Type="http://schemas.openxmlformats.org/officeDocument/2006/relationships/hyperlink" Target="https://calebasse.com/produits/li-zhong-wan-4095?product=5340" TargetMode="External"/><Relationship Id="rId1692" Type="http://schemas.openxmlformats.org/officeDocument/2006/relationships/hyperlink" Target="https://res.cloudinary.com/laboratoire-calebasse/image/upload/v1753104525/LI_ZHONG_WAN_CLZW_5a1959b777.jpg" TargetMode="External"/><Relationship Id="rId862" Type="http://schemas.openxmlformats.org/officeDocument/2006/relationships/hyperlink" Target="https://calebasse.com/produits/sheng-di-huang-racine-de-rehmannia-3916?product=4684" TargetMode="External"/><Relationship Id="rId1693" Type="http://schemas.openxmlformats.org/officeDocument/2006/relationships/hyperlink" Target="https://calebasse.com/produits/li-zhong-wan-4095?product=5342" TargetMode="External"/><Relationship Id="rId861" Type="http://schemas.openxmlformats.org/officeDocument/2006/relationships/hyperlink" Target="https://res.cloudinary.com/laboratoire-calebasse/image/upload/v1634201206/A_shengdihuangcp_33b67307df.jpg" TargetMode="External"/><Relationship Id="rId1694" Type="http://schemas.openxmlformats.org/officeDocument/2006/relationships/hyperlink" Target="https://res.cloudinary.com/laboratoire-calebasse/image/upload/v1753104536/LI_ZHONG_WAN_CLZWCP_086aa74f36.jpg" TargetMode="External"/><Relationship Id="rId860" Type="http://schemas.openxmlformats.org/officeDocument/2006/relationships/hyperlink" Target="https://calebasse.com/produits/sheng-di-huang-racine-de-rehmannia-3916?product=4682" TargetMode="External"/><Relationship Id="rId1695" Type="http://schemas.openxmlformats.org/officeDocument/2006/relationships/hyperlink" Target="https://calebasse.com/produits/mu-gua-wan-4107?product=5384" TargetMode="External"/><Relationship Id="rId1696" Type="http://schemas.openxmlformats.org/officeDocument/2006/relationships/hyperlink" Target="https://res.cloudinary.com/laboratoire-calebasse/image/upload/v1753352508/MU_GUA_WAN_CMGW_71b7476586.jpg" TargetMode="External"/><Relationship Id="rId1686" Type="http://schemas.openxmlformats.org/officeDocument/2006/relationships/hyperlink" Target="https://res.cloudinary.com/laboratoire-calebasse/image/upload/v1634201235/C_lianqiaobaiduwancp_70038738c2.jpg" TargetMode="External"/><Relationship Id="rId1687" Type="http://schemas.openxmlformats.org/officeDocument/2006/relationships/hyperlink" Target="https://calebasse.com/produits/liu-wei-di-huang-wan-4102?product=5363" TargetMode="External"/><Relationship Id="rId1688" Type="http://schemas.openxmlformats.org/officeDocument/2006/relationships/hyperlink" Target="https://res.cloudinary.com/laboratoire-calebasse/image/upload/v1753104594/LIU_WEI_DI_HUANG_WAN_CLWDHW_Gelule_b85cd0119e.jpg" TargetMode="External"/><Relationship Id="rId1689" Type="http://schemas.openxmlformats.org/officeDocument/2006/relationships/hyperlink" Target="https://calebasse.com/produits/liu-wei-di-huang-wan-4102?product=5366" TargetMode="External"/><Relationship Id="rId855" Type="http://schemas.openxmlformats.org/officeDocument/2006/relationships/hyperlink" Target="https://res.cloudinary.com/laboratoire-calebasse/image/upload/v1634201206/A_shichangpugl_296320422e.jpg" TargetMode="External"/><Relationship Id="rId854" Type="http://schemas.openxmlformats.org/officeDocument/2006/relationships/hyperlink" Target="https://calebasse.com/produits/shi-chang-pu-roseau-des-rochers-3918?product=4691" TargetMode="External"/><Relationship Id="rId853" Type="http://schemas.openxmlformats.org/officeDocument/2006/relationships/hyperlink" Target="https://res.cloudinary.com/laboratoire-calebasse/image/upload/v1634201206/A_shichangpucp_bf1bdf0c2d.jpg" TargetMode="External"/><Relationship Id="rId852" Type="http://schemas.openxmlformats.org/officeDocument/2006/relationships/hyperlink" Target="https://calebasse.com/produits/shi-chang-pu-roseau-des-rochers-3918?product=4687" TargetMode="External"/><Relationship Id="rId859" Type="http://schemas.openxmlformats.org/officeDocument/2006/relationships/hyperlink" Target="https://res.cloudinary.com/laboratoire-calebasse/image/upload/v1746526680/RACINE_DE_REHMANNIA_100_g_ASEDH_923090b4aa.jpg" TargetMode="External"/><Relationship Id="rId858" Type="http://schemas.openxmlformats.org/officeDocument/2006/relationships/hyperlink" Target="https://calebasse.com/produits/sheng-di-huang-racine-de-rehmannia-3916?product=4681" TargetMode="External"/><Relationship Id="rId857" Type="http://schemas.openxmlformats.org/officeDocument/2006/relationships/hyperlink" Target="https://res.cloudinary.com/laboratoire-calebasse/image/upload/v1748271851/ROSEAU_DES_ROCHERS_270_g_ASCPL_527e433a33.jpg" TargetMode="External"/><Relationship Id="rId856" Type="http://schemas.openxmlformats.org/officeDocument/2006/relationships/hyperlink" Target="https://calebasse.com/produits/shi-chang-pu-roseau-des-rochers-3918?product=4688" TargetMode="External"/><Relationship Id="rId1680" Type="http://schemas.openxmlformats.org/officeDocument/2006/relationships/hyperlink" Target="https://res.cloudinary.com/laboratoire-calebasse/image/upload/v1753352484/LONG_MU_ZHUANG_GU_KE_LI_CLMZGKL_9c3eb5ba39.jpg" TargetMode="External"/><Relationship Id="rId1681" Type="http://schemas.openxmlformats.org/officeDocument/2006/relationships/hyperlink" Target="https://calebasse.com/produits/long-mu-zhuang-gu-ke-li-4105?product=5374" TargetMode="External"/><Relationship Id="rId851" Type="http://schemas.openxmlformats.org/officeDocument/2006/relationships/hyperlink" Target="https://res.cloudinary.com/laboratoire-calebasse/image/upload/v1748268562/ROSEAU_DES_ROCHERS_100_g_ASCP_3812d72a71.jpg" TargetMode="External"/><Relationship Id="rId1682" Type="http://schemas.openxmlformats.org/officeDocument/2006/relationships/hyperlink" Target="https://res.cloudinary.com/laboratoire-calebasse/image/upload/v1753352495/LONG_MU_ZHUANG_GU_KE_LI_CLMZGKLCP_ff47d38375.jpg" TargetMode="External"/><Relationship Id="rId850" Type="http://schemas.openxmlformats.org/officeDocument/2006/relationships/hyperlink" Target="https://calebasse.com/produits/shi-chang-pu-roseau-des-rochers-3918?product=4686" TargetMode="External"/><Relationship Id="rId1683" Type="http://schemas.openxmlformats.org/officeDocument/2006/relationships/hyperlink" Target="https://calebasse.com/produits/lian-qiao-bai-du-wan-4490?product=5344" TargetMode="External"/><Relationship Id="rId1684" Type="http://schemas.openxmlformats.org/officeDocument/2006/relationships/hyperlink" Target="https://res.cloudinary.com/laboratoire-calebasse/image/upload/v1634201230/C_lianqiaobaiduwan_d94ab9c647.jpg" TargetMode="External"/><Relationship Id="rId1685" Type="http://schemas.openxmlformats.org/officeDocument/2006/relationships/hyperlink" Target="https://calebasse.com/produits/lian-qiao-bai-du-wan-4490?product=5346" TargetMode="External"/><Relationship Id="rId3414" Type="http://schemas.openxmlformats.org/officeDocument/2006/relationships/hyperlink" Target="https://calebasse.com/produits/racines-dortie-4344?product=6210" TargetMode="External"/><Relationship Id="rId3413" Type="http://schemas.openxmlformats.org/officeDocument/2006/relationships/hyperlink" Target="https://res.cloudinary.com/laboratoire-calebasse/image/upload/v1753800535/ORTIE_PIQUANTE_PARTIE_AERIENNE_COUPEE_BIO_200_g_OORPEL_bde5c301a5.jpg" TargetMode="External"/><Relationship Id="rId3416" Type="http://schemas.openxmlformats.org/officeDocument/2006/relationships/hyperlink" Target="https://calebasse.com/produits/racines-dortie-4344?product=6211" TargetMode="External"/><Relationship Id="rId3415" Type="http://schemas.openxmlformats.org/officeDocument/2006/relationships/hyperlink" Target="https://res.cloudinary.com/laboratoire-calebasse/image/upload/v1744901830/ORTIE_PIQUANTE_RACINE_COUPEE_BIO_50_g_OORRA_2025_04_10_1b8061fca1.jpg" TargetMode="External"/><Relationship Id="rId3418" Type="http://schemas.openxmlformats.org/officeDocument/2006/relationships/hyperlink" Target="https://calebasse.com/produits/orthosiphon-orthosiphon-5045?product=7273" TargetMode="External"/><Relationship Id="rId3417" Type="http://schemas.openxmlformats.org/officeDocument/2006/relationships/hyperlink" Target="https://res.cloudinary.com/laboratoire-calebasse/image/upload/v1748270914/ORTIE_PIQUANTE_RACINE_COUPEE_BIO_200_g_OORRAL_cc886049c8.jpg" TargetMode="External"/><Relationship Id="rId3419" Type="http://schemas.openxmlformats.org/officeDocument/2006/relationships/hyperlink" Target="https://res.cloudinary.com/laboratoire-calebasse/image/upload/v1746523442/ORTHOSIPHON_100_g_OORTH_f70d50ac98.jpg" TargetMode="External"/><Relationship Id="rId888" Type="http://schemas.openxmlformats.org/officeDocument/2006/relationships/hyperlink" Target="https://res.cloudinary.com/laboratoire-calebasse/image/upload/v1748272011/FRUITS_D_ARGOUSIER_300_g_ASJL_6e736d18c3.jpg" TargetMode="External"/><Relationship Id="rId887" Type="http://schemas.openxmlformats.org/officeDocument/2006/relationships/hyperlink" Target="https://calebasse.com/produits/sha-ji-fruits-dargousier-3910?product=7249" TargetMode="External"/><Relationship Id="rId886" Type="http://schemas.openxmlformats.org/officeDocument/2006/relationships/hyperlink" Target="https://res.cloudinary.com/laboratoire-calebasse/image/upload/v1748271792/N_Oe_UD_DE_PIN_300_g_ASJIEL_7d1f6cc788.jpg" TargetMode="External"/><Relationship Id="rId885" Type="http://schemas.openxmlformats.org/officeDocument/2006/relationships/hyperlink" Target="https://calebasse.com/produits/song-jie-noeud-de-pin-3920?product=4701" TargetMode="External"/><Relationship Id="rId889" Type="http://schemas.openxmlformats.org/officeDocument/2006/relationships/hyperlink" Target="https://calebasse.com/produits/sang-ji-sheng-branches-de-tasseau-3906?product=4640" TargetMode="External"/><Relationship Id="rId880" Type="http://schemas.openxmlformats.org/officeDocument/2006/relationships/hyperlink" Target="https://res.cloudinary.com/laboratoire-calebasse/image/upload/v1746523891/GRUAU_AU_TRIO_DE_CHAMPIGNON_100_g_ASGSYZ_f403d2af68.jpg" TargetMode="External"/><Relationship Id="rId884" Type="http://schemas.openxmlformats.org/officeDocument/2006/relationships/hyperlink" Target="https://res.cloudinary.com/laboratoire-calebasse/image/upload/v1746525475/N_Oe_UD_DE_PIN_100_g_ASJIE_ac4cd82e9f.jpg" TargetMode="External"/><Relationship Id="rId3410" Type="http://schemas.openxmlformats.org/officeDocument/2006/relationships/hyperlink" Target="https://calebasse.com/produits/ortie-piquante-partie-aerienne-coupee-bio-5198?product=7516" TargetMode="External"/><Relationship Id="rId883" Type="http://schemas.openxmlformats.org/officeDocument/2006/relationships/hyperlink" Target="https://calebasse.com/produits/song-jie-noeud-de-pin-3920?product=4699" TargetMode="External"/><Relationship Id="rId882" Type="http://schemas.openxmlformats.org/officeDocument/2006/relationships/hyperlink" Target="https://res.cloudinary.com/laboratoire-calebasse/image/upload/v1746526042/FRUITS_D_ARGOUSIER_100_g_ASJ_76fa8a1b3f.jpg" TargetMode="External"/><Relationship Id="rId3412" Type="http://schemas.openxmlformats.org/officeDocument/2006/relationships/hyperlink" Target="https://calebasse.com/produits/ortie-piquante-partie-aerienne-coupee-bio-5198?product=7517" TargetMode="External"/><Relationship Id="rId881" Type="http://schemas.openxmlformats.org/officeDocument/2006/relationships/hyperlink" Target="https://calebasse.com/produits/sha-ji-fruits-dargousier-3910?product=4660" TargetMode="External"/><Relationship Id="rId3411" Type="http://schemas.openxmlformats.org/officeDocument/2006/relationships/hyperlink" Target="https://res.cloudinary.com/laboratoire-calebasse/image/upload/v1753800525/ORTIE_PIQUANTE_PARTIE_AERIENNE_COUPEE_BIO_50_g_OORPE_2596c368b3.jpg" TargetMode="External"/><Relationship Id="rId3403" Type="http://schemas.openxmlformats.org/officeDocument/2006/relationships/hyperlink" Target="https://res.cloudinary.com/laboratoire-calebasse/image/upload/v1746523788/ZESTE_D_ORANGE_AMERE_50_g_OOMZE_4cff5ed21d.jpg" TargetMode="External"/><Relationship Id="rId3402" Type="http://schemas.openxmlformats.org/officeDocument/2006/relationships/hyperlink" Target="https://calebasse.com/produits/zeste-dorange-amere-4340?product=6200" TargetMode="External"/><Relationship Id="rId3405" Type="http://schemas.openxmlformats.org/officeDocument/2006/relationships/hyperlink" Target="https://res.cloudinary.com/laboratoire-calebasse/image/upload/v1748268645/ZESTE_D_ORANGE_AMERE_260_g_OOMZEL_def3c2506c.jpg" TargetMode="External"/><Relationship Id="rId3404" Type="http://schemas.openxmlformats.org/officeDocument/2006/relationships/hyperlink" Target="https://calebasse.com/produits/zeste-dorange-amere-4340?product=6201" TargetMode="External"/><Relationship Id="rId3407" Type="http://schemas.openxmlformats.org/officeDocument/2006/relationships/hyperlink" Target="https://res.cloudinary.com/laboratoire-calebasse/image/upload/v1746522764/FEUILLES_D_ORTIE_100_g_OORPA_6bd1190020.jpg" TargetMode="External"/><Relationship Id="rId3406" Type="http://schemas.openxmlformats.org/officeDocument/2006/relationships/hyperlink" Target="https://calebasse.com/produits/feuilles-dortie-4345?product=6208" TargetMode="External"/><Relationship Id="rId3409" Type="http://schemas.openxmlformats.org/officeDocument/2006/relationships/hyperlink" Target="https://res.cloudinary.com/laboratoire-calebasse/image/upload/v1748269815/FEUILLES_D_ORTIE_240_g_OORPAL_ef5f0361fb.jpg" TargetMode="External"/><Relationship Id="rId3408" Type="http://schemas.openxmlformats.org/officeDocument/2006/relationships/hyperlink" Target="https://calebasse.com/produits/feuilles-dortie-4345?product=6209" TargetMode="External"/><Relationship Id="rId877" Type="http://schemas.openxmlformats.org/officeDocument/2006/relationships/hyperlink" Target="https://calebasse.com/produits/she-gan-racine-diris-tigre-3914?product=4678" TargetMode="External"/><Relationship Id="rId876" Type="http://schemas.openxmlformats.org/officeDocument/2006/relationships/hyperlink" Target="https://res.cloudinary.com/laboratoire-calebasse/image/upload/v1746524901/RACINE_D_IRIS_TIGRE_100_g_ASG_9ac27a71f3.jpg" TargetMode="External"/><Relationship Id="rId875" Type="http://schemas.openxmlformats.org/officeDocument/2006/relationships/hyperlink" Target="https://calebasse.com/produits/she-gan-racine-diris-tigre-3914?product=4680" TargetMode="External"/><Relationship Id="rId874" Type="http://schemas.openxmlformats.org/officeDocument/2006/relationships/hyperlink" Target="https://res.cloudinary.com/laboratoire-calebasse/image/upload/v1760003617/1_236128c660.jpg,https://res.cloudinary.com/laboratoire-calebasse/image/upload/v1760003618/2_2e1c3ec1e7.jpg,https://res.cloudinary.com/laboratoire-calebasse/image/upload/v1760003618/3_57b68f9308.jpg,https://res.cloudinary.com/laboratoire-calebasse/image/upload/v1760003618/4_65570d71d8.jpg,https://res.cloudinary.com/laboratoire-calebasse/image/upload/v1760003674/6_c5faf00393.jpg,https://res.cloudinary.com/laboratoire-calebasse/image/upload/v1760003674/5_6fc420abdb.jpg,https://res.cloudinary.com/laboratoire-calebasse/image/upload/v1761030798/2_11d843bfdb.jpg" TargetMode="External"/><Relationship Id="rId879" Type="http://schemas.openxmlformats.org/officeDocument/2006/relationships/hyperlink" Target="https://calebasse.com/produits/gruau-au-trio-de-champignon-4532?product=7341" TargetMode="External"/><Relationship Id="rId878" Type="http://schemas.openxmlformats.org/officeDocument/2006/relationships/hyperlink" Target="https://res.cloudinary.com/laboratoire-calebasse/image/upload/v1748271967/RACINE_D_IRIS_TIGRE_300_g_ASGL_ce0d05601f.jpg" TargetMode="External"/><Relationship Id="rId873" Type="http://schemas.openxmlformats.org/officeDocument/2006/relationships/hyperlink" Target="https://res.cloudinary.com/laboratoire-calebasse/image/upload/v1760457594/SG_orge_eed915c8c0.jpg" TargetMode="External"/><Relationship Id="rId872" Type="http://schemas.openxmlformats.org/officeDocument/2006/relationships/hyperlink" Target="https://calebasse.com/produits/herbe-dorge-en-poudre-supergreen-detox-and-alcalinisant-5217?product=7592" TargetMode="External"/><Relationship Id="rId871" Type="http://schemas.openxmlformats.org/officeDocument/2006/relationships/hyperlink" Target="https://res.cloudinary.com/laboratoire-calebasse/image/upload/v1760003617/1_236128c660.jpg,https://res.cloudinary.com/laboratoire-calebasse/image/upload/v1760003618/2_2e1c3ec1e7.jpg,https://res.cloudinary.com/laboratoire-calebasse/image/upload/v1760003618/3_57b68f9308.jpg,https://res.cloudinary.com/laboratoire-calebasse/image/upload/v1760003618/4_65570d71d8.jpg,https://res.cloudinary.com/laboratoire-calebasse/image/upload/v1760003674/6_c5faf00393.jpg,https://res.cloudinary.com/laboratoire-calebasse/image/upload/v1760003674/5_6fc420abdb.jpg,https://res.cloudinary.com/laboratoire-calebasse/image/upload/v1761030798/2_11d843bfdb.jpg" TargetMode="External"/><Relationship Id="rId3401" Type="http://schemas.openxmlformats.org/officeDocument/2006/relationships/hyperlink" Target="https://res.cloudinary.com/laboratoire-calebasse/image/upload/v1748269148/OLIVIER_200_g_OOLIVL_65b3c11b1e.jpg" TargetMode="External"/><Relationship Id="rId870" Type="http://schemas.openxmlformats.org/officeDocument/2006/relationships/hyperlink" Target="https://res.cloudinary.com/laboratoire-calebasse/image/upload/v1760457594/SG_orge_eed915c8c0.jpg" TargetMode="External"/><Relationship Id="rId3400" Type="http://schemas.openxmlformats.org/officeDocument/2006/relationships/hyperlink" Target="https://calebasse.com/produits/olivier-4339?product=6199" TargetMode="External"/><Relationship Id="rId1653" Type="http://schemas.openxmlformats.org/officeDocument/2006/relationships/hyperlink" Target="https://calebasse.com/produits/jing-zhui-tong-wan-4090?product=5319" TargetMode="External"/><Relationship Id="rId2984" Type="http://schemas.openxmlformats.org/officeDocument/2006/relationships/hyperlink" Target="https://calebasse.com/produits/jiu-jing-deng-lampe-a-alcool-150-ml-5014?product=7231" TargetMode="External"/><Relationship Id="rId1654" Type="http://schemas.openxmlformats.org/officeDocument/2006/relationships/hyperlink" Target="https://res.cloudinary.com/laboratoire-calebasse/image/upload/v1753352333/JING_ZHUI_TONG_WAN_CJZTW_ca14923804.jpg" TargetMode="External"/><Relationship Id="rId2985" Type="http://schemas.openxmlformats.org/officeDocument/2006/relationships/hyperlink" Target="https://res.cloudinary.com/laboratoire-calebasse/image/upload/v1723109569/jiu_jing_deng_4dd8c748c5.jpg" TargetMode="External"/><Relationship Id="rId1655" Type="http://schemas.openxmlformats.org/officeDocument/2006/relationships/hyperlink" Target="https://calebasse.com/produits/jing-zhui-tong-wan-4090?product=5322" TargetMode="External"/><Relationship Id="rId2986" Type="http://schemas.openxmlformats.org/officeDocument/2006/relationships/hyperlink" Target="https://calebasse.com/produits/porte-affiche-magnetique-bois-noyer-5025?product=7243" TargetMode="External"/><Relationship Id="rId1656" Type="http://schemas.openxmlformats.org/officeDocument/2006/relationships/hyperlink" Target="https://res.cloudinary.com/laboratoire-calebasse/image/upload/v1753352350/JING_ZHUI_TONG_WAN_CJZTWCP_6641f21d38.jpg" TargetMode="External"/><Relationship Id="rId2987" Type="http://schemas.openxmlformats.org/officeDocument/2006/relationships/hyperlink" Target="https://res.cloudinary.com/laboratoire-calebasse/image/upload/v1703769054/85_720_18959625a1.jpg" TargetMode="External"/><Relationship Id="rId1657" Type="http://schemas.openxmlformats.org/officeDocument/2006/relationships/hyperlink" Target="https://calebasse.com/produits/ke-chuan-wan-4093?product=5324" TargetMode="External"/><Relationship Id="rId2988" Type="http://schemas.openxmlformats.org/officeDocument/2006/relationships/hyperlink" Target="https://calebasse.com/produits/porte-affiche-magnetique-bois-noyer-5025?product=7242" TargetMode="External"/><Relationship Id="rId1658" Type="http://schemas.openxmlformats.org/officeDocument/2006/relationships/hyperlink" Target="https://res.cloudinary.com/laboratoire-calebasse/image/upload/v1753352365/KE_CHUAN_WAN_CKCW_12fe87078d.jpg" TargetMode="External"/><Relationship Id="rId2989" Type="http://schemas.openxmlformats.org/officeDocument/2006/relationships/hyperlink" Target="https://res.cloudinary.com/laboratoire-calebasse/image/upload/v1703769040/61_720_c878e70f37.jpg" TargetMode="External"/><Relationship Id="rId1659" Type="http://schemas.openxmlformats.org/officeDocument/2006/relationships/hyperlink" Target="https://calebasse.com/produits/ke-chuan-wan-4093?product=5326" TargetMode="External"/><Relationship Id="rId829" Type="http://schemas.openxmlformats.org/officeDocument/2006/relationships/hyperlink" Target="https://res.cloudinary.com/laboratoire-calebasse/image/upload/v1704448339/A_rougui_CP_94ca38036e.jpg" TargetMode="External"/><Relationship Id="rId828" Type="http://schemas.openxmlformats.org/officeDocument/2006/relationships/hyperlink" Target="https://calebasse.com/produits/rou-gui-ecorce-de-cannelle-4506?product=4622" TargetMode="External"/><Relationship Id="rId827" Type="http://schemas.openxmlformats.org/officeDocument/2006/relationships/hyperlink" Target="https://res.cloudinary.com/laboratoire-calebasse/image/upload/v1746528001/ECORCE_DE_CANNELLE_100_g_ARG_97d16d6fd4.jpg" TargetMode="External"/><Relationship Id="rId822" Type="http://schemas.openxmlformats.org/officeDocument/2006/relationships/hyperlink" Target="https://calebasse.com/produits/ren-dong-teng-liane-de-chevrefeuille-du-japon-3899?product=4610" TargetMode="External"/><Relationship Id="rId821" Type="http://schemas.openxmlformats.org/officeDocument/2006/relationships/hyperlink" Target="https://res.cloudinary.com/laboratoire-calebasse/image/upload/v1634201124/A_rendongtengcp_c0a4cc01b7.jpg" TargetMode="External"/><Relationship Id="rId820" Type="http://schemas.openxmlformats.org/officeDocument/2006/relationships/hyperlink" Target="https://calebasse.com/produits/ren-dong-teng-liane-de-chevrefeuille-du-japon-3899?product=4608" TargetMode="External"/><Relationship Id="rId826" Type="http://schemas.openxmlformats.org/officeDocument/2006/relationships/hyperlink" Target="https://calebasse.com/produits/rou-gui-ecorce-de-cannelle-4506?product=4620" TargetMode="External"/><Relationship Id="rId825" Type="http://schemas.openxmlformats.org/officeDocument/2006/relationships/hyperlink" Target="https://res.cloudinary.com/laboratoire-calebasse/image/upload/v1748272092/LIANE_DE_CHEVREFEUILLE_DU_JAPON_300_g_ARDTL_90e12dd8f3.jpg" TargetMode="External"/><Relationship Id="rId824" Type="http://schemas.openxmlformats.org/officeDocument/2006/relationships/hyperlink" Target="https://calebasse.com/produits/ren-dong-teng-liane-de-chevrefeuille-du-japon-3899?product=4605" TargetMode="External"/><Relationship Id="rId823" Type="http://schemas.openxmlformats.org/officeDocument/2006/relationships/hyperlink" Target="https://res.cloudinary.com/laboratoire-calebasse/image/upload/v1634201121/A_rendongtenggl_9c035d00bc.jpg" TargetMode="External"/><Relationship Id="rId2980" Type="http://schemas.openxmlformats.org/officeDocument/2006/relationships/hyperlink" Target="https://calebasse.com/produits/yang-shen-chui-marteau-de-massage-en-tissu-et-graines-de-plantes-5012?product=7228" TargetMode="External"/><Relationship Id="rId1650" Type="http://schemas.openxmlformats.org/officeDocument/2006/relationships/hyperlink" Target="https://res.cloudinary.com/laboratoire-calebasse/image/upload/v1634201137/C_jiangyawan_748bbe1ae5.jpg" TargetMode="External"/><Relationship Id="rId2981" Type="http://schemas.openxmlformats.org/officeDocument/2006/relationships/hyperlink" Target="https://res.cloudinary.com/laboratoire-calebasse/image/upload/v1701356565/Chuichui_c385be8c58.jpg" TargetMode="External"/><Relationship Id="rId1651" Type="http://schemas.openxmlformats.org/officeDocument/2006/relationships/hyperlink" Target="https://calebasse.com/produits/jiang-ya-wan-4084?product=5294" TargetMode="External"/><Relationship Id="rId2982" Type="http://schemas.openxmlformats.org/officeDocument/2006/relationships/hyperlink" Target="https://calebasse.com/produits/yang-shen-chui-marteau-de-massage-en-tissu-et-graines-de-plantes-5012?product=7535" TargetMode="External"/><Relationship Id="rId1652" Type="http://schemas.openxmlformats.org/officeDocument/2006/relationships/hyperlink" Target="https://res.cloudinary.com/laboratoire-calebasse/image/upload/v1634201136/C_jiangyawancp_a548774d0f.jpg" TargetMode="External"/><Relationship Id="rId2983" Type="http://schemas.openxmlformats.org/officeDocument/2006/relationships/hyperlink" Target="https://res.cloudinary.com/laboratoire-calebasse/image/upload/v1754986246/1_6482ecf6c1.jpg" TargetMode="External"/><Relationship Id="rId1642" Type="http://schemas.openxmlformats.org/officeDocument/2006/relationships/hyperlink" Target="https://res.cloudinary.com/laboratoire-calebasse/image/upload/v1753352170/JIA_WEI_ZUO_JIN_WAN_CJWZJW_e24105b5b3.jpg" TargetMode="External"/><Relationship Id="rId2973" Type="http://schemas.openxmlformats.org/officeDocument/2006/relationships/hyperlink" Target="https://res.cloudinary.com/laboratoire-calebasse/image/upload/v1725658466/_15ab29d663.jpg" TargetMode="External"/><Relationship Id="rId1643" Type="http://schemas.openxmlformats.org/officeDocument/2006/relationships/hyperlink" Target="https://calebasse.com/produits/jia-wei-zuo-jin-wan-4077?product=5262" TargetMode="External"/><Relationship Id="rId2974" Type="http://schemas.openxmlformats.org/officeDocument/2006/relationships/hyperlink" Target="https://calebasse.com/produits/dian-dong-ba-guan-qi-ventouses-electronique-masseur-12-vitesses-reglables-26594?product=7344" TargetMode="External"/><Relationship Id="rId1644" Type="http://schemas.openxmlformats.org/officeDocument/2006/relationships/hyperlink" Target="https://res.cloudinary.com/laboratoire-calebasse/image/upload/v1753352180/JIA_WEI_ZUO_JIN_WAN_CJWZJWCP_4eb1efd9cc.jpg" TargetMode="External"/><Relationship Id="rId2975" Type="http://schemas.openxmlformats.org/officeDocument/2006/relationships/hyperlink" Target="https://res.cloudinary.com/laboratoire-calebasse/image/upload/v1730194193/baguan_white_97e71cd2a6.jpg" TargetMode="External"/><Relationship Id="rId1645" Type="http://schemas.openxmlformats.org/officeDocument/2006/relationships/hyperlink" Target="https://calebasse.com/produits/jiang-ya-ping-pian-4838?product=6855" TargetMode="External"/><Relationship Id="rId2976" Type="http://schemas.openxmlformats.org/officeDocument/2006/relationships/hyperlink" Target="https://calebasse.com/produits/dian-dong-ba-guan-qi-ventouses-electronique-masseur-12-vitesses-reglables-26594?product=7345" TargetMode="External"/><Relationship Id="rId1646" Type="http://schemas.openxmlformats.org/officeDocument/2006/relationships/hyperlink" Target="https://res.cloudinary.com/laboratoire-calebasse/image/upload/v1753352243/JIANG_YA_PING_PIAN_CJYPP_38bcdb9cc0.jpg" TargetMode="External"/><Relationship Id="rId2977" Type="http://schemas.openxmlformats.org/officeDocument/2006/relationships/hyperlink" Target="https://res.cloudinary.com/laboratoire-calebasse/image/upload/v1730194213/baguan_blue_23bbcf2092.jpg" TargetMode="External"/><Relationship Id="rId1647" Type="http://schemas.openxmlformats.org/officeDocument/2006/relationships/hyperlink" Target="https://calebasse.com/produits/jiang-ya-ping-pian-4838?product=6856" TargetMode="External"/><Relationship Id="rId2978" Type="http://schemas.openxmlformats.org/officeDocument/2006/relationships/hyperlink" Target="https://calebasse.com/produits/zhen-kong-ba-guan-qi-coffret-de-12-ventouses-avec-pompe-4965?product=7173" TargetMode="External"/><Relationship Id="rId1648" Type="http://schemas.openxmlformats.org/officeDocument/2006/relationships/hyperlink" Target="https://res.cloudinary.com/laboratoire-calebasse/image/upload/v1753352252/JIANG_YA_PING_PIAN_CJYPPCP_dcec6c8e74.jpg" TargetMode="External"/><Relationship Id="rId2979" Type="http://schemas.openxmlformats.org/officeDocument/2006/relationships/hyperlink" Target="https://res.cloudinary.com/laboratoire-calebasse/image/upload/v1699883248/_a8df5b19d0.png" TargetMode="External"/><Relationship Id="rId1649" Type="http://schemas.openxmlformats.org/officeDocument/2006/relationships/hyperlink" Target="https://calebasse.com/produits/jiang-ya-wan-4084?product=5292" TargetMode="External"/><Relationship Id="rId819" Type="http://schemas.openxmlformats.org/officeDocument/2006/relationships/hyperlink" Target="https://res.cloudinary.com/laboratoire-calebasse/image/upload/v1746525189/LIANE_DE_CHEVREFEUILLE_DU_JAPON_100_g_ARDT_4fc577b243.jpg" TargetMode="External"/><Relationship Id="rId818" Type="http://schemas.openxmlformats.org/officeDocument/2006/relationships/hyperlink" Target="https://calebasse.com/produits/ren-dong-teng-liane-de-chevrefeuille-du-japon-3899?product=4607" TargetMode="External"/><Relationship Id="rId817" Type="http://schemas.openxmlformats.org/officeDocument/2006/relationships/hyperlink" Target="https://res.cloudinary.com/laboratoire-calebasse/image/upload/v1746527059/GRUAU_AUX_JUJUBES_ET_LYS_100_g_AQSMYZ_2e8495b096.jpg" TargetMode="External"/><Relationship Id="rId816" Type="http://schemas.openxmlformats.org/officeDocument/2006/relationships/hyperlink" Target="https://calebasse.com/produits/qu-shi-mei-yan-zhou-gruau-aux-jujubes-et-lys-4692?product=6811" TargetMode="External"/><Relationship Id="rId811" Type="http://schemas.openxmlformats.org/officeDocument/2006/relationships/hyperlink" Target="https://res.cloudinary.com/laboratoire-calebasse/image/upload/v1746524492/FLEURS_DE_GOMPHRENA_50_g_AQRH_50e1fb86df.jpg" TargetMode="External"/><Relationship Id="rId810" Type="http://schemas.openxmlformats.org/officeDocument/2006/relationships/hyperlink" Target="https://calebasse.com/produits/qian-ri-hong-fleurs-de-gomphrena-3894?product=4594" TargetMode="External"/><Relationship Id="rId815" Type="http://schemas.openxmlformats.org/officeDocument/2006/relationships/hyperlink" Target="https://res.cloudinary.com/laboratoire-calebasse/image/upload/v1754901515/NENUPHAR_EPINEUX_300_g_AQSL_4df7173f03.jpg" TargetMode="External"/><Relationship Id="rId814" Type="http://schemas.openxmlformats.org/officeDocument/2006/relationships/hyperlink" Target="https://calebasse.com/produits/qian-shi-graines-de-nenuphar-epineux-graines-grillees-3895?product=4597" TargetMode="External"/><Relationship Id="rId813" Type="http://schemas.openxmlformats.org/officeDocument/2006/relationships/hyperlink" Target="https://res.cloudinary.com/laboratoire-calebasse/image/upload/v1746528086/NENUPHAR_EPINEUX_100_g_AQS_08c124ef64.jpg" TargetMode="External"/><Relationship Id="rId812" Type="http://schemas.openxmlformats.org/officeDocument/2006/relationships/hyperlink" Target="https://calebasse.com/produits/qian-shi-graines-de-nenuphar-epineux-graines-grillees-3895?product=4596" TargetMode="External"/><Relationship Id="rId2970" Type="http://schemas.openxmlformats.org/officeDocument/2006/relationships/hyperlink" Target="https://calebasse.com/produits/su-liao-ba-guan-set-de-4-ventouses-en-plastique-de-tailles-differentes-5026?product=7244" TargetMode="External"/><Relationship Id="rId1640" Type="http://schemas.openxmlformats.org/officeDocument/2006/relationships/hyperlink" Target="https://res.cloudinary.com/laboratoire-calebasse/image/upload/v1753104485/JIA_WEI_XIAO_YAO_SAN_CJWXYSCP_Poudre_316eda0869.jpg" TargetMode="External"/><Relationship Id="rId2971" Type="http://schemas.openxmlformats.org/officeDocument/2006/relationships/hyperlink" Target="https://res.cloudinary.com/laboratoire-calebasse/image/upload/v1704206683/bleu_b430e1d966.jpg" TargetMode="External"/><Relationship Id="rId1641" Type="http://schemas.openxmlformats.org/officeDocument/2006/relationships/hyperlink" Target="https://calebasse.com/produits/jia-wei-zuo-jin-wan-4077?product=5260" TargetMode="External"/><Relationship Id="rId2972" Type="http://schemas.openxmlformats.org/officeDocument/2006/relationships/hyperlink" Target="https://calebasse.com/produits/dian-dong-ba-guan-qi-ventouses-electronique-masseur-12-vitesses-reglables-26594?product=7340" TargetMode="External"/><Relationship Id="rId1675" Type="http://schemas.openxmlformats.org/officeDocument/2006/relationships/hyperlink" Target="https://calebasse.com/produits/liu-jun-zi-tang-4101?product=5358" TargetMode="External"/><Relationship Id="rId1676" Type="http://schemas.openxmlformats.org/officeDocument/2006/relationships/hyperlink" Target="https://res.cloudinary.com/laboratoire-calebasse/image/upload/v1753104552/LIU_JUN_ZI_TANG_CLJZW_dc0f6b3ff0.jpg" TargetMode="External"/><Relationship Id="rId1677" Type="http://schemas.openxmlformats.org/officeDocument/2006/relationships/hyperlink" Target="https://calebasse.com/produits/liu-jun-zi-tang-4101?product=5362" TargetMode="External"/><Relationship Id="rId1678" Type="http://schemas.openxmlformats.org/officeDocument/2006/relationships/hyperlink" Target="https://res.cloudinary.com/laboratoire-calebasse/image/upload/v1753104566/LIU_JUN_ZI_TANG_CLJZWCP_21793fbd70.jpg" TargetMode="External"/><Relationship Id="rId1679" Type="http://schemas.openxmlformats.org/officeDocument/2006/relationships/hyperlink" Target="https://calebasse.com/produits/long-mu-zhuang-gu-ke-li-4105?product=5372" TargetMode="External"/><Relationship Id="rId849" Type="http://schemas.openxmlformats.org/officeDocument/2006/relationships/hyperlink" Target="https://res.cloudinary.com/laboratoire-calebasse/image/upload/v1746524972/CAMELIA_50_g_ASCH_36fc9a7687.jpg" TargetMode="External"/><Relationship Id="rId844" Type="http://schemas.openxmlformats.org/officeDocument/2006/relationships/hyperlink" Target="https://calebasse.com/produits/sang-bai-pi-ecorce-de-murier-3905?product=4638" TargetMode="External"/><Relationship Id="rId843" Type="http://schemas.openxmlformats.org/officeDocument/2006/relationships/hyperlink" Target="https://res.cloudinary.com/laboratoire-calebasse/image/upload/v1634201122/A_sangbaipicp_8167731c61.jpg" TargetMode="External"/><Relationship Id="rId842" Type="http://schemas.openxmlformats.org/officeDocument/2006/relationships/hyperlink" Target="https://calebasse.com/produits/sang-bai-pi-ecorce-de-murier-3905?product=4636" TargetMode="External"/><Relationship Id="rId841" Type="http://schemas.openxmlformats.org/officeDocument/2006/relationships/hyperlink" Target="https://res.cloudinary.com/laboratoire-calebasse/image/upload/v1746525836/ECORCE_DE_MURIER_100_g_ASBP_da805d2ed5.jpg" TargetMode="External"/><Relationship Id="rId848" Type="http://schemas.openxmlformats.org/officeDocument/2006/relationships/hyperlink" Target="https://calebasse.com/produits/shan-cha-hua-camelia-3911?product=4662" TargetMode="External"/><Relationship Id="rId847" Type="http://schemas.openxmlformats.org/officeDocument/2006/relationships/hyperlink" Target="https://res.cloudinary.com/laboratoire-calebasse/image/upload/v1754901759/ECORCE_DE_MURIER_300_g_ASBPL_73a9f6a64f.jpg" TargetMode="External"/><Relationship Id="rId846" Type="http://schemas.openxmlformats.org/officeDocument/2006/relationships/hyperlink" Target="https://calebasse.com/produits/sang-bai-pi-ecorce-de-murier-3905?product=4635" TargetMode="External"/><Relationship Id="rId845" Type="http://schemas.openxmlformats.org/officeDocument/2006/relationships/hyperlink" Target="https://res.cloudinary.com/laboratoire-calebasse/image/upload/v1634201122/A_sangbaipigl_533b136ff1.jpg" TargetMode="External"/><Relationship Id="rId1670" Type="http://schemas.openxmlformats.org/officeDocument/2006/relationships/hyperlink" Target="https://res.cloudinary.com/laboratoire-calebasse/image/upload/v1753352467/LING_GUI_ZHU_GAN_TANG_CLGZGTCP_ebb09e6502.jpg" TargetMode="External"/><Relationship Id="rId840" Type="http://schemas.openxmlformats.org/officeDocument/2006/relationships/hyperlink" Target="https://calebasse.com/produits/sang-bai-pi-ecorce-de-murier-3905?product=4634" TargetMode="External"/><Relationship Id="rId1671" Type="http://schemas.openxmlformats.org/officeDocument/2006/relationships/hyperlink" Target="https://calebasse.com/produits/lian-hua-qing-wen-jiao-nang-4382?product=6289" TargetMode="External"/><Relationship Id="rId1672" Type="http://schemas.openxmlformats.org/officeDocument/2006/relationships/hyperlink" Target="https://res.cloudinary.com/laboratoire-calebasse/image/upload/v1753352426/LIAN_HUA_QING_WEN_JIAO_NANG_CLHQWJN_9f588dc59b.jpg" TargetMode="External"/><Relationship Id="rId1673" Type="http://schemas.openxmlformats.org/officeDocument/2006/relationships/hyperlink" Target="https://calebasse.com/produits/lian-hua-qing-wen-jiao-nang-4382?product=6291" TargetMode="External"/><Relationship Id="rId1674" Type="http://schemas.openxmlformats.org/officeDocument/2006/relationships/hyperlink" Target="https://res.cloudinary.com/laboratoire-calebasse/image/upload/v1753352440/LIAN_HUA_QING_WEN_JIAO_NANG_CLHQWJNCP_3e4173a978.jpg" TargetMode="External"/><Relationship Id="rId1664" Type="http://schemas.openxmlformats.org/officeDocument/2006/relationships/hyperlink" Target="https://res.cloudinary.com/laboratoire-calebasse/image/upload/v1753104620/LONG_DAN_XIE_GAN_TANG_CLDXGT_Gelule_a54f416235.jpg" TargetMode="External"/><Relationship Id="rId2995" Type="http://schemas.openxmlformats.org/officeDocument/2006/relationships/hyperlink" Target="https://res.cloudinary.com/laboratoire-calebasse/image/upload/v1704190177/_268ade99b7.jpg" TargetMode="External"/><Relationship Id="rId1665" Type="http://schemas.openxmlformats.org/officeDocument/2006/relationships/hyperlink" Target="https://calebasse.com/produits/long-dan-xie-gan-tang-4103?product=5369" TargetMode="External"/><Relationship Id="rId2996" Type="http://schemas.openxmlformats.org/officeDocument/2006/relationships/hyperlink" Target="https://calebasse.com/produits/ren-ti-zhen-jiu-mo-xing-bai-se-ying-wen-ban-nan-modele-dacupuncture-hauteur-60-cm-homme-4921?product=7311" TargetMode="External"/><Relationship Id="rId1666" Type="http://schemas.openxmlformats.org/officeDocument/2006/relationships/hyperlink" Target="https://res.cloudinary.com/laboratoire-calebasse/image/upload/v1753104610/LONG_DAN_XIE_GAN_TANG_CLDXGTCP_Poudre_93d3fe604f.jpg" TargetMode="External"/><Relationship Id="rId2997" Type="http://schemas.openxmlformats.org/officeDocument/2006/relationships/hyperlink" Target="https://res.cloudinary.com/laboratoire-calebasse/image/upload/v1704190162/homme_e5a5a6d400.jpg" TargetMode="External"/><Relationship Id="rId1667" Type="http://schemas.openxmlformats.org/officeDocument/2006/relationships/hyperlink" Target="https://calebasse.com/produits/ling-gui-zhu-gan-tang-4476?product=5352" TargetMode="External"/><Relationship Id="rId2998" Type="http://schemas.openxmlformats.org/officeDocument/2006/relationships/hyperlink" Target="https://calebasse.com/produits/ren-ti-zhen-jiu-mo-xing-modele-dacupuncture-hauteur-26-cm-4922?product=7130" TargetMode="External"/><Relationship Id="rId1668" Type="http://schemas.openxmlformats.org/officeDocument/2006/relationships/hyperlink" Target="https://res.cloudinary.com/laboratoire-calebasse/image/upload/v1753352456/LING_GUI_ZHU_GAN_TANG_CLGZGT_1ea576ab65.jpg" TargetMode="External"/><Relationship Id="rId2999" Type="http://schemas.openxmlformats.org/officeDocument/2006/relationships/hyperlink" Target="https://res.cloudinary.com/laboratoire-calebasse/image/upload/v1704190146/homme2_8fe82d01c6.jpg" TargetMode="External"/><Relationship Id="rId1669" Type="http://schemas.openxmlformats.org/officeDocument/2006/relationships/hyperlink" Target="https://calebasse.com/produits/ling-gui-zhu-gan-tang-4476?product=5354" TargetMode="External"/><Relationship Id="rId839" Type="http://schemas.openxmlformats.org/officeDocument/2006/relationships/hyperlink" Target="https://res.cloudinary.com/laboratoire-calebasse/image/upload/v1746524105/FEUILLES_DE_GINSENG_50_g_ARSY_792eae9a8e.jpg" TargetMode="External"/><Relationship Id="rId838" Type="http://schemas.openxmlformats.org/officeDocument/2006/relationships/hyperlink" Target="https://calebasse.com/produits/ren-shen-ye-feuilles-de-ginseng-3901?product=4618" TargetMode="External"/><Relationship Id="rId833" Type="http://schemas.openxmlformats.org/officeDocument/2006/relationships/hyperlink" Target="https://res.cloudinary.com/laboratoire-calebasse/image/upload/v1748272076/ECORCE_DE_CANNELLE_300_g_ARGL_2d711e5321.jpg" TargetMode="External"/><Relationship Id="rId832" Type="http://schemas.openxmlformats.org/officeDocument/2006/relationships/hyperlink" Target="https://calebasse.com/produits/rou-gui-ecorce-de-cannelle-4506?product=4621" TargetMode="External"/><Relationship Id="rId831" Type="http://schemas.openxmlformats.org/officeDocument/2006/relationships/hyperlink" Target="https://res.cloudinary.com/laboratoire-calebasse/image/upload/v1704448358/A_rougui_GL_bc34b56c03.jpg" TargetMode="External"/><Relationship Id="rId830" Type="http://schemas.openxmlformats.org/officeDocument/2006/relationships/hyperlink" Target="https://calebasse.com/produits/rou-gui-ecorce-de-cannelle-4506?product=4624" TargetMode="External"/><Relationship Id="rId837" Type="http://schemas.openxmlformats.org/officeDocument/2006/relationships/hyperlink" Target="https://res.cloudinary.com/laboratoire-calebasse/image/upload/v1753428412/Ren_shen_x_2_50g_4db3eaa671.jpg" TargetMode="External"/><Relationship Id="rId836" Type="http://schemas.openxmlformats.org/officeDocument/2006/relationships/hyperlink" Target="https://calebasse.com/produits/ren-shen-racine-de-ginseng-4679?product=7358" TargetMode="External"/><Relationship Id="rId835" Type="http://schemas.openxmlformats.org/officeDocument/2006/relationships/hyperlink" Target="https://res.cloudinary.com/laboratoire-calebasse/image/upload/v1754486229/ren_shen_79e9aab939.jpg" TargetMode="External"/><Relationship Id="rId834" Type="http://schemas.openxmlformats.org/officeDocument/2006/relationships/hyperlink" Target="https://calebasse.com/produits/ren-shen-racine-de-ginseng-4679?product=4612" TargetMode="External"/><Relationship Id="rId2990" Type="http://schemas.openxmlformats.org/officeDocument/2006/relationships/hyperlink" Target="https://calebasse.com/produits/porte-affiche-magnetique-bois-rustique-5029?product=7250" TargetMode="External"/><Relationship Id="rId1660" Type="http://schemas.openxmlformats.org/officeDocument/2006/relationships/hyperlink" Target="https://res.cloudinary.com/laboratoire-calebasse/image/upload/v1753352382/KE_CHUAN_WAN_CKCWCP_b713d629d7.jpg" TargetMode="External"/><Relationship Id="rId2991" Type="http://schemas.openxmlformats.org/officeDocument/2006/relationships/hyperlink" Target="https://res.cloudinary.com/laboratoire-calebasse/image/upload/v1705658738/hua_jia85_6e2f6946f5.jpg" TargetMode="External"/><Relationship Id="rId1661" Type="http://schemas.openxmlformats.org/officeDocument/2006/relationships/hyperlink" Target="https://calebasse.com/produits/kou-xiang-wan-4092?product=5330" TargetMode="External"/><Relationship Id="rId2992" Type="http://schemas.openxmlformats.org/officeDocument/2006/relationships/hyperlink" Target="https://calebasse.com/produits/porte-affiche-magnetique-bois-rustique-5029?product=7251" TargetMode="External"/><Relationship Id="rId1662" Type="http://schemas.openxmlformats.org/officeDocument/2006/relationships/hyperlink" Target="https://res.cloudinary.com/laboratoire-calebasse/image/upload/v1634201139/C_kouxiangwancp_9c564ae273.jpg" TargetMode="External"/><Relationship Id="rId2993" Type="http://schemas.openxmlformats.org/officeDocument/2006/relationships/hyperlink" Target="https://res.cloudinary.com/laboratoire-calebasse/image/upload/v1705658796/hua_jia61_a442a02473.jpg" TargetMode="External"/><Relationship Id="rId1663" Type="http://schemas.openxmlformats.org/officeDocument/2006/relationships/hyperlink" Target="https://calebasse.com/produits/long-dan-xie-gan-tang-4103?product=5368" TargetMode="External"/><Relationship Id="rId2994" Type="http://schemas.openxmlformats.org/officeDocument/2006/relationships/hyperlink" Target="https://calebasse.com/produits/ren-ti-zhen-jiu-mo-xing-bai-se-ying-wen-ban-nv-modele-dacupuncture-hauteur-48-cm-femme-4920?product=7128" TargetMode="External"/><Relationship Id="rId2148" Type="http://schemas.openxmlformats.org/officeDocument/2006/relationships/hyperlink" Target="https://res.cloudinary.com/laboratoire-calebasse/image/upload/v1634201201/partie1_1_1_d098ee5d66.jpg" TargetMode="External"/><Relationship Id="rId2149" Type="http://schemas.openxmlformats.org/officeDocument/2006/relationships/hyperlink" Target="https://calebasse.com/produits/kun-lun-xue-ju-chrysantheme-du-kunlun-4681?product=6819" TargetMode="External"/><Relationship Id="rId3479" Type="http://schemas.openxmlformats.org/officeDocument/2006/relationships/hyperlink" Target="https://res.cloudinary.com/laboratoire-calebasse/image/upload/v1744902119/SAUGE_OFFICINALE_FEUILLE_COUPEE_BIO_50_g_OSAUG_2025_04_10_4d96820ef8.jpg" TargetMode="External"/><Relationship Id="rId3470" Type="http://schemas.openxmlformats.org/officeDocument/2006/relationships/hyperlink" Target="https://calebasse.com/produits/romarin-4358?product=6239" TargetMode="External"/><Relationship Id="rId2140" Type="http://schemas.openxmlformats.org/officeDocument/2006/relationships/hyperlink" Target="https://res.cloudinary.com/laboratoire-calebasse/image/upload/v1634201201/boite2_b3ec866727.jpg" TargetMode="External"/><Relationship Id="rId3472" Type="http://schemas.openxmlformats.org/officeDocument/2006/relationships/hyperlink" Target="https://calebasse.com/produits/romarin-4358?product=6238" TargetMode="External"/><Relationship Id="rId2141" Type="http://schemas.openxmlformats.org/officeDocument/2006/relationships/hyperlink" Target="https://calebasse.com/produits/herbiers-dnmtc-4421?product=6406" TargetMode="External"/><Relationship Id="rId3471" Type="http://schemas.openxmlformats.org/officeDocument/2006/relationships/hyperlink" Target="https://res.cloudinary.com/laboratoire-calebasse/image/upload/v1746523681/ROMARIN_100_g_OROMA_0d611b23b0.jpg" TargetMode="External"/><Relationship Id="rId2142" Type="http://schemas.openxmlformats.org/officeDocument/2006/relationships/hyperlink" Target="https://res.cloudinary.com/laboratoire-calebasse/image/upload/v1634201201/boite3_cf1aa27985.jpg" TargetMode="External"/><Relationship Id="rId3474" Type="http://schemas.openxmlformats.org/officeDocument/2006/relationships/hyperlink" Target="https://calebasse.com/produits/sarriette-des-montagne-feuille-entiere-bio-5200?product=7520" TargetMode="External"/><Relationship Id="rId2143" Type="http://schemas.openxmlformats.org/officeDocument/2006/relationships/hyperlink" Target="https://calebasse.com/produits/herbiers-dnmtc-4421?product=6407" TargetMode="External"/><Relationship Id="rId3473" Type="http://schemas.openxmlformats.org/officeDocument/2006/relationships/hyperlink" Target="https://res.cloudinary.com/laboratoire-calebasse/image/upload/v1748268768/ROMARIN_300_g_OROMAL_e9671c42b2.jpg" TargetMode="External"/><Relationship Id="rId2144" Type="http://schemas.openxmlformats.org/officeDocument/2006/relationships/hyperlink" Target="https://res.cloudinary.com/laboratoire-calebasse/image/upload/v1634201201/boite4_dd1bb97c1a.jpg" TargetMode="External"/><Relationship Id="rId3476" Type="http://schemas.openxmlformats.org/officeDocument/2006/relationships/hyperlink" Target="https://calebasse.com/produits/sarriette-des-montagne-feuille-entiere-bio-5200?product=7521" TargetMode="External"/><Relationship Id="rId2145" Type="http://schemas.openxmlformats.org/officeDocument/2006/relationships/hyperlink" Target="https://calebasse.com/produits/herbiers-dnmtc-4421?product=6408" TargetMode="External"/><Relationship Id="rId3475" Type="http://schemas.openxmlformats.org/officeDocument/2006/relationships/hyperlink" Target="https://res.cloudinary.com/laboratoire-calebasse/image/upload/v1753800578/SARRIETTE_DES_MONTAGNE_FEUILLE_ENTIERE_BIO_50_g_OSAMF_9f5161a2e1.jpg" TargetMode="External"/><Relationship Id="rId2146" Type="http://schemas.openxmlformats.org/officeDocument/2006/relationships/hyperlink" Target="https://res.cloudinary.com/laboratoire-calebasse/image/upload/v1634201201/boite5_3f645605b7.jpg" TargetMode="External"/><Relationship Id="rId3478" Type="http://schemas.openxmlformats.org/officeDocument/2006/relationships/hyperlink" Target="https://calebasse.com/produits/sauge-4360?product=6242" TargetMode="External"/><Relationship Id="rId2147" Type="http://schemas.openxmlformats.org/officeDocument/2006/relationships/hyperlink" Target="https://calebasse.com/produits/kit-herbier-dnmtc-4423?product=6409" TargetMode="External"/><Relationship Id="rId3477" Type="http://schemas.openxmlformats.org/officeDocument/2006/relationships/hyperlink" Target="https://res.cloudinary.com/laboratoire-calebasse/image/upload/v1753800587/SARRIETTE_DES_MONTAGNE_FEUILLE_ENTIERE_BIO_200_g_OSAMFL_dbbafa5754.jpg" TargetMode="External"/><Relationship Id="rId2137" Type="http://schemas.openxmlformats.org/officeDocument/2006/relationships/hyperlink" Target="https://calebasse.com/produits/herbiers-dnmtc-4421?product=6404" TargetMode="External"/><Relationship Id="rId3469" Type="http://schemas.openxmlformats.org/officeDocument/2006/relationships/hyperlink" Target="https://res.cloudinary.com/laboratoire-calebasse/image/upload/v1748268784/REINE_DES_PRES_300_g_OREINL_e3f3253ba5.jpg" TargetMode="External"/><Relationship Id="rId2138" Type="http://schemas.openxmlformats.org/officeDocument/2006/relationships/hyperlink" Target="https://res.cloudinary.com/laboratoire-calebasse/image/upload/v1634201201/boite1_943035622a.jpg" TargetMode="External"/><Relationship Id="rId3468" Type="http://schemas.openxmlformats.org/officeDocument/2006/relationships/hyperlink" Target="https://calebasse.com/produits/reine-des-pres-4357?product=6237" TargetMode="External"/><Relationship Id="rId2139" Type="http://schemas.openxmlformats.org/officeDocument/2006/relationships/hyperlink" Target="https://calebasse.com/produits/herbiers-dnmtc-4421?product=6405" TargetMode="External"/><Relationship Id="rId3461" Type="http://schemas.openxmlformats.org/officeDocument/2006/relationships/hyperlink" Target="https://res.cloudinary.com/laboratoire-calebasse/image/upload/v1748268798/RATANHIA_300_g_ORANTL_b1c870c6c3.jpg" TargetMode="External"/><Relationship Id="rId2130" Type="http://schemas.openxmlformats.org/officeDocument/2006/relationships/hyperlink" Target="https://res.cloudinary.com/laboratoire-calebasse/image/upload/v1675865518/gelules_vides_100_2_cd7f8d41c2.jpg" TargetMode="External"/><Relationship Id="rId3460" Type="http://schemas.openxmlformats.org/officeDocument/2006/relationships/hyperlink" Target="https://calebasse.com/produits/ratanhia-4356?product=6233" TargetMode="External"/><Relationship Id="rId2131" Type="http://schemas.openxmlformats.org/officeDocument/2006/relationships/hyperlink" Target="https://calebasse.com/produits/gelules-vides-en-pullulan-taille-0-4719?product=6875" TargetMode="External"/><Relationship Id="rId3463" Type="http://schemas.openxmlformats.org/officeDocument/2006/relationships/hyperlink" Target="https://res.cloudinary.com/laboratoire-calebasse/image/upload/v1744902037/REGLISSE_BATON_ENTIER_BIO_60_g_OREGL_2025_04_10_598bbebc61.jpg" TargetMode="External"/><Relationship Id="rId2132" Type="http://schemas.openxmlformats.org/officeDocument/2006/relationships/hyperlink" Target="https://res.cloudinary.com/laboratoire-calebasse/image/upload/v1675089334/gelules_vides_7468870f0c.jpg" TargetMode="External"/><Relationship Id="rId3462" Type="http://schemas.openxmlformats.org/officeDocument/2006/relationships/hyperlink" Target="https://calebasse.com/produits/batons-de-reglisse-4355?product=6234" TargetMode="External"/><Relationship Id="rId2133" Type="http://schemas.openxmlformats.org/officeDocument/2006/relationships/hyperlink" Target="https://calebasse.com/produits/gelules-vides-en-pullulan-taille-0-4719?product=6874" TargetMode="External"/><Relationship Id="rId3465" Type="http://schemas.openxmlformats.org/officeDocument/2006/relationships/hyperlink" Target="https://res.cloudinary.com/laboratoire-calebasse/image/upload/v1748270855/REGLISSE_BATON_ENTIER_BIO_200_g_OREGL_3_020e7925dd.jpg" TargetMode="External"/><Relationship Id="rId2134" Type="http://schemas.openxmlformats.org/officeDocument/2006/relationships/hyperlink" Target="https://res.cloudinary.com/laboratoire-calebasse/image/upload/v1675865472/gelules_vides_100_3_930684c7ca.jpg" TargetMode="External"/><Relationship Id="rId3464" Type="http://schemas.openxmlformats.org/officeDocument/2006/relationships/hyperlink" Target="https://calebasse.com/produits/batons-de-reglisse-4355?product=6235" TargetMode="External"/><Relationship Id="rId2135" Type="http://schemas.openxmlformats.org/officeDocument/2006/relationships/hyperlink" Target="https://calebasse.com/produits/bu-xiu-gang-guo-lu-qiu-filtres-a-the-56421?product=7338" TargetMode="External"/><Relationship Id="rId3467" Type="http://schemas.openxmlformats.org/officeDocument/2006/relationships/hyperlink" Target="https://res.cloudinary.com/laboratoire-calebasse/image/upload/v1746523665/REINE_DES_PRES_100_g_OREIN_e273858005.jpg" TargetMode="External"/><Relationship Id="rId2136" Type="http://schemas.openxmlformats.org/officeDocument/2006/relationships/hyperlink" Target="https://res.cloudinary.com/laboratoire-calebasse/image/upload/v1725555097/_87ebc2eca0.jpg" TargetMode="External"/><Relationship Id="rId3466" Type="http://schemas.openxmlformats.org/officeDocument/2006/relationships/hyperlink" Target="https://calebasse.com/produits/reine-des-pres-4357?product=6236" TargetMode="External"/><Relationship Id="rId3490" Type="http://schemas.openxmlformats.org/officeDocument/2006/relationships/hyperlink" Target="https://calebasse.com/produits/sureau-fruit-bio-5202?product=7525" TargetMode="External"/><Relationship Id="rId2160" Type="http://schemas.openxmlformats.org/officeDocument/2006/relationships/hyperlink" Target="https://res.cloudinary.com/laboratoire-calebasse/image/upload/v1675682232/A_LA_DECOUVERTE_DE_LA_3ef31a3d33.jpg" TargetMode="External"/><Relationship Id="rId3492" Type="http://schemas.openxmlformats.org/officeDocument/2006/relationships/hyperlink" Target="https://calebasse.com/produits/thym-citron-feuille-entiere-bio-5203?product=7527" TargetMode="External"/><Relationship Id="rId2161" Type="http://schemas.openxmlformats.org/officeDocument/2006/relationships/hyperlink" Target="https://calebasse.com/produits/livre-lacupuncture-pratiquee-en-chine-4787?product=6881" TargetMode="External"/><Relationship Id="rId3491" Type="http://schemas.openxmlformats.org/officeDocument/2006/relationships/hyperlink" Target="https://res.cloudinary.com/laboratoire-calebasse/image/upload/v1753800642/SUREAU_FRUIT_BIO_200_g_OSURL_4073e009c0.jpg" TargetMode="External"/><Relationship Id="rId2162" Type="http://schemas.openxmlformats.org/officeDocument/2006/relationships/hyperlink" Target="https://res.cloudinary.com/laboratoire-calebasse/image/upload/v1700479451/l_acupuncture_528dbb06eb.jpg" TargetMode="External"/><Relationship Id="rId3494" Type="http://schemas.openxmlformats.org/officeDocument/2006/relationships/hyperlink" Target="https://calebasse.com/produits/thym-citron-feuille-entiere-bio-5203?product=7526" TargetMode="External"/><Relationship Id="rId2163" Type="http://schemas.openxmlformats.org/officeDocument/2006/relationships/hyperlink" Target="https://calebasse.com/produits/livre-vaincre-la-douleur-par-lacupuncture-selon-les-anciens-4726?product=6882" TargetMode="External"/><Relationship Id="rId3493" Type="http://schemas.openxmlformats.org/officeDocument/2006/relationships/hyperlink" Target="https://res.cloudinary.com/laboratoire-calebasse/image/upload/v1753800657/THYM_CITRON_FEUILLE_ENTIERE_BIO_30_g_OTHCF_5b34224e7a.jpg" TargetMode="External"/><Relationship Id="rId2164" Type="http://schemas.openxmlformats.org/officeDocument/2006/relationships/hyperlink" Target="https://res.cloudinary.com/laboratoire-calebasse/image/upload/v1675682854/VAINCRE_LA_DOULEUR_PAR_L_ACUPUNCTURE_8b9223e131.jpg" TargetMode="External"/><Relationship Id="rId3496" Type="http://schemas.openxmlformats.org/officeDocument/2006/relationships/hyperlink" Target="https://calebasse.com/produits/thym-4361?product=6246" TargetMode="External"/><Relationship Id="rId2165" Type="http://schemas.openxmlformats.org/officeDocument/2006/relationships/hyperlink" Target="https://calebasse.com/produits/livre-guide-des-jingfang-4727?product=6883" TargetMode="External"/><Relationship Id="rId3495" Type="http://schemas.openxmlformats.org/officeDocument/2006/relationships/hyperlink" Target="https://res.cloudinary.com/laboratoire-calebasse/image/upload/v1753800667/THYM_CITRON_FEUILLE_ENTIERE_BIO_100_g_OTHCFL_dd607b9303.jpg" TargetMode="External"/><Relationship Id="rId2166" Type="http://schemas.openxmlformats.org/officeDocument/2006/relationships/hyperlink" Target="https://res.cloudinary.com/laboratoire-calebasse/image/upload/v1675683185/GUIDE_DES_JINGFANG_c00080eac7.jpg" TargetMode="External"/><Relationship Id="rId3498" Type="http://schemas.openxmlformats.org/officeDocument/2006/relationships/hyperlink" Target="https://calebasse.com/produits/thym-4361?product=6247" TargetMode="External"/><Relationship Id="rId2167" Type="http://schemas.openxmlformats.org/officeDocument/2006/relationships/hyperlink" Target="https://calebasse.com/produits/livre-medecine-chinoise-et-cuisine-francaise-4728?product=6884" TargetMode="External"/><Relationship Id="rId3497" Type="http://schemas.openxmlformats.org/officeDocument/2006/relationships/hyperlink" Target="https://res.cloudinary.com/laboratoire-calebasse/image/upload/v1753881995/THYM_FEUILLE_ENTIERE_BIO_50_g_OTHYM_e8f9977baa.jpg" TargetMode="External"/><Relationship Id="rId2168" Type="http://schemas.openxmlformats.org/officeDocument/2006/relationships/hyperlink" Target="https://res.cloudinary.com/laboratoire-calebasse/image/upload/v1675683688/MEDECINE_CHINOISE_897280f1b3.jpg" TargetMode="External"/><Relationship Id="rId2169" Type="http://schemas.openxmlformats.org/officeDocument/2006/relationships/hyperlink" Target="https://calebasse.com/produits/livre-traite-de-phytotherapie-chinoise-4729?product=6885" TargetMode="External"/><Relationship Id="rId3499" Type="http://schemas.openxmlformats.org/officeDocument/2006/relationships/hyperlink" Target="https://res.cloudinary.com/laboratoire-calebasse/image/upload/v1753882073/THYM_FEUILLE_ENTIERE_BIO_200_g_OTHYML_1d7d6154a7.jpg" TargetMode="External"/><Relationship Id="rId2159" Type="http://schemas.openxmlformats.org/officeDocument/2006/relationships/hyperlink" Target="https://calebasse.com/produits/livre-a-la-decouverte-de-la-medecine-chinoise-4724?product=6880" TargetMode="External"/><Relationship Id="rId3481" Type="http://schemas.openxmlformats.org/officeDocument/2006/relationships/hyperlink" Target="https://res.cloudinary.com/laboratoire-calebasse/image/upload/v1748270648/SAUGE_OFFICINALE_FEUILLE_COUPEE_BIO_200_g_OSAUGL_9b8271044c.jpg" TargetMode="External"/><Relationship Id="rId2150" Type="http://schemas.openxmlformats.org/officeDocument/2006/relationships/hyperlink" Target="https://res.cloudinary.com/laboratoire-calebasse/image/upload/v1754486314/kun_lun_xue_ju_ffb200a5bd.jpg" TargetMode="External"/><Relationship Id="rId3480" Type="http://schemas.openxmlformats.org/officeDocument/2006/relationships/hyperlink" Target="https://calebasse.com/produits/sauge-4360?product=6243" TargetMode="External"/><Relationship Id="rId2151" Type="http://schemas.openxmlformats.org/officeDocument/2006/relationships/hyperlink" Target="https://calebasse.com/produits/livre-ces-aliments-qui-nous-soignent-4720?product=6876" TargetMode="External"/><Relationship Id="rId3483" Type="http://schemas.openxmlformats.org/officeDocument/2006/relationships/hyperlink" Target="https://res.cloudinary.com/laboratoire-calebasse/image/upload/v1746523698/SAULE_100_g_OSAUL_5cd923784e.jpg" TargetMode="External"/><Relationship Id="rId2152" Type="http://schemas.openxmlformats.org/officeDocument/2006/relationships/hyperlink" Target="https://res.cloudinary.com/laboratoire-calebasse/image/upload/v1675680018/CES_ALIMENTS_QUI_NOUS_SOIGNENT_70951838ec.jpg" TargetMode="External"/><Relationship Id="rId3482" Type="http://schemas.openxmlformats.org/officeDocument/2006/relationships/hyperlink" Target="https://calebasse.com/produits/saule-4362?product=6244" TargetMode="External"/><Relationship Id="rId2153" Type="http://schemas.openxmlformats.org/officeDocument/2006/relationships/hyperlink" Target="https://calebasse.com/produits/livre-la-phytotherapie-chinoise-moderne-4721?product=6877" TargetMode="External"/><Relationship Id="rId3485" Type="http://schemas.openxmlformats.org/officeDocument/2006/relationships/hyperlink" Target="https://res.cloudinary.com/laboratoire-calebasse/image/upload/v1753800633/SUREAU_FRUIT_BIO_50_g_OSUR_6d6e18c7a0.jpg" TargetMode="External"/><Relationship Id="rId2154" Type="http://schemas.openxmlformats.org/officeDocument/2006/relationships/hyperlink" Target="https://res.cloudinary.com/laboratoire-calebasse/image/upload/v1675681199/La_phytotherapie_chinoise_moderne_249c80a861.jpg" TargetMode="External"/><Relationship Id="rId3484" Type="http://schemas.openxmlformats.org/officeDocument/2006/relationships/hyperlink" Target="https://calebasse.com/produits/sureau-fruit-bio-5202?product=7524" TargetMode="External"/><Relationship Id="rId2155" Type="http://schemas.openxmlformats.org/officeDocument/2006/relationships/hyperlink" Target="https://calebasse.com/produits/livre-la-pratique-de-la-medecine-chinoise-4722?product=6878" TargetMode="External"/><Relationship Id="rId3487" Type="http://schemas.openxmlformats.org/officeDocument/2006/relationships/hyperlink" Target="https://res.cloudinary.com/laboratoire-calebasse/image/upload/v1753800605/SUREAU_FLEUR_TAMISEE_BIO_50_g_OSURF_5f4fdef888.jpg" TargetMode="External"/><Relationship Id="rId2156" Type="http://schemas.openxmlformats.org/officeDocument/2006/relationships/hyperlink" Target="https://res.cloudinary.com/laboratoire-calebasse/image/upload/v1675681632/la_pratique_de_la_medecine_chinoise_6a19eb1c27.jpg" TargetMode="External"/><Relationship Id="rId3486" Type="http://schemas.openxmlformats.org/officeDocument/2006/relationships/hyperlink" Target="https://calebasse.com/produits/sureau-fleur-tamisee-bio-5201?product=7522" TargetMode="External"/><Relationship Id="rId2157" Type="http://schemas.openxmlformats.org/officeDocument/2006/relationships/hyperlink" Target="https://calebasse.com/produits/livre-comprendre-et-traiter-la-depression-mentale-en-medecine-chinoise-4723?product=6879" TargetMode="External"/><Relationship Id="rId3489" Type="http://schemas.openxmlformats.org/officeDocument/2006/relationships/hyperlink" Target="https://res.cloudinary.com/laboratoire-calebasse/image/upload/v1753800613/SUREAU_FLEUR_TAMISEE_BIO_200_g_OSURFL_31e7eec9cc.jpg" TargetMode="External"/><Relationship Id="rId2158" Type="http://schemas.openxmlformats.org/officeDocument/2006/relationships/hyperlink" Target="https://res.cloudinary.com/laboratoire-calebasse/image/upload/v1675681971/La_depression_mentale_978a185156.jpg" TargetMode="External"/><Relationship Id="rId3488" Type="http://schemas.openxmlformats.org/officeDocument/2006/relationships/hyperlink" Target="https://calebasse.com/produits/sureau-fleur-tamisee-bio-5201?product=7523" TargetMode="External"/><Relationship Id="rId2104" Type="http://schemas.openxmlformats.org/officeDocument/2006/relationships/hyperlink" Target="https://res.cloudinary.com/laboratoire-calebasse/image/upload/v1753103771/BOUFFEES_DE_CHALEUR_DSXTGL_63444a4573.jpg" TargetMode="External"/><Relationship Id="rId3436" Type="http://schemas.openxmlformats.org/officeDocument/2006/relationships/hyperlink" Target="https://calebasse.com/produits/pensee-sauvage-5046?product=7275" TargetMode="External"/><Relationship Id="rId2105" Type="http://schemas.openxmlformats.org/officeDocument/2006/relationships/hyperlink" Target="https://calebasse.com/produits/dong-chong-xia-cao-cordyceps-4422?product=6410" TargetMode="External"/><Relationship Id="rId3435" Type="http://schemas.openxmlformats.org/officeDocument/2006/relationships/hyperlink" Target="https://res.cloudinary.com/laboratoire-calebasse/image/upload/v1748270895/PASSIFLORE_PARTIE_AERIENNE_COUPEE_BIO_200_g_OPASSL_fff91dcfc6.jpg" TargetMode="External"/><Relationship Id="rId2106" Type="http://schemas.openxmlformats.org/officeDocument/2006/relationships/hyperlink" Target="https://res.cloudinary.com/laboratoire-calebasse/image/upload/v1634201245/cordyceps_b00154da5e.jpg" TargetMode="External"/><Relationship Id="rId3438" Type="http://schemas.openxmlformats.org/officeDocument/2006/relationships/hyperlink" Target="https://calebasse.com/produits/pensee-sauvage-5046?product=7276" TargetMode="External"/><Relationship Id="rId2107" Type="http://schemas.openxmlformats.org/officeDocument/2006/relationships/hyperlink" Target="https://calebasse.com/produits/dong-chong-xia-cao-coffret-de-cordyceps-entiers-4456?product=6462" TargetMode="External"/><Relationship Id="rId3437" Type="http://schemas.openxmlformats.org/officeDocument/2006/relationships/hyperlink" Target="https://res.cloudinary.com/laboratoire-calebasse/image/upload/v1746523508/PENSEE_SAUVAGE_100_g_OPENS_b72caa6854.jpg" TargetMode="External"/><Relationship Id="rId2108" Type="http://schemas.openxmlformats.org/officeDocument/2006/relationships/hyperlink" Target="https://res.cloudinary.com/laboratoire-calebasse/image/upload/v1701949799/2_b0b2891abc.jpg" TargetMode="External"/><Relationship Id="rId2109" Type="http://schemas.openxmlformats.org/officeDocument/2006/relationships/hyperlink" Target="https://calebasse.com/produits/dong-chong-xia-cao-coffret-de-cordyceps-entiers-4456?product=6461" TargetMode="External"/><Relationship Id="rId3439" Type="http://schemas.openxmlformats.org/officeDocument/2006/relationships/hyperlink" Target="https://res.cloudinary.com/laboratoire-calebasse/image/upload/v1748268945/PENSEE_SAUVAGE_300_g_OPENSL_1d6db47ab9.jpg" TargetMode="External"/><Relationship Id="rId3430" Type="http://schemas.openxmlformats.org/officeDocument/2006/relationships/hyperlink" Target="https://calebasse.com/produits/papayer-4346?product=6212" TargetMode="External"/><Relationship Id="rId2100" Type="http://schemas.openxmlformats.org/officeDocument/2006/relationships/hyperlink" Target="https://res.cloudinary.com/laboratoire-calebasse/image/upload/v1753104457/HUMEUR_DLWXYS_8e810713be.jpg" TargetMode="External"/><Relationship Id="rId3432" Type="http://schemas.openxmlformats.org/officeDocument/2006/relationships/hyperlink" Target="https://calebasse.com/produits/passiflore-4503?product=6214" TargetMode="External"/><Relationship Id="rId2101" Type="http://schemas.openxmlformats.org/officeDocument/2006/relationships/hyperlink" Target="https://calebasse.com/produits/liu-wei-xiao-yao-san-formule-humeur-4850?product=7058" TargetMode="External"/><Relationship Id="rId3431" Type="http://schemas.openxmlformats.org/officeDocument/2006/relationships/hyperlink" Target="https://res.cloudinary.com/laboratoire-calebasse/image/upload/v1748268982/PAPAYER_240_g_OPAPAL_2ec555faca.jpg" TargetMode="External"/><Relationship Id="rId2102" Type="http://schemas.openxmlformats.org/officeDocument/2006/relationships/hyperlink" Target="https://res.cloudinary.com/laboratoire-calebasse/image/upload/v1753104467/HUMEUR_DLWXYSCP_fef60cd896.jpg" TargetMode="External"/><Relationship Id="rId3434" Type="http://schemas.openxmlformats.org/officeDocument/2006/relationships/hyperlink" Target="https://calebasse.com/produits/passiflore-4503?product=6216" TargetMode="External"/><Relationship Id="rId2103" Type="http://schemas.openxmlformats.org/officeDocument/2006/relationships/hyperlink" Target="https://calebasse.com/produits/si-xian-tang-formule-bouffees-de-chaleur-4272?product=6044" TargetMode="External"/><Relationship Id="rId3433" Type="http://schemas.openxmlformats.org/officeDocument/2006/relationships/hyperlink" Target="https://res.cloudinary.com/laboratoire-calebasse/image/upload/v1744901895/PASSIFLORE_PARTIE_AERIENNE_COUPEE_BIO_200_g_OPASSL_2025_04_10_b37953be37.jpg" TargetMode="External"/><Relationship Id="rId3425" Type="http://schemas.openxmlformats.org/officeDocument/2006/relationships/hyperlink" Target="https://res.cloudinary.com/laboratoire-calebasse/image/upload/v1746523496/PAVOT_DE_CALIFORNIE_100_g_OPADC_4f1858b432.jpg" TargetMode="External"/><Relationship Id="rId3424" Type="http://schemas.openxmlformats.org/officeDocument/2006/relationships/hyperlink" Target="https://calebasse.com/produits/pavot-de-californie-4485?product=6217" TargetMode="External"/><Relationship Id="rId3427" Type="http://schemas.openxmlformats.org/officeDocument/2006/relationships/hyperlink" Target="https://res.cloudinary.com/laboratoire-calebasse/image/upload/v1746522955/GRAINES_DE_PAVOT_100_g_OPAGR_2c58194a82.jpg" TargetMode="External"/><Relationship Id="rId3426" Type="http://schemas.openxmlformats.org/officeDocument/2006/relationships/hyperlink" Target="https://calebasse.com/produits/graines-de-pavot-4349?product=6219" TargetMode="External"/><Relationship Id="rId3429" Type="http://schemas.openxmlformats.org/officeDocument/2006/relationships/hyperlink" Target="https://res.cloudinary.com/laboratoire-calebasse/image/upload/v1746523471/PAPAYER_100_g_OPAPA_fba1ef0207.jpg" TargetMode="External"/><Relationship Id="rId3428" Type="http://schemas.openxmlformats.org/officeDocument/2006/relationships/hyperlink" Target="https://calebasse.com/produits/papayer-4346?product=6213" TargetMode="External"/><Relationship Id="rId899" Type="http://schemas.openxmlformats.org/officeDocument/2006/relationships/hyperlink" Target="https://calebasse.com/produits/san-qi-racine-de-notoginseng-3903?product=4628" TargetMode="External"/><Relationship Id="rId898" Type="http://schemas.openxmlformats.org/officeDocument/2006/relationships/hyperlink" Target="https://res.cloudinary.com/laboratoire-calebasse/image/upload/v1754487709/san_qi_070d721a0d.jpg" TargetMode="External"/><Relationship Id="rId897" Type="http://schemas.openxmlformats.org/officeDocument/2006/relationships/hyperlink" Target="https://calebasse.com/produits/san-qi-racine-de-notoginseng-3903?product=4626" TargetMode="External"/><Relationship Id="rId896" Type="http://schemas.openxmlformats.org/officeDocument/2006/relationships/hyperlink" Target="https://res.cloudinary.com/laboratoire-calebasse/image/upload/v1748271777/ARBRE_DE_SAPPAN_300_g_ASML_83a0be0cc9.jpg" TargetMode="External"/><Relationship Id="rId891" Type="http://schemas.openxmlformats.org/officeDocument/2006/relationships/hyperlink" Target="https://calebasse.com/produits/sang-ji-sheng-branches-de-tasseau-3906?product=4641" TargetMode="External"/><Relationship Id="rId890" Type="http://schemas.openxmlformats.org/officeDocument/2006/relationships/hyperlink" Target="https://res.cloudinary.com/laboratoire-calebasse/image/upload/v1746525765/BRANCHES_DE_TASSEAU_100_g_ASJS_93e08cc136.jpg" TargetMode="External"/><Relationship Id="rId895" Type="http://schemas.openxmlformats.org/officeDocument/2006/relationships/hyperlink" Target="https://calebasse.com/produits/su-mu-arbre-de-sappan-3921?product=4703" TargetMode="External"/><Relationship Id="rId3421" Type="http://schemas.openxmlformats.org/officeDocument/2006/relationships/hyperlink" Target="https://res.cloudinary.com/laboratoire-calebasse/image/upload/v1753800486/ORIGAN_VERT_FEUILLE_BIO_50_g_OORVF_c035d605c4.jpg" TargetMode="External"/><Relationship Id="rId894" Type="http://schemas.openxmlformats.org/officeDocument/2006/relationships/hyperlink" Target="https://res.cloudinary.com/laboratoire-calebasse/image/upload/v1746528125/ARBRE_DE_SAPPAN_100_g_ASM_9de2de334d.jpg" TargetMode="External"/><Relationship Id="rId3420" Type="http://schemas.openxmlformats.org/officeDocument/2006/relationships/hyperlink" Target="https://calebasse.com/produits/origan-vert-feuille-bio-5197?product=7514" TargetMode="External"/><Relationship Id="rId893" Type="http://schemas.openxmlformats.org/officeDocument/2006/relationships/hyperlink" Target="https://calebasse.com/produits/su-mu-arbre-de-sappan-3921?product=4702" TargetMode="External"/><Relationship Id="rId3423" Type="http://schemas.openxmlformats.org/officeDocument/2006/relationships/hyperlink" Target="https://res.cloudinary.com/laboratoire-calebasse/image/upload/v1753800496/ORIGAN_VERT_FEUILLE_BIO_200_g_OORVFL_6b617d2013.jpg" TargetMode="External"/><Relationship Id="rId892" Type="http://schemas.openxmlformats.org/officeDocument/2006/relationships/hyperlink" Target="https://res.cloudinary.com/laboratoire-calebasse/image/upload/v1748272062/BRANCHES_DE_TASSEAU_300_g_ASJSL_2afb95bb9a.jpg" TargetMode="External"/><Relationship Id="rId3422" Type="http://schemas.openxmlformats.org/officeDocument/2006/relationships/hyperlink" Target="https://calebasse.com/produits/origan-vert-feuille-bio-5197?product=7515" TargetMode="External"/><Relationship Id="rId2126" Type="http://schemas.openxmlformats.org/officeDocument/2006/relationships/hyperlink" Target="https://res.cloudinary.com/laboratoire-calebasse/image/upload/v1686753197/C_fla100cp_a838d5275c.jpg" TargetMode="External"/><Relationship Id="rId3458" Type="http://schemas.openxmlformats.org/officeDocument/2006/relationships/hyperlink" Target="https://calebasse.com/produits/ratanhia-4356?product=6232" TargetMode="External"/><Relationship Id="rId2127" Type="http://schemas.openxmlformats.org/officeDocument/2006/relationships/hyperlink" Target="https://calebasse.com/produits/fla100-4852?product=7054" TargetMode="External"/><Relationship Id="rId3457" Type="http://schemas.openxmlformats.org/officeDocument/2006/relationships/hyperlink" Target="https://res.cloudinary.com/laboratoire-calebasse/image/upload/v1748270873/RADIS_NOIR_RACINE_COUPEE_BIO_200_g_ORADIL_8aeada0580.jpg" TargetMode="External"/><Relationship Id="rId2128" Type="http://schemas.openxmlformats.org/officeDocument/2006/relationships/hyperlink" Target="https://res.cloudinary.com/laboratoire-calebasse/image/upload/v1686753128/C_fla100_264462c5ac.jpg" TargetMode="External"/><Relationship Id="rId2129" Type="http://schemas.openxmlformats.org/officeDocument/2006/relationships/hyperlink" Target="https://calebasse.com/produits/gelules-vides-en-pullulan-taille-0-4719?product=6873" TargetMode="External"/><Relationship Id="rId3459" Type="http://schemas.openxmlformats.org/officeDocument/2006/relationships/hyperlink" Target="https://res.cloudinary.com/laboratoire-calebasse/image/upload/v1746523635/RATANHIA_100_g_ORANT_e711735a77.jpg" TargetMode="External"/><Relationship Id="rId3450" Type="http://schemas.openxmlformats.org/officeDocument/2006/relationships/hyperlink" Target="https://calebasse.com/produits/queues-de-cerise-4351?product=6226" TargetMode="External"/><Relationship Id="rId2120" Type="http://schemas.openxmlformats.org/officeDocument/2006/relationships/hyperlink" Target="https://res.cloudinary.com/laboratoire-calebasse/image/upload/v1676282580/A_lingzhibaozifen_4e0a3c28f2.jpg" TargetMode="External"/><Relationship Id="rId3452" Type="http://schemas.openxmlformats.org/officeDocument/2006/relationships/hyperlink" Target="https://calebasse.com/produits/queues-de-cerise-4351?product=6227" TargetMode="External"/><Relationship Id="rId2121" Type="http://schemas.openxmlformats.org/officeDocument/2006/relationships/hyperlink" Target="https://calebasse.com/produits/zang-hong-hua-safran-4434?product=6421" TargetMode="External"/><Relationship Id="rId3451" Type="http://schemas.openxmlformats.org/officeDocument/2006/relationships/hyperlink" Target="https://res.cloudinary.com/laboratoire-calebasse/image/upload/v1746523590/QUEUES_DE_CERISE_100_g_OQUEU_d8abdbf265.jpg" TargetMode="External"/><Relationship Id="rId2122" Type="http://schemas.openxmlformats.org/officeDocument/2006/relationships/hyperlink" Target="https://res.cloudinary.com/laboratoire-calebasse/image/upload/v1634201240/zang_hong_hua_b377f09117.jpg" TargetMode="External"/><Relationship Id="rId3454" Type="http://schemas.openxmlformats.org/officeDocument/2006/relationships/hyperlink" Target="https://calebasse.com/produits/radis-noir-4352?product=6228" TargetMode="External"/><Relationship Id="rId2123" Type="http://schemas.openxmlformats.org/officeDocument/2006/relationships/hyperlink" Target="https://calebasse.com/produits/yun-nan-bai-yao-formule-du-yunnan-4440?product=6438" TargetMode="External"/><Relationship Id="rId3453" Type="http://schemas.openxmlformats.org/officeDocument/2006/relationships/hyperlink" Target="https://res.cloudinary.com/laboratoire-calebasse/image/upload/v1748268821/QUEUES_DE_CERISE_300_g_OQUEUL_233676c229.jpg" TargetMode="External"/><Relationship Id="rId2124" Type="http://schemas.openxmlformats.org/officeDocument/2006/relationships/hyperlink" Target="https://res.cloudinary.com/laboratoire-calebasse/image/upload/v1658742506/yunnanbaiyao_chanpintu4_3269482c48.jpg" TargetMode="External"/><Relationship Id="rId3456" Type="http://schemas.openxmlformats.org/officeDocument/2006/relationships/hyperlink" Target="https://calebasse.com/produits/radis-noir-4352?product=6229" TargetMode="External"/><Relationship Id="rId2125" Type="http://schemas.openxmlformats.org/officeDocument/2006/relationships/hyperlink" Target="https://calebasse.com/produits/fla100-4852?product=7056" TargetMode="External"/><Relationship Id="rId3455" Type="http://schemas.openxmlformats.org/officeDocument/2006/relationships/hyperlink" Target="https://res.cloudinary.com/laboratoire-calebasse/image/upload/v1744901986/RADIS_NOIR_RACINE_COUPEE_BIO_80_g_ORADI_2025_04_10psd_aa06b345d1.jpg" TargetMode="External"/><Relationship Id="rId2115" Type="http://schemas.openxmlformats.org/officeDocument/2006/relationships/hyperlink" Target="https://calebasse.com/produits/dong-chong-xia-cao-grand-cordyceps-4463?product=6480" TargetMode="External"/><Relationship Id="rId3447" Type="http://schemas.openxmlformats.org/officeDocument/2006/relationships/hyperlink" Target="https://res.cloudinary.com/laboratoire-calebasse/image/upload/v1746523574/PSYLLIUM_100_g_OPSYL_545ddf3692.jpg" TargetMode="External"/><Relationship Id="rId2116" Type="http://schemas.openxmlformats.org/officeDocument/2006/relationships/hyperlink" Target="https://res.cloudinary.com/laboratoire-calebasse/image/upload/v1701950494/_d5831bff89.jpg" TargetMode="External"/><Relationship Id="rId3446" Type="http://schemas.openxmlformats.org/officeDocument/2006/relationships/hyperlink" Target="https://calebasse.com/produits/psyllium-4353?product=6224" TargetMode="External"/><Relationship Id="rId2117" Type="http://schemas.openxmlformats.org/officeDocument/2006/relationships/hyperlink" Target="https://calebasse.com/produits/dong-chong-xia-cao-petit-cordyceps-4471?product=6479" TargetMode="External"/><Relationship Id="rId3449" Type="http://schemas.openxmlformats.org/officeDocument/2006/relationships/hyperlink" Target="https://res.cloudinary.com/laboratoire-calebasse/image/upload/v1748268201/PSYLLIUM_300_g_OPSYLL_6073c3e7e2.jpg" TargetMode="External"/><Relationship Id="rId2118" Type="http://schemas.openxmlformats.org/officeDocument/2006/relationships/hyperlink" Target="https://res.cloudinary.com/laboratoire-calebasse/image/upload/v1722255915/_62afa8195a.jpg" TargetMode="External"/><Relationship Id="rId3448" Type="http://schemas.openxmlformats.org/officeDocument/2006/relationships/hyperlink" Target="https://calebasse.com/produits/psyllium-4353?product=6225" TargetMode="External"/><Relationship Id="rId2119" Type="http://schemas.openxmlformats.org/officeDocument/2006/relationships/hyperlink" Target="https://calebasse.com/produits/ling-zhi-bao-zi-fen-spores-de-ganoderma-4714?product=6859" TargetMode="External"/><Relationship Id="rId3441" Type="http://schemas.openxmlformats.org/officeDocument/2006/relationships/hyperlink" Target="https://res.cloudinary.com/laboratoire-calebasse/image/upload/v1746523553/PETIT_HOUX_100_g_OPETI_cc24b282a9.jpg" TargetMode="External"/><Relationship Id="rId2110" Type="http://schemas.openxmlformats.org/officeDocument/2006/relationships/hyperlink" Target="https://res.cloudinary.com/laboratoire-calebasse/image/upload/v1701950238/_38894104c4.jpg" TargetMode="External"/><Relationship Id="rId3440" Type="http://schemas.openxmlformats.org/officeDocument/2006/relationships/hyperlink" Target="https://calebasse.com/produits/petit-houx-4350?product=6222" TargetMode="External"/><Relationship Id="rId2111" Type="http://schemas.openxmlformats.org/officeDocument/2006/relationships/hyperlink" Target="https://calebasse.com/produits/dong-chong-xia-cao-coffret-de-cordyceps-entiers-4456?product=6460" TargetMode="External"/><Relationship Id="rId3443" Type="http://schemas.openxmlformats.org/officeDocument/2006/relationships/hyperlink" Target="https://res.cloudinary.com/laboratoire-calebasse/image/upload/v1753800552/PRELE_PARTIE_AERIENNE_COUPEE_BIO_50_g_OPRPA_04265f2d91.jpg" TargetMode="External"/><Relationship Id="rId2112" Type="http://schemas.openxmlformats.org/officeDocument/2006/relationships/hyperlink" Target="https://res.cloudinary.com/laboratoire-calebasse/image/upload/v1701954812/sml_3917db52fe.jpg" TargetMode="External"/><Relationship Id="rId3442" Type="http://schemas.openxmlformats.org/officeDocument/2006/relationships/hyperlink" Target="https://calebasse.com/produits/prele-partie-aerienne-coupee-bio-5199?product=7518" TargetMode="External"/><Relationship Id="rId2113" Type="http://schemas.openxmlformats.org/officeDocument/2006/relationships/hyperlink" Target="https://calebasse.com/produits/dong-chong-xia-cao-cordyceps-superieur-4472?product=6481" TargetMode="External"/><Relationship Id="rId3445" Type="http://schemas.openxmlformats.org/officeDocument/2006/relationships/hyperlink" Target="https://res.cloudinary.com/laboratoire-calebasse/image/upload/v1753800560/PRELE_PARTIE_AERIENNE_COUPEE_BIO_200_g_OPRPAL_d91c89e06d.jpg" TargetMode="External"/><Relationship Id="rId2114" Type="http://schemas.openxmlformats.org/officeDocument/2006/relationships/hyperlink" Target="https://res.cloudinary.com/laboratoire-calebasse/image/upload/v1701950550/_6c8fcdfdb4.jpg" TargetMode="External"/><Relationship Id="rId3444" Type="http://schemas.openxmlformats.org/officeDocument/2006/relationships/hyperlink" Target="https://calebasse.com/produits/prele-partie-aerienne-coupee-bio-5199?product=751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5.13"/>
    <col customWidth="1" min="2" max="2" width="53.63"/>
    <col customWidth="1" min="3" max="3" width="94.88"/>
    <col collapsed="1" customWidth="1" min="4" max="4" width="25.13"/>
    <col customWidth="1" hidden="1" min="5" max="6" width="25.13" outlineLevel="1"/>
    <col collapsed="1" customWidth="1" min="7" max="7" width="25.13"/>
    <col customWidth="1" hidden="1" min="8" max="8" width="25.13" outlineLevel="1"/>
    <col customWidth="1" min="9" max="10" width="25.13"/>
    <col customWidth="1" min="11" max="12" width="25.13" outlineLevel="1"/>
    <col customWidth="1" min="13" max="21" width="25.13"/>
    <col customWidth="1" hidden="1" min="22" max="23" width="25.13"/>
    <col customWidth="1" hidden="1" min="24" max="25" width="25.13" outlineLevel="1"/>
    <col customWidth="1" hidden="1" min="26" max="34" width="25.13"/>
    <col customWidth="1" min="35" max="35" width="78.25"/>
    <col customWidth="1" min="36" max="38" width="25.13"/>
  </cols>
  <sheetData>
    <row r="1">
      <c r="A1" s="1" t="str">
        <f>HYPERLINK("https://support.google.com/merchants/answer/6324405", "id")</f>
        <v>id</v>
      </c>
      <c r="B1" s="1" t="str">
        <f>HYPERLINK("https://support.google.com/merchants/answer/6324415", "title")</f>
        <v>title</v>
      </c>
      <c r="C1" s="1" t="str">
        <f>HYPERLINK("https://support.google.com/merchants/answer/6324468", "description")</f>
        <v>description</v>
      </c>
      <c r="D1" s="1" t="str">
        <f>HYPERLINK("https://support.google.com/merchants/answer/6324448", "availability")</f>
        <v>availability</v>
      </c>
      <c r="E1" s="1" t="str">
        <f>HYPERLINK("https://support.google.com/merchants/answer/6324470", "availability date")</f>
        <v>availability date</v>
      </c>
      <c r="F1" s="1" t="str">
        <f>HYPERLINK("https://support.google.com/merchants/answer/6324499", "expiration date")</f>
        <v>expiration date</v>
      </c>
      <c r="G1" s="1" t="str">
        <f>HYPERLINK("https://support.google.com/merchants/answer/6324416", "link")</f>
        <v>link</v>
      </c>
      <c r="H1" s="1" t="str">
        <f>HYPERLINK("https://support.google.com/merchants/answer/6324459", "mobile link")</f>
        <v>mobile link</v>
      </c>
      <c r="I1" s="1" t="str">
        <f>HYPERLINK("https://support.google.com/merchants/answer/6324350", "image link")</f>
        <v>image link</v>
      </c>
      <c r="J1" s="1" t="str">
        <f>HYPERLINK("https://support.google.com/merchants/answer/6324371", "price")</f>
        <v>price</v>
      </c>
      <c r="K1" s="2" t="s">
        <v>0</v>
      </c>
      <c r="L1" s="3" t="s">
        <v>1</v>
      </c>
      <c r="M1" s="1" t="str">
        <f>HYPERLINK("https://support.google.com/merchants/answer/6324478", "identifier exists")</f>
        <v>identifier exists</v>
      </c>
      <c r="N1" s="1" t="str">
        <f>HYPERLINK("https://support.google.com/merchants/answer/6324461", "gtin")</f>
        <v>gtin</v>
      </c>
      <c r="O1" s="1" t="str">
        <f>HYPERLINK("https://support.google.com/merchants/answer/6324482", "mpn")</f>
        <v>mpn</v>
      </c>
      <c r="P1" s="3" t="s">
        <v>2</v>
      </c>
      <c r="Q1" s="1" t="str">
        <f>HYPERLINK("https://support.google.com/merchants/answer/9216100", "product highlight")</f>
        <v>product highlight</v>
      </c>
      <c r="R1" s="1" t="str">
        <f>HYPERLINK("https://support.google.com/merchants/answer/9218260", "product detail")</f>
        <v>product detail</v>
      </c>
      <c r="S1" s="1" t="str">
        <f>HYPERLINK("https://support.google.com/merchants/answer/6324370", "additional image link")</f>
        <v>additional image link</v>
      </c>
      <c r="T1" s="1" t="str">
        <f>HYPERLINK("https://support.google.com/merchants/answer/6324469", "condition")</f>
        <v>condition</v>
      </c>
      <c r="U1" s="1" t="str">
        <f>HYPERLINK("https://support.google.com/merchants/answer/6324508", "adult")</f>
        <v>adult</v>
      </c>
      <c r="V1" s="1" t="str">
        <f>HYPERLINK("https://support.google.com/merchants/answer/6324487", "color")</f>
        <v>color</v>
      </c>
      <c r="W1" s="1" t="str">
        <f>HYPERLINK("https://support.google.com/merchants/answer/6324492", "size")</f>
        <v>size</v>
      </c>
      <c r="X1" s="1" t="str">
        <f>HYPERLINK("https://support.google.com/merchants/answer/63244972", "size type")</f>
        <v>size type</v>
      </c>
      <c r="Y1" s="1" t="str">
        <f>HYPERLINK("https://support.google.com/merchants/answer/6324502", "size system")</f>
        <v>size system</v>
      </c>
      <c r="Z1" s="1" t="str">
        <f>HYPERLINK("https://support.google.com/merchants/answer/6324479", "gender")</f>
        <v>gender</v>
      </c>
      <c r="AA1" s="1" t="str">
        <f>HYPERLINK("https://support.google.com/merchants/answer/6324410", "material")</f>
        <v>material</v>
      </c>
      <c r="AB1" s="1" t="str">
        <f>HYPERLINK("https://support.google.com/merchants/answer/6324483", "pattern")</f>
        <v>pattern</v>
      </c>
      <c r="AC1" s="1" t="str">
        <f>HYPERLINK("https://support.google.com/merchants/answer/6324463", "age group")</f>
        <v>age group</v>
      </c>
      <c r="AD1" s="1" t="str">
        <f>HYPERLINK("https://support.google.com/merchants/answer/6324449", "is bundle")</f>
        <v>is bundle</v>
      </c>
      <c r="AE1" s="1" t="str">
        <f>HYPERLINK("https://support.google.com/merchants/answer/6324455", "unit pricing measure")</f>
        <v>unit pricing measure</v>
      </c>
      <c r="AF1" s="1" t="str">
        <f>HYPERLINK("https://support.google.com/merchants/answer/6324490", "unit pricing base measure")</f>
        <v>unit pricing base measure</v>
      </c>
      <c r="AG1" s="1" t="str">
        <f>HYPERLINK("https://support.google.com/merchants/answer/7562785", "energy efficiency class")</f>
        <v>energy efficiency class</v>
      </c>
      <c r="AH1" s="1" t="str">
        <f>HYPERLINK("https://support.google.com/merchants/answer/7562785", "min energy efficiency class")</f>
        <v>min energy efficiency class</v>
      </c>
      <c r="AI1" s="3" t="s">
        <v>3</v>
      </c>
      <c r="AJ1" s="1" t="str">
        <f>HYPERLINK("https://support.google.com/merchants/answer/6324507", "item group id")</f>
        <v>item group id</v>
      </c>
      <c r="AK1" s="1" t="str">
        <f>HYPERLINK("https://support.google.com/merchants/answer/9451716", "sell on google quantity")</f>
        <v>sell on google quantity</v>
      </c>
      <c r="AL1" s="4" t="s">
        <v>4</v>
      </c>
    </row>
    <row r="2">
      <c r="A2" s="5" t="s">
        <v>5</v>
      </c>
      <c r="B2" s="5" t="s">
        <v>6</v>
      </c>
      <c r="C2" s="5" t="s">
        <v>7</v>
      </c>
      <c r="D2" s="5" t="s">
        <v>8</v>
      </c>
      <c r="E2" s="6"/>
      <c r="F2" s="6"/>
      <c r="G2" s="7" t="s">
        <v>9</v>
      </c>
      <c r="I2" s="8" t="s">
        <v>10</v>
      </c>
      <c r="J2" s="9">
        <v>9.4</v>
      </c>
      <c r="K2" s="10" t="s">
        <v>11</v>
      </c>
      <c r="L2" s="6"/>
      <c r="M2" s="11" t="s">
        <v>12</v>
      </c>
      <c r="N2" s="6" t="s">
        <v>13</v>
      </c>
      <c r="O2" s="6" t="s">
        <v>14</v>
      </c>
      <c r="P2" s="10" t="s">
        <v>15</v>
      </c>
      <c r="Q2" s="6"/>
      <c r="R2" s="6"/>
      <c r="S2" s="6"/>
      <c r="T2" s="6" t="s">
        <v>16</v>
      </c>
      <c r="U2" s="9" t="s">
        <v>17</v>
      </c>
      <c r="AI2" s="6" t="s">
        <v>18</v>
      </c>
      <c r="AJ2" s="12" t="s">
        <v>19</v>
      </c>
      <c r="AL2" s="13" t="s">
        <v>20</v>
      </c>
    </row>
    <row r="3">
      <c r="A3" s="5" t="s">
        <v>21</v>
      </c>
      <c r="B3" s="5" t="s">
        <v>22</v>
      </c>
      <c r="C3" s="5" t="s">
        <v>7</v>
      </c>
      <c r="D3" s="5" t="s">
        <v>8</v>
      </c>
      <c r="E3" s="6"/>
      <c r="F3" s="6"/>
      <c r="G3" s="7" t="s">
        <v>23</v>
      </c>
      <c r="I3" s="8" t="s">
        <v>24</v>
      </c>
      <c r="J3" s="9">
        <v>37.9</v>
      </c>
      <c r="K3" s="10" t="s">
        <v>11</v>
      </c>
      <c r="L3" s="6"/>
      <c r="M3" s="11" t="s">
        <v>12</v>
      </c>
      <c r="N3" s="6" t="s">
        <v>25</v>
      </c>
      <c r="O3" s="6" t="s">
        <v>26</v>
      </c>
      <c r="P3" s="10" t="s">
        <v>15</v>
      </c>
      <c r="Q3" s="6"/>
      <c r="R3" s="6"/>
      <c r="S3" s="6"/>
      <c r="T3" s="6" t="s">
        <v>16</v>
      </c>
      <c r="U3" s="9" t="s">
        <v>17</v>
      </c>
      <c r="X3" s="14"/>
      <c r="Z3" s="14"/>
      <c r="AC3" s="14"/>
      <c r="AI3" s="6" t="s">
        <v>18</v>
      </c>
      <c r="AJ3" s="12" t="s">
        <v>19</v>
      </c>
      <c r="AL3" s="13" t="s">
        <v>20</v>
      </c>
    </row>
    <row r="4">
      <c r="A4" s="5" t="s">
        <v>27</v>
      </c>
      <c r="B4" s="5" t="s">
        <v>28</v>
      </c>
      <c r="C4" s="5" t="s">
        <v>7</v>
      </c>
      <c r="D4" s="5" t="s">
        <v>8</v>
      </c>
      <c r="E4" s="6"/>
      <c r="F4" s="6"/>
      <c r="G4" s="7" t="s">
        <v>29</v>
      </c>
      <c r="I4" s="8" t="s">
        <v>30</v>
      </c>
      <c r="J4" s="9">
        <v>18.7</v>
      </c>
      <c r="K4" s="10" t="s">
        <v>11</v>
      </c>
      <c r="L4" s="6"/>
      <c r="M4" s="11" t="s">
        <v>12</v>
      </c>
      <c r="N4" s="6" t="s">
        <v>31</v>
      </c>
      <c r="O4" s="6" t="s">
        <v>32</v>
      </c>
      <c r="P4" s="10" t="s">
        <v>15</v>
      </c>
      <c r="Q4" s="6"/>
      <c r="R4" s="6"/>
      <c r="S4" s="6"/>
      <c r="T4" s="6" t="s">
        <v>16</v>
      </c>
      <c r="U4" s="9" t="s">
        <v>17</v>
      </c>
      <c r="X4" s="14"/>
      <c r="Z4" s="14"/>
      <c r="AC4" s="14"/>
      <c r="AI4" s="6" t="s">
        <v>18</v>
      </c>
      <c r="AJ4" s="12" t="s">
        <v>19</v>
      </c>
      <c r="AL4" s="13" t="s">
        <v>20</v>
      </c>
    </row>
    <row r="5">
      <c r="A5" s="5" t="s">
        <v>33</v>
      </c>
      <c r="B5" s="5" t="s">
        <v>34</v>
      </c>
      <c r="C5" s="5" t="s">
        <v>35</v>
      </c>
      <c r="D5" s="5" t="s">
        <v>8</v>
      </c>
      <c r="E5" s="6"/>
      <c r="F5" s="6"/>
      <c r="G5" s="7" t="s">
        <v>36</v>
      </c>
      <c r="I5" s="8" t="s">
        <v>37</v>
      </c>
      <c r="J5" s="9">
        <v>4.9</v>
      </c>
      <c r="K5" s="10" t="s">
        <v>11</v>
      </c>
      <c r="L5" s="6"/>
      <c r="M5" s="11" t="s">
        <v>12</v>
      </c>
      <c r="N5" s="6" t="s">
        <v>38</v>
      </c>
      <c r="O5" s="6" t="s">
        <v>39</v>
      </c>
      <c r="P5" s="10" t="s">
        <v>15</v>
      </c>
      <c r="Q5" s="6"/>
      <c r="R5" s="6"/>
      <c r="S5" s="6"/>
      <c r="T5" s="6" t="s">
        <v>16</v>
      </c>
      <c r="U5" s="9" t="s">
        <v>17</v>
      </c>
      <c r="AI5" s="6" t="s">
        <v>18</v>
      </c>
      <c r="AJ5" s="12" t="s">
        <v>40</v>
      </c>
      <c r="AL5" s="13" t="s">
        <v>20</v>
      </c>
    </row>
    <row r="6">
      <c r="A6" s="5" t="s">
        <v>41</v>
      </c>
      <c r="B6" s="5" t="s">
        <v>42</v>
      </c>
      <c r="C6" s="5" t="s">
        <v>43</v>
      </c>
      <c r="D6" s="5" t="s">
        <v>8</v>
      </c>
      <c r="E6" s="6"/>
      <c r="F6" s="6"/>
      <c r="G6" s="7" t="s">
        <v>44</v>
      </c>
      <c r="I6" s="8" t="s">
        <v>45</v>
      </c>
      <c r="J6" s="9">
        <v>10.9</v>
      </c>
      <c r="K6" s="10" t="s">
        <v>11</v>
      </c>
      <c r="L6" s="6"/>
      <c r="M6" s="11" t="s">
        <v>12</v>
      </c>
      <c r="N6" s="6" t="s">
        <v>46</v>
      </c>
      <c r="O6" s="6" t="s">
        <v>47</v>
      </c>
      <c r="P6" s="10" t="s">
        <v>15</v>
      </c>
      <c r="Q6" s="6"/>
      <c r="R6" s="6"/>
      <c r="S6" s="6"/>
      <c r="T6" s="6" t="s">
        <v>16</v>
      </c>
      <c r="U6" s="9" t="s">
        <v>17</v>
      </c>
      <c r="X6" s="14"/>
      <c r="Z6" s="14"/>
      <c r="AC6" s="14"/>
      <c r="AI6" s="6" t="s">
        <v>18</v>
      </c>
      <c r="AJ6" s="12" t="s">
        <v>48</v>
      </c>
      <c r="AL6" s="13" t="s">
        <v>20</v>
      </c>
    </row>
    <row r="7">
      <c r="A7" s="5" t="s">
        <v>49</v>
      </c>
      <c r="B7" s="5" t="s">
        <v>50</v>
      </c>
      <c r="C7" s="5" t="s">
        <v>43</v>
      </c>
      <c r="D7" s="5" t="s">
        <v>8</v>
      </c>
      <c r="E7" s="6"/>
      <c r="F7" s="6"/>
      <c r="G7" s="7" t="s">
        <v>51</v>
      </c>
      <c r="I7" s="8" t="s">
        <v>52</v>
      </c>
      <c r="J7" s="9">
        <v>37.9</v>
      </c>
      <c r="K7" s="10" t="s">
        <v>11</v>
      </c>
      <c r="L7" s="6"/>
      <c r="M7" s="11" t="s">
        <v>12</v>
      </c>
      <c r="N7" s="6" t="s">
        <v>53</v>
      </c>
      <c r="O7" s="6" t="s">
        <v>54</v>
      </c>
      <c r="P7" s="10" t="s">
        <v>15</v>
      </c>
      <c r="Q7" s="6"/>
      <c r="R7" s="6"/>
      <c r="S7" s="6"/>
      <c r="T7" s="6" t="s">
        <v>16</v>
      </c>
      <c r="U7" s="9" t="s">
        <v>17</v>
      </c>
      <c r="X7" s="14"/>
      <c r="Z7" s="14"/>
      <c r="AC7" s="14"/>
      <c r="AI7" s="6" t="s">
        <v>18</v>
      </c>
      <c r="AJ7" s="12" t="s">
        <v>48</v>
      </c>
      <c r="AL7" s="13" t="s">
        <v>20</v>
      </c>
    </row>
    <row r="8">
      <c r="A8" s="5" t="s">
        <v>55</v>
      </c>
      <c r="B8" s="5" t="s">
        <v>56</v>
      </c>
      <c r="C8" s="5" t="s">
        <v>43</v>
      </c>
      <c r="D8" s="5" t="s">
        <v>8</v>
      </c>
      <c r="E8" s="6"/>
      <c r="F8" s="6"/>
      <c r="G8" s="7" t="s">
        <v>57</v>
      </c>
      <c r="I8" s="8" t="s">
        <v>58</v>
      </c>
      <c r="J8" s="9">
        <v>26.9</v>
      </c>
      <c r="K8" s="10" t="s">
        <v>11</v>
      </c>
      <c r="L8" s="6"/>
      <c r="M8" s="11" t="s">
        <v>12</v>
      </c>
      <c r="N8" s="6" t="s">
        <v>59</v>
      </c>
      <c r="O8" s="6" t="s">
        <v>60</v>
      </c>
      <c r="P8" s="10" t="s">
        <v>15</v>
      </c>
      <c r="Q8" s="6"/>
      <c r="R8" s="6"/>
      <c r="S8" s="6"/>
      <c r="T8" s="6" t="s">
        <v>16</v>
      </c>
      <c r="U8" s="9" t="s">
        <v>17</v>
      </c>
      <c r="X8" s="14"/>
      <c r="Z8" s="14"/>
      <c r="AC8" s="14"/>
      <c r="AI8" s="6" t="s">
        <v>18</v>
      </c>
      <c r="AJ8" s="12" t="s">
        <v>48</v>
      </c>
      <c r="AL8" s="13" t="s">
        <v>20</v>
      </c>
    </row>
    <row r="9">
      <c r="A9" s="5" t="s">
        <v>61</v>
      </c>
      <c r="B9" s="5" t="s">
        <v>62</v>
      </c>
      <c r="C9" s="5" t="s">
        <v>43</v>
      </c>
      <c r="D9" s="5" t="s">
        <v>8</v>
      </c>
      <c r="E9" s="6"/>
      <c r="F9" s="6"/>
      <c r="G9" s="7" t="s">
        <v>63</v>
      </c>
      <c r="I9" s="8" t="s">
        <v>64</v>
      </c>
      <c r="J9" s="9">
        <v>32.7</v>
      </c>
      <c r="K9" s="10" t="s">
        <v>11</v>
      </c>
      <c r="L9" s="6"/>
      <c r="M9" s="11" t="s">
        <v>12</v>
      </c>
      <c r="N9" s="6" t="s">
        <v>65</v>
      </c>
      <c r="O9" s="6" t="s">
        <v>66</v>
      </c>
      <c r="P9" s="10" t="s">
        <v>15</v>
      </c>
      <c r="Q9" s="6"/>
      <c r="R9" s="6"/>
      <c r="S9" s="6"/>
      <c r="T9" s="6" t="s">
        <v>16</v>
      </c>
      <c r="U9" s="9" t="s">
        <v>17</v>
      </c>
      <c r="X9" s="14"/>
      <c r="Z9" s="14"/>
      <c r="AC9" s="14"/>
      <c r="AI9" s="6" t="s">
        <v>18</v>
      </c>
      <c r="AJ9" s="12" t="s">
        <v>48</v>
      </c>
      <c r="AL9" s="13" t="s">
        <v>20</v>
      </c>
    </row>
    <row r="10">
      <c r="A10" s="5" t="s">
        <v>67</v>
      </c>
      <c r="B10" s="5" t="s">
        <v>68</v>
      </c>
      <c r="C10" s="5" t="s">
        <v>69</v>
      </c>
      <c r="D10" s="5" t="s">
        <v>8</v>
      </c>
      <c r="E10" s="6"/>
      <c r="F10" s="6"/>
      <c r="G10" s="7" t="s">
        <v>70</v>
      </c>
      <c r="I10" s="8" t="s">
        <v>71</v>
      </c>
      <c r="J10" s="9">
        <v>7.3</v>
      </c>
      <c r="K10" s="10" t="s">
        <v>11</v>
      </c>
      <c r="L10" s="6"/>
      <c r="M10" s="11" t="s">
        <v>12</v>
      </c>
      <c r="N10" s="6" t="s">
        <v>72</v>
      </c>
      <c r="O10" s="6" t="s">
        <v>73</v>
      </c>
      <c r="P10" s="10" t="s">
        <v>15</v>
      </c>
      <c r="Q10" s="6"/>
      <c r="R10" s="6"/>
      <c r="S10" s="6"/>
      <c r="T10" s="6" t="s">
        <v>16</v>
      </c>
      <c r="U10" s="9" t="s">
        <v>17</v>
      </c>
      <c r="X10" s="14"/>
      <c r="Z10" s="14"/>
      <c r="AC10" s="14"/>
      <c r="AI10" s="6" t="s">
        <v>18</v>
      </c>
      <c r="AJ10" s="12" t="s">
        <v>74</v>
      </c>
      <c r="AL10" s="13" t="s">
        <v>20</v>
      </c>
    </row>
    <row r="11">
      <c r="A11" s="5" t="s">
        <v>75</v>
      </c>
      <c r="B11" s="5" t="s">
        <v>76</v>
      </c>
      <c r="C11" s="5" t="s">
        <v>77</v>
      </c>
      <c r="D11" s="5" t="s">
        <v>8</v>
      </c>
      <c r="E11" s="6"/>
      <c r="F11" s="6"/>
      <c r="G11" s="7" t="s">
        <v>78</v>
      </c>
      <c r="I11" s="8" t="s">
        <v>79</v>
      </c>
      <c r="J11" s="9">
        <v>14.6</v>
      </c>
      <c r="K11" s="10" t="s">
        <v>11</v>
      </c>
      <c r="L11" s="6"/>
      <c r="M11" s="11" t="s">
        <v>12</v>
      </c>
      <c r="N11" s="6" t="s">
        <v>80</v>
      </c>
      <c r="O11" s="6" t="s">
        <v>81</v>
      </c>
      <c r="P11" s="10" t="s">
        <v>15</v>
      </c>
      <c r="Q11" s="6"/>
      <c r="R11" s="6"/>
      <c r="S11" s="6"/>
      <c r="T11" s="6" t="s">
        <v>16</v>
      </c>
      <c r="U11" s="9" t="s">
        <v>17</v>
      </c>
      <c r="X11" s="14"/>
      <c r="Z11" s="14"/>
      <c r="AC11" s="14"/>
      <c r="AI11" s="6" t="s">
        <v>18</v>
      </c>
      <c r="AJ11" s="12" t="s">
        <v>82</v>
      </c>
      <c r="AL11" s="13" t="s">
        <v>20</v>
      </c>
    </row>
    <row r="12">
      <c r="A12" s="5" t="s">
        <v>83</v>
      </c>
      <c r="B12" s="5" t="s">
        <v>84</v>
      </c>
      <c r="C12" s="5" t="s">
        <v>77</v>
      </c>
      <c r="D12" s="5" t="s">
        <v>8</v>
      </c>
      <c r="E12" s="6"/>
      <c r="F12" s="6"/>
      <c r="G12" s="7" t="s">
        <v>85</v>
      </c>
      <c r="I12" s="8" t="s">
        <v>86</v>
      </c>
      <c r="J12" s="9">
        <v>37.9</v>
      </c>
      <c r="K12" s="10" t="s">
        <v>11</v>
      </c>
      <c r="L12" s="6"/>
      <c r="M12" s="11" t="s">
        <v>12</v>
      </c>
      <c r="N12" s="6" t="s">
        <v>80</v>
      </c>
      <c r="O12" s="6" t="s">
        <v>87</v>
      </c>
      <c r="P12" s="10" t="s">
        <v>15</v>
      </c>
      <c r="Q12" s="6"/>
      <c r="R12" s="6"/>
      <c r="S12" s="6"/>
      <c r="T12" s="6" t="s">
        <v>16</v>
      </c>
      <c r="U12" s="9" t="s">
        <v>17</v>
      </c>
      <c r="X12" s="14"/>
      <c r="Z12" s="14"/>
      <c r="AC12" s="14"/>
      <c r="AI12" s="6" t="s">
        <v>18</v>
      </c>
      <c r="AJ12" s="12" t="s">
        <v>82</v>
      </c>
      <c r="AL12" s="13" t="s">
        <v>20</v>
      </c>
    </row>
    <row r="13">
      <c r="A13" s="5" t="s">
        <v>88</v>
      </c>
      <c r="B13" s="5" t="s">
        <v>89</v>
      </c>
      <c r="C13" s="5" t="s">
        <v>77</v>
      </c>
      <c r="D13" s="5" t="s">
        <v>8</v>
      </c>
      <c r="E13" s="6"/>
      <c r="F13" s="6"/>
      <c r="G13" s="7" t="s">
        <v>90</v>
      </c>
      <c r="I13" s="8" t="s">
        <v>91</v>
      </c>
      <c r="J13" s="9">
        <v>26.9</v>
      </c>
      <c r="K13" s="10" t="s">
        <v>11</v>
      </c>
      <c r="L13" s="6"/>
      <c r="M13" s="11" t="s">
        <v>12</v>
      </c>
      <c r="N13" s="6" t="s">
        <v>92</v>
      </c>
      <c r="O13" s="6" t="s">
        <v>93</v>
      </c>
      <c r="P13" s="10" t="s">
        <v>15</v>
      </c>
      <c r="Q13" s="6"/>
      <c r="R13" s="6"/>
      <c r="S13" s="6"/>
      <c r="T13" s="6" t="s">
        <v>16</v>
      </c>
      <c r="U13" s="9" t="s">
        <v>17</v>
      </c>
      <c r="X13" s="14"/>
      <c r="Z13" s="14"/>
      <c r="AC13" s="14"/>
      <c r="AI13" s="6" t="s">
        <v>18</v>
      </c>
      <c r="AJ13" s="12" t="s">
        <v>82</v>
      </c>
      <c r="AL13" s="13" t="s">
        <v>20</v>
      </c>
    </row>
    <row r="14">
      <c r="A14" s="5" t="s">
        <v>94</v>
      </c>
      <c r="B14" s="5" t="s">
        <v>95</v>
      </c>
      <c r="C14" s="5" t="s">
        <v>77</v>
      </c>
      <c r="D14" s="5" t="s">
        <v>8</v>
      </c>
      <c r="E14" s="6"/>
      <c r="F14" s="6"/>
      <c r="G14" s="7" t="s">
        <v>96</v>
      </c>
      <c r="I14" s="8" t="s">
        <v>97</v>
      </c>
      <c r="J14" s="9">
        <v>34.6</v>
      </c>
      <c r="K14" s="10" t="s">
        <v>11</v>
      </c>
      <c r="L14" s="6"/>
      <c r="M14" s="11" t="s">
        <v>12</v>
      </c>
      <c r="N14" s="6" t="s">
        <v>98</v>
      </c>
      <c r="O14" s="6" t="s">
        <v>99</v>
      </c>
      <c r="P14" s="10" t="s">
        <v>15</v>
      </c>
      <c r="Q14" s="6"/>
      <c r="R14" s="6"/>
      <c r="S14" s="6"/>
      <c r="T14" s="6" t="s">
        <v>16</v>
      </c>
      <c r="U14" s="9" t="s">
        <v>17</v>
      </c>
      <c r="X14" s="14"/>
      <c r="Z14" s="14"/>
      <c r="AC14" s="14"/>
      <c r="AI14" s="6" t="s">
        <v>18</v>
      </c>
      <c r="AJ14" s="12" t="s">
        <v>82</v>
      </c>
      <c r="AL14" s="13" t="s">
        <v>20</v>
      </c>
    </row>
    <row r="15">
      <c r="A15" s="5" t="s">
        <v>100</v>
      </c>
      <c r="B15" s="5" t="s">
        <v>101</v>
      </c>
      <c r="C15" s="5" t="s">
        <v>102</v>
      </c>
      <c r="D15" s="5" t="s">
        <v>8</v>
      </c>
      <c r="E15" s="6"/>
      <c r="F15" s="6"/>
      <c r="G15" s="7" t="s">
        <v>103</v>
      </c>
      <c r="I15" s="8" t="s">
        <v>104</v>
      </c>
      <c r="J15" s="9">
        <v>7.9</v>
      </c>
      <c r="K15" s="10" t="s">
        <v>11</v>
      </c>
      <c r="L15" s="6"/>
      <c r="M15" s="11" t="s">
        <v>12</v>
      </c>
      <c r="N15" s="6" t="s">
        <v>105</v>
      </c>
      <c r="O15" s="6" t="s">
        <v>106</v>
      </c>
      <c r="P15" s="10" t="s">
        <v>15</v>
      </c>
      <c r="Q15" s="6"/>
      <c r="R15" s="6"/>
      <c r="S15" s="6"/>
      <c r="T15" s="6" t="s">
        <v>16</v>
      </c>
      <c r="U15" s="9" t="s">
        <v>17</v>
      </c>
      <c r="X15" s="14"/>
      <c r="Z15" s="14"/>
      <c r="AC15" s="14"/>
      <c r="AI15" s="6" t="s">
        <v>18</v>
      </c>
      <c r="AJ15" s="12" t="s">
        <v>107</v>
      </c>
      <c r="AL15" s="13" t="s">
        <v>20</v>
      </c>
    </row>
    <row r="16">
      <c r="A16" s="5" t="s">
        <v>108</v>
      </c>
      <c r="B16" s="5" t="s">
        <v>109</v>
      </c>
      <c r="C16" s="5" t="s">
        <v>69</v>
      </c>
      <c r="D16" s="5" t="s">
        <v>8</v>
      </c>
      <c r="E16" s="6"/>
      <c r="F16" s="6"/>
      <c r="G16" s="7" t="s">
        <v>110</v>
      </c>
      <c r="I16" s="8" t="s">
        <v>111</v>
      </c>
      <c r="J16" s="9">
        <v>17.52</v>
      </c>
      <c r="K16" s="10" t="s">
        <v>11</v>
      </c>
      <c r="L16" s="6"/>
      <c r="M16" s="11" t="s">
        <v>12</v>
      </c>
      <c r="N16" s="6" t="s">
        <v>112</v>
      </c>
      <c r="O16" s="6" t="s">
        <v>113</v>
      </c>
      <c r="P16" s="10" t="s">
        <v>15</v>
      </c>
      <c r="Q16" s="6"/>
      <c r="R16" s="6"/>
      <c r="S16" s="6"/>
      <c r="T16" s="6" t="s">
        <v>16</v>
      </c>
      <c r="U16" s="9" t="s">
        <v>17</v>
      </c>
      <c r="X16" s="14"/>
      <c r="Z16" s="14"/>
      <c r="AC16" s="14"/>
      <c r="AI16" s="6" t="s">
        <v>18</v>
      </c>
      <c r="AJ16" s="12" t="s">
        <v>74</v>
      </c>
      <c r="AL16" s="13" t="s">
        <v>20</v>
      </c>
    </row>
    <row r="17">
      <c r="A17" s="5" t="s">
        <v>114</v>
      </c>
      <c r="B17" s="5" t="s">
        <v>115</v>
      </c>
      <c r="C17" s="5" t="s">
        <v>116</v>
      </c>
      <c r="D17" s="5" t="s">
        <v>8</v>
      </c>
      <c r="E17" s="6"/>
      <c r="F17" s="6"/>
      <c r="G17" s="7" t="s">
        <v>117</v>
      </c>
      <c r="I17" s="8" t="s">
        <v>118</v>
      </c>
      <c r="J17" s="9">
        <v>4.9</v>
      </c>
      <c r="K17" s="10" t="s">
        <v>11</v>
      </c>
      <c r="L17" s="6"/>
      <c r="M17" s="11" t="s">
        <v>12</v>
      </c>
      <c r="N17" s="6" t="s">
        <v>119</v>
      </c>
      <c r="O17" s="6" t="s">
        <v>120</v>
      </c>
      <c r="P17" s="10" t="s">
        <v>15</v>
      </c>
      <c r="Q17" s="6"/>
      <c r="R17" s="6"/>
      <c r="S17" s="6"/>
      <c r="T17" s="6" t="s">
        <v>16</v>
      </c>
      <c r="U17" s="9" t="s">
        <v>17</v>
      </c>
      <c r="X17" s="14"/>
      <c r="Z17" s="14"/>
      <c r="AC17" s="14"/>
      <c r="AI17" s="6" t="s">
        <v>18</v>
      </c>
      <c r="AJ17" s="12" t="s">
        <v>121</v>
      </c>
      <c r="AL17" s="13" t="s">
        <v>20</v>
      </c>
    </row>
    <row r="18">
      <c r="A18" s="5" t="s">
        <v>122</v>
      </c>
      <c r="B18" s="5" t="s">
        <v>123</v>
      </c>
      <c r="C18" s="5" t="s">
        <v>124</v>
      </c>
      <c r="D18" s="5" t="s">
        <v>8</v>
      </c>
      <c r="E18" s="6"/>
      <c r="F18" s="6"/>
      <c r="G18" s="7" t="s">
        <v>125</v>
      </c>
      <c r="I18" s="8" t="s">
        <v>126</v>
      </c>
      <c r="J18" s="9">
        <v>11.9</v>
      </c>
      <c r="K18" s="10" t="s">
        <v>11</v>
      </c>
      <c r="L18" s="6"/>
      <c r="M18" s="11" t="s">
        <v>12</v>
      </c>
      <c r="N18" s="6" t="s">
        <v>127</v>
      </c>
      <c r="O18" s="6" t="s">
        <v>128</v>
      </c>
      <c r="P18" s="10" t="s">
        <v>15</v>
      </c>
      <c r="Q18" s="6"/>
      <c r="R18" s="6"/>
      <c r="S18" s="6"/>
      <c r="T18" s="6" t="s">
        <v>16</v>
      </c>
      <c r="U18" s="9" t="s">
        <v>17</v>
      </c>
      <c r="X18" s="14"/>
      <c r="Z18" s="14"/>
      <c r="AC18" s="14"/>
      <c r="AI18" s="6" t="s">
        <v>18</v>
      </c>
      <c r="AJ18" s="12" t="s">
        <v>129</v>
      </c>
      <c r="AL18" s="13" t="s">
        <v>20</v>
      </c>
    </row>
    <row r="19">
      <c r="A19" s="5" t="s">
        <v>130</v>
      </c>
      <c r="B19" s="5" t="s">
        <v>131</v>
      </c>
      <c r="C19" s="5" t="s">
        <v>124</v>
      </c>
      <c r="D19" s="5" t="s">
        <v>8</v>
      </c>
      <c r="E19" s="6"/>
      <c r="F19" s="6"/>
      <c r="G19" s="7" t="s">
        <v>132</v>
      </c>
      <c r="I19" s="8" t="s">
        <v>133</v>
      </c>
      <c r="J19" s="9">
        <v>29.5</v>
      </c>
      <c r="K19" s="10" t="s">
        <v>11</v>
      </c>
      <c r="L19" s="6"/>
      <c r="M19" s="11" t="s">
        <v>12</v>
      </c>
      <c r="N19" s="6" t="s">
        <v>134</v>
      </c>
      <c r="O19" s="6" t="s">
        <v>135</v>
      </c>
      <c r="P19" s="10" t="s">
        <v>15</v>
      </c>
      <c r="Q19" s="6"/>
      <c r="R19" s="6"/>
      <c r="S19" s="6"/>
      <c r="T19" s="6" t="s">
        <v>16</v>
      </c>
      <c r="U19" s="9" t="s">
        <v>17</v>
      </c>
      <c r="X19" s="14"/>
      <c r="Z19" s="14"/>
      <c r="AC19" s="14"/>
      <c r="AI19" s="6" t="s">
        <v>18</v>
      </c>
      <c r="AJ19" s="12" t="s">
        <v>129</v>
      </c>
      <c r="AL19" s="13" t="s">
        <v>20</v>
      </c>
    </row>
    <row r="20">
      <c r="A20" s="5" t="s">
        <v>136</v>
      </c>
      <c r="B20" s="5" t="s">
        <v>137</v>
      </c>
      <c r="C20" s="5" t="s">
        <v>138</v>
      </c>
      <c r="D20" s="5" t="s">
        <v>8</v>
      </c>
      <c r="E20" s="6"/>
      <c r="F20" s="6"/>
      <c r="G20" s="7" t="s">
        <v>139</v>
      </c>
      <c r="I20" s="8" t="s">
        <v>140</v>
      </c>
      <c r="J20" s="9">
        <v>9.8</v>
      </c>
      <c r="K20" s="10" t="s">
        <v>11</v>
      </c>
      <c r="L20" s="6"/>
      <c r="M20" s="11" t="s">
        <v>12</v>
      </c>
      <c r="N20" s="6" t="s">
        <v>141</v>
      </c>
      <c r="O20" s="6" t="s">
        <v>142</v>
      </c>
      <c r="P20" s="10" t="s">
        <v>15</v>
      </c>
      <c r="Q20" s="6"/>
      <c r="R20" s="6"/>
      <c r="S20" s="6"/>
      <c r="T20" s="6" t="s">
        <v>16</v>
      </c>
      <c r="U20" s="9" t="s">
        <v>17</v>
      </c>
      <c r="X20" s="14"/>
      <c r="Z20" s="14"/>
      <c r="AC20" s="14"/>
      <c r="AI20" s="6" t="s">
        <v>18</v>
      </c>
      <c r="AJ20" s="12" t="s">
        <v>143</v>
      </c>
      <c r="AL20" s="13" t="s">
        <v>20</v>
      </c>
    </row>
    <row r="21">
      <c r="A21" s="5" t="s">
        <v>144</v>
      </c>
      <c r="B21" s="5" t="s">
        <v>145</v>
      </c>
      <c r="C21" s="5" t="s">
        <v>138</v>
      </c>
      <c r="D21" s="5" t="s">
        <v>8</v>
      </c>
      <c r="E21" s="6"/>
      <c r="F21" s="6"/>
      <c r="G21" s="7" t="s">
        <v>146</v>
      </c>
      <c r="I21" s="8" t="s">
        <v>147</v>
      </c>
      <c r="J21" s="9">
        <v>37.9</v>
      </c>
      <c r="K21" s="10" t="s">
        <v>11</v>
      </c>
      <c r="L21" s="6"/>
      <c r="M21" s="11" t="s">
        <v>12</v>
      </c>
      <c r="N21" s="6" t="s">
        <v>148</v>
      </c>
      <c r="O21" s="6" t="s">
        <v>149</v>
      </c>
      <c r="P21" s="10" t="s">
        <v>15</v>
      </c>
      <c r="Q21" s="6"/>
      <c r="R21" s="6"/>
      <c r="S21" s="6"/>
      <c r="T21" s="6" t="s">
        <v>16</v>
      </c>
      <c r="U21" s="9" t="s">
        <v>17</v>
      </c>
      <c r="X21" s="14"/>
      <c r="Z21" s="14"/>
      <c r="AC21" s="14"/>
      <c r="AI21" s="6" t="s">
        <v>18</v>
      </c>
      <c r="AJ21" s="12" t="s">
        <v>143</v>
      </c>
      <c r="AL21" s="13" t="s">
        <v>20</v>
      </c>
    </row>
    <row r="22">
      <c r="A22" s="5" t="s">
        <v>150</v>
      </c>
      <c r="B22" s="5" t="s">
        <v>151</v>
      </c>
      <c r="C22" s="5" t="s">
        <v>138</v>
      </c>
      <c r="D22" s="5" t="s">
        <v>8</v>
      </c>
      <c r="E22" s="6"/>
      <c r="F22" s="6"/>
      <c r="G22" s="7" t="s">
        <v>152</v>
      </c>
      <c r="I22" s="8" t="s">
        <v>153</v>
      </c>
      <c r="J22" s="9">
        <v>26.9</v>
      </c>
      <c r="K22" s="10" t="s">
        <v>11</v>
      </c>
      <c r="L22" s="6"/>
      <c r="M22" s="11" t="s">
        <v>12</v>
      </c>
      <c r="N22" s="6" t="s">
        <v>154</v>
      </c>
      <c r="O22" s="6" t="s">
        <v>155</v>
      </c>
      <c r="P22" s="10" t="s">
        <v>15</v>
      </c>
      <c r="Q22" s="6"/>
      <c r="R22" s="6"/>
      <c r="S22" s="6"/>
      <c r="T22" s="6" t="s">
        <v>16</v>
      </c>
      <c r="U22" s="9" t="s">
        <v>17</v>
      </c>
      <c r="X22" s="14"/>
      <c r="Z22" s="14"/>
      <c r="AC22" s="14"/>
      <c r="AI22" s="6" t="s">
        <v>18</v>
      </c>
      <c r="AJ22" s="12" t="s">
        <v>143</v>
      </c>
      <c r="AL22" s="13" t="s">
        <v>20</v>
      </c>
    </row>
    <row r="23">
      <c r="A23" s="5" t="s">
        <v>156</v>
      </c>
      <c r="B23" s="5" t="s">
        <v>157</v>
      </c>
      <c r="C23" s="5" t="s">
        <v>138</v>
      </c>
      <c r="D23" s="5" t="s">
        <v>8</v>
      </c>
      <c r="E23" s="6"/>
      <c r="F23" s="6"/>
      <c r="G23" s="7" t="s">
        <v>158</v>
      </c>
      <c r="I23" s="8" t="s">
        <v>159</v>
      </c>
      <c r="J23" s="9">
        <v>52.4</v>
      </c>
      <c r="K23" s="10" t="s">
        <v>11</v>
      </c>
      <c r="L23" s="6"/>
      <c r="M23" s="11" t="s">
        <v>12</v>
      </c>
      <c r="N23" s="6" t="s">
        <v>160</v>
      </c>
      <c r="O23" s="6" t="s">
        <v>161</v>
      </c>
      <c r="P23" s="10" t="s">
        <v>15</v>
      </c>
      <c r="Q23" s="6"/>
      <c r="R23" s="6"/>
      <c r="S23" s="6"/>
      <c r="T23" s="6" t="s">
        <v>16</v>
      </c>
      <c r="U23" s="9" t="s">
        <v>17</v>
      </c>
      <c r="X23" s="14"/>
      <c r="Z23" s="14"/>
      <c r="AC23" s="14"/>
      <c r="AI23" s="6" t="s">
        <v>18</v>
      </c>
      <c r="AJ23" s="12" t="s">
        <v>143</v>
      </c>
      <c r="AL23" s="13" t="s">
        <v>20</v>
      </c>
    </row>
    <row r="24">
      <c r="A24" s="5" t="s">
        <v>162</v>
      </c>
      <c r="B24" s="5" t="s">
        <v>163</v>
      </c>
      <c r="C24" s="5" t="s">
        <v>164</v>
      </c>
      <c r="D24" s="5" t="s">
        <v>8</v>
      </c>
      <c r="E24" s="6"/>
      <c r="F24" s="6"/>
      <c r="G24" s="7" t="s">
        <v>165</v>
      </c>
      <c r="I24" s="8" t="s">
        <v>166</v>
      </c>
      <c r="J24" s="9">
        <v>9.6</v>
      </c>
      <c r="K24" s="10" t="s">
        <v>11</v>
      </c>
      <c r="L24" s="6"/>
      <c r="M24" s="11" t="s">
        <v>12</v>
      </c>
      <c r="N24" s="6" t="s">
        <v>167</v>
      </c>
      <c r="O24" s="6" t="s">
        <v>168</v>
      </c>
      <c r="P24" s="10" t="s">
        <v>15</v>
      </c>
      <c r="Q24" s="6"/>
      <c r="R24" s="6"/>
      <c r="S24" s="6"/>
      <c r="T24" s="6" t="s">
        <v>16</v>
      </c>
      <c r="U24" s="9" t="s">
        <v>17</v>
      </c>
      <c r="X24" s="14"/>
      <c r="Z24" s="14"/>
      <c r="AC24" s="14"/>
      <c r="AI24" s="6" t="s">
        <v>18</v>
      </c>
      <c r="AJ24" s="12" t="s">
        <v>169</v>
      </c>
      <c r="AL24" s="13" t="s">
        <v>20</v>
      </c>
    </row>
    <row r="25">
      <c r="A25" s="5" t="s">
        <v>170</v>
      </c>
      <c r="B25" s="5" t="s">
        <v>171</v>
      </c>
      <c r="C25" s="5" t="s">
        <v>164</v>
      </c>
      <c r="D25" s="5" t="s">
        <v>8</v>
      </c>
      <c r="E25" s="6"/>
      <c r="F25" s="6"/>
      <c r="G25" s="7" t="s">
        <v>172</v>
      </c>
      <c r="I25" s="8" t="s">
        <v>173</v>
      </c>
      <c r="J25" s="9">
        <v>37.9</v>
      </c>
      <c r="K25" s="10" t="s">
        <v>11</v>
      </c>
      <c r="L25" s="6"/>
      <c r="M25" s="11" t="s">
        <v>12</v>
      </c>
      <c r="N25" s="6" t="s">
        <v>174</v>
      </c>
      <c r="O25" s="6" t="s">
        <v>175</v>
      </c>
      <c r="P25" s="10" t="s">
        <v>15</v>
      </c>
      <c r="Q25" s="6"/>
      <c r="R25" s="6"/>
      <c r="S25" s="6"/>
      <c r="T25" s="6" t="s">
        <v>16</v>
      </c>
      <c r="U25" s="9" t="s">
        <v>17</v>
      </c>
      <c r="X25" s="14"/>
      <c r="Z25" s="14"/>
      <c r="AC25" s="14"/>
      <c r="AI25" s="6" t="s">
        <v>18</v>
      </c>
      <c r="AJ25" s="12" t="s">
        <v>169</v>
      </c>
      <c r="AL25" s="13" t="s">
        <v>20</v>
      </c>
    </row>
    <row r="26">
      <c r="A26" s="5" t="s">
        <v>176</v>
      </c>
      <c r="B26" s="5" t="s">
        <v>177</v>
      </c>
      <c r="C26" s="5" t="s">
        <v>164</v>
      </c>
      <c r="D26" s="5" t="s">
        <v>8</v>
      </c>
      <c r="E26" s="6"/>
      <c r="F26" s="6"/>
      <c r="G26" s="7" t="s">
        <v>178</v>
      </c>
      <c r="I26" s="8" t="s">
        <v>179</v>
      </c>
      <c r="J26" s="9">
        <v>26.9</v>
      </c>
      <c r="K26" s="10" t="s">
        <v>11</v>
      </c>
      <c r="L26" s="6"/>
      <c r="M26" s="11" t="s">
        <v>12</v>
      </c>
      <c r="N26" s="6" t="s">
        <v>180</v>
      </c>
      <c r="O26" s="6" t="s">
        <v>181</v>
      </c>
      <c r="P26" s="10" t="s">
        <v>15</v>
      </c>
      <c r="Q26" s="6"/>
      <c r="R26" s="6"/>
      <c r="S26" s="6"/>
      <c r="T26" s="6" t="s">
        <v>16</v>
      </c>
      <c r="U26" s="9" t="s">
        <v>17</v>
      </c>
      <c r="X26" s="14"/>
      <c r="Z26" s="14"/>
      <c r="AC26" s="14"/>
      <c r="AI26" s="6" t="s">
        <v>18</v>
      </c>
      <c r="AJ26" s="12" t="s">
        <v>169</v>
      </c>
      <c r="AL26" s="13" t="s">
        <v>20</v>
      </c>
    </row>
    <row r="27">
      <c r="A27" s="5" t="s">
        <v>182</v>
      </c>
      <c r="B27" s="5" t="s">
        <v>183</v>
      </c>
      <c r="C27" s="5" t="s">
        <v>164</v>
      </c>
      <c r="D27" s="5" t="s">
        <v>8</v>
      </c>
      <c r="E27" s="6"/>
      <c r="F27" s="6"/>
      <c r="G27" s="7" t="s">
        <v>184</v>
      </c>
      <c r="I27" s="8" t="s">
        <v>185</v>
      </c>
      <c r="J27" s="9">
        <v>28.6</v>
      </c>
      <c r="K27" s="10" t="s">
        <v>11</v>
      </c>
      <c r="L27" s="6"/>
      <c r="M27" s="11" t="s">
        <v>12</v>
      </c>
      <c r="N27" s="6" t="s">
        <v>186</v>
      </c>
      <c r="O27" s="6" t="s">
        <v>187</v>
      </c>
      <c r="P27" s="10" t="s">
        <v>15</v>
      </c>
      <c r="Q27" s="6"/>
      <c r="R27" s="6"/>
      <c r="S27" s="6"/>
      <c r="T27" s="6" t="s">
        <v>16</v>
      </c>
      <c r="U27" s="9" t="s">
        <v>17</v>
      </c>
      <c r="X27" s="14"/>
      <c r="Z27" s="14"/>
      <c r="AC27" s="14"/>
      <c r="AI27" s="6" t="s">
        <v>18</v>
      </c>
      <c r="AJ27" s="12" t="s">
        <v>169</v>
      </c>
      <c r="AL27" s="13" t="s">
        <v>20</v>
      </c>
    </row>
    <row r="28">
      <c r="A28" s="5" t="s">
        <v>188</v>
      </c>
      <c r="B28" s="5" t="s">
        <v>189</v>
      </c>
      <c r="C28" s="5" t="s">
        <v>190</v>
      </c>
      <c r="D28" s="5" t="s">
        <v>8</v>
      </c>
      <c r="E28" s="6"/>
      <c r="F28" s="6"/>
      <c r="G28" s="7" t="s">
        <v>191</v>
      </c>
      <c r="I28" s="8" t="s">
        <v>192</v>
      </c>
      <c r="J28" s="9">
        <v>10.9</v>
      </c>
      <c r="K28" s="10" t="s">
        <v>11</v>
      </c>
      <c r="L28" s="6"/>
      <c r="M28" s="11" t="s">
        <v>12</v>
      </c>
      <c r="N28" s="6" t="s">
        <v>193</v>
      </c>
      <c r="O28" s="6" t="s">
        <v>194</v>
      </c>
      <c r="P28" s="10" t="s">
        <v>15</v>
      </c>
      <c r="Q28" s="6"/>
      <c r="R28" s="6"/>
      <c r="S28" s="6"/>
      <c r="T28" s="6" t="s">
        <v>16</v>
      </c>
      <c r="U28" s="9" t="s">
        <v>17</v>
      </c>
      <c r="X28" s="14"/>
      <c r="Z28" s="14"/>
      <c r="AC28" s="14"/>
      <c r="AI28" s="6" t="s">
        <v>18</v>
      </c>
      <c r="AJ28" s="12" t="s">
        <v>195</v>
      </c>
      <c r="AL28" s="13" t="s">
        <v>20</v>
      </c>
    </row>
    <row r="29">
      <c r="A29" s="5" t="s">
        <v>196</v>
      </c>
      <c r="B29" s="5" t="s">
        <v>197</v>
      </c>
      <c r="C29" s="5" t="s">
        <v>190</v>
      </c>
      <c r="D29" s="5" t="s">
        <v>8</v>
      </c>
      <c r="E29" s="6"/>
      <c r="F29" s="6"/>
      <c r="G29" s="7" t="s">
        <v>198</v>
      </c>
      <c r="I29" s="8" t="s">
        <v>199</v>
      </c>
      <c r="J29" s="9">
        <v>37.9</v>
      </c>
      <c r="K29" s="10" t="s">
        <v>11</v>
      </c>
      <c r="L29" s="6"/>
      <c r="M29" s="11" t="s">
        <v>12</v>
      </c>
      <c r="N29" s="6" t="s">
        <v>200</v>
      </c>
      <c r="O29" s="6" t="s">
        <v>201</v>
      </c>
      <c r="P29" s="10" t="s">
        <v>15</v>
      </c>
      <c r="Q29" s="6"/>
      <c r="R29" s="6"/>
      <c r="S29" s="6"/>
      <c r="T29" s="6" t="s">
        <v>16</v>
      </c>
      <c r="U29" s="9" t="s">
        <v>17</v>
      </c>
      <c r="X29" s="14"/>
      <c r="Z29" s="14"/>
      <c r="AC29" s="14"/>
      <c r="AI29" s="6" t="s">
        <v>18</v>
      </c>
      <c r="AJ29" s="12" t="s">
        <v>195</v>
      </c>
      <c r="AL29" s="13" t="s">
        <v>20</v>
      </c>
    </row>
    <row r="30">
      <c r="A30" s="5" t="s">
        <v>202</v>
      </c>
      <c r="B30" s="5" t="s">
        <v>203</v>
      </c>
      <c r="C30" s="5" t="s">
        <v>190</v>
      </c>
      <c r="D30" s="5" t="s">
        <v>8</v>
      </c>
      <c r="E30" s="6"/>
      <c r="F30" s="6"/>
      <c r="G30" s="7" t="s">
        <v>204</v>
      </c>
      <c r="I30" s="8" t="s">
        <v>205</v>
      </c>
      <c r="J30" s="9">
        <v>26.9</v>
      </c>
      <c r="K30" s="10" t="s">
        <v>11</v>
      </c>
      <c r="L30" s="6"/>
      <c r="M30" s="11" t="s">
        <v>12</v>
      </c>
      <c r="N30" s="6" t="s">
        <v>206</v>
      </c>
      <c r="O30" s="6" t="s">
        <v>207</v>
      </c>
      <c r="P30" s="10" t="s">
        <v>15</v>
      </c>
      <c r="Q30" s="6"/>
      <c r="R30" s="6"/>
      <c r="S30" s="6"/>
      <c r="T30" s="6" t="s">
        <v>16</v>
      </c>
      <c r="U30" s="9" t="s">
        <v>17</v>
      </c>
      <c r="X30" s="14"/>
      <c r="Z30" s="14"/>
      <c r="AC30" s="14"/>
      <c r="AI30" s="6" t="s">
        <v>18</v>
      </c>
      <c r="AJ30" s="12" t="s">
        <v>195</v>
      </c>
      <c r="AL30" s="13" t="s">
        <v>20</v>
      </c>
    </row>
    <row r="31">
      <c r="A31" s="5" t="s">
        <v>208</v>
      </c>
      <c r="B31" s="5" t="s">
        <v>209</v>
      </c>
      <c r="C31" s="5" t="s">
        <v>190</v>
      </c>
      <c r="D31" s="5" t="s">
        <v>8</v>
      </c>
      <c r="E31" s="6"/>
      <c r="F31" s="6"/>
      <c r="G31" s="7" t="s">
        <v>210</v>
      </c>
      <c r="I31" s="8" t="s">
        <v>211</v>
      </c>
      <c r="J31" s="9">
        <v>29.7</v>
      </c>
      <c r="K31" s="10" t="s">
        <v>11</v>
      </c>
      <c r="L31" s="6"/>
      <c r="M31" s="11" t="s">
        <v>12</v>
      </c>
      <c r="N31" s="6" t="s">
        <v>212</v>
      </c>
      <c r="O31" s="6" t="s">
        <v>213</v>
      </c>
      <c r="P31" s="10" t="s">
        <v>15</v>
      </c>
      <c r="Q31" s="6"/>
      <c r="R31" s="6"/>
      <c r="S31" s="6"/>
      <c r="T31" s="6" t="s">
        <v>16</v>
      </c>
      <c r="U31" s="9" t="s">
        <v>17</v>
      </c>
      <c r="X31" s="14"/>
      <c r="Z31" s="14"/>
      <c r="AC31" s="14"/>
      <c r="AI31" s="6" t="s">
        <v>18</v>
      </c>
      <c r="AJ31" s="12" t="s">
        <v>195</v>
      </c>
      <c r="AL31" s="13" t="s">
        <v>20</v>
      </c>
    </row>
    <row r="32">
      <c r="A32" s="5" t="s">
        <v>214</v>
      </c>
      <c r="B32" s="5" t="s">
        <v>215</v>
      </c>
      <c r="C32" s="5" t="s">
        <v>216</v>
      </c>
      <c r="D32" s="5" t="s">
        <v>8</v>
      </c>
      <c r="E32" s="6"/>
      <c r="F32" s="6"/>
      <c r="G32" s="7" t="s">
        <v>217</v>
      </c>
      <c r="I32" s="8" t="s">
        <v>218</v>
      </c>
      <c r="J32" s="9">
        <v>9.8</v>
      </c>
      <c r="K32" s="10" t="s">
        <v>11</v>
      </c>
      <c r="L32" s="6"/>
      <c r="M32" s="11" t="s">
        <v>12</v>
      </c>
      <c r="N32" s="6" t="s">
        <v>219</v>
      </c>
      <c r="O32" s="6" t="s">
        <v>220</v>
      </c>
      <c r="P32" s="10" t="s">
        <v>15</v>
      </c>
      <c r="Q32" s="6"/>
      <c r="R32" s="6"/>
      <c r="S32" s="6"/>
      <c r="T32" s="6" t="s">
        <v>16</v>
      </c>
      <c r="U32" s="9" t="s">
        <v>17</v>
      </c>
      <c r="X32" s="14"/>
      <c r="Z32" s="14"/>
      <c r="AC32" s="14"/>
      <c r="AI32" s="6" t="s">
        <v>18</v>
      </c>
      <c r="AJ32" s="12" t="s">
        <v>221</v>
      </c>
      <c r="AL32" s="13" t="s">
        <v>20</v>
      </c>
    </row>
    <row r="33">
      <c r="A33" s="5" t="s">
        <v>222</v>
      </c>
      <c r="B33" s="5" t="s">
        <v>223</v>
      </c>
      <c r="C33" s="5" t="s">
        <v>216</v>
      </c>
      <c r="D33" s="5" t="s">
        <v>8</v>
      </c>
      <c r="E33" s="6"/>
      <c r="F33" s="6"/>
      <c r="G33" s="7" t="s">
        <v>224</v>
      </c>
      <c r="I33" s="8" t="s">
        <v>225</v>
      </c>
      <c r="J33" s="9">
        <v>29.2</v>
      </c>
      <c r="K33" s="10" t="s">
        <v>11</v>
      </c>
      <c r="L33" s="6"/>
      <c r="M33" s="11" t="s">
        <v>12</v>
      </c>
      <c r="N33" s="6" t="s">
        <v>226</v>
      </c>
      <c r="O33" s="6" t="s">
        <v>227</v>
      </c>
      <c r="P33" s="10" t="s">
        <v>15</v>
      </c>
      <c r="Q33" s="6"/>
      <c r="R33" s="6"/>
      <c r="S33" s="6"/>
      <c r="T33" s="6" t="s">
        <v>16</v>
      </c>
      <c r="U33" s="9" t="s">
        <v>17</v>
      </c>
      <c r="X33" s="14"/>
      <c r="Z33" s="14"/>
      <c r="AC33" s="14"/>
      <c r="AI33" s="6" t="s">
        <v>18</v>
      </c>
      <c r="AJ33" s="12" t="s">
        <v>221</v>
      </c>
      <c r="AL33" s="13" t="s">
        <v>20</v>
      </c>
    </row>
    <row r="34">
      <c r="A34" s="5" t="s">
        <v>228</v>
      </c>
      <c r="B34" s="5" t="s">
        <v>229</v>
      </c>
      <c r="C34" s="5" t="s">
        <v>230</v>
      </c>
      <c r="D34" s="5" t="s">
        <v>8</v>
      </c>
      <c r="E34" s="6"/>
      <c r="F34" s="6"/>
      <c r="G34" s="7" t="s">
        <v>231</v>
      </c>
      <c r="I34" s="8" t="s">
        <v>232</v>
      </c>
      <c r="J34" s="9">
        <v>11.5</v>
      </c>
      <c r="K34" s="10" t="s">
        <v>11</v>
      </c>
      <c r="L34" s="6"/>
      <c r="M34" s="11" t="s">
        <v>12</v>
      </c>
      <c r="N34" s="6" t="s">
        <v>233</v>
      </c>
      <c r="O34" s="6" t="s">
        <v>234</v>
      </c>
      <c r="P34" s="10" t="s">
        <v>15</v>
      </c>
      <c r="Q34" s="6"/>
      <c r="R34" s="6"/>
      <c r="S34" s="6"/>
      <c r="T34" s="6" t="s">
        <v>16</v>
      </c>
      <c r="U34" s="9" t="s">
        <v>17</v>
      </c>
      <c r="X34" s="14"/>
      <c r="Z34" s="14"/>
      <c r="AC34" s="14"/>
      <c r="AI34" s="6" t="s">
        <v>18</v>
      </c>
      <c r="AJ34" s="12" t="s">
        <v>235</v>
      </c>
      <c r="AL34" s="13" t="s">
        <v>20</v>
      </c>
    </row>
    <row r="35">
      <c r="A35" s="5" t="s">
        <v>236</v>
      </c>
      <c r="B35" s="5" t="s">
        <v>237</v>
      </c>
      <c r="C35" s="5" t="s">
        <v>230</v>
      </c>
      <c r="D35" s="5" t="s">
        <v>8</v>
      </c>
      <c r="E35" s="6"/>
      <c r="F35" s="6"/>
      <c r="G35" s="7" t="s">
        <v>238</v>
      </c>
      <c r="I35" s="8" t="s">
        <v>239</v>
      </c>
      <c r="J35" s="9">
        <v>37.9</v>
      </c>
      <c r="K35" s="10" t="s">
        <v>11</v>
      </c>
      <c r="L35" s="6"/>
      <c r="M35" s="11" t="s">
        <v>12</v>
      </c>
      <c r="N35" s="6" t="s">
        <v>240</v>
      </c>
      <c r="O35" s="6" t="s">
        <v>241</v>
      </c>
      <c r="P35" s="10" t="s">
        <v>15</v>
      </c>
      <c r="Q35" s="6"/>
      <c r="R35" s="6"/>
      <c r="S35" s="6"/>
      <c r="T35" s="6" t="s">
        <v>16</v>
      </c>
      <c r="U35" s="9" t="s">
        <v>17</v>
      </c>
      <c r="X35" s="14"/>
      <c r="Z35" s="14"/>
      <c r="AC35" s="14"/>
      <c r="AI35" s="6" t="s">
        <v>18</v>
      </c>
      <c r="AJ35" s="12" t="s">
        <v>235</v>
      </c>
      <c r="AL35" s="13" t="s">
        <v>20</v>
      </c>
    </row>
    <row r="36">
      <c r="A36" s="5" t="s">
        <v>242</v>
      </c>
      <c r="B36" s="5" t="s">
        <v>243</v>
      </c>
      <c r="C36" s="5" t="s">
        <v>230</v>
      </c>
      <c r="D36" s="5" t="s">
        <v>8</v>
      </c>
      <c r="E36" s="6"/>
      <c r="F36" s="6"/>
      <c r="G36" s="7" t="s">
        <v>244</v>
      </c>
      <c r="I36" s="8" t="s">
        <v>245</v>
      </c>
      <c r="J36" s="9">
        <v>26.9</v>
      </c>
      <c r="K36" s="10" t="s">
        <v>11</v>
      </c>
      <c r="L36" s="6"/>
      <c r="M36" s="11" t="s">
        <v>12</v>
      </c>
      <c r="N36" s="6" t="s">
        <v>246</v>
      </c>
      <c r="O36" s="6" t="s">
        <v>247</v>
      </c>
      <c r="P36" s="10" t="s">
        <v>15</v>
      </c>
      <c r="Q36" s="6"/>
      <c r="R36" s="6"/>
      <c r="S36" s="6"/>
      <c r="T36" s="6" t="s">
        <v>16</v>
      </c>
      <c r="U36" s="9" t="s">
        <v>17</v>
      </c>
      <c r="X36" s="14"/>
      <c r="Z36" s="14"/>
      <c r="AC36" s="14"/>
      <c r="AI36" s="6" t="s">
        <v>18</v>
      </c>
      <c r="AJ36" s="12" t="s">
        <v>235</v>
      </c>
      <c r="AL36" s="13" t="s">
        <v>20</v>
      </c>
    </row>
    <row r="37">
      <c r="A37" s="5" t="s">
        <v>248</v>
      </c>
      <c r="B37" s="5" t="s">
        <v>249</v>
      </c>
      <c r="C37" s="5" t="s">
        <v>230</v>
      </c>
      <c r="D37" s="5" t="s">
        <v>8</v>
      </c>
      <c r="E37" s="6"/>
      <c r="F37" s="6"/>
      <c r="G37" s="7" t="s">
        <v>250</v>
      </c>
      <c r="I37" s="8" t="s">
        <v>251</v>
      </c>
      <c r="J37" s="9">
        <v>28.5</v>
      </c>
      <c r="K37" s="10" t="s">
        <v>11</v>
      </c>
      <c r="L37" s="6"/>
      <c r="M37" s="11" t="s">
        <v>12</v>
      </c>
      <c r="N37" s="6" t="s">
        <v>252</v>
      </c>
      <c r="O37" s="6" t="s">
        <v>253</v>
      </c>
      <c r="P37" s="10" t="s">
        <v>15</v>
      </c>
      <c r="Q37" s="6"/>
      <c r="R37" s="6"/>
      <c r="S37" s="6"/>
      <c r="T37" s="6" t="s">
        <v>16</v>
      </c>
      <c r="U37" s="9" t="s">
        <v>17</v>
      </c>
      <c r="X37" s="14"/>
      <c r="Z37" s="14"/>
      <c r="AC37" s="14"/>
      <c r="AI37" s="6" t="s">
        <v>18</v>
      </c>
      <c r="AJ37" s="12" t="s">
        <v>235</v>
      </c>
      <c r="AL37" s="13" t="s">
        <v>20</v>
      </c>
    </row>
    <row r="38">
      <c r="A38" s="5" t="s">
        <v>254</v>
      </c>
      <c r="B38" s="5" t="s">
        <v>255</v>
      </c>
      <c r="C38" s="5" t="s">
        <v>256</v>
      </c>
      <c r="D38" s="5" t="s">
        <v>8</v>
      </c>
      <c r="E38" s="6"/>
      <c r="F38" s="6"/>
      <c r="G38" s="7" t="s">
        <v>257</v>
      </c>
      <c r="I38" s="8" t="s">
        <v>258</v>
      </c>
      <c r="J38" s="9">
        <v>12.9</v>
      </c>
      <c r="K38" s="10" t="s">
        <v>11</v>
      </c>
      <c r="L38" s="6"/>
      <c r="M38" s="11" t="s">
        <v>12</v>
      </c>
      <c r="N38" s="6" t="s">
        <v>259</v>
      </c>
      <c r="O38" s="6" t="s">
        <v>260</v>
      </c>
      <c r="P38" s="10" t="s">
        <v>15</v>
      </c>
      <c r="Q38" s="6"/>
      <c r="R38" s="6"/>
      <c r="S38" s="6"/>
      <c r="T38" s="6" t="s">
        <v>16</v>
      </c>
      <c r="U38" s="9" t="s">
        <v>17</v>
      </c>
      <c r="X38" s="14"/>
      <c r="Z38" s="14"/>
      <c r="AC38" s="14"/>
      <c r="AI38" s="6" t="s">
        <v>18</v>
      </c>
      <c r="AJ38" s="12" t="s">
        <v>261</v>
      </c>
      <c r="AL38" s="13" t="s">
        <v>20</v>
      </c>
    </row>
    <row r="39">
      <c r="A39" s="5" t="s">
        <v>262</v>
      </c>
      <c r="B39" s="5" t="s">
        <v>263</v>
      </c>
      <c r="C39" s="5" t="s">
        <v>256</v>
      </c>
      <c r="D39" s="5" t="s">
        <v>8</v>
      </c>
      <c r="E39" s="6"/>
      <c r="F39" s="6"/>
      <c r="G39" s="7" t="s">
        <v>264</v>
      </c>
      <c r="I39" s="8" t="s">
        <v>265</v>
      </c>
      <c r="J39" s="9">
        <v>37.9</v>
      </c>
      <c r="K39" s="10" t="s">
        <v>11</v>
      </c>
      <c r="L39" s="6"/>
      <c r="M39" s="11" t="s">
        <v>12</v>
      </c>
      <c r="N39" s="6" t="s">
        <v>266</v>
      </c>
      <c r="O39" s="6" t="s">
        <v>267</v>
      </c>
      <c r="P39" s="10" t="s">
        <v>15</v>
      </c>
      <c r="Q39" s="6"/>
      <c r="R39" s="6"/>
      <c r="S39" s="6"/>
      <c r="T39" s="6" t="s">
        <v>16</v>
      </c>
      <c r="U39" s="9" t="s">
        <v>17</v>
      </c>
      <c r="X39" s="14"/>
      <c r="Z39" s="14"/>
      <c r="AC39" s="14"/>
      <c r="AI39" s="6" t="s">
        <v>18</v>
      </c>
      <c r="AJ39" s="12" t="s">
        <v>261</v>
      </c>
      <c r="AL39" s="13" t="s">
        <v>20</v>
      </c>
    </row>
    <row r="40">
      <c r="A40" s="5" t="s">
        <v>268</v>
      </c>
      <c r="B40" s="5" t="s">
        <v>269</v>
      </c>
      <c r="C40" s="5" t="s">
        <v>270</v>
      </c>
      <c r="D40" s="5" t="s">
        <v>8</v>
      </c>
      <c r="E40" s="6"/>
      <c r="F40" s="6"/>
      <c r="G40" s="7" t="s">
        <v>271</v>
      </c>
      <c r="I40" s="8" t="s">
        <v>272</v>
      </c>
      <c r="J40" s="9">
        <v>6.9</v>
      </c>
      <c r="K40" s="10" t="s">
        <v>11</v>
      </c>
      <c r="L40" s="6"/>
      <c r="M40" s="11" t="s">
        <v>12</v>
      </c>
      <c r="N40" s="6" t="s">
        <v>273</v>
      </c>
      <c r="O40" s="6" t="s">
        <v>274</v>
      </c>
      <c r="P40" s="10" t="s">
        <v>15</v>
      </c>
      <c r="Q40" s="6"/>
      <c r="R40" s="6"/>
      <c r="S40" s="6"/>
      <c r="T40" s="6" t="s">
        <v>16</v>
      </c>
      <c r="U40" s="9" t="s">
        <v>17</v>
      </c>
      <c r="X40" s="14"/>
      <c r="Z40" s="14"/>
      <c r="AC40" s="14"/>
      <c r="AI40" s="6" t="s">
        <v>18</v>
      </c>
      <c r="AJ40" s="12" t="s">
        <v>275</v>
      </c>
      <c r="AL40" s="13" t="s">
        <v>20</v>
      </c>
    </row>
    <row r="41">
      <c r="A41" s="5" t="s">
        <v>276</v>
      </c>
      <c r="B41" s="5" t="s">
        <v>277</v>
      </c>
      <c r="C41" s="5" t="s">
        <v>270</v>
      </c>
      <c r="D41" s="5" t="s">
        <v>8</v>
      </c>
      <c r="E41" s="6"/>
      <c r="F41" s="6"/>
      <c r="G41" s="7" t="s">
        <v>278</v>
      </c>
      <c r="I41" s="8" t="s">
        <v>279</v>
      </c>
      <c r="J41" s="9">
        <v>37.9</v>
      </c>
      <c r="K41" s="10" t="s">
        <v>11</v>
      </c>
      <c r="L41" s="6"/>
      <c r="M41" s="11" t="s">
        <v>12</v>
      </c>
      <c r="N41" s="6" t="s">
        <v>280</v>
      </c>
      <c r="O41" s="6" t="s">
        <v>281</v>
      </c>
      <c r="P41" s="10" t="s">
        <v>15</v>
      </c>
      <c r="Q41" s="6"/>
      <c r="R41" s="6"/>
      <c r="S41" s="6"/>
      <c r="T41" s="6" t="s">
        <v>16</v>
      </c>
      <c r="U41" s="9" t="s">
        <v>17</v>
      </c>
      <c r="X41" s="14"/>
      <c r="Z41" s="14"/>
      <c r="AC41" s="14"/>
      <c r="AI41" s="6" t="s">
        <v>18</v>
      </c>
      <c r="AJ41" s="12" t="s">
        <v>275</v>
      </c>
      <c r="AL41" s="13" t="s">
        <v>20</v>
      </c>
    </row>
    <row r="42">
      <c r="A42" s="5" t="s">
        <v>282</v>
      </c>
      <c r="B42" s="5" t="s">
        <v>283</v>
      </c>
      <c r="C42" s="5" t="s">
        <v>270</v>
      </c>
      <c r="D42" s="5" t="s">
        <v>8</v>
      </c>
      <c r="E42" s="6"/>
      <c r="F42" s="6"/>
      <c r="G42" s="7" t="s">
        <v>284</v>
      </c>
      <c r="I42" s="8" t="s">
        <v>285</v>
      </c>
      <c r="J42" s="9">
        <v>26.9</v>
      </c>
      <c r="K42" s="10" t="s">
        <v>11</v>
      </c>
      <c r="L42" s="6"/>
      <c r="M42" s="11" t="s">
        <v>12</v>
      </c>
      <c r="N42" s="6" t="s">
        <v>286</v>
      </c>
      <c r="O42" s="6" t="s">
        <v>287</v>
      </c>
      <c r="P42" s="10" t="s">
        <v>15</v>
      </c>
      <c r="Q42" s="6"/>
      <c r="R42" s="6"/>
      <c r="S42" s="6"/>
      <c r="T42" s="6" t="s">
        <v>16</v>
      </c>
      <c r="U42" s="9" t="s">
        <v>17</v>
      </c>
      <c r="X42" s="14"/>
      <c r="Z42" s="14"/>
      <c r="AC42" s="14"/>
      <c r="AI42" s="6" t="s">
        <v>18</v>
      </c>
      <c r="AJ42" s="12" t="s">
        <v>275</v>
      </c>
      <c r="AL42" s="13" t="s">
        <v>20</v>
      </c>
    </row>
    <row r="43">
      <c r="A43" s="5" t="s">
        <v>288</v>
      </c>
      <c r="B43" s="5" t="s">
        <v>289</v>
      </c>
      <c r="C43" s="5" t="s">
        <v>270</v>
      </c>
      <c r="D43" s="5" t="s">
        <v>8</v>
      </c>
      <c r="E43" s="6"/>
      <c r="F43" s="6"/>
      <c r="G43" s="7" t="s">
        <v>290</v>
      </c>
      <c r="I43" s="8" t="s">
        <v>291</v>
      </c>
      <c r="J43" s="9">
        <v>16.56</v>
      </c>
      <c r="K43" s="10" t="s">
        <v>11</v>
      </c>
      <c r="L43" s="6"/>
      <c r="M43" s="11" t="s">
        <v>12</v>
      </c>
      <c r="N43" s="6" t="s">
        <v>292</v>
      </c>
      <c r="O43" s="6" t="s">
        <v>293</v>
      </c>
      <c r="P43" s="10" t="s">
        <v>15</v>
      </c>
      <c r="Q43" s="6"/>
      <c r="R43" s="6"/>
      <c r="S43" s="6"/>
      <c r="T43" s="6" t="s">
        <v>16</v>
      </c>
      <c r="U43" s="9" t="s">
        <v>17</v>
      </c>
      <c r="X43" s="14"/>
      <c r="Z43" s="14"/>
      <c r="AC43" s="14"/>
      <c r="AI43" s="6" t="s">
        <v>18</v>
      </c>
      <c r="AJ43" s="12" t="s">
        <v>275</v>
      </c>
      <c r="AL43" s="13" t="s">
        <v>20</v>
      </c>
    </row>
    <row r="44">
      <c r="A44" s="5" t="s">
        <v>294</v>
      </c>
      <c r="B44" s="5" t="s">
        <v>295</v>
      </c>
      <c r="C44" s="5" t="s">
        <v>296</v>
      </c>
      <c r="D44" s="5" t="s">
        <v>8</v>
      </c>
      <c r="E44" s="6"/>
      <c r="F44" s="6"/>
      <c r="G44" s="7" t="s">
        <v>297</v>
      </c>
      <c r="I44" s="8" t="s">
        <v>298</v>
      </c>
      <c r="J44" s="9">
        <v>8.9</v>
      </c>
      <c r="K44" s="10" t="s">
        <v>11</v>
      </c>
      <c r="L44" s="6"/>
      <c r="M44" s="11" t="s">
        <v>12</v>
      </c>
      <c r="N44" s="6" t="s">
        <v>299</v>
      </c>
      <c r="O44" s="6" t="s">
        <v>300</v>
      </c>
      <c r="P44" s="10" t="s">
        <v>15</v>
      </c>
      <c r="Q44" s="6"/>
      <c r="R44" s="6"/>
      <c r="S44" s="6"/>
      <c r="T44" s="6" t="s">
        <v>16</v>
      </c>
      <c r="U44" s="9" t="s">
        <v>17</v>
      </c>
      <c r="X44" s="14"/>
      <c r="Z44" s="14"/>
      <c r="AC44" s="14"/>
      <c r="AI44" s="6" t="s">
        <v>18</v>
      </c>
      <c r="AJ44" s="12" t="s">
        <v>301</v>
      </c>
      <c r="AL44" s="13" t="s">
        <v>20</v>
      </c>
    </row>
    <row r="45">
      <c r="A45" s="5" t="s">
        <v>302</v>
      </c>
      <c r="B45" s="5" t="s">
        <v>303</v>
      </c>
      <c r="C45" s="5" t="s">
        <v>296</v>
      </c>
      <c r="D45" s="5" t="s">
        <v>8</v>
      </c>
      <c r="E45" s="6"/>
      <c r="F45" s="6"/>
      <c r="G45" s="7" t="s">
        <v>304</v>
      </c>
      <c r="I45" s="8" t="s">
        <v>305</v>
      </c>
      <c r="J45" s="9">
        <v>11.8</v>
      </c>
      <c r="K45" s="10">
        <v>10.62</v>
      </c>
      <c r="L45" s="6"/>
      <c r="M45" s="11" t="s">
        <v>17</v>
      </c>
      <c r="N45" s="6"/>
      <c r="O45" s="6" t="s">
        <v>306</v>
      </c>
      <c r="P45" s="10" t="s">
        <v>15</v>
      </c>
      <c r="Q45" s="6"/>
      <c r="R45" s="6"/>
      <c r="S45" s="6"/>
      <c r="T45" s="6" t="s">
        <v>16</v>
      </c>
      <c r="U45" s="9" t="s">
        <v>17</v>
      </c>
      <c r="X45" s="14"/>
      <c r="Z45" s="14"/>
      <c r="AC45" s="14"/>
      <c r="AI45" s="6" t="s">
        <v>18</v>
      </c>
      <c r="AJ45" s="12" t="s">
        <v>301</v>
      </c>
      <c r="AL45" s="13" t="s">
        <v>20</v>
      </c>
    </row>
    <row r="46">
      <c r="A46" s="5" t="s">
        <v>307</v>
      </c>
      <c r="B46" s="5" t="s">
        <v>308</v>
      </c>
      <c r="C46" s="5" t="s">
        <v>309</v>
      </c>
      <c r="D46" s="5" t="s">
        <v>8</v>
      </c>
      <c r="E46" s="6"/>
      <c r="F46" s="6"/>
      <c r="G46" s="7" t="s">
        <v>310</v>
      </c>
      <c r="I46" s="8" t="s">
        <v>311</v>
      </c>
      <c r="J46" s="9">
        <v>9.9</v>
      </c>
      <c r="K46" s="10" t="s">
        <v>11</v>
      </c>
      <c r="L46" s="6"/>
      <c r="M46" s="11" t="s">
        <v>12</v>
      </c>
      <c r="N46" s="6" t="s">
        <v>312</v>
      </c>
      <c r="O46" s="6" t="s">
        <v>313</v>
      </c>
      <c r="P46" s="10" t="s">
        <v>15</v>
      </c>
      <c r="Q46" s="6"/>
      <c r="R46" s="6"/>
      <c r="S46" s="6"/>
      <c r="T46" s="6" t="s">
        <v>16</v>
      </c>
      <c r="U46" s="9" t="s">
        <v>17</v>
      </c>
      <c r="X46" s="14"/>
      <c r="Z46" s="14"/>
      <c r="AC46" s="14"/>
      <c r="AI46" s="6" t="s">
        <v>18</v>
      </c>
      <c r="AJ46" s="12" t="s">
        <v>314</v>
      </c>
      <c r="AL46" s="13" t="s">
        <v>20</v>
      </c>
    </row>
    <row r="47">
      <c r="A47" s="5" t="s">
        <v>315</v>
      </c>
      <c r="B47" s="5" t="s">
        <v>316</v>
      </c>
      <c r="C47" s="5" t="s">
        <v>309</v>
      </c>
      <c r="D47" s="5" t="s">
        <v>8</v>
      </c>
      <c r="E47" s="6"/>
      <c r="F47" s="6"/>
      <c r="G47" s="7" t="s">
        <v>317</v>
      </c>
      <c r="I47" s="8" t="s">
        <v>318</v>
      </c>
      <c r="J47" s="9">
        <v>37.9</v>
      </c>
      <c r="K47" s="10" t="s">
        <v>11</v>
      </c>
      <c r="L47" s="6"/>
      <c r="M47" s="11" t="s">
        <v>12</v>
      </c>
      <c r="N47" s="6" t="s">
        <v>319</v>
      </c>
      <c r="O47" s="6" t="s">
        <v>320</v>
      </c>
      <c r="P47" s="10" t="s">
        <v>15</v>
      </c>
      <c r="Q47" s="6"/>
      <c r="R47" s="6"/>
      <c r="S47" s="6"/>
      <c r="T47" s="6" t="s">
        <v>16</v>
      </c>
      <c r="U47" s="9" t="s">
        <v>17</v>
      </c>
      <c r="X47" s="14"/>
      <c r="Z47" s="14"/>
      <c r="AC47" s="14"/>
      <c r="AI47" s="6" t="s">
        <v>18</v>
      </c>
      <c r="AJ47" s="12" t="s">
        <v>314</v>
      </c>
      <c r="AL47" s="13" t="s">
        <v>20</v>
      </c>
    </row>
    <row r="48">
      <c r="A48" s="5" t="s">
        <v>321</v>
      </c>
      <c r="B48" s="5" t="s">
        <v>322</v>
      </c>
      <c r="C48" s="5" t="s">
        <v>309</v>
      </c>
      <c r="D48" s="5" t="s">
        <v>8</v>
      </c>
      <c r="E48" s="6"/>
      <c r="F48" s="6"/>
      <c r="G48" s="7" t="s">
        <v>323</v>
      </c>
      <c r="I48" s="8" t="s">
        <v>324</v>
      </c>
      <c r="J48" s="9">
        <v>26.9</v>
      </c>
      <c r="K48" s="10" t="s">
        <v>11</v>
      </c>
      <c r="L48" s="6"/>
      <c r="M48" s="11" t="s">
        <v>12</v>
      </c>
      <c r="N48" s="6" t="s">
        <v>325</v>
      </c>
      <c r="O48" s="6" t="s">
        <v>326</v>
      </c>
      <c r="P48" s="10" t="s">
        <v>15</v>
      </c>
      <c r="Q48" s="6"/>
      <c r="R48" s="6"/>
      <c r="S48" s="6"/>
      <c r="T48" s="6" t="s">
        <v>16</v>
      </c>
      <c r="U48" s="9" t="s">
        <v>17</v>
      </c>
      <c r="X48" s="14"/>
      <c r="Z48" s="14"/>
      <c r="AC48" s="14"/>
      <c r="AI48" s="6" t="s">
        <v>18</v>
      </c>
      <c r="AJ48" s="12" t="s">
        <v>314</v>
      </c>
      <c r="AL48" s="13" t="s">
        <v>20</v>
      </c>
    </row>
    <row r="49">
      <c r="A49" s="5" t="s">
        <v>327</v>
      </c>
      <c r="B49" s="5" t="s">
        <v>328</v>
      </c>
      <c r="C49" s="5" t="s">
        <v>309</v>
      </c>
      <c r="D49" s="5" t="s">
        <v>8</v>
      </c>
      <c r="E49" s="6"/>
      <c r="F49" s="6"/>
      <c r="G49" s="7" t="s">
        <v>329</v>
      </c>
      <c r="I49" s="8" t="s">
        <v>330</v>
      </c>
      <c r="J49" s="9">
        <v>29.5</v>
      </c>
      <c r="K49" s="10" t="s">
        <v>11</v>
      </c>
      <c r="L49" s="6"/>
      <c r="M49" s="11" t="s">
        <v>12</v>
      </c>
      <c r="N49" s="6" t="s">
        <v>331</v>
      </c>
      <c r="O49" s="6" t="s">
        <v>332</v>
      </c>
      <c r="P49" s="10" t="s">
        <v>15</v>
      </c>
      <c r="Q49" s="6"/>
      <c r="R49" s="6"/>
      <c r="S49" s="6"/>
      <c r="T49" s="6" t="s">
        <v>16</v>
      </c>
      <c r="U49" s="9" t="s">
        <v>17</v>
      </c>
      <c r="X49" s="14"/>
      <c r="Z49" s="14"/>
      <c r="AC49" s="14"/>
      <c r="AI49" s="6" t="s">
        <v>18</v>
      </c>
      <c r="AJ49" s="12" t="s">
        <v>314</v>
      </c>
      <c r="AL49" s="13" t="s">
        <v>20</v>
      </c>
    </row>
    <row r="50">
      <c r="A50" s="5" t="s">
        <v>333</v>
      </c>
      <c r="B50" s="5" t="s">
        <v>334</v>
      </c>
      <c r="C50" s="5" t="s">
        <v>335</v>
      </c>
      <c r="D50" s="5" t="s">
        <v>8</v>
      </c>
      <c r="E50" s="6"/>
      <c r="F50" s="6"/>
      <c r="G50" s="7" t="s">
        <v>336</v>
      </c>
      <c r="I50" s="8" t="s">
        <v>337</v>
      </c>
      <c r="J50" s="9">
        <v>37.9</v>
      </c>
      <c r="K50" s="10" t="s">
        <v>11</v>
      </c>
      <c r="L50" s="6"/>
      <c r="M50" s="11" t="s">
        <v>12</v>
      </c>
      <c r="N50" s="6" t="s">
        <v>338</v>
      </c>
      <c r="O50" s="6" t="s">
        <v>339</v>
      </c>
      <c r="P50" s="10" t="s">
        <v>15</v>
      </c>
      <c r="Q50" s="6"/>
      <c r="R50" s="6"/>
      <c r="S50" s="6"/>
      <c r="T50" s="6" t="s">
        <v>16</v>
      </c>
      <c r="U50" s="9" t="s">
        <v>17</v>
      </c>
      <c r="X50" s="14"/>
      <c r="Z50" s="14"/>
      <c r="AC50" s="14"/>
      <c r="AI50" s="6" t="s">
        <v>18</v>
      </c>
      <c r="AJ50" s="12" t="s">
        <v>340</v>
      </c>
      <c r="AL50" s="13" t="s">
        <v>20</v>
      </c>
    </row>
    <row r="51">
      <c r="A51" s="5" t="s">
        <v>341</v>
      </c>
      <c r="B51" s="5" t="s">
        <v>342</v>
      </c>
      <c r="C51" s="5" t="s">
        <v>335</v>
      </c>
      <c r="D51" s="5" t="s">
        <v>8</v>
      </c>
      <c r="E51" s="6"/>
      <c r="F51" s="6"/>
      <c r="G51" s="7" t="s">
        <v>343</v>
      </c>
      <c r="I51" s="8" t="s">
        <v>344</v>
      </c>
      <c r="J51" s="9">
        <v>26.9</v>
      </c>
      <c r="K51" s="10" t="s">
        <v>11</v>
      </c>
      <c r="L51" s="6"/>
      <c r="M51" s="11" t="s">
        <v>12</v>
      </c>
      <c r="N51" s="6" t="s">
        <v>345</v>
      </c>
      <c r="O51" s="6" t="s">
        <v>346</v>
      </c>
      <c r="P51" s="10" t="s">
        <v>15</v>
      </c>
      <c r="Q51" s="6"/>
      <c r="R51" s="6"/>
      <c r="S51" s="6"/>
      <c r="T51" s="6" t="s">
        <v>16</v>
      </c>
      <c r="U51" s="9" t="s">
        <v>17</v>
      </c>
      <c r="X51" s="14"/>
      <c r="Z51" s="14"/>
      <c r="AC51" s="14"/>
      <c r="AI51" s="6" t="s">
        <v>18</v>
      </c>
      <c r="AJ51" s="12" t="s">
        <v>340</v>
      </c>
      <c r="AL51" s="13" t="s">
        <v>20</v>
      </c>
    </row>
    <row r="52">
      <c r="A52" s="5" t="s">
        <v>347</v>
      </c>
      <c r="B52" s="5" t="s">
        <v>348</v>
      </c>
      <c r="C52" s="5" t="s">
        <v>335</v>
      </c>
      <c r="D52" s="5" t="s">
        <v>8</v>
      </c>
      <c r="E52" s="6"/>
      <c r="F52" s="6"/>
      <c r="G52" s="7" t="s">
        <v>349</v>
      </c>
      <c r="I52" s="8" t="s">
        <v>350</v>
      </c>
      <c r="J52" s="9">
        <v>9.9</v>
      </c>
      <c r="K52" s="10" t="s">
        <v>11</v>
      </c>
      <c r="L52" s="6"/>
      <c r="M52" s="11" t="s">
        <v>12</v>
      </c>
      <c r="N52" s="6" t="s">
        <v>351</v>
      </c>
      <c r="O52" s="6" t="s">
        <v>352</v>
      </c>
      <c r="P52" s="10" t="s">
        <v>15</v>
      </c>
      <c r="Q52" s="6"/>
      <c r="R52" s="6"/>
      <c r="S52" s="6"/>
      <c r="T52" s="6" t="s">
        <v>16</v>
      </c>
      <c r="U52" s="9" t="s">
        <v>17</v>
      </c>
      <c r="X52" s="14"/>
      <c r="Z52" s="14"/>
      <c r="AC52" s="14"/>
      <c r="AI52" s="6" t="s">
        <v>18</v>
      </c>
      <c r="AJ52" s="12" t="s">
        <v>340</v>
      </c>
      <c r="AL52" s="13" t="s">
        <v>20</v>
      </c>
    </row>
    <row r="53">
      <c r="A53" s="5" t="s">
        <v>353</v>
      </c>
      <c r="B53" s="5" t="s">
        <v>354</v>
      </c>
      <c r="C53" s="5" t="s">
        <v>335</v>
      </c>
      <c r="D53" s="5" t="s">
        <v>8</v>
      </c>
      <c r="E53" s="6"/>
      <c r="F53" s="6"/>
      <c r="G53" s="7" t="s">
        <v>355</v>
      </c>
      <c r="I53" s="8" t="s">
        <v>356</v>
      </c>
      <c r="J53" s="9">
        <v>25.9</v>
      </c>
      <c r="K53" s="10" t="s">
        <v>11</v>
      </c>
      <c r="L53" s="6"/>
      <c r="M53" s="11" t="s">
        <v>12</v>
      </c>
      <c r="N53" s="6" t="s">
        <v>357</v>
      </c>
      <c r="O53" s="6" t="s">
        <v>358</v>
      </c>
      <c r="P53" s="10" t="s">
        <v>15</v>
      </c>
      <c r="Q53" s="6"/>
      <c r="R53" s="6"/>
      <c r="S53" s="6"/>
      <c r="T53" s="6" t="s">
        <v>16</v>
      </c>
      <c r="U53" s="9" t="s">
        <v>17</v>
      </c>
      <c r="X53" s="14"/>
      <c r="Z53" s="14"/>
      <c r="AC53" s="14"/>
      <c r="AI53" s="6" t="s">
        <v>18</v>
      </c>
      <c r="AJ53" s="12" t="s">
        <v>340</v>
      </c>
      <c r="AL53" s="13" t="s">
        <v>20</v>
      </c>
    </row>
    <row r="54">
      <c r="A54" s="5" t="s">
        <v>359</v>
      </c>
      <c r="B54" s="5" t="s">
        <v>360</v>
      </c>
      <c r="C54" s="5" t="s">
        <v>361</v>
      </c>
      <c r="D54" s="5" t="s">
        <v>8</v>
      </c>
      <c r="E54" s="6"/>
      <c r="F54" s="6"/>
      <c r="G54" s="7" t="s">
        <v>362</v>
      </c>
      <c r="I54" s="8" t="s">
        <v>363</v>
      </c>
      <c r="J54" s="9">
        <v>4.9</v>
      </c>
      <c r="K54" s="10" t="s">
        <v>11</v>
      </c>
      <c r="L54" s="6"/>
      <c r="M54" s="11" t="s">
        <v>12</v>
      </c>
      <c r="N54" s="6" t="s">
        <v>364</v>
      </c>
      <c r="O54" s="6" t="s">
        <v>365</v>
      </c>
      <c r="P54" s="10" t="s">
        <v>15</v>
      </c>
      <c r="Q54" s="6"/>
      <c r="R54" s="6"/>
      <c r="S54" s="6"/>
      <c r="T54" s="6" t="s">
        <v>16</v>
      </c>
      <c r="U54" s="9" t="s">
        <v>17</v>
      </c>
      <c r="X54" s="14"/>
      <c r="Z54" s="14"/>
      <c r="AC54" s="14"/>
      <c r="AI54" s="6" t="s">
        <v>18</v>
      </c>
      <c r="AJ54" s="12" t="s">
        <v>366</v>
      </c>
      <c r="AL54" s="13" t="s">
        <v>20</v>
      </c>
    </row>
    <row r="55">
      <c r="A55" s="5" t="s">
        <v>367</v>
      </c>
      <c r="B55" s="5" t="s">
        <v>368</v>
      </c>
      <c r="C55" s="5" t="s">
        <v>369</v>
      </c>
      <c r="D55" s="5" t="s">
        <v>8</v>
      </c>
      <c r="E55" s="6"/>
      <c r="F55" s="6"/>
      <c r="G55" s="7" t="s">
        <v>370</v>
      </c>
      <c r="I55" s="8" t="s">
        <v>371</v>
      </c>
      <c r="J55" s="9">
        <v>9.7</v>
      </c>
      <c r="K55" s="10" t="s">
        <v>11</v>
      </c>
      <c r="L55" s="6"/>
      <c r="M55" s="11" t="s">
        <v>12</v>
      </c>
      <c r="N55" s="6" t="s">
        <v>372</v>
      </c>
      <c r="O55" s="6" t="s">
        <v>373</v>
      </c>
      <c r="P55" s="10" t="s">
        <v>15</v>
      </c>
      <c r="Q55" s="6"/>
      <c r="R55" s="6"/>
      <c r="S55" s="6"/>
      <c r="T55" s="6" t="s">
        <v>16</v>
      </c>
      <c r="U55" s="9" t="s">
        <v>17</v>
      </c>
      <c r="X55" s="14"/>
      <c r="Z55" s="14"/>
      <c r="AC55" s="14"/>
      <c r="AI55" s="6" t="s">
        <v>18</v>
      </c>
      <c r="AJ55" s="12" t="s">
        <v>374</v>
      </c>
      <c r="AL55" s="13" t="s">
        <v>20</v>
      </c>
    </row>
    <row r="56">
      <c r="A56" s="5" t="s">
        <v>375</v>
      </c>
      <c r="B56" s="5" t="s">
        <v>376</v>
      </c>
      <c r="C56" s="5" t="s">
        <v>369</v>
      </c>
      <c r="D56" s="5" t="s">
        <v>8</v>
      </c>
      <c r="E56" s="6"/>
      <c r="F56" s="6"/>
      <c r="G56" s="7" t="s">
        <v>377</v>
      </c>
      <c r="I56" s="8" t="s">
        <v>378</v>
      </c>
      <c r="J56" s="9">
        <v>37.9</v>
      </c>
      <c r="K56" s="10" t="s">
        <v>11</v>
      </c>
      <c r="L56" s="6"/>
      <c r="M56" s="11" t="s">
        <v>12</v>
      </c>
      <c r="N56" s="6" t="s">
        <v>379</v>
      </c>
      <c r="O56" s="6" t="s">
        <v>380</v>
      </c>
      <c r="P56" s="10" t="s">
        <v>15</v>
      </c>
      <c r="Q56" s="6"/>
      <c r="R56" s="6"/>
      <c r="S56" s="6"/>
      <c r="T56" s="6" t="s">
        <v>16</v>
      </c>
      <c r="U56" s="9" t="s">
        <v>17</v>
      </c>
      <c r="AI56" s="6" t="s">
        <v>18</v>
      </c>
      <c r="AJ56" s="12" t="s">
        <v>374</v>
      </c>
      <c r="AL56" s="13" t="s">
        <v>20</v>
      </c>
    </row>
    <row r="57">
      <c r="A57" s="5" t="s">
        <v>381</v>
      </c>
      <c r="B57" s="5" t="s">
        <v>382</v>
      </c>
      <c r="C57" s="5" t="s">
        <v>369</v>
      </c>
      <c r="D57" s="5" t="s">
        <v>8</v>
      </c>
      <c r="E57" s="6"/>
      <c r="F57" s="6"/>
      <c r="G57" s="7" t="s">
        <v>383</v>
      </c>
      <c r="I57" s="8" t="s">
        <v>384</v>
      </c>
      <c r="J57" s="9">
        <v>26.9</v>
      </c>
      <c r="K57" s="10" t="s">
        <v>11</v>
      </c>
      <c r="L57" s="6"/>
      <c r="M57" s="11" t="s">
        <v>12</v>
      </c>
      <c r="N57" s="6" t="s">
        <v>385</v>
      </c>
      <c r="O57" s="6" t="s">
        <v>386</v>
      </c>
      <c r="P57" s="10" t="s">
        <v>15</v>
      </c>
      <c r="Q57" s="6"/>
      <c r="R57" s="6"/>
      <c r="S57" s="6"/>
      <c r="T57" s="6" t="s">
        <v>16</v>
      </c>
      <c r="U57" s="9" t="s">
        <v>17</v>
      </c>
      <c r="AI57" s="6" t="s">
        <v>18</v>
      </c>
      <c r="AJ57" s="12" t="s">
        <v>374</v>
      </c>
      <c r="AL57" s="13" t="s">
        <v>20</v>
      </c>
    </row>
    <row r="58">
      <c r="A58" s="5" t="s">
        <v>387</v>
      </c>
      <c r="B58" s="5" t="s">
        <v>388</v>
      </c>
      <c r="C58" s="5" t="s">
        <v>369</v>
      </c>
      <c r="D58" s="5" t="s">
        <v>8</v>
      </c>
      <c r="E58" s="6"/>
      <c r="F58" s="6"/>
      <c r="G58" s="7" t="s">
        <v>389</v>
      </c>
      <c r="I58" s="8" t="s">
        <v>390</v>
      </c>
      <c r="J58" s="9">
        <v>28.9</v>
      </c>
      <c r="K58" s="10" t="s">
        <v>11</v>
      </c>
      <c r="L58" s="6"/>
      <c r="M58" s="11" t="s">
        <v>12</v>
      </c>
      <c r="N58" s="6" t="s">
        <v>391</v>
      </c>
      <c r="O58" s="6" t="s">
        <v>392</v>
      </c>
      <c r="P58" s="10" t="s">
        <v>15</v>
      </c>
      <c r="Q58" s="6"/>
      <c r="R58" s="6"/>
      <c r="S58" s="6"/>
      <c r="T58" s="6" t="s">
        <v>16</v>
      </c>
      <c r="U58" s="9" t="s">
        <v>17</v>
      </c>
      <c r="AI58" s="6" t="s">
        <v>18</v>
      </c>
      <c r="AJ58" s="12" t="s">
        <v>374</v>
      </c>
      <c r="AL58" s="13" t="s">
        <v>20</v>
      </c>
    </row>
    <row r="59">
      <c r="A59" s="5" t="s">
        <v>393</v>
      </c>
      <c r="B59" s="5" t="s">
        <v>394</v>
      </c>
      <c r="C59" s="5" t="s">
        <v>395</v>
      </c>
      <c r="D59" s="5" t="s">
        <v>8</v>
      </c>
      <c r="E59" s="6"/>
      <c r="F59" s="6"/>
      <c r="G59" s="7" t="s">
        <v>396</v>
      </c>
      <c r="I59" s="8" t="s">
        <v>397</v>
      </c>
      <c r="J59" s="9">
        <v>9.6</v>
      </c>
      <c r="K59" s="10" t="s">
        <v>11</v>
      </c>
      <c r="L59" s="6"/>
      <c r="M59" s="11" t="s">
        <v>12</v>
      </c>
      <c r="N59" s="6" t="s">
        <v>398</v>
      </c>
      <c r="O59" s="6" t="s">
        <v>399</v>
      </c>
      <c r="P59" s="10" t="s">
        <v>15</v>
      </c>
      <c r="Q59" s="6"/>
      <c r="R59" s="6"/>
      <c r="S59" s="6"/>
      <c r="T59" s="6" t="s">
        <v>16</v>
      </c>
      <c r="U59" s="9" t="s">
        <v>17</v>
      </c>
      <c r="AI59" s="6" t="s">
        <v>18</v>
      </c>
      <c r="AJ59" s="12" t="s">
        <v>400</v>
      </c>
      <c r="AL59" s="13" t="s">
        <v>20</v>
      </c>
    </row>
    <row r="60">
      <c r="A60" s="5" t="s">
        <v>401</v>
      </c>
      <c r="B60" s="5" t="s">
        <v>402</v>
      </c>
      <c r="C60" s="5" t="s">
        <v>395</v>
      </c>
      <c r="D60" s="5" t="s">
        <v>8</v>
      </c>
      <c r="E60" s="6"/>
      <c r="F60" s="6"/>
      <c r="G60" s="7" t="s">
        <v>403</v>
      </c>
      <c r="I60" s="8" t="s">
        <v>404</v>
      </c>
      <c r="J60" s="9">
        <v>28.6</v>
      </c>
      <c r="K60" s="10" t="s">
        <v>11</v>
      </c>
      <c r="L60" s="6"/>
      <c r="M60" s="11" t="s">
        <v>12</v>
      </c>
      <c r="N60" s="6" t="s">
        <v>405</v>
      </c>
      <c r="O60" s="6" t="s">
        <v>406</v>
      </c>
      <c r="P60" s="10" t="s">
        <v>15</v>
      </c>
      <c r="Q60" s="6"/>
      <c r="R60" s="6"/>
      <c r="S60" s="6"/>
      <c r="T60" s="6" t="s">
        <v>16</v>
      </c>
      <c r="U60" s="9" t="s">
        <v>17</v>
      </c>
      <c r="AI60" s="6" t="s">
        <v>18</v>
      </c>
      <c r="AJ60" s="12" t="s">
        <v>400</v>
      </c>
      <c r="AL60" s="13" t="s">
        <v>20</v>
      </c>
    </row>
    <row r="61">
      <c r="A61" s="5" t="s">
        <v>407</v>
      </c>
      <c r="B61" s="5" t="s">
        <v>408</v>
      </c>
      <c r="C61" s="5" t="s">
        <v>409</v>
      </c>
      <c r="D61" s="5" t="s">
        <v>8</v>
      </c>
      <c r="E61" s="6"/>
      <c r="F61" s="6"/>
      <c r="G61" s="7" t="s">
        <v>410</v>
      </c>
      <c r="I61" s="8" t="s">
        <v>411</v>
      </c>
      <c r="J61" s="9">
        <v>6.3</v>
      </c>
      <c r="K61" s="10" t="s">
        <v>11</v>
      </c>
      <c r="L61" s="6"/>
      <c r="M61" s="11" t="s">
        <v>12</v>
      </c>
      <c r="N61" s="6" t="s">
        <v>412</v>
      </c>
      <c r="O61" s="6" t="s">
        <v>413</v>
      </c>
      <c r="P61" s="10" t="s">
        <v>15</v>
      </c>
      <c r="Q61" s="6"/>
      <c r="R61" s="6"/>
      <c r="S61" s="6"/>
      <c r="T61" s="6" t="s">
        <v>16</v>
      </c>
      <c r="U61" s="9" t="s">
        <v>17</v>
      </c>
      <c r="AI61" s="6" t="s">
        <v>18</v>
      </c>
      <c r="AJ61" s="12" t="s">
        <v>414</v>
      </c>
      <c r="AL61" s="13" t="s">
        <v>20</v>
      </c>
    </row>
    <row r="62">
      <c r="A62" s="5" t="s">
        <v>415</v>
      </c>
      <c r="B62" s="5" t="s">
        <v>416</v>
      </c>
      <c r="C62" s="5" t="s">
        <v>409</v>
      </c>
      <c r="D62" s="5" t="s">
        <v>8</v>
      </c>
      <c r="E62" s="6"/>
      <c r="F62" s="6"/>
      <c r="G62" s="7" t="s">
        <v>417</v>
      </c>
      <c r="I62" s="8" t="s">
        <v>418</v>
      </c>
      <c r="J62" s="9">
        <v>37.9</v>
      </c>
      <c r="K62" s="10" t="s">
        <v>11</v>
      </c>
      <c r="L62" s="6"/>
      <c r="M62" s="11" t="s">
        <v>12</v>
      </c>
      <c r="N62" s="6" t="s">
        <v>419</v>
      </c>
      <c r="O62" s="6" t="s">
        <v>420</v>
      </c>
      <c r="P62" s="10" t="s">
        <v>15</v>
      </c>
      <c r="Q62" s="6"/>
      <c r="R62" s="6"/>
      <c r="S62" s="6"/>
      <c r="T62" s="6" t="s">
        <v>16</v>
      </c>
      <c r="U62" s="9" t="s">
        <v>17</v>
      </c>
      <c r="AI62" s="6" t="s">
        <v>18</v>
      </c>
      <c r="AJ62" s="12" t="s">
        <v>414</v>
      </c>
      <c r="AL62" s="13" t="s">
        <v>20</v>
      </c>
    </row>
    <row r="63">
      <c r="A63" s="5" t="s">
        <v>421</v>
      </c>
      <c r="B63" s="5" t="s">
        <v>422</v>
      </c>
      <c r="C63" s="5" t="s">
        <v>409</v>
      </c>
      <c r="D63" s="5" t="s">
        <v>8</v>
      </c>
      <c r="E63" s="6"/>
      <c r="F63" s="6"/>
      <c r="G63" s="7" t="s">
        <v>423</v>
      </c>
      <c r="I63" s="8" t="s">
        <v>424</v>
      </c>
      <c r="J63" s="9">
        <v>26.9</v>
      </c>
      <c r="K63" s="10" t="s">
        <v>11</v>
      </c>
      <c r="L63" s="6"/>
      <c r="M63" s="11" t="s">
        <v>12</v>
      </c>
      <c r="N63" s="6" t="s">
        <v>425</v>
      </c>
      <c r="O63" s="6" t="s">
        <v>426</v>
      </c>
      <c r="P63" s="10" t="s">
        <v>15</v>
      </c>
      <c r="Q63" s="6"/>
      <c r="R63" s="6"/>
      <c r="S63" s="6"/>
      <c r="T63" s="6" t="s">
        <v>16</v>
      </c>
      <c r="U63" s="9" t="s">
        <v>17</v>
      </c>
      <c r="AI63" s="6" t="s">
        <v>18</v>
      </c>
      <c r="AJ63" s="12" t="s">
        <v>414</v>
      </c>
      <c r="AL63" s="13" t="s">
        <v>20</v>
      </c>
    </row>
    <row r="64">
      <c r="A64" s="5" t="s">
        <v>427</v>
      </c>
      <c r="B64" s="5" t="s">
        <v>428</v>
      </c>
      <c r="C64" s="5" t="s">
        <v>429</v>
      </c>
      <c r="D64" s="5" t="s">
        <v>8</v>
      </c>
      <c r="E64" s="6"/>
      <c r="F64" s="6"/>
      <c r="G64" s="7" t="s">
        <v>430</v>
      </c>
      <c r="I64" s="8" t="s">
        <v>431</v>
      </c>
      <c r="J64" s="9">
        <v>10.8</v>
      </c>
      <c r="K64" s="10" t="s">
        <v>11</v>
      </c>
      <c r="L64" s="6"/>
      <c r="M64" s="11" t="s">
        <v>12</v>
      </c>
      <c r="N64" s="6" t="s">
        <v>432</v>
      </c>
      <c r="O64" s="6" t="s">
        <v>433</v>
      </c>
      <c r="P64" s="10" t="s">
        <v>15</v>
      </c>
      <c r="Q64" s="6"/>
      <c r="R64" s="6"/>
      <c r="S64" s="6"/>
      <c r="T64" s="6" t="s">
        <v>16</v>
      </c>
      <c r="U64" s="9" t="s">
        <v>17</v>
      </c>
      <c r="AI64" s="6" t="s">
        <v>18</v>
      </c>
      <c r="AJ64" s="12" t="s">
        <v>434</v>
      </c>
      <c r="AL64" s="13" t="s">
        <v>20</v>
      </c>
    </row>
    <row r="65">
      <c r="A65" s="5" t="s">
        <v>435</v>
      </c>
      <c r="B65" s="5" t="s">
        <v>436</v>
      </c>
      <c r="C65" s="5" t="s">
        <v>429</v>
      </c>
      <c r="D65" s="5" t="s">
        <v>8</v>
      </c>
      <c r="E65" s="6"/>
      <c r="F65" s="6"/>
      <c r="G65" s="7" t="s">
        <v>437</v>
      </c>
      <c r="I65" s="8" t="s">
        <v>438</v>
      </c>
      <c r="J65" s="9">
        <v>37.9</v>
      </c>
      <c r="K65" s="10" t="s">
        <v>11</v>
      </c>
      <c r="L65" s="6"/>
      <c r="M65" s="11" t="s">
        <v>12</v>
      </c>
      <c r="N65" s="6" t="s">
        <v>439</v>
      </c>
      <c r="O65" s="6" t="s">
        <v>440</v>
      </c>
      <c r="P65" s="10" t="s">
        <v>15</v>
      </c>
      <c r="Q65" s="6"/>
      <c r="R65" s="6"/>
      <c r="S65" s="6"/>
      <c r="T65" s="6" t="s">
        <v>16</v>
      </c>
      <c r="U65" s="9" t="s">
        <v>17</v>
      </c>
      <c r="AI65" s="6" t="s">
        <v>18</v>
      </c>
      <c r="AJ65" s="12" t="s">
        <v>434</v>
      </c>
      <c r="AL65" s="13" t="s">
        <v>20</v>
      </c>
    </row>
    <row r="66">
      <c r="A66" s="5" t="s">
        <v>441</v>
      </c>
      <c r="B66" s="5" t="s">
        <v>442</v>
      </c>
      <c r="C66" s="5" t="s">
        <v>429</v>
      </c>
      <c r="D66" s="5" t="s">
        <v>8</v>
      </c>
      <c r="E66" s="6"/>
      <c r="F66" s="6"/>
      <c r="G66" s="7" t="s">
        <v>443</v>
      </c>
      <c r="I66" s="8" t="s">
        <v>444</v>
      </c>
      <c r="J66" s="9">
        <v>26.9</v>
      </c>
      <c r="K66" s="10" t="s">
        <v>11</v>
      </c>
      <c r="L66" s="6"/>
      <c r="M66" s="11" t="s">
        <v>12</v>
      </c>
      <c r="N66" s="6" t="s">
        <v>445</v>
      </c>
      <c r="O66" s="6" t="s">
        <v>446</v>
      </c>
      <c r="P66" s="10" t="s">
        <v>15</v>
      </c>
      <c r="Q66" s="6"/>
      <c r="R66" s="6"/>
      <c r="S66" s="6"/>
      <c r="T66" s="6" t="s">
        <v>16</v>
      </c>
      <c r="U66" s="9" t="s">
        <v>17</v>
      </c>
      <c r="AI66" s="6" t="s">
        <v>18</v>
      </c>
      <c r="AJ66" s="12" t="s">
        <v>434</v>
      </c>
      <c r="AL66" s="13" t="s">
        <v>20</v>
      </c>
    </row>
    <row r="67">
      <c r="A67" s="5" t="s">
        <v>447</v>
      </c>
      <c r="B67" s="5" t="s">
        <v>448</v>
      </c>
      <c r="C67" s="5" t="s">
        <v>429</v>
      </c>
      <c r="D67" s="5" t="s">
        <v>8</v>
      </c>
      <c r="E67" s="6"/>
      <c r="F67" s="6"/>
      <c r="G67" s="7" t="s">
        <v>449</v>
      </c>
      <c r="I67" s="8" t="s">
        <v>450</v>
      </c>
      <c r="J67" s="9">
        <v>29.2</v>
      </c>
      <c r="K67" s="10" t="s">
        <v>11</v>
      </c>
      <c r="L67" s="6"/>
      <c r="M67" s="11" t="s">
        <v>12</v>
      </c>
      <c r="N67" s="6" t="s">
        <v>451</v>
      </c>
      <c r="O67" s="6" t="s">
        <v>452</v>
      </c>
      <c r="P67" s="10" t="s">
        <v>15</v>
      </c>
      <c r="Q67" s="6"/>
      <c r="R67" s="6"/>
      <c r="S67" s="6"/>
      <c r="T67" s="6" t="s">
        <v>16</v>
      </c>
      <c r="U67" s="9" t="s">
        <v>17</v>
      </c>
      <c r="AI67" s="6" t="s">
        <v>18</v>
      </c>
      <c r="AJ67" s="12" t="s">
        <v>434</v>
      </c>
      <c r="AL67" s="13" t="s">
        <v>20</v>
      </c>
    </row>
    <row r="68">
      <c r="A68" s="5" t="s">
        <v>453</v>
      </c>
      <c r="B68" s="5" t="s">
        <v>454</v>
      </c>
      <c r="C68" s="5" t="s">
        <v>429</v>
      </c>
      <c r="D68" s="5" t="s">
        <v>8</v>
      </c>
      <c r="E68" s="6"/>
      <c r="F68" s="6"/>
      <c r="G68" s="7" t="s">
        <v>455</v>
      </c>
      <c r="I68" s="8" t="s">
        <v>456</v>
      </c>
      <c r="J68" s="9">
        <v>58.4</v>
      </c>
      <c r="K68" s="10">
        <v>52.56</v>
      </c>
      <c r="L68" s="6"/>
      <c r="M68" s="11" t="s">
        <v>17</v>
      </c>
      <c r="N68" s="6"/>
      <c r="O68" s="6" t="s">
        <v>457</v>
      </c>
      <c r="P68" s="10" t="s">
        <v>15</v>
      </c>
      <c r="Q68" s="6"/>
      <c r="R68" s="6"/>
      <c r="S68" s="6"/>
      <c r="T68" s="6" t="s">
        <v>16</v>
      </c>
      <c r="U68" s="9" t="s">
        <v>17</v>
      </c>
      <c r="AI68" s="6" t="s">
        <v>18</v>
      </c>
      <c r="AJ68" s="12" t="s">
        <v>434</v>
      </c>
      <c r="AL68" s="13" t="s">
        <v>20</v>
      </c>
    </row>
    <row r="69">
      <c r="A69" s="5" t="s">
        <v>458</v>
      </c>
      <c r="B69" s="5" t="s">
        <v>459</v>
      </c>
      <c r="C69" s="5" t="s">
        <v>460</v>
      </c>
      <c r="D69" s="5" t="s">
        <v>8</v>
      </c>
      <c r="E69" s="6"/>
      <c r="F69" s="6"/>
      <c r="G69" s="7" t="s">
        <v>461</v>
      </c>
      <c r="I69" s="8" t="s">
        <v>462</v>
      </c>
      <c r="J69" s="9">
        <v>9.7</v>
      </c>
      <c r="K69" s="10" t="s">
        <v>11</v>
      </c>
      <c r="L69" s="6"/>
      <c r="M69" s="11" t="s">
        <v>12</v>
      </c>
      <c r="N69" s="6" t="s">
        <v>463</v>
      </c>
      <c r="O69" s="6" t="s">
        <v>464</v>
      </c>
      <c r="P69" s="10" t="s">
        <v>15</v>
      </c>
      <c r="Q69" s="6"/>
      <c r="R69" s="6"/>
      <c r="S69" s="6" t="s">
        <v>465</v>
      </c>
      <c r="T69" s="6" t="s">
        <v>16</v>
      </c>
      <c r="U69" s="9" t="s">
        <v>17</v>
      </c>
      <c r="AI69" s="6" t="s">
        <v>18</v>
      </c>
      <c r="AJ69" s="12" t="s">
        <v>466</v>
      </c>
      <c r="AL69" s="13" t="s">
        <v>20</v>
      </c>
    </row>
    <row r="70">
      <c r="A70" s="5" t="s">
        <v>467</v>
      </c>
      <c r="B70" s="5" t="s">
        <v>468</v>
      </c>
      <c r="C70" s="5" t="s">
        <v>469</v>
      </c>
      <c r="D70" s="5" t="s">
        <v>8</v>
      </c>
      <c r="E70" s="6"/>
      <c r="F70" s="6"/>
      <c r="G70" s="7" t="s">
        <v>470</v>
      </c>
      <c r="I70" s="8" t="s">
        <v>471</v>
      </c>
      <c r="J70" s="9">
        <v>7.4</v>
      </c>
      <c r="K70" s="10" t="s">
        <v>11</v>
      </c>
      <c r="L70" s="6"/>
      <c r="M70" s="11" t="s">
        <v>12</v>
      </c>
      <c r="N70" s="6" t="s">
        <v>472</v>
      </c>
      <c r="O70" s="6" t="s">
        <v>473</v>
      </c>
      <c r="P70" s="10" t="s">
        <v>15</v>
      </c>
      <c r="Q70" s="6"/>
      <c r="R70" s="6"/>
      <c r="S70" s="6"/>
      <c r="T70" s="6" t="s">
        <v>16</v>
      </c>
      <c r="U70" s="9" t="s">
        <v>17</v>
      </c>
      <c r="AI70" s="6" t="s">
        <v>18</v>
      </c>
      <c r="AJ70" s="12" t="s">
        <v>474</v>
      </c>
      <c r="AL70" s="13" t="s">
        <v>20</v>
      </c>
    </row>
    <row r="71">
      <c r="A71" s="5" t="s">
        <v>475</v>
      </c>
      <c r="B71" s="5" t="s">
        <v>476</v>
      </c>
      <c r="C71" s="5" t="s">
        <v>469</v>
      </c>
      <c r="D71" s="5" t="s">
        <v>8</v>
      </c>
      <c r="E71" s="6"/>
      <c r="F71" s="6"/>
      <c r="G71" s="7" t="s">
        <v>477</v>
      </c>
      <c r="I71" s="8" t="s">
        <v>478</v>
      </c>
      <c r="J71" s="9">
        <v>17.76</v>
      </c>
      <c r="K71" s="10" t="s">
        <v>11</v>
      </c>
      <c r="L71" s="6"/>
      <c r="M71" s="11" t="s">
        <v>12</v>
      </c>
      <c r="N71" s="6" t="s">
        <v>479</v>
      </c>
      <c r="O71" s="6" t="s">
        <v>480</v>
      </c>
      <c r="P71" s="10" t="s">
        <v>15</v>
      </c>
      <c r="Q71" s="6"/>
      <c r="R71" s="6"/>
      <c r="S71" s="6"/>
      <c r="T71" s="6" t="s">
        <v>16</v>
      </c>
      <c r="U71" s="9" t="s">
        <v>17</v>
      </c>
      <c r="AI71" s="6" t="s">
        <v>18</v>
      </c>
      <c r="AJ71" s="12" t="s">
        <v>474</v>
      </c>
      <c r="AL71" s="13" t="s">
        <v>20</v>
      </c>
    </row>
    <row r="72">
      <c r="A72" s="5" t="s">
        <v>481</v>
      </c>
      <c r="B72" s="5" t="s">
        <v>482</v>
      </c>
      <c r="C72" s="5" t="s">
        <v>460</v>
      </c>
      <c r="D72" s="5" t="s">
        <v>8</v>
      </c>
      <c r="E72" s="6"/>
      <c r="F72" s="6"/>
      <c r="G72" s="7" t="s">
        <v>483</v>
      </c>
      <c r="I72" s="8" t="s">
        <v>484</v>
      </c>
      <c r="J72" s="9">
        <v>37.9</v>
      </c>
      <c r="K72" s="10" t="s">
        <v>11</v>
      </c>
      <c r="L72" s="6"/>
      <c r="M72" s="11" t="s">
        <v>12</v>
      </c>
      <c r="N72" s="6" t="s">
        <v>485</v>
      </c>
      <c r="O72" s="6" t="s">
        <v>486</v>
      </c>
      <c r="P72" s="10" t="s">
        <v>15</v>
      </c>
      <c r="Q72" s="6"/>
      <c r="R72" s="6"/>
      <c r="S72" s="6" t="s">
        <v>465</v>
      </c>
      <c r="T72" s="6" t="s">
        <v>16</v>
      </c>
      <c r="U72" s="9" t="s">
        <v>17</v>
      </c>
      <c r="AI72" s="6" t="s">
        <v>18</v>
      </c>
      <c r="AJ72" s="12" t="s">
        <v>466</v>
      </c>
      <c r="AL72" s="13" t="s">
        <v>20</v>
      </c>
    </row>
    <row r="73">
      <c r="A73" s="5" t="s">
        <v>487</v>
      </c>
      <c r="B73" s="5" t="s">
        <v>488</v>
      </c>
      <c r="C73" s="5" t="s">
        <v>460</v>
      </c>
      <c r="D73" s="5" t="s">
        <v>8</v>
      </c>
      <c r="E73" s="6"/>
      <c r="F73" s="6"/>
      <c r="G73" s="7" t="s">
        <v>489</v>
      </c>
      <c r="I73" s="8" t="s">
        <v>490</v>
      </c>
      <c r="J73" s="9">
        <v>26.9</v>
      </c>
      <c r="K73" s="10" t="s">
        <v>11</v>
      </c>
      <c r="L73" s="6"/>
      <c r="M73" s="11" t="s">
        <v>12</v>
      </c>
      <c r="N73" s="6" t="s">
        <v>491</v>
      </c>
      <c r="O73" s="6" t="s">
        <v>492</v>
      </c>
      <c r="P73" s="10" t="s">
        <v>15</v>
      </c>
      <c r="Q73" s="6"/>
      <c r="R73" s="6"/>
      <c r="S73" s="6" t="s">
        <v>465</v>
      </c>
      <c r="T73" s="6" t="s">
        <v>16</v>
      </c>
      <c r="U73" s="9" t="s">
        <v>17</v>
      </c>
      <c r="AI73" s="6" t="s">
        <v>18</v>
      </c>
      <c r="AJ73" s="12" t="s">
        <v>466</v>
      </c>
      <c r="AL73" s="13" t="s">
        <v>20</v>
      </c>
    </row>
    <row r="74">
      <c r="A74" s="5" t="s">
        <v>493</v>
      </c>
      <c r="B74" s="5" t="s">
        <v>494</v>
      </c>
      <c r="C74" s="5" t="s">
        <v>460</v>
      </c>
      <c r="D74" s="5" t="s">
        <v>8</v>
      </c>
      <c r="E74" s="6"/>
      <c r="F74" s="6"/>
      <c r="G74" s="7" t="s">
        <v>495</v>
      </c>
      <c r="I74" s="8" t="s">
        <v>496</v>
      </c>
      <c r="J74" s="9">
        <v>28.9</v>
      </c>
      <c r="K74" s="10" t="s">
        <v>11</v>
      </c>
      <c r="L74" s="6"/>
      <c r="M74" s="11" t="s">
        <v>12</v>
      </c>
      <c r="N74" s="6" t="s">
        <v>497</v>
      </c>
      <c r="O74" s="6" t="s">
        <v>498</v>
      </c>
      <c r="P74" s="10" t="s">
        <v>15</v>
      </c>
      <c r="Q74" s="6"/>
      <c r="R74" s="6"/>
      <c r="S74" s="6" t="s">
        <v>465</v>
      </c>
      <c r="T74" s="6" t="s">
        <v>16</v>
      </c>
      <c r="U74" s="9" t="s">
        <v>17</v>
      </c>
      <c r="AI74" s="6" t="s">
        <v>18</v>
      </c>
      <c r="AJ74" s="12" t="s">
        <v>466</v>
      </c>
      <c r="AL74" s="13" t="s">
        <v>20</v>
      </c>
    </row>
    <row r="75">
      <c r="A75" s="5" t="s">
        <v>499</v>
      </c>
      <c r="B75" s="5" t="s">
        <v>500</v>
      </c>
      <c r="C75" s="5" t="s">
        <v>460</v>
      </c>
      <c r="D75" s="5" t="s">
        <v>8</v>
      </c>
      <c r="E75" s="6"/>
      <c r="F75" s="6"/>
      <c r="G75" s="7" t="s">
        <v>501</v>
      </c>
      <c r="I75" s="8" t="s">
        <v>502</v>
      </c>
      <c r="J75" s="9">
        <v>57.8</v>
      </c>
      <c r="K75" s="10">
        <v>52.02</v>
      </c>
      <c r="L75" s="6"/>
      <c r="M75" s="11" t="s">
        <v>17</v>
      </c>
      <c r="N75" s="6"/>
      <c r="O75" s="6" t="s">
        <v>503</v>
      </c>
      <c r="P75" s="10" t="s">
        <v>15</v>
      </c>
      <c r="Q75" s="6"/>
      <c r="R75" s="6"/>
      <c r="S75" s="6" t="s">
        <v>465</v>
      </c>
      <c r="T75" s="6" t="s">
        <v>16</v>
      </c>
      <c r="U75" s="9" t="s">
        <v>17</v>
      </c>
      <c r="AI75" s="6" t="s">
        <v>18</v>
      </c>
      <c r="AJ75" s="12" t="s">
        <v>466</v>
      </c>
      <c r="AL75" s="13" t="s">
        <v>20</v>
      </c>
    </row>
    <row r="76">
      <c r="A76" s="5" t="s">
        <v>504</v>
      </c>
      <c r="B76" s="5" t="s">
        <v>505</v>
      </c>
      <c r="C76" s="5" t="s">
        <v>506</v>
      </c>
      <c r="D76" s="5" t="s">
        <v>507</v>
      </c>
      <c r="E76" s="6"/>
      <c r="F76" s="6"/>
      <c r="G76" s="7" t="s">
        <v>508</v>
      </c>
      <c r="I76" s="8" t="s">
        <v>509</v>
      </c>
      <c r="J76" s="9">
        <v>13.8</v>
      </c>
      <c r="K76" s="10" t="s">
        <v>11</v>
      </c>
      <c r="L76" s="6"/>
      <c r="M76" s="11" t="s">
        <v>12</v>
      </c>
      <c r="N76" s="6" t="s">
        <v>510</v>
      </c>
      <c r="O76" s="6" t="s">
        <v>511</v>
      </c>
      <c r="P76" s="10" t="s">
        <v>15</v>
      </c>
      <c r="Q76" s="6"/>
      <c r="R76" s="6"/>
      <c r="S76" s="6"/>
      <c r="T76" s="6" t="s">
        <v>16</v>
      </c>
      <c r="U76" s="9" t="s">
        <v>17</v>
      </c>
      <c r="AI76" s="6" t="s">
        <v>18</v>
      </c>
      <c r="AJ76" s="12" t="s">
        <v>512</v>
      </c>
      <c r="AL76" s="13" t="s">
        <v>20</v>
      </c>
    </row>
    <row r="77">
      <c r="A77" s="5" t="s">
        <v>513</v>
      </c>
      <c r="B77" s="5" t="s">
        <v>514</v>
      </c>
      <c r="C77" s="5" t="s">
        <v>270</v>
      </c>
      <c r="D77" s="5" t="s">
        <v>507</v>
      </c>
      <c r="E77" s="6"/>
      <c r="F77" s="6"/>
      <c r="G77" s="7" t="s">
        <v>515</v>
      </c>
      <c r="I77" s="8" t="s">
        <v>516</v>
      </c>
      <c r="J77" s="9">
        <v>7.9</v>
      </c>
      <c r="K77" s="10" t="s">
        <v>11</v>
      </c>
      <c r="L77" s="6"/>
      <c r="M77" s="11" t="s">
        <v>12</v>
      </c>
      <c r="N77" s="6" t="s">
        <v>517</v>
      </c>
      <c r="O77" s="6" t="s">
        <v>518</v>
      </c>
      <c r="P77" s="10" t="s">
        <v>15</v>
      </c>
      <c r="Q77" s="6"/>
      <c r="R77" s="6"/>
      <c r="S77" s="6"/>
      <c r="T77" s="6" t="s">
        <v>16</v>
      </c>
      <c r="U77" s="9" t="s">
        <v>17</v>
      </c>
      <c r="AI77" s="6" t="s">
        <v>18</v>
      </c>
      <c r="AJ77" s="12" t="s">
        <v>519</v>
      </c>
      <c r="AL77" s="13" t="s">
        <v>20</v>
      </c>
    </row>
    <row r="78">
      <c r="A78" s="5" t="s">
        <v>520</v>
      </c>
      <c r="B78" s="5" t="s">
        <v>521</v>
      </c>
      <c r="C78" s="5" t="s">
        <v>270</v>
      </c>
      <c r="D78" s="5" t="s">
        <v>8</v>
      </c>
      <c r="E78" s="6"/>
      <c r="F78" s="6"/>
      <c r="G78" s="7" t="s">
        <v>522</v>
      </c>
      <c r="I78" s="8" t="s">
        <v>523</v>
      </c>
      <c r="J78" s="9">
        <v>37.9</v>
      </c>
      <c r="K78" s="10" t="s">
        <v>11</v>
      </c>
      <c r="L78" s="6"/>
      <c r="M78" s="11" t="s">
        <v>12</v>
      </c>
      <c r="N78" s="6" t="s">
        <v>524</v>
      </c>
      <c r="O78" s="6" t="s">
        <v>525</v>
      </c>
      <c r="P78" s="10" t="s">
        <v>15</v>
      </c>
      <c r="Q78" s="6"/>
      <c r="R78" s="6"/>
      <c r="S78" s="6"/>
      <c r="T78" s="6" t="s">
        <v>16</v>
      </c>
      <c r="U78" s="9" t="s">
        <v>17</v>
      </c>
      <c r="AI78" s="6" t="s">
        <v>18</v>
      </c>
      <c r="AJ78" s="12" t="s">
        <v>519</v>
      </c>
      <c r="AL78" s="13" t="s">
        <v>20</v>
      </c>
    </row>
    <row r="79">
      <c r="A79" s="5" t="s">
        <v>526</v>
      </c>
      <c r="B79" s="5" t="s">
        <v>527</v>
      </c>
      <c r="C79" s="5" t="s">
        <v>270</v>
      </c>
      <c r="D79" s="5" t="s">
        <v>507</v>
      </c>
      <c r="E79" s="6"/>
      <c r="F79" s="6"/>
      <c r="G79" s="7" t="s">
        <v>528</v>
      </c>
      <c r="I79" s="8" t="s">
        <v>529</v>
      </c>
      <c r="J79" s="9">
        <v>26.9</v>
      </c>
      <c r="K79" s="10" t="s">
        <v>11</v>
      </c>
      <c r="L79" s="6"/>
      <c r="M79" s="11" t="s">
        <v>12</v>
      </c>
      <c r="N79" s="6" t="s">
        <v>530</v>
      </c>
      <c r="O79" s="6" t="s">
        <v>531</v>
      </c>
      <c r="P79" s="10" t="s">
        <v>15</v>
      </c>
      <c r="Q79" s="6"/>
      <c r="R79" s="6"/>
      <c r="S79" s="6"/>
      <c r="T79" s="6" t="s">
        <v>16</v>
      </c>
      <c r="U79" s="9" t="s">
        <v>17</v>
      </c>
      <c r="AI79" s="6" t="s">
        <v>18</v>
      </c>
      <c r="AJ79" s="12" t="s">
        <v>519</v>
      </c>
      <c r="AL79" s="13" t="s">
        <v>20</v>
      </c>
    </row>
    <row r="80">
      <c r="A80" s="5" t="s">
        <v>532</v>
      </c>
      <c r="B80" s="5" t="s">
        <v>533</v>
      </c>
      <c r="C80" s="5" t="s">
        <v>534</v>
      </c>
      <c r="D80" s="5" t="s">
        <v>8</v>
      </c>
      <c r="E80" s="6"/>
      <c r="F80" s="6"/>
      <c r="G80" s="7" t="s">
        <v>535</v>
      </c>
      <c r="I80" s="8" t="s">
        <v>536</v>
      </c>
      <c r="J80" s="9">
        <v>9.9</v>
      </c>
      <c r="K80" s="10" t="s">
        <v>11</v>
      </c>
      <c r="L80" s="6"/>
      <c r="M80" s="11" t="s">
        <v>12</v>
      </c>
      <c r="N80" s="6" t="s">
        <v>537</v>
      </c>
      <c r="O80" s="6" t="s">
        <v>538</v>
      </c>
      <c r="P80" s="10" t="s">
        <v>15</v>
      </c>
      <c r="Q80" s="6"/>
      <c r="R80" s="6"/>
      <c r="S80" s="6"/>
      <c r="T80" s="6" t="s">
        <v>16</v>
      </c>
      <c r="U80" s="9" t="s">
        <v>17</v>
      </c>
      <c r="AI80" s="6" t="s">
        <v>18</v>
      </c>
      <c r="AJ80" s="12" t="s">
        <v>539</v>
      </c>
      <c r="AL80" s="13" t="s">
        <v>20</v>
      </c>
    </row>
    <row r="81">
      <c r="A81" s="5" t="s">
        <v>540</v>
      </c>
      <c r="B81" s="5" t="s">
        <v>541</v>
      </c>
      <c r="C81" s="5" t="s">
        <v>534</v>
      </c>
      <c r="D81" s="5" t="s">
        <v>8</v>
      </c>
      <c r="E81" s="6"/>
      <c r="F81" s="6"/>
      <c r="G81" s="7" t="s">
        <v>542</v>
      </c>
      <c r="I81" s="8" t="s">
        <v>543</v>
      </c>
      <c r="J81" s="9">
        <v>37.9</v>
      </c>
      <c r="K81" s="10" t="s">
        <v>11</v>
      </c>
      <c r="L81" s="6"/>
      <c r="M81" s="11" t="s">
        <v>12</v>
      </c>
      <c r="N81" s="6" t="s">
        <v>544</v>
      </c>
      <c r="O81" s="6" t="s">
        <v>545</v>
      </c>
      <c r="P81" s="10" t="s">
        <v>15</v>
      </c>
      <c r="Q81" s="6"/>
      <c r="R81" s="6"/>
      <c r="S81" s="6"/>
      <c r="T81" s="6" t="s">
        <v>16</v>
      </c>
      <c r="U81" s="9" t="s">
        <v>17</v>
      </c>
      <c r="AI81" s="6" t="s">
        <v>18</v>
      </c>
      <c r="AJ81" s="12" t="s">
        <v>539</v>
      </c>
      <c r="AL81" s="13" t="s">
        <v>20</v>
      </c>
    </row>
    <row r="82">
      <c r="A82" s="5" t="s">
        <v>546</v>
      </c>
      <c r="B82" s="5" t="s">
        <v>547</v>
      </c>
      <c r="C82" s="5" t="s">
        <v>534</v>
      </c>
      <c r="D82" s="5" t="s">
        <v>8</v>
      </c>
      <c r="E82" s="6"/>
      <c r="F82" s="6"/>
      <c r="G82" s="7" t="s">
        <v>548</v>
      </c>
      <c r="I82" s="8" t="s">
        <v>549</v>
      </c>
      <c r="J82" s="9">
        <v>26.9</v>
      </c>
      <c r="K82" s="10" t="s">
        <v>11</v>
      </c>
      <c r="L82" s="6"/>
      <c r="M82" s="11" t="s">
        <v>12</v>
      </c>
      <c r="N82" s="6" t="s">
        <v>550</v>
      </c>
      <c r="O82" s="6" t="s">
        <v>551</v>
      </c>
      <c r="P82" s="10" t="s">
        <v>15</v>
      </c>
      <c r="Q82" s="6"/>
      <c r="R82" s="6"/>
      <c r="S82" s="6"/>
      <c r="T82" s="6" t="s">
        <v>16</v>
      </c>
      <c r="U82" s="9" t="s">
        <v>17</v>
      </c>
      <c r="AI82" s="6" t="s">
        <v>18</v>
      </c>
      <c r="AJ82" s="12" t="s">
        <v>539</v>
      </c>
      <c r="AL82" s="13" t="s">
        <v>20</v>
      </c>
    </row>
    <row r="83" ht="18.0" customHeight="1">
      <c r="A83" s="5" t="s">
        <v>552</v>
      </c>
      <c r="B83" s="5" t="s">
        <v>553</v>
      </c>
      <c r="C83" s="5" t="s">
        <v>534</v>
      </c>
      <c r="D83" s="5" t="s">
        <v>8</v>
      </c>
      <c r="E83" s="6"/>
      <c r="F83" s="6"/>
      <c r="G83" s="7" t="s">
        <v>554</v>
      </c>
      <c r="I83" s="8" t="s">
        <v>555</v>
      </c>
      <c r="J83" s="9">
        <v>29.3</v>
      </c>
      <c r="K83" s="10" t="s">
        <v>11</v>
      </c>
      <c r="L83" s="6"/>
      <c r="M83" s="11" t="s">
        <v>12</v>
      </c>
      <c r="N83" s="6" t="s">
        <v>556</v>
      </c>
      <c r="O83" s="6" t="s">
        <v>557</v>
      </c>
      <c r="P83" s="10" t="s">
        <v>15</v>
      </c>
      <c r="Q83" s="6"/>
      <c r="R83" s="6"/>
      <c r="S83" s="6"/>
      <c r="T83" s="6" t="s">
        <v>16</v>
      </c>
      <c r="U83" s="9" t="s">
        <v>17</v>
      </c>
      <c r="AI83" s="6" t="s">
        <v>18</v>
      </c>
      <c r="AJ83" s="12" t="s">
        <v>539</v>
      </c>
      <c r="AL83" s="13" t="s">
        <v>20</v>
      </c>
    </row>
    <row r="84">
      <c r="A84" s="5" t="s">
        <v>558</v>
      </c>
      <c r="B84" s="5" t="s">
        <v>559</v>
      </c>
      <c r="C84" s="5" t="s">
        <v>560</v>
      </c>
      <c r="D84" s="5" t="s">
        <v>8</v>
      </c>
      <c r="E84" s="6"/>
      <c r="F84" s="6"/>
      <c r="G84" s="7" t="s">
        <v>561</v>
      </c>
      <c r="I84" s="8" t="s">
        <v>562</v>
      </c>
      <c r="J84" s="9">
        <v>9.9</v>
      </c>
      <c r="K84" s="10" t="s">
        <v>11</v>
      </c>
      <c r="L84" s="6"/>
      <c r="M84" s="11" t="s">
        <v>12</v>
      </c>
      <c r="N84" s="6" t="s">
        <v>563</v>
      </c>
      <c r="O84" s="6" t="s">
        <v>564</v>
      </c>
      <c r="P84" s="10" t="s">
        <v>15</v>
      </c>
      <c r="Q84" s="6"/>
      <c r="R84" s="6"/>
      <c r="S84" s="6"/>
      <c r="T84" s="6" t="s">
        <v>16</v>
      </c>
      <c r="U84" s="9" t="s">
        <v>17</v>
      </c>
      <c r="AI84" s="6" t="s">
        <v>18</v>
      </c>
      <c r="AJ84" s="12" t="s">
        <v>565</v>
      </c>
      <c r="AL84" s="13" t="s">
        <v>20</v>
      </c>
    </row>
    <row r="85">
      <c r="A85" s="5" t="s">
        <v>566</v>
      </c>
      <c r="B85" s="5" t="s">
        <v>567</v>
      </c>
      <c r="C85" s="5" t="s">
        <v>560</v>
      </c>
      <c r="D85" s="5" t="s">
        <v>8</v>
      </c>
      <c r="E85" s="6"/>
      <c r="F85" s="6"/>
      <c r="G85" s="7" t="s">
        <v>568</v>
      </c>
      <c r="I85" s="8" t="s">
        <v>569</v>
      </c>
      <c r="J85" s="9">
        <v>29.5</v>
      </c>
      <c r="K85" s="10" t="s">
        <v>11</v>
      </c>
      <c r="L85" s="6"/>
      <c r="M85" s="11" t="s">
        <v>12</v>
      </c>
      <c r="N85" s="6" t="s">
        <v>570</v>
      </c>
      <c r="O85" s="6" t="s">
        <v>571</v>
      </c>
      <c r="P85" s="10" t="s">
        <v>15</v>
      </c>
      <c r="Q85" s="6"/>
      <c r="R85" s="6"/>
      <c r="S85" s="6"/>
      <c r="T85" s="6" t="s">
        <v>16</v>
      </c>
      <c r="U85" s="9" t="s">
        <v>17</v>
      </c>
      <c r="AI85" s="6" t="s">
        <v>18</v>
      </c>
      <c r="AJ85" s="12" t="s">
        <v>565</v>
      </c>
      <c r="AL85" s="13" t="s">
        <v>20</v>
      </c>
    </row>
    <row r="86">
      <c r="A86" s="5" t="s">
        <v>572</v>
      </c>
      <c r="B86" s="5" t="s">
        <v>573</v>
      </c>
      <c r="C86" s="5" t="s">
        <v>574</v>
      </c>
      <c r="D86" s="5" t="s">
        <v>8</v>
      </c>
      <c r="E86" s="6"/>
      <c r="F86" s="6"/>
      <c r="G86" s="7" t="s">
        <v>575</v>
      </c>
      <c r="I86" s="8" t="s">
        <v>576</v>
      </c>
      <c r="J86" s="9">
        <v>10.9</v>
      </c>
      <c r="K86" s="10" t="s">
        <v>11</v>
      </c>
      <c r="L86" s="6"/>
      <c r="M86" s="11" t="s">
        <v>12</v>
      </c>
      <c r="N86" s="6" t="s">
        <v>577</v>
      </c>
      <c r="O86" s="6" t="s">
        <v>578</v>
      </c>
      <c r="P86" s="10" t="s">
        <v>15</v>
      </c>
      <c r="Q86" s="6"/>
      <c r="R86" s="6"/>
      <c r="S86" s="6"/>
      <c r="T86" s="6" t="s">
        <v>16</v>
      </c>
      <c r="U86" s="9" t="s">
        <v>17</v>
      </c>
      <c r="AI86" s="6" t="s">
        <v>18</v>
      </c>
      <c r="AJ86" s="12" t="s">
        <v>579</v>
      </c>
      <c r="AL86" s="13" t="s">
        <v>20</v>
      </c>
    </row>
    <row r="87">
      <c r="A87" s="5" t="s">
        <v>580</v>
      </c>
      <c r="B87" s="5" t="s">
        <v>581</v>
      </c>
      <c r="C87" s="5" t="s">
        <v>574</v>
      </c>
      <c r="D87" s="5" t="s">
        <v>8</v>
      </c>
      <c r="E87" s="6"/>
      <c r="F87" s="6"/>
      <c r="G87" s="7" t="s">
        <v>582</v>
      </c>
      <c r="I87" s="8" t="s">
        <v>583</v>
      </c>
      <c r="J87" s="9">
        <v>37.9</v>
      </c>
      <c r="K87" s="10" t="s">
        <v>11</v>
      </c>
      <c r="L87" s="6"/>
      <c r="M87" s="11" t="s">
        <v>12</v>
      </c>
      <c r="N87" s="6" t="s">
        <v>584</v>
      </c>
      <c r="O87" s="6" t="s">
        <v>585</v>
      </c>
      <c r="P87" s="10" t="s">
        <v>15</v>
      </c>
      <c r="Q87" s="6"/>
      <c r="R87" s="6"/>
      <c r="S87" s="6"/>
      <c r="T87" s="6" t="s">
        <v>16</v>
      </c>
      <c r="U87" s="9" t="s">
        <v>17</v>
      </c>
      <c r="AI87" s="6" t="s">
        <v>18</v>
      </c>
      <c r="AJ87" s="12" t="s">
        <v>579</v>
      </c>
      <c r="AL87" s="13" t="s">
        <v>20</v>
      </c>
    </row>
    <row r="88">
      <c r="A88" s="5" t="s">
        <v>586</v>
      </c>
      <c r="B88" s="5" t="s">
        <v>587</v>
      </c>
      <c r="C88" s="5" t="s">
        <v>574</v>
      </c>
      <c r="D88" s="5" t="s">
        <v>8</v>
      </c>
      <c r="E88" s="6"/>
      <c r="F88" s="6"/>
      <c r="G88" s="7" t="s">
        <v>588</v>
      </c>
      <c r="I88" s="8" t="s">
        <v>589</v>
      </c>
      <c r="J88" s="9">
        <v>26.9</v>
      </c>
      <c r="K88" s="10" t="s">
        <v>11</v>
      </c>
      <c r="L88" s="6"/>
      <c r="M88" s="11" t="s">
        <v>12</v>
      </c>
      <c r="N88" s="6" t="s">
        <v>590</v>
      </c>
      <c r="O88" s="6" t="s">
        <v>591</v>
      </c>
      <c r="P88" s="10" t="s">
        <v>15</v>
      </c>
      <c r="Q88" s="6"/>
      <c r="R88" s="6"/>
      <c r="S88" s="6"/>
      <c r="T88" s="6" t="s">
        <v>16</v>
      </c>
      <c r="U88" s="9" t="s">
        <v>17</v>
      </c>
      <c r="AI88" s="6" t="s">
        <v>18</v>
      </c>
      <c r="AJ88" s="12" t="s">
        <v>579</v>
      </c>
      <c r="AL88" s="13" t="s">
        <v>20</v>
      </c>
    </row>
    <row r="89">
      <c r="A89" s="5" t="s">
        <v>592</v>
      </c>
      <c r="B89" s="5" t="s">
        <v>593</v>
      </c>
      <c r="C89" s="5" t="s">
        <v>574</v>
      </c>
      <c r="D89" s="5" t="s">
        <v>8</v>
      </c>
      <c r="E89" s="6"/>
      <c r="F89" s="6"/>
      <c r="G89" s="7" t="s">
        <v>594</v>
      </c>
      <c r="I89" s="8" t="s">
        <v>595</v>
      </c>
      <c r="J89" s="9">
        <v>29.5</v>
      </c>
      <c r="K89" s="10" t="s">
        <v>11</v>
      </c>
      <c r="L89" s="6"/>
      <c r="M89" s="11" t="s">
        <v>12</v>
      </c>
      <c r="N89" s="6" t="s">
        <v>596</v>
      </c>
      <c r="O89" s="6" t="s">
        <v>597</v>
      </c>
      <c r="P89" s="10" t="s">
        <v>15</v>
      </c>
      <c r="Q89" s="6"/>
      <c r="R89" s="6"/>
      <c r="S89" s="6"/>
      <c r="T89" s="6" t="s">
        <v>16</v>
      </c>
      <c r="U89" s="9" t="s">
        <v>17</v>
      </c>
      <c r="AI89" s="6" t="s">
        <v>18</v>
      </c>
      <c r="AJ89" s="12" t="s">
        <v>579</v>
      </c>
      <c r="AL89" s="13" t="s">
        <v>20</v>
      </c>
    </row>
    <row r="90">
      <c r="A90" s="5" t="s">
        <v>598</v>
      </c>
      <c r="B90" s="5" t="s">
        <v>599</v>
      </c>
      <c r="C90" s="5" t="s">
        <v>600</v>
      </c>
      <c r="D90" s="5" t="s">
        <v>8</v>
      </c>
      <c r="E90" s="6"/>
      <c r="F90" s="6"/>
      <c r="G90" s="7" t="s">
        <v>601</v>
      </c>
      <c r="I90" s="8" t="s">
        <v>602</v>
      </c>
      <c r="J90" s="9">
        <v>10.9</v>
      </c>
      <c r="K90" s="10" t="s">
        <v>11</v>
      </c>
      <c r="L90" s="6"/>
      <c r="M90" s="11" t="s">
        <v>12</v>
      </c>
      <c r="N90" s="6" t="s">
        <v>603</v>
      </c>
      <c r="O90" s="6" t="s">
        <v>604</v>
      </c>
      <c r="P90" s="10" t="s">
        <v>15</v>
      </c>
      <c r="Q90" s="6"/>
      <c r="R90" s="6"/>
      <c r="S90" s="6"/>
      <c r="T90" s="6" t="s">
        <v>16</v>
      </c>
      <c r="U90" s="9" t="s">
        <v>17</v>
      </c>
      <c r="AI90" s="6" t="s">
        <v>18</v>
      </c>
      <c r="AJ90" s="12" t="s">
        <v>605</v>
      </c>
      <c r="AL90" s="13" t="s">
        <v>20</v>
      </c>
    </row>
    <row r="91">
      <c r="A91" s="5" t="s">
        <v>606</v>
      </c>
      <c r="B91" s="5" t="s">
        <v>607</v>
      </c>
      <c r="C91" s="5" t="s">
        <v>600</v>
      </c>
      <c r="D91" s="5" t="s">
        <v>8</v>
      </c>
      <c r="E91" s="6"/>
      <c r="F91" s="6"/>
      <c r="G91" s="7" t="s">
        <v>608</v>
      </c>
      <c r="I91" s="8" t="s">
        <v>609</v>
      </c>
      <c r="J91" s="9">
        <v>29.3</v>
      </c>
      <c r="K91" s="10" t="s">
        <v>11</v>
      </c>
      <c r="L91" s="6"/>
      <c r="M91" s="11" t="s">
        <v>12</v>
      </c>
      <c r="N91" s="6" t="s">
        <v>610</v>
      </c>
      <c r="O91" s="6" t="s">
        <v>611</v>
      </c>
      <c r="P91" s="10" t="s">
        <v>15</v>
      </c>
      <c r="Q91" s="6"/>
      <c r="R91" s="6"/>
      <c r="S91" s="6"/>
      <c r="T91" s="6" t="s">
        <v>16</v>
      </c>
      <c r="U91" s="9" t="s">
        <v>17</v>
      </c>
      <c r="AI91" s="6" t="s">
        <v>18</v>
      </c>
      <c r="AJ91" s="12" t="s">
        <v>605</v>
      </c>
      <c r="AL91" s="13" t="s">
        <v>20</v>
      </c>
    </row>
    <row r="92">
      <c r="A92" s="5" t="s">
        <v>612</v>
      </c>
      <c r="B92" s="5" t="s">
        <v>613</v>
      </c>
      <c r="C92" s="5" t="s">
        <v>614</v>
      </c>
      <c r="D92" s="5" t="s">
        <v>8</v>
      </c>
      <c r="E92" s="6"/>
      <c r="F92" s="6"/>
      <c r="G92" s="7" t="s">
        <v>615</v>
      </c>
      <c r="I92" s="8" t="s">
        <v>616</v>
      </c>
      <c r="J92" s="9">
        <v>10.9</v>
      </c>
      <c r="K92" s="10" t="s">
        <v>11</v>
      </c>
      <c r="L92" s="6"/>
      <c r="M92" s="11" t="s">
        <v>12</v>
      </c>
      <c r="N92" s="6" t="s">
        <v>617</v>
      </c>
      <c r="O92" s="6" t="s">
        <v>618</v>
      </c>
      <c r="P92" s="10" t="s">
        <v>15</v>
      </c>
      <c r="Q92" s="6"/>
      <c r="R92" s="6"/>
      <c r="S92" s="6"/>
      <c r="T92" s="6" t="s">
        <v>16</v>
      </c>
      <c r="U92" s="9" t="s">
        <v>17</v>
      </c>
      <c r="AI92" s="6" t="s">
        <v>18</v>
      </c>
      <c r="AJ92" s="12" t="s">
        <v>619</v>
      </c>
      <c r="AL92" s="13" t="s">
        <v>20</v>
      </c>
    </row>
    <row r="93">
      <c r="A93" s="5" t="s">
        <v>620</v>
      </c>
      <c r="B93" s="5" t="s">
        <v>621</v>
      </c>
      <c r="C93" s="5" t="s">
        <v>614</v>
      </c>
      <c r="D93" s="5" t="s">
        <v>8</v>
      </c>
      <c r="E93" s="6"/>
      <c r="F93" s="6"/>
      <c r="G93" s="7" t="s">
        <v>622</v>
      </c>
      <c r="I93" s="8" t="s">
        <v>623</v>
      </c>
      <c r="J93" s="9">
        <v>37.9</v>
      </c>
      <c r="K93" s="10" t="s">
        <v>11</v>
      </c>
      <c r="L93" s="6"/>
      <c r="M93" s="11" t="s">
        <v>12</v>
      </c>
      <c r="N93" s="6" t="s">
        <v>624</v>
      </c>
      <c r="O93" s="6" t="s">
        <v>625</v>
      </c>
      <c r="P93" s="10" t="s">
        <v>15</v>
      </c>
      <c r="Q93" s="6"/>
      <c r="R93" s="6"/>
      <c r="S93" s="6"/>
      <c r="T93" s="6" t="s">
        <v>16</v>
      </c>
      <c r="U93" s="9" t="s">
        <v>17</v>
      </c>
      <c r="AI93" s="6" t="s">
        <v>18</v>
      </c>
      <c r="AJ93" s="12" t="s">
        <v>619</v>
      </c>
      <c r="AL93" s="13" t="s">
        <v>20</v>
      </c>
    </row>
    <row r="94">
      <c r="A94" s="5" t="s">
        <v>626</v>
      </c>
      <c r="B94" s="5" t="s">
        <v>627</v>
      </c>
      <c r="C94" s="5" t="s">
        <v>614</v>
      </c>
      <c r="D94" s="5" t="s">
        <v>8</v>
      </c>
      <c r="E94" s="6"/>
      <c r="F94" s="6"/>
      <c r="G94" s="7" t="s">
        <v>628</v>
      </c>
      <c r="I94" s="8" t="s">
        <v>629</v>
      </c>
      <c r="J94" s="9">
        <v>26.9</v>
      </c>
      <c r="K94" s="10" t="s">
        <v>11</v>
      </c>
      <c r="L94" s="6"/>
      <c r="M94" s="11" t="s">
        <v>12</v>
      </c>
      <c r="N94" s="6" t="s">
        <v>630</v>
      </c>
      <c r="O94" s="6" t="s">
        <v>631</v>
      </c>
      <c r="P94" s="10" t="s">
        <v>15</v>
      </c>
      <c r="Q94" s="6"/>
      <c r="R94" s="6"/>
      <c r="S94" s="6"/>
      <c r="T94" s="6" t="s">
        <v>16</v>
      </c>
      <c r="U94" s="9" t="s">
        <v>17</v>
      </c>
      <c r="AI94" s="6" t="s">
        <v>18</v>
      </c>
      <c r="AJ94" s="12" t="s">
        <v>619</v>
      </c>
      <c r="AL94" s="13" t="s">
        <v>20</v>
      </c>
    </row>
    <row r="95">
      <c r="A95" s="5" t="s">
        <v>632</v>
      </c>
      <c r="B95" s="5" t="s">
        <v>633</v>
      </c>
      <c r="C95" s="5" t="s">
        <v>634</v>
      </c>
      <c r="D95" s="5" t="s">
        <v>8</v>
      </c>
      <c r="E95" s="6"/>
      <c r="F95" s="6"/>
      <c r="G95" s="7" t="s">
        <v>635</v>
      </c>
      <c r="I95" s="8" t="s">
        <v>636</v>
      </c>
      <c r="J95" s="9">
        <v>7.9</v>
      </c>
      <c r="K95" s="10" t="s">
        <v>11</v>
      </c>
      <c r="L95" s="6"/>
      <c r="M95" s="11" t="s">
        <v>12</v>
      </c>
      <c r="N95" s="6" t="s">
        <v>637</v>
      </c>
      <c r="O95" s="6" t="s">
        <v>638</v>
      </c>
      <c r="P95" s="10" t="s">
        <v>15</v>
      </c>
      <c r="Q95" s="6"/>
      <c r="R95" s="6"/>
      <c r="S95" s="6"/>
      <c r="T95" s="6" t="s">
        <v>16</v>
      </c>
      <c r="U95" s="9" t="s">
        <v>17</v>
      </c>
      <c r="AI95" s="6" t="s">
        <v>18</v>
      </c>
      <c r="AJ95" s="12" t="s">
        <v>639</v>
      </c>
      <c r="AL95" s="13" t="s">
        <v>20</v>
      </c>
    </row>
    <row r="96">
      <c r="A96" s="5" t="s">
        <v>640</v>
      </c>
      <c r="B96" s="5" t="s">
        <v>641</v>
      </c>
      <c r="C96" s="5" t="s">
        <v>634</v>
      </c>
      <c r="D96" s="5" t="s">
        <v>8</v>
      </c>
      <c r="E96" s="6"/>
      <c r="F96" s="6"/>
      <c r="G96" s="7" t="s">
        <v>642</v>
      </c>
      <c r="I96" s="8" t="s">
        <v>643</v>
      </c>
      <c r="J96" s="9">
        <v>17.7</v>
      </c>
      <c r="K96" s="10" t="s">
        <v>11</v>
      </c>
      <c r="L96" s="6"/>
      <c r="M96" s="11" t="s">
        <v>12</v>
      </c>
      <c r="N96" s="6" t="s">
        <v>644</v>
      </c>
      <c r="O96" s="6" t="s">
        <v>645</v>
      </c>
      <c r="P96" s="10" t="s">
        <v>15</v>
      </c>
      <c r="Q96" s="6"/>
      <c r="R96" s="6"/>
      <c r="S96" s="6"/>
      <c r="T96" s="6" t="s">
        <v>16</v>
      </c>
      <c r="U96" s="9" t="s">
        <v>17</v>
      </c>
      <c r="AI96" s="6" t="s">
        <v>18</v>
      </c>
      <c r="AJ96" s="12" t="s">
        <v>639</v>
      </c>
      <c r="AL96" s="13" t="s">
        <v>20</v>
      </c>
    </row>
    <row r="97">
      <c r="A97" s="5" t="s">
        <v>646</v>
      </c>
      <c r="B97" s="5" t="s">
        <v>647</v>
      </c>
      <c r="C97" s="5" t="s">
        <v>614</v>
      </c>
      <c r="D97" s="5" t="s">
        <v>8</v>
      </c>
      <c r="E97" s="6"/>
      <c r="F97" s="6"/>
      <c r="G97" s="7" t="s">
        <v>648</v>
      </c>
      <c r="I97" s="8" t="s">
        <v>649</v>
      </c>
      <c r="J97" s="9">
        <v>23.5</v>
      </c>
      <c r="K97" s="10" t="s">
        <v>11</v>
      </c>
      <c r="L97" s="6"/>
      <c r="M97" s="11" t="s">
        <v>12</v>
      </c>
      <c r="N97" s="6" t="s">
        <v>650</v>
      </c>
      <c r="O97" s="6" t="s">
        <v>651</v>
      </c>
      <c r="P97" s="10" t="s">
        <v>15</v>
      </c>
      <c r="Q97" s="6"/>
      <c r="R97" s="6"/>
      <c r="S97" s="6"/>
      <c r="T97" s="6" t="s">
        <v>16</v>
      </c>
      <c r="U97" s="9" t="s">
        <v>17</v>
      </c>
      <c r="AI97" s="6" t="s">
        <v>18</v>
      </c>
      <c r="AJ97" s="12" t="s">
        <v>619</v>
      </c>
      <c r="AL97" s="13" t="s">
        <v>20</v>
      </c>
    </row>
    <row r="98">
      <c r="A98" s="5" t="s">
        <v>652</v>
      </c>
      <c r="B98" s="5" t="s">
        <v>653</v>
      </c>
      <c r="C98" s="5" t="s">
        <v>654</v>
      </c>
      <c r="D98" s="5" t="s">
        <v>8</v>
      </c>
      <c r="E98" s="6"/>
      <c r="F98" s="6"/>
      <c r="G98" s="7" t="s">
        <v>655</v>
      </c>
      <c r="I98" s="8" t="s">
        <v>656</v>
      </c>
      <c r="J98" s="9">
        <v>9.5</v>
      </c>
      <c r="K98" s="10" t="s">
        <v>11</v>
      </c>
      <c r="L98" s="6"/>
      <c r="M98" s="11" t="s">
        <v>12</v>
      </c>
      <c r="N98" s="6" t="s">
        <v>657</v>
      </c>
      <c r="O98" s="6" t="s">
        <v>658</v>
      </c>
      <c r="P98" s="10" t="s">
        <v>15</v>
      </c>
      <c r="Q98" s="6"/>
      <c r="R98" s="6"/>
      <c r="S98" s="6"/>
      <c r="T98" s="6" t="s">
        <v>16</v>
      </c>
      <c r="U98" s="9" t="s">
        <v>17</v>
      </c>
      <c r="AI98" s="6" t="s">
        <v>18</v>
      </c>
      <c r="AJ98" s="12" t="s">
        <v>659</v>
      </c>
      <c r="AL98" s="13" t="s">
        <v>20</v>
      </c>
    </row>
    <row r="99">
      <c r="A99" s="5" t="s">
        <v>660</v>
      </c>
      <c r="B99" s="5" t="s">
        <v>661</v>
      </c>
      <c r="C99" s="5" t="s">
        <v>654</v>
      </c>
      <c r="D99" s="5" t="s">
        <v>8</v>
      </c>
      <c r="E99" s="6"/>
      <c r="F99" s="6"/>
      <c r="G99" s="7" t="s">
        <v>662</v>
      </c>
      <c r="I99" s="8" t="s">
        <v>663</v>
      </c>
      <c r="J99" s="9">
        <v>18.9</v>
      </c>
      <c r="K99" s="10" t="s">
        <v>11</v>
      </c>
      <c r="L99" s="6"/>
      <c r="M99" s="11" t="s">
        <v>12</v>
      </c>
      <c r="N99" s="6" t="s">
        <v>664</v>
      </c>
      <c r="O99" s="6" t="s">
        <v>665</v>
      </c>
      <c r="P99" s="10" t="s">
        <v>15</v>
      </c>
      <c r="Q99" s="6"/>
      <c r="R99" s="6"/>
      <c r="S99" s="6"/>
      <c r="T99" s="6" t="s">
        <v>16</v>
      </c>
      <c r="U99" s="9" t="s">
        <v>17</v>
      </c>
      <c r="AI99" s="6" t="s">
        <v>18</v>
      </c>
      <c r="AJ99" s="12" t="s">
        <v>659</v>
      </c>
      <c r="AL99" s="13" t="s">
        <v>20</v>
      </c>
    </row>
    <row r="100">
      <c r="A100" s="5" t="s">
        <v>666</v>
      </c>
      <c r="B100" s="5" t="s">
        <v>667</v>
      </c>
      <c r="C100" s="5" t="s">
        <v>668</v>
      </c>
      <c r="D100" s="5" t="s">
        <v>8</v>
      </c>
      <c r="E100" s="6"/>
      <c r="F100" s="6"/>
      <c r="G100" s="7" t="s">
        <v>669</v>
      </c>
      <c r="I100" s="8" t="s">
        <v>670</v>
      </c>
      <c r="J100" s="9">
        <v>9.8</v>
      </c>
      <c r="K100" s="10" t="s">
        <v>11</v>
      </c>
      <c r="L100" s="6"/>
      <c r="M100" s="11" t="s">
        <v>12</v>
      </c>
      <c r="N100" s="6" t="s">
        <v>671</v>
      </c>
      <c r="O100" s="6" t="s">
        <v>672</v>
      </c>
      <c r="P100" s="10" t="s">
        <v>15</v>
      </c>
      <c r="Q100" s="6"/>
      <c r="R100" s="6"/>
      <c r="S100" s="6"/>
      <c r="T100" s="6" t="s">
        <v>16</v>
      </c>
      <c r="U100" s="9" t="s">
        <v>17</v>
      </c>
      <c r="AI100" s="6" t="s">
        <v>18</v>
      </c>
      <c r="AJ100" s="12" t="s">
        <v>673</v>
      </c>
      <c r="AL100" s="13" t="s">
        <v>20</v>
      </c>
    </row>
    <row r="101">
      <c r="A101" s="5" t="s">
        <v>674</v>
      </c>
      <c r="B101" s="5" t="s">
        <v>675</v>
      </c>
      <c r="C101" s="5" t="s">
        <v>668</v>
      </c>
      <c r="D101" s="5" t="s">
        <v>8</v>
      </c>
      <c r="E101" s="6"/>
      <c r="F101" s="6"/>
      <c r="G101" s="7" t="s">
        <v>676</v>
      </c>
      <c r="I101" s="8" t="s">
        <v>677</v>
      </c>
      <c r="J101" s="9">
        <v>37.9</v>
      </c>
      <c r="K101" s="10" t="s">
        <v>11</v>
      </c>
      <c r="L101" s="6"/>
      <c r="M101" s="11" t="s">
        <v>12</v>
      </c>
      <c r="N101" s="6" t="s">
        <v>678</v>
      </c>
      <c r="O101" s="6" t="s">
        <v>679</v>
      </c>
      <c r="P101" s="10" t="s">
        <v>15</v>
      </c>
      <c r="Q101" s="6"/>
      <c r="R101" s="6"/>
      <c r="S101" s="6"/>
      <c r="T101" s="6" t="s">
        <v>16</v>
      </c>
      <c r="U101" s="9" t="s">
        <v>17</v>
      </c>
      <c r="AI101" s="6" t="s">
        <v>18</v>
      </c>
      <c r="AJ101" s="12" t="s">
        <v>673</v>
      </c>
      <c r="AL101" s="13" t="s">
        <v>20</v>
      </c>
    </row>
    <row r="102">
      <c r="A102" s="5" t="s">
        <v>680</v>
      </c>
      <c r="B102" s="5" t="s">
        <v>681</v>
      </c>
      <c r="C102" s="5" t="s">
        <v>668</v>
      </c>
      <c r="D102" s="5" t="s">
        <v>8</v>
      </c>
      <c r="E102" s="6"/>
      <c r="F102" s="6"/>
      <c r="G102" s="7" t="s">
        <v>682</v>
      </c>
      <c r="I102" s="8" t="s">
        <v>683</v>
      </c>
      <c r="J102" s="9">
        <v>26.9</v>
      </c>
      <c r="K102" s="10" t="s">
        <v>11</v>
      </c>
      <c r="L102" s="6"/>
      <c r="M102" s="11" t="s">
        <v>12</v>
      </c>
      <c r="N102" s="6" t="s">
        <v>684</v>
      </c>
      <c r="O102" s="6" t="s">
        <v>685</v>
      </c>
      <c r="P102" s="10" t="s">
        <v>15</v>
      </c>
      <c r="Q102" s="6"/>
      <c r="R102" s="6"/>
      <c r="S102" s="6"/>
      <c r="T102" s="6" t="s">
        <v>16</v>
      </c>
      <c r="U102" s="9" t="s">
        <v>17</v>
      </c>
      <c r="AI102" s="6" t="s">
        <v>18</v>
      </c>
      <c r="AJ102" s="12" t="s">
        <v>673</v>
      </c>
      <c r="AL102" s="13" t="s">
        <v>20</v>
      </c>
    </row>
    <row r="103">
      <c r="A103" s="5" t="s">
        <v>686</v>
      </c>
      <c r="B103" s="5" t="s">
        <v>687</v>
      </c>
      <c r="C103" s="5" t="s">
        <v>668</v>
      </c>
      <c r="D103" s="5" t="s">
        <v>8</v>
      </c>
      <c r="E103" s="6"/>
      <c r="F103" s="6"/>
      <c r="G103" s="7" t="s">
        <v>688</v>
      </c>
      <c r="I103" s="8" t="s">
        <v>689</v>
      </c>
      <c r="J103" s="9">
        <v>19.4</v>
      </c>
      <c r="K103" s="10" t="s">
        <v>11</v>
      </c>
      <c r="L103" s="6"/>
      <c r="M103" s="11" t="s">
        <v>12</v>
      </c>
      <c r="N103" s="6" t="s">
        <v>690</v>
      </c>
      <c r="O103" s="6" t="s">
        <v>691</v>
      </c>
      <c r="P103" s="10" t="s">
        <v>15</v>
      </c>
      <c r="Q103" s="6"/>
      <c r="R103" s="6"/>
      <c r="S103" s="6"/>
      <c r="T103" s="6" t="s">
        <v>16</v>
      </c>
      <c r="U103" s="9" t="s">
        <v>17</v>
      </c>
      <c r="AI103" s="6" t="s">
        <v>18</v>
      </c>
      <c r="AJ103" s="12" t="s">
        <v>673</v>
      </c>
      <c r="AL103" s="13" t="s">
        <v>20</v>
      </c>
    </row>
    <row r="104">
      <c r="A104" s="5" t="s">
        <v>692</v>
      </c>
      <c r="B104" s="5" t="s">
        <v>693</v>
      </c>
      <c r="C104" s="5" t="s">
        <v>694</v>
      </c>
      <c r="D104" s="5" t="s">
        <v>8</v>
      </c>
      <c r="E104" s="6"/>
      <c r="F104" s="6"/>
      <c r="G104" s="7" t="s">
        <v>695</v>
      </c>
      <c r="I104" s="8" t="s">
        <v>696</v>
      </c>
      <c r="J104" s="9">
        <v>11.7</v>
      </c>
      <c r="K104" s="10" t="s">
        <v>11</v>
      </c>
      <c r="L104" s="6"/>
      <c r="M104" s="11" t="s">
        <v>12</v>
      </c>
      <c r="N104" s="6" t="s">
        <v>697</v>
      </c>
      <c r="O104" s="6" t="s">
        <v>698</v>
      </c>
      <c r="P104" s="10" t="s">
        <v>15</v>
      </c>
      <c r="Q104" s="6"/>
      <c r="R104" s="6"/>
      <c r="S104" s="6" t="s">
        <v>699</v>
      </c>
      <c r="T104" s="6" t="s">
        <v>16</v>
      </c>
      <c r="U104" s="9" t="s">
        <v>17</v>
      </c>
      <c r="AI104" s="6" t="s">
        <v>18</v>
      </c>
      <c r="AJ104" s="12" t="s">
        <v>700</v>
      </c>
      <c r="AL104" s="13" t="s">
        <v>20</v>
      </c>
    </row>
    <row r="105">
      <c r="A105" s="5" t="s">
        <v>701</v>
      </c>
      <c r="B105" s="5" t="s">
        <v>702</v>
      </c>
      <c r="C105" s="5" t="s">
        <v>694</v>
      </c>
      <c r="D105" s="5" t="s">
        <v>8</v>
      </c>
      <c r="E105" s="6"/>
      <c r="F105" s="6"/>
      <c r="G105" s="7" t="s">
        <v>703</v>
      </c>
      <c r="I105" s="8" t="s">
        <v>704</v>
      </c>
      <c r="J105" s="9">
        <v>37.9</v>
      </c>
      <c r="K105" s="10" t="s">
        <v>11</v>
      </c>
      <c r="L105" s="6"/>
      <c r="M105" s="11" t="s">
        <v>12</v>
      </c>
      <c r="N105" s="6" t="s">
        <v>705</v>
      </c>
      <c r="O105" s="6" t="s">
        <v>706</v>
      </c>
      <c r="P105" s="10" t="s">
        <v>15</v>
      </c>
      <c r="Q105" s="6"/>
      <c r="R105" s="6"/>
      <c r="S105" s="6" t="s">
        <v>699</v>
      </c>
      <c r="T105" s="6" t="s">
        <v>16</v>
      </c>
      <c r="U105" s="9" t="s">
        <v>17</v>
      </c>
      <c r="AI105" s="6" t="s">
        <v>18</v>
      </c>
      <c r="AJ105" s="12" t="s">
        <v>700</v>
      </c>
      <c r="AL105" s="13" t="s">
        <v>20</v>
      </c>
    </row>
    <row r="106">
      <c r="A106" s="5" t="s">
        <v>707</v>
      </c>
      <c r="B106" s="5" t="s">
        <v>708</v>
      </c>
      <c r="C106" s="5" t="s">
        <v>694</v>
      </c>
      <c r="D106" s="5" t="s">
        <v>8</v>
      </c>
      <c r="E106" s="6"/>
      <c r="F106" s="6"/>
      <c r="G106" s="7" t="s">
        <v>709</v>
      </c>
      <c r="I106" s="8" t="s">
        <v>710</v>
      </c>
      <c r="J106" s="9">
        <v>26.9</v>
      </c>
      <c r="K106" s="10" t="s">
        <v>11</v>
      </c>
      <c r="L106" s="6"/>
      <c r="M106" s="11" t="s">
        <v>12</v>
      </c>
      <c r="N106" s="6" t="s">
        <v>711</v>
      </c>
      <c r="O106" s="6" t="s">
        <v>712</v>
      </c>
      <c r="P106" s="10" t="s">
        <v>15</v>
      </c>
      <c r="Q106" s="6"/>
      <c r="R106" s="6"/>
      <c r="S106" s="6" t="s">
        <v>699</v>
      </c>
      <c r="T106" s="6" t="s">
        <v>16</v>
      </c>
      <c r="U106" s="9" t="s">
        <v>17</v>
      </c>
      <c r="AI106" s="6" t="s">
        <v>18</v>
      </c>
      <c r="AJ106" s="12" t="s">
        <v>700</v>
      </c>
      <c r="AL106" s="13" t="s">
        <v>20</v>
      </c>
    </row>
    <row r="107">
      <c r="A107" s="5" t="s">
        <v>713</v>
      </c>
      <c r="B107" s="5" t="s">
        <v>714</v>
      </c>
      <c r="C107" s="5" t="s">
        <v>694</v>
      </c>
      <c r="D107" s="5" t="s">
        <v>8</v>
      </c>
      <c r="E107" s="6"/>
      <c r="F107" s="6"/>
      <c r="G107" s="7" t="s">
        <v>715</v>
      </c>
      <c r="I107" s="8" t="s">
        <v>716</v>
      </c>
      <c r="J107" s="9">
        <v>31.7</v>
      </c>
      <c r="K107" s="10" t="s">
        <v>11</v>
      </c>
      <c r="L107" s="6"/>
      <c r="M107" s="11" t="s">
        <v>12</v>
      </c>
      <c r="N107" s="6" t="s">
        <v>717</v>
      </c>
      <c r="O107" s="6" t="s">
        <v>718</v>
      </c>
      <c r="P107" s="10" t="s">
        <v>15</v>
      </c>
      <c r="Q107" s="6"/>
      <c r="R107" s="6"/>
      <c r="S107" s="6" t="s">
        <v>699</v>
      </c>
      <c r="T107" s="6" t="s">
        <v>16</v>
      </c>
      <c r="U107" s="9" t="s">
        <v>17</v>
      </c>
      <c r="AI107" s="6" t="s">
        <v>18</v>
      </c>
      <c r="AJ107" s="12" t="s">
        <v>700</v>
      </c>
      <c r="AL107" s="13" t="s">
        <v>20</v>
      </c>
    </row>
    <row r="108">
      <c r="A108" s="5" t="s">
        <v>719</v>
      </c>
      <c r="B108" s="5" t="s">
        <v>720</v>
      </c>
      <c r="C108" s="5" t="s">
        <v>721</v>
      </c>
      <c r="D108" s="5" t="s">
        <v>8</v>
      </c>
      <c r="E108" s="6"/>
      <c r="F108" s="6"/>
      <c r="G108" s="7" t="s">
        <v>722</v>
      </c>
      <c r="I108" s="8" t="s">
        <v>723</v>
      </c>
      <c r="J108" s="9">
        <v>9.9</v>
      </c>
      <c r="K108" s="10" t="s">
        <v>11</v>
      </c>
      <c r="L108" s="6"/>
      <c r="M108" s="11" t="s">
        <v>12</v>
      </c>
      <c r="N108" s="6" t="s">
        <v>724</v>
      </c>
      <c r="O108" s="6" t="s">
        <v>725</v>
      </c>
      <c r="P108" s="10" t="s">
        <v>15</v>
      </c>
      <c r="Q108" s="6"/>
      <c r="R108" s="6"/>
      <c r="S108" s="6"/>
      <c r="T108" s="6" t="s">
        <v>16</v>
      </c>
      <c r="U108" s="9" t="s">
        <v>17</v>
      </c>
      <c r="AI108" s="6" t="s">
        <v>18</v>
      </c>
      <c r="AJ108" s="12" t="s">
        <v>726</v>
      </c>
      <c r="AL108" s="13" t="s">
        <v>20</v>
      </c>
    </row>
    <row r="109">
      <c r="A109" s="5" t="s">
        <v>727</v>
      </c>
      <c r="B109" s="5" t="s">
        <v>728</v>
      </c>
      <c r="C109" s="5" t="s">
        <v>721</v>
      </c>
      <c r="D109" s="5" t="s">
        <v>8</v>
      </c>
      <c r="E109" s="6"/>
      <c r="F109" s="6"/>
      <c r="G109" s="7" t="s">
        <v>729</v>
      </c>
      <c r="I109" s="8" t="s">
        <v>730</v>
      </c>
      <c r="J109" s="9">
        <v>37.9</v>
      </c>
      <c r="K109" s="10" t="s">
        <v>11</v>
      </c>
      <c r="L109" s="6"/>
      <c r="M109" s="11" t="s">
        <v>12</v>
      </c>
      <c r="N109" s="6" t="s">
        <v>731</v>
      </c>
      <c r="O109" s="6" t="s">
        <v>732</v>
      </c>
      <c r="P109" s="10" t="s">
        <v>15</v>
      </c>
      <c r="Q109" s="6"/>
      <c r="R109" s="6"/>
      <c r="S109" s="6"/>
      <c r="T109" s="6" t="s">
        <v>16</v>
      </c>
      <c r="U109" s="9" t="s">
        <v>17</v>
      </c>
      <c r="AI109" s="6" t="s">
        <v>18</v>
      </c>
      <c r="AJ109" s="12" t="s">
        <v>726</v>
      </c>
      <c r="AL109" s="13" t="s">
        <v>20</v>
      </c>
    </row>
    <row r="110">
      <c r="A110" s="5" t="s">
        <v>733</v>
      </c>
      <c r="B110" s="5" t="s">
        <v>734</v>
      </c>
      <c r="C110" s="5" t="s">
        <v>721</v>
      </c>
      <c r="D110" s="5" t="s">
        <v>8</v>
      </c>
      <c r="E110" s="6"/>
      <c r="F110" s="6"/>
      <c r="G110" s="7" t="s">
        <v>735</v>
      </c>
      <c r="I110" s="8" t="s">
        <v>736</v>
      </c>
      <c r="J110" s="9">
        <v>26.9</v>
      </c>
      <c r="K110" s="10" t="s">
        <v>11</v>
      </c>
      <c r="L110" s="6"/>
      <c r="M110" s="11" t="s">
        <v>12</v>
      </c>
      <c r="N110" s="6" t="s">
        <v>737</v>
      </c>
      <c r="O110" s="6" t="s">
        <v>738</v>
      </c>
      <c r="P110" s="10" t="s">
        <v>15</v>
      </c>
      <c r="Q110" s="6"/>
      <c r="R110" s="6"/>
      <c r="S110" s="6"/>
      <c r="T110" s="6" t="s">
        <v>16</v>
      </c>
      <c r="U110" s="9" t="s">
        <v>17</v>
      </c>
      <c r="AI110" s="6" t="s">
        <v>18</v>
      </c>
      <c r="AJ110" s="12" t="s">
        <v>726</v>
      </c>
      <c r="AL110" s="13" t="s">
        <v>20</v>
      </c>
    </row>
    <row r="111">
      <c r="A111" s="5" t="s">
        <v>739</v>
      </c>
      <c r="B111" s="5" t="s">
        <v>740</v>
      </c>
      <c r="C111" s="5" t="s">
        <v>741</v>
      </c>
      <c r="D111" s="5" t="s">
        <v>8</v>
      </c>
      <c r="E111" s="6"/>
      <c r="F111" s="6"/>
      <c r="G111" s="7" t="s">
        <v>742</v>
      </c>
      <c r="I111" s="8" t="s">
        <v>743</v>
      </c>
      <c r="J111" s="9">
        <v>7.9</v>
      </c>
      <c r="K111" s="10" t="s">
        <v>11</v>
      </c>
      <c r="L111" s="6"/>
      <c r="M111" s="11" t="s">
        <v>12</v>
      </c>
      <c r="N111" s="6" t="s">
        <v>744</v>
      </c>
      <c r="O111" s="6" t="s">
        <v>745</v>
      </c>
      <c r="P111" s="10" t="s">
        <v>15</v>
      </c>
      <c r="Q111" s="6"/>
      <c r="R111" s="6"/>
      <c r="S111" s="6"/>
      <c r="T111" s="6" t="s">
        <v>16</v>
      </c>
      <c r="U111" s="9" t="s">
        <v>17</v>
      </c>
      <c r="AI111" s="6" t="s">
        <v>18</v>
      </c>
      <c r="AJ111" s="12" t="s">
        <v>746</v>
      </c>
      <c r="AL111" s="13" t="s">
        <v>20</v>
      </c>
    </row>
    <row r="112">
      <c r="A112" s="5" t="s">
        <v>747</v>
      </c>
      <c r="B112" s="5" t="s">
        <v>748</v>
      </c>
      <c r="C112" s="5" t="s">
        <v>741</v>
      </c>
      <c r="D112" s="5" t="s">
        <v>8</v>
      </c>
      <c r="E112" s="6"/>
      <c r="F112" s="6"/>
      <c r="G112" s="7" t="s">
        <v>749</v>
      </c>
      <c r="I112" s="8" t="s">
        <v>750</v>
      </c>
      <c r="J112" s="9">
        <v>37.9</v>
      </c>
      <c r="K112" s="10" t="s">
        <v>11</v>
      </c>
      <c r="L112" s="6"/>
      <c r="M112" s="11" t="s">
        <v>12</v>
      </c>
      <c r="N112" s="6" t="s">
        <v>751</v>
      </c>
      <c r="O112" s="6" t="s">
        <v>752</v>
      </c>
      <c r="P112" s="10" t="s">
        <v>15</v>
      </c>
      <c r="Q112" s="6"/>
      <c r="R112" s="6"/>
      <c r="S112" s="6"/>
      <c r="T112" s="6" t="s">
        <v>16</v>
      </c>
      <c r="U112" s="9" t="s">
        <v>17</v>
      </c>
      <c r="AI112" s="6" t="s">
        <v>18</v>
      </c>
      <c r="AJ112" s="12" t="s">
        <v>746</v>
      </c>
      <c r="AL112" s="13" t="s">
        <v>20</v>
      </c>
    </row>
    <row r="113">
      <c r="A113" s="5" t="s">
        <v>753</v>
      </c>
      <c r="B113" s="5" t="s">
        <v>754</v>
      </c>
      <c r="C113" s="5" t="s">
        <v>741</v>
      </c>
      <c r="D113" s="5" t="s">
        <v>8</v>
      </c>
      <c r="E113" s="6"/>
      <c r="F113" s="6"/>
      <c r="G113" s="7" t="s">
        <v>755</v>
      </c>
      <c r="I113" s="8" t="s">
        <v>756</v>
      </c>
      <c r="J113" s="9">
        <v>26.9</v>
      </c>
      <c r="K113" s="10" t="s">
        <v>11</v>
      </c>
      <c r="L113" s="6"/>
      <c r="M113" s="11" t="s">
        <v>12</v>
      </c>
      <c r="N113" s="6" t="s">
        <v>757</v>
      </c>
      <c r="O113" s="6" t="s">
        <v>758</v>
      </c>
      <c r="P113" s="10" t="s">
        <v>15</v>
      </c>
      <c r="Q113" s="6"/>
      <c r="R113" s="6"/>
      <c r="S113" s="6"/>
      <c r="T113" s="6" t="s">
        <v>16</v>
      </c>
      <c r="U113" s="9" t="s">
        <v>17</v>
      </c>
      <c r="AI113" s="6" t="s">
        <v>18</v>
      </c>
      <c r="AJ113" s="12" t="s">
        <v>746</v>
      </c>
      <c r="AL113" s="13" t="s">
        <v>20</v>
      </c>
    </row>
    <row r="114">
      <c r="A114" s="5" t="s">
        <v>759</v>
      </c>
      <c r="B114" s="5" t="s">
        <v>760</v>
      </c>
      <c r="C114" s="5" t="s">
        <v>741</v>
      </c>
      <c r="D114" s="5" t="s">
        <v>8</v>
      </c>
      <c r="E114" s="6"/>
      <c r="F114" s="6"/>
      <c r="G114" s="7" t="s">
        <v>761</v>
      </c>
      <c r="I114" s="8" t="s">
        <v>762</v>
      </c>
      <c r="J114" s="9">
        <v>34.13</v>
      </c>
      <c r="K114" s="10" t="s">
        <v>11</v>
      </c>
      <c r="L114" s="6"/>
      <c r="M114" s="11" t="s">
        <v>12</v>
      </c>
      <c r="N114" s="6" t="s">
        <v>744</v>
      </c>
      <c r="O114" s="6" t="s">
        <v>763</v>
      </c>
      <c r="P114" s="10" t="s">
        <v>15</v>
      </c>
      <c r="Q114" s="6"/>
      <c r="R114" s="6"/>
      <c r="S114" s="6"/>
      <c r="T114" s="6" t="s">
        <v>16</v>
      </c>
      <c r="U114" s="9" t="s">
        <v>17</v>
      </c>
      <c r="AI114" s="6" t="s">
        <v>18</v>
      </c>
      <c r="AJ114" s="12" t="s">
        <v>746</v>
      </c>
      <c r="AL114" s="13" t="s">
        <v>20</v>
      </c>
    </row>
    <row r="115">
      <c r="A115" s="5" t="s">
        <v>764</v>
      </c>
      <c r="B115" s="5" t="s">
        <v>765</v>
      </c>
      <c r="C115" s="5" t="s">
        <v>766</v>
      </c>
      <c r="D115" s="5" t="s">
        <v>8</v>
      </c>
      <c r="E115" s="6"/>
      <c r="F115" s="6"/>
      <c r="G115" s="7" t="s">
        <v>767</v>
      </c>
      <c r="I115" s="8" t="s">
        <v>768</v>
      </c>
      <c r="J115" s="9">
        <v>9.9</v>
      </c>
      <c r="K115" s="10" t="s">
        <v>11</v>
      </c>
      <c r="L115" s="6"/>
      <c r="M115" s="11" t="s">
        <v>12</v>
      </c>
      <c r="N115" s="6" t="s">
        <v>769</v>
      </c>
      <c r="O115" s="6" t="s">
        <v>770</v>
      </c>
      <c r="P115" s="10" t="s">
        <v>15</v>
      </c>
      <c r="Q115" s="6"/>
      <c r="R115" s="6"/>
      <c r="S115" s="6"/>
      <c r="T115" s="6" t="s">
        <v>16</v>
      </c>
      <c r="U115" s="9" t="s">
        <v>17</v>
      </c>
      <c r="AI115" s="6" t="s">
        <v>18</v>
      </c>
      <c r="AJ115" s="12" t="s">
        <v>771</v>
      </c>
      <c r="AL115" s="13" t="s">
        <v>20</v>
      </c>
    </row>
    <row r="116">
      <c r="A116" s="5" t="s">
        <v>772</v>
      </c>
      <c r="B116" s="5" t="s">
        <v>773</v>
      </c>
      <c r="C116" s="5" t="s">
        <v>766</v>
      </c>
      <c r="D116" s="5" t="s">
        <v>8</v>
      </c>
      <c r="E116" s="6"/>
      <c r="F116" s="6"/>
      <c r="G116" s="7" t="s">
        <v>774</v>
      </c>
      <c r="I116" s="8" t="s">
        <v>775</v>
      </c>
      <c r="J116" s="9">
        <v>37.9</v>
      </c>
      <c r="K116" s="10" t="s">
        <v>11</v>
      </c>
      <c r="L116" s="6"/>
      <c r="M116" s="11" t="s">
        <v>12</v>
      </c>
      <c r="N116" s="6" t="s">
        <v>776</v>
      </c>
      <c r="O116" s="6" t="s">
        <v>777</v>
      </c>
      <c r="P116" s="10" t="s">
        <v>15</v>
      </c>
      <c r="Q116" s="6"/>
      <c r="R116" s="6"/>
      <c r="S116" s="6"/>
      <c r="T116" s="6" t="s">
        <v>16</v>
      </c>
      <c r="U116" s="9" t="s">
        <v>17</v>
      </c>
      <c r="AI116" s="6" t="s">
        <v>18</v>
      </c>
      <c r="AJ116" s="12" t="s">
        <v>771</v>
      </c>
      <c r="AL116" s="13" t="s">
        <v>20</v>
      </c>
    </row>
    <row r="117">
      <c r="A117" s="5" t="s">
        <v>778</v>
      </c>
      <c r="B117" s="5" t="s">
        <v>779</v>
      </c>
      <c r="C117" s="5" t="s">
        <v>766</v>
      </c>
      <c r="D117" s="5" t="s">
        <v>8</v>
      </c>
      <c r="E117" s="6"/>
      <c r="F117" s="6"/>
      <c r="G117" s="7" t="s">
        <v>780</v>
      </c>
      <c r="I117" s="8" t="s">
        <v>781</v>
      </c>
      <c r="J117" s="9">
        <v>26.9</v>
      </c>
      <c r="K117" s="10" t="s">
        <v>11</v>
      </c>
      <c r="L117" s="6"/>
      <c r="M117" s="11" t="s">
        <v>12</v>
      </c>
      <c r="N117" s="6" t="s">
        <v>782</v>
      </c>
      <c r="O117" s="6" t="s">
        <v>783</v>
      </c>
      <c r="P117" s="10" t="s">
        <v>15</v>
      </c>
      <c r="Q117" s="6"/>
      <c r="R117" s="6"/>
      <c r="S117" s="6"/>
      <c r="T117" s="6" t="s">
        <v>16</v>
      </c>
      <c r="U117" s="9" t="s">
        <v>17</v>
      </c>
      <c r="AI117" s="6" t="s">
        <v>18</v>
      </c>
      <c r="AJ117" s="12" t="s">
        <v>771</v>
      </c>
      <c r="AL117" s="13" t="s">
        <v>20</v>
      </c>
    </row>
    <row r="118">
      <c r="A118" s="5" t="s">
        <v>784</v>
      </c>
      <c r="B118" s="5" t="s">
        <v>785</v>
      </c>
      <c r="C118" s="5" t="s">
        <v>766</v>
      </c>
      <c r="D118" s="5" t="s">
        <v>8</v>
      </c>
      <c r="E118" s="6"/>
      <c r="F118" s="6"/>
      <c r="G118" s="7" t="s">
        <v>786</v>
      </c>
      <c r="I118" s="8" t="s">
        <v>787</v>
      </c>
      <c r="J118" s="9">
        <v>29.5</v>
      </c>
      <c r="K118" s="10" t="s">
        <v>11</v>
      </c>
      <c r="L118" s="6"/>
      <c r="M118" s="11" t="s">
        <v>12</v>
      </c>
      <c r="N118" s="6" t="s">
        <v>788</v>
      </c>
      <c r="O118" s="6" t="s">
        <v>789</v>
      </c>
      <c r="P118" s="10" t="s">
        <v>15</v>
      </c>
      <c r="Q118" s="6"/>
      <c r="R118" s="6"/>
      <c r="S118" s="6"/>
      <c r="T118" s="6" t="s">
        <v>16</v>
      </c>
      <c r="U118" s="9" t="s">
        <v>17</v>
      </c>
      <c r="AI118" s="6" t="s">
        <v>18</v>
      </c>
      <c r="AJ118" s="12" t="s">
        <v>771</v>
      </c>
      <c r="AL118" s="13" t="s">
        <v>20</v>
      </c>
    </row>
    <row r="119">
      <c r="A119" s="5" t="s">
        <v>790</v>
      </c>
      <c r="B119" s="5" t="s">
        <v>791</v>
      </c>
      <c r="C119" s="5" t="s">
        <v>792</v>
      </c>
      <c r="D119" s="5" t="s">
        <v>8</v>
      </c>
      <c r="E119" s="6"/>
      <c r="F119" s="6"/>
      <c r="G119" s="7" t="s">
        <v>793</v>
      </c>
      <c r="I119" s="8" t="s">
        <v>794</v>
      </c>
      <c r="J119" s="9">
        <v>10.9</v>
      </c>
      <c r="K119" s="10" t="s">
        <v>11</v>
      </c>
      <c r="L119" s="6"/>
      <c r="M119" s="11" t="s">
        <v>12</v>
      </c>
      <c r="N119" s="6" t="s">
        <v>795</v>
      </c>
      <c r="O119" s="6" t="s">
        <v>796</v>
      </c>
      <c r="P119" s="10" t="s">
        <v>15</v>
      </c>
      <c r="Q119" s="6"/>
      <c r="R119" s="6"/>
      <c r="S119" s="6" t="s">
        <v>797</v>
      </c>
      <c r="T119" s="6" t="s">
        <v>16</v>
      </c>
      <c r="U119" s="9" t="s">
        <v>17</v>
      </c>
      <c r="AI119" s="6" t="s">
        <v>18</v>
      </c>
      <c r="AJ119" s="12" t="s">
        <v>798</v>
      </c>
      <c r="AL119" s="13" t="s">
        <v>20</v>
      </c>
    </row>
    <row r="120">
      <c r="A120" s="5" t="s">
        <v>799</v>
      </c>
      <c r="B120" s="5" t="s">
        <v>800</v>
      </c>
      <c r="C120" s="5" t="s">
        <v>792</v>
      </c>
      <c r="D120" s="5" t="s">
        <v>8</v>
      </c>
      <c r="E120" s="6"/>
      <c r="F120" s="6"/>
      <c r="G120" s="7" t="s">
        <v>801</v>
      </c>
      <c r="I120" s="8" t="s">
        <v>802</v>
      </c>
      <c r="J120" s="9">
        <v>37.9</v>
      </c>
      <c r="K120" s="10" t="s">
        <v>11</v>
      </c>
      <c r="L120" s="6"/>
      <c r="M120" s="11" t="s">
        <v>12</v>
      </c>
      <c r="N120" s="6" t="s">
        <v>803</v>
      </c>
      <c r="O120" s="6" t="s">
        <v>804</v>
      </c>
      <c r="P120" s="10" t="s">
        <v>15</v>
      </c>
      <c r="Q120" s="6"/>
      <c r="R120" s="6"/>
      <c r="S120" s="6" t="s">
        <v>797</v>
      </c>
      <c r="T120" s="6" t="s">
        <v>16</v>
      </c>
      <c r="U120" s="9" t="s">
        <v>17</v>
      </c>
      <c r="AI120" s="6" t="s">
        <v>18</v>
      </c>
      <c r="AJ120" s="12" t="s">
        <v>798</v>
      </c>
      <c r="AL120" s="13" t="s">
        <v>20</v>
      </c>
    </row>
    <row r="121">
      <c r="A121" s="5" t="s">
        <v>805</v>
      </c>
      <c r="B121" s="5" t="s">
        <v>806</v>
      </c>
      <c r="C121" s="5" t="s">
        <v>792</v>
      </c>
      <c r="D121" s="5" t="s">
        <v>8</v>
      </c>
      <c r="E121" s="6"/>
      <c r="F121" s="6"/>
      <c r="G121" s="7" t="s">
        <v>807</v>
      </c>
      <c r="I121" s="8" t="s">
        <v>808</v>
      </c>
      <c r="J121" s="9">
        <v>26.9</v>
      </c>
      <c r="K121" s="10" t="s">
        <v>11</v>
      </c>
      <c r="L121" s="6"/>
      <c r="M121" s="11" t="s">
        <v>12</v>
      </c>
      <c r="N121" s="6" t="s">
        <v>809</v>
      </c>
      <c r="O121" s="6" t="s">
        <v>810</v>
      </c>
      <c r="P121" s="10" t="s">
        <v>15</v>
      </c>
      <c r="Q121" s="6"/>
      <c r="R121" s="6"/>
      <c r="S121" s="6" t="s">
        <v>797</v>
      </c>
      <c r="T121" s="6" t="s">
        <v>16</v>
      </c>
      <c r="U121" s="9" t="s">
        <v>17</v>
      </c>
      <c r="AI121" s="6" t="s">
        <v>18</v>
      </c>
      <c r="AJ121" s="12" t="s">
        <v>798</v>
      </c>
      <c r="AL121" s="13" t="s">
        <v>20</v>
      </c>
    </row>
    <row r="122">
      <c r="A122" s="5" t="s">
        <v>811</v>
      </c>
      <c r="B122" s="5" t="s">
        <v>812</v>
      </c>
      <c r="C122" s="5" t="s">
        <v>792</v>
      </c>
      <c r="D122" s="5" t="s">
        <v>8</v>
      </c>
      <c r="E122" s="6"/>
      <c r="F122" s="6"/>
      <c r="G122" s="7" t="s">
        <v>813</v>
      </c>
      <c r="I122" s="8" t="s">
        <v>814</v>
      </c>
      <c r="J122" s="9">
        <v>26.4</v>
      </c>
      <c r="K122" s="10" t="s">
        <v>11</v>
      </c>
      <c r="L122" s="6"/>
      <c r="M122" s="11" t="s">
        <v>12</v>
      </c>
      <c r="N122" s="6" t="s">
        <v>815</v>
      </c>
      <c r="O122" s="6" t="s">
        <v>816</v>
      </c>
      <c r="P122" s="10" t="s">
        <v>15</v>
      </c>
      <c r="Q122" s="6"/>
      <c r="R122" s="6"/>
      <c r="S122" s="6" t="s">
        <v>797</v>
      </c>
      <c r="T122" s="6" t="s">
        <v>16</v>
      </c>
      <c r="U122" s="9" t="s">
        <v>17</v>
      </c>
      <c r="AI122" s="6" t="s">
        <v>18</v>
      </c>
      <c r="AJ122" s="12" t="s">
        <v>798</v>
      </c>
      <c r="AL122" s="13" t="s">
        <v>20</v>
      </c>
    </row>
    <row r="123">
      <c r="A123" s="5" t="s">
        <v>817</v>
      </c>
      <c r="B123" s="5" t="s">
        <v>818</v>
      </c>
      <c r="C123" s="5" t="s">
        <v>819</v>
      </c>
      <c r="D123" s="5" t="s">
        <v>8</v>
      </c>
      <c r="E123" s="6"/>
      <c r="F123" s="6"/>
      <c r="G123" s="7" t="s">
        <v>820</v>
      </c>
      <c r="I123" s="8" t="s">
        <v>821</v>
      </c>
      <c r="J123" s="9">
        <v>7.3</v>
      </c>
      <c r="K123" s="10" t="s">
        <v>11</v>
      </c>
      <c r="L123" s="6"/>
      <c r="M123" s="11" t="s">
        <v>12</v>
      </c>
      <c r="N123" s="6" t="s">
        <v>822</v>
      </c>
      <c r="O123" s="6" t="s">
        <v>823</v>
      </c>
      <c r="P123" s="10" t="s">
        <v>15</v>
      </c>
      <c r="Q123" s="6"/>
      <c r="R123" s="6"/>
      <c r="S123" s="6"/>
      <c r="T123" s="6" t="s">
        <v>16</v>
      </c>
      <c r="U123" s="9" t="s">
        <v>17</v>
      </c>
      <c r="AI123" s="6" t="s">
        <v>18</v>
      </c>
      <c r="AJ123" s="12" t="s">
        <v>824</v>
      </c>
      <c r="AL123" s="13" t="s">
        <v>20</v>
      </c>
    </row>
    <row r="124">
      <c r="A124" s="5" t="s">
        <v>825</v>
      </c>
      <c r="B124" s="5" t="s">
        <v>826</v>
      </c>
      <c r="C124" s="5" t="s">
        <v>819</v>
      </c>
      <c r="D124" s="5" t="s">
        <v>8</v>
      </c>
      <c r="E124" s="6"/>
      <c r="F124" s="6"/>
      <c r="G124" s="7" t="s">
        <v>827</v>
      </c>
      <c r="I124" s="8" t="s">
        <v>828</v>
      </c>
      <c r="J124" s="9">
        <v>23.36</v>
      </c>
      <c r="K124" s="10" t="s">
        <v>11</v>
      </c>
      <c r="L124" s="6"/>
      <c r="M124" s="11" t="s">
        <v>12</v>
      </c>
      <c r="N124" s="6" t="s">
        <v>829</v>
      </c>
      <c r="O124" s="6" t="s">
        <v>830</v>
      </c>
      <c r="P124" s="10" t="s">
        <v>15</v>
      </c>
      <c r="Q124" s="6"/>
      <c r="R124" s="6"/>
      <c r="S124" s="6"/>
      <c r="T124" s="6" t="s">
        <v>16</v>
      </c>
      <c r="U124" s="9" t="s">
        <v>17</v>
      </c>
      <c r="AI124" s="6" t="s">
        <v>18</v>
      </c>
      <c r="AJ124" s="12" t="s">
        <v>824</v>
      </c>
      <c r="AL124" s="13" t="s">
        <v>20</v>
      </c>
    </row>
    <row r="125">
      <c r="A125" s="5" t="s">
        <v>831</v>
      </c>
      <c r="B125" s="5" t="s">
        <v>832</v>
      </c>
      <c r="C125" s="5" t="s">
        <v>833</v>
      </c>
      <c r="D125" s="5" t="s">
        <v>8</v>
      </c>
      <c r="E125" s="6"/>
      <c r="F125" s="6"/>
      <c r="G125" s="7" t="s">
        <v>834</v>
      </c>
      <c r="I125" s="8" t="s">
        <v>835</v>
      </c>
      <c r="J125" s="9">
        <v>7.5</v>
      </c>
      <c r="K125" s="10" t="s">
        <v>11</v>
      </c>
      <c r="L125" s="6"/>
      <c r="M125" s="11" t="s">
        <v>12</v>
      </c>
      <c r="N125" s="6" t="s">
        <v>836</v>
      </c>
      <c r="O125" s="6" t="s">
        <v>837</v>
      </c>
      <c r="P125" s="10" t="s">
        <v>15</v>
      </c>
      <c r="Q125" s="6"/>
      <c r="R125" s="6"/>
      <c r="S125" s="6"/>
      <c r="T125" s="6" t="s">
        <v>16</v>
      </c>
      <c r="U125" s="9" t="s">
        <v>17</v>
      </c>
      <c r="AI125" s="6" t="s">
        <v>18</v>
      </c>
      <c r="AJ125" s="12" t="s">
        <v>838</v>
      </c>
      <c r="AL125" s="13" t="s">
        <v>20</v>
      </c>
    </row>
    <row r="126">
      <c r="A126" s="5" t="s">
        <v>839</v>
      </c>
      <c r="B126" s="5" t="s">
        <v>840</v>
      </c>
      <c r="C126" s="5" t="s">
        <v>833</v>
      </c>
      <c r="D126" s="5" t="s">
        <v>8</v>
      </c>
      <c r="E126" s="6"/>
      <c r="F126" s="6"/>
      <c r="G126" s="7" t="s">
        <v>841</v>
      </c>
      <c r="I126" s="8" t="s">
        <v>842</v>
      </c>
      <c r="J126" s="9">
        <v>16.8</v>
      </c>
      <c r="K126" s="10" t="s">
        <v>11</v>
      </c>
      <c r="L126" s="6"/>
      <c r="M126" s="11" t="s">
        <v>12</v>
      </c>
      <c r="N126" s="6" t="s">
        <v>843</v>
      </c>
      <c r="O126" s="6" t="s">
        <v>844</v>
      </c>
      <c r="P126" s="10" t="s">
        <v>15</v>
      </c>
      <c r="Q126" s="6"/>
      <c r="R126" s="6"/>
      <c r="S126" s="6"/>
      <c r="T126" s="6" t="s">
        <v>16</v>
      </c>
      <c r="U126" s="9" t="s">
        <v>17</v>
      </c>
      <c r="AI126" s="6" t="s">
        <v>18</v>
      </c>
      <c r="AJ126" s="12" t="s">
        <v>838</v>
      </c>
      <c r="AL126" s="13" t="s">
        <v>20</v>
      </c>
    </row>
    <row r="127">
      <c r="A127" s="5" t="s">
        <v>845</v>
      </c>
      <c r="B127" s="5" t="s">
        <v>846</v>
      </c>
      <c r="C127" s="5" t="s">
        <v>847</v>
      </c>
      <c r="D127" s="5" t="s">
        <v>8</v>
      </c>
      <c r="E127" s="6"/>
      <c r="F127" s="6"/>
      <c r="G127" s="7" t="s">
        <v>848</v>
      </c>
      <c r="I127" s="8" t="s">
        <v>849</v>
      </c>
      <c r="J127" s="9">
        <v>10.9</v>
      </c>
      <c r="K127" s="10" t="s">
        <v>11</v>
      </c>
      <c r="L127" s="6"/>
      <c r="M127" s="11" t="s">
        <v>12</v>
      </c>
      <c r="N127" s="6" t="s">
        <v>850</v>
      </c>
      <c r="O127" s="6" t="s">
        <v>851</v>
      </c>
      <c r="P127" s="10" t="s">
        <v>15</v>
      </c>
      <c r="Q127" s="6"/>
      <c r="R127" s="6"/>
      <c r="S127" s="6"/>
      <c r="T127" s="6" t="s">
        <v>16</v>
      </c>
      <c r="U127" s="9" t="s">
        <v>17</v>
      </c>
      <c r="AI127" s="6" t="s">
        <v>18</v>
      </c>
      <c r="AJ127" s="12" t="s">
        <v>852</v>
      </c>
      <c r="AL127" s="13" t="s">
        <v>20</v>
      </c>
    </row>
    <row r="128">
      <c r="A128" s="5" t="s">
        <v>853</v>
      </c>
      <c r="B128" s="5" t="s">
        <v>854</v>
      </c>
      <c r="C128" s="5" t="s">
        <v>847</v>
      </c>
      <c r="D128" s="5" t="s">
        <v>8</v>
      </c>
      <c r="E128" s="6"/>
      <c r="F128" s="6"/>
      <c r="G128" s="7" t="s">
        <v>855</v>
      </c>
      <c r="I128" s="8" t="s">
        <v>856</v>
      </c>
      <c r="J128" s="9">
        <v>36.9</v>
      </c>
      <c r="K128" s="10" t="s">
        <v>11</v>
      </c>
      <c r="L128" s="6"/>
      <c r="M128" s="11" t="s">
        <v>12</v>
      </c>
      <c r="N128" s="6" t="s">
        <v>857</v>
      </c>
      <c r="O128" s="6" t="s">
        <v>858</v>
      </c>
      <c r="P128" s="10" t="s">
        <v>15</v>
      </c>
      <c r="Q128" s="6"/>
      <c r="R128" s="6"/>
      <c r="S128" s="6"/>
      <c r="T128" s="6" t="s">
        <v>16</v>
      </c>
      <c r="U128" s="9" t="s">
        <v>17</v>
      </c>
      <c r="AI128" s="6" t="s">
        <v>18</v>
      </c>
      <c r="AJ128" s="12" t="s">
        <v>852</v>
      </c>
      <c r="AL128" s="13" t="s">
        <v>20</v>
      </c>
    </row>
    <row r="129">
      <c r="A129" s="5" t="s">
        <v>859</v>
      </c>
      <c r="B129" s="5" t="s">
        <v>860</v>
      </c>
      <c r="C129" s="5" t="s">
        <v>847</v>
      </c>
      <c r="D129" s="5" t="s">
        <v>8</v>
      </c>
      <c r="E129" s="6"/>
      <c r="F129" s="6"/>
      <c r="G129" s="7" t="s">
        <v>861</v>
      </c>
      <c r="I129" s="8" t="s">
        <v>862</v>
      </c>
      <c r="J129" s="9">
        <v>26.9</v>
      </c>
      <c r="K129" s="10" t="s">
        <v>11</v>
      </c>
      <c r="L129" s="6"/>
      <c r="M129" s="11" t="s">
        <v>12</v>
      </c>
      <c r="N129" s="6" t="s">
        <v>863</v>
      </c>
      <c r="O129" s="6" t="s">
        <v>864</v>
      </c>
      <c r="P129" s="10" t="s">
        <v>15</v>
      </c>
      <c r="Q129" s="6"/>
      <c r="R129" s="6"/>
      <c r="S129" s="6"/>
      <c r="T129" s="6" t="s">
        <v>16</v>
      </c>
      <c r="U129" s="9" t="s">
        <v>17</v>
      </c>
      <c r="AI129" s="6" t="s">
        <v>18</v>
      </c>
      <c r="AJ129" s="12" t="s">
        <v>852</v>
      </c>
      <c r="AL129" s="13" t="s">
        <v>20</v>
      </c>
    </row>
    <row r="130">
      <c r="A130" s="5" t="s">
        <v>865</v>
      </c>
      <c r="B130" s="5" t="s">
        <v>866</v>
      </c>
      <c r="C130" s="5" t="s">
        <v>847</v>
      </c>
      <c r="D130" s="5" t="s">
        <v>8</v>
      </c>
      <c r="E130" s="6"/>
      <c r="F130" s="6"/>
      <c r="G130" s="7" t="s">
        <v>867</v>
      </c>
      <c r="I130" s="8" t="s">
        <v>868</v>
      </c>
      <c r="J130" s="9">
        <v>29.5</v>
      </c>
      <c r="K130" s="10" t="s">
        <v>11</v>
      </c>
      <c r="L130" s="6"/>
      <c r="M130" s="11" t="s">
        <v>12</v>
      </c>
      <c r="N130" s="6" t="s">
        <v>869</v>
      </c>
      <c r="O130" s="6" t="s">
        <v>870</v>
      </c>
      <c r="P130" s="10" t="s">
        <v>15</v>
      </c>
      <c r="Q130" s="6"/>
      <c r="R130" s="6"/>
      <c r="S130" s="6"/>
      <c r="T130" s="6" t="s">
        <v>16</v>
      </c>
      <c r="U130" s="9" t="s">
        <v>17</v>
      </c>
      <c r="AI130" s="6" t="s">
        <v>18</v>
      </c>
      <c r="AJ130" s="12" t="s">
        <v>852</v>
      </c>
      <c r="AL130" s="13" t="s">
        <v>20</v>
      </c>
    </row>
    <row r="131">
      <c r="A131" s="5" t="s">
        <v>871</v>
      </c>
      <c r="B131" s="5" t="s">
        <v>872</v>
      </c>
      <c r="C131" s="5" t="s">
        <v>873</v>
      </c>
      <c r="D131" s="5" t="s">
        <v>8</v>
      </c>
      <c r="E131" s="6"/>
      <c r="F131" s="6"/>
      <c r="G131" s="7" t="s">
        <v>874</v>
      </c>
      <c r="I131" s="8" t="s">
        <v>875</v>
      </c>
      <c r="J131" s="9">
        <v>9.9</v>
      </c>
      <c r="K131" s="10" t="s">
        <v>11</v>
      </c>
      <c r="L131" s="6"/>
      <c r="M131" s="11" t="s">
        <v>12</v>
      </c>
      <c r="N131" s="6" t="s">
        <v>876</v>
      </c>
      <c r="O131" s="6" t="s">
        <v>877</v>
      </c>
      <c r="P131" s="10" t="s">
        <v>15</v>
      </c>
      <c r="Q131" s="6"/>
      <c r="R131" s="6"/>
      <c r="S131" s="6"/>
      <c r="T131" s="6" t="s">
        <v>16</v>
      </c>
      <c r="U131" s="9" t="s">
        <v>17</v>
      </c>
      <c r="AI131" s="6" t="s">
        <v>18</v>
      </c>
      <c r="AJ131" s="12" t="s">
        <v>878</v>
      </c>
      <c r="AL131" s="13" t="s">
        <v>20</v>
      </c>
    </row>
    <row r="132">
      <c r="A132" s="5" t="s">
        <v>879</v>
      </c>
      <c r="B132" s="5" t="s">
        <v>880</v>
      </c>
      <c r="C132" s="5" t="s">
        <v>873</v>
      </c>
      <c r="D132" s="5" t="s">
        <v>8</v>
      </c>
      <c r="E132" s="6"/>
      <c r="F132" s="6"/>
      <c r="G132" s="7" t="s">
        <v>881</v>
      </c>
      <c r="I132" s="8" t="s">
        <v>882</v>
      </c>
      <c r="J132" s="9">
        <v>37.9</v>
      </c>
      <c r="K132" s="10" t="s">
        <v>11</v>
      </c>
      <c r="L132" s="6"/>
      <c r="M132" s="11" t="s">
        <v>12</v>
      </c>
      <c r="N132" s="6" t="s">
        <v>883</v>
      </c>
      <c r="O132" s="6" t="s">
        <v>884</v>
      </c>
      <c r="P132" s="10" t="s">
        <v>15</v>
      </c>
      <c r="Q132" s="6"/>
      <c r="R132" s="6"/>
      <c r="S132" s="6"/>
      <c r="T132" s="6" t="s">
        <v>16</v>
      </c>
      <c r="U132" s="9" t="s">
        <v>17</v>
      </c>
      <c r="AI132" s="6" t="s">
        <v>18</v>
      </c>
      <c r="AJ132" s="12" t="s">
        <v>878</v>
      </c>
      <c r="AL132" s="13" t="s">
        <v>20</v>
      </c>
    </row>
    <row r="133">
      <c r="A133" s="5" t="s">
        <v>885</v>
      </c>
      <c r="B133" s="5" t="s">
        <v>886</v>
      </c>
      <c r="C133" s="5" t="s">
        <v>873</v>
      </c>
      <c r="D133" s="5" t="s">
        <v>8</v>
      </c>
      <c r="E133" s="6"/>
      <c r="F133" s="6"/>
      <c r="G133" s="7" t="s">
        <v>887</v>
      </c>
      <c r="I133" s="8" t="s">
        <v>888</v>
      </c>
      <c r="J133" s="9">
        <v>26.9</v>
      </c>
      <c r="K133" s="10" t="s">
        <v>11</v>
      </c>
      <c r="L133" s="6"/>
      <c r="M133" s="11" t="s">
        <v>12</v>
      </c>
      <c r="N133" s="6" t="s">
        <v>889</v>
      </c>
      <c r="O133" s="6" t="s">
        <v>890</v>
      </c>
      <c r="P133" s="10" t="s">
        <v>15</v>
      </c>
      <c r="Q133" s="6"/>
      <c r="R133" s="6"/>
      <c r="S133" s="6"/>
      <c r="T133" s="6" t="s">
        <v>16</v>
      </c>
      <c r="U133" s="9" t="s">
        <v>17</v>
      </c>
      <c r="AI133" s="6" t="s">
        <v>18</v>
      </c>
      <c r="AJ133" s="12" t="s">
        <v>878</v>
      </c>
      <c r="AL133" s="13" t="s">
        <v>20</v>
      </c>
    </row>
    <row r="134">
      <c r="A134" s="5" t="s">
        <v>891</v>
      </c>
      <c r="B134" s="5" t="s">
        <v>892</v>
      </c>
      <c r="C134" s="5" t="s">
        <v>873</v>
      </c>
      <c r="D134" s="5" t="s">
        <v>8</v>
      </c>
      <c r="E134" s="6"/>
      <c r="F134" s="6"/>
      <c r="G134" s="7" t="s">
        <v>893</v>
      </c>
      <c r="I134" s="8" t="s">
        <v>894</v>
      </c>
      <c r="J134" s="9">
        <v>29.5</v>
      </c>
      <c r="K134" s="10" t="s">
        <v>11</v>
      </c>
      <c r="L134" s="6"/>
      <c r="M134" s="11" t="s">
        <v>12</v>
      </c>
      <c r="N134" s="6" t="s">
        <v>895</v>
      </c>
      <c r="O134" s="6" t="s">
        <v>896</v>
      </c>
      <c r="P134" s="10" t="s">
        <v>15</v>
      </c>
      <c r="Q134" s="6"/>
      <c r="R134" s="6"/>
      <c r="S134" s="6"/>
      <c r="T134" s="6" t="s">
        <v>16</v>
      </c>
      <c r="U134" s="9" t="s">
        <v>17</v>
      </c>
      <c r="AI134" s="6" t="s">
        <v>18</v>
      </c>
      <c r="AJ134" s="12" t="s">
        <v>878</v>
      </c>
      <c r="AL134" s="13" t="s">
        <v>20</v>
      </c>
    </row>
    <row r="135">
      <c r="A135" s="5" t="s">
        <v>897</v>
      </c>
      <c r="B135" s="5" t="s">
        <v>898</v>
      </c>
      <c r="C135" s="5" t="s">
        <v>873</v>
      </c>
      <c r="D135" s="5" t="s">
        <v>8</v>
      </c>
      <c r="E135" s="6"/>
      <c r="F135" s="6"/>
      <c r="G135" s="7" t="s">
        <v>899</v>
      </c>
      <c r="I135" s="8" t="s">
        <v>900</v>
      </c>
      <c r="J135" s="9">
        <v>59.0</v>
      </c>
      <c r="K135" s="10">
        <v>53.1</v>
      </c>
      <c r="L135" s="6"/>
      <c r="M135" s="11" t="s">
        <v>17</v>
      </c>
      <c r="N135" s="6"/>
      <c r="O135" s="6" t="s">
        <v>901</v>
      </c>
      <c r="P135" s="10" t="s">
        <v>15</v>
      </c>
      <c r="Q135" s="6"/>
      <c r="R135" s="6"/>
      <c r="S135" s="6"/>
      <c r="T135" s="6" t="s">
        <v>16</v>
      </c>
      <c r="U135" s="9" t="s">
        <v>17</v>
      </c>
      <c r="AI135" s="6" t="s">
        <v>18</v>
      </c>
      <c r="AJ135" s="12" t="s">
        <v>878</v>
      </c>
      <c r="AL135" s="13" t="s">
        <v>20</v>
      </c>
    </row>
    <row r="136">
      <c r="A136" s="5" t="s">
        <v>902</v>
      </c>
      <c r="B136" s="5" t="s">
        <v>903</v>
      </c>
      <c r="C136" s="5" t="s">
        <v>904</v>
      </c>
      <c r="D136" s="5" t="s">
        <v>8</v>
      </c>
      <c r="E136" s="6"/>
      <c r="F136" s="6"/>
      <c r="G136" s="7" t="s">
        <v>905</v>
      </c>
      <c r="I136" s="8" t="s">
        <v>906</v>
      </c>
      <c r="J136" s="9">
        <v>9.9</v>
      </c>
      <c r="K136" s="10" t="s">
        <v>11</v>
      </c>
      <c r="L136" s="6"/>
      <c r="M136" s="11" t="s">
        <v>12</v>
      </c>
      <c r="N136" s="6" t="s">
        <v>907</v>
      </c>
      <c r="O136" s="6" t="s">
        <v>908</v>
      </c>
      <c r="P136" s="10" t="s">
        <v>15</v>
      </c>
      <c r="Q136" s="6"/>
      <c r="R136" s="6"/>
      <c r="S136" s="6"/>
      <c r="T136" s="6" t="s">
        <v>16</v>
      </c>
      <c r="U136" s="9" t="s">
        <v>17</v>
      </c>
      <c r="AI136" s="6" t="s">
        <v>18</v>
      </c>
      <c r="AJ136" s="12" t="s">
        <v>909</v>
      </c>
      <c r="AL136" s="13" t="s">
        <v>20</v>
      </c>
    </row>
    <row r="137">
      <c r="A137" s="5" t="s">
        <v>910</v>
      </c>
      <c r="B137" s="5" t="s">
        <v>911</v>
      </c>
      <c r="C137" s="5" t="s">
        <v>912</v>
      </c>
      <c r="D137" s="5" t="s">
        <v>8</v>
      </c>
      <c r="E137" s="6"/>
      <c r="F137" s="6"/>
      <c r="G137" s="7" t="s">
        <v>913</v>
      </c>
      <c r="I137" s="8" t="s">
        <v>914</v>
      </c>
      <c r="J137" s="9">
        <v>11.9</v>
      </c>
      <c r="K137" s="10" t="s">
        <v>11</v>
      </c>
      <c r="L137" s="6"/>
      <c r="M137" s="11" t="s">
        <v>12</v>
      </c>
      <c r="N137" s="6" t="s">
        <v>915</v>
      </c>
      <c r="O137" s="6" t="s">
        <v>916</v>
      </c>
      <c r="P137" s="10" t="s">
        <v>15</v>
      </c>
      <c r="Q137" s="6"/>
      <c r="R137" s="6"/>
      <c r="S137" s="6"/>
      <c r="T137" s="6" t="s">
        <v>16</v>
      </c>
      <c r="U137" s="9" t="s">
        <v>17</v>
      </c>
      <c r="AI137" s="6" t="s">
        <v>18</v>
      </c>
      <c r="AJ137" s="12" t="s">
        <v>917</v>
      </c>
      <c r="AL137" s="13" t="s">
        <v>20</v>
      </c>
    </row>
    <row r="138">
      <c r="A138" s="5" t="s">
        <v>918</v>
      </c>
      <c r="B138" s="5" t="s">
        <v>919</v>
      </c>
      <c r="C138" s="5" t="s">
        <v>912</v>
      </c>
      <c r="D138" s="5" t="s">
        <v>8</v>
      </c>
      <c r="E138" s="6"/>
      <c r="F138" s="6"/>
      <c r="G138" s="7" t="s">
        <v>920</v>
      </c>
      <c r="I138" s="8" t="s">
        <v>921</v>
      </c>
      <c r="J138" s="9">
        <v>29.5</v>
      </c>
      <c r="K138" s="10" t="s">
        <v>11</v>
      </c>
      <c r="L138" s="6"/>
      <c r="M138" s="11" t="s">
        <v>12</v>
      </c>
      <c r="N138" s="6" t="s">
        <v>922</v>
      </c>
      <c r="O138" s="6" t="s">
        <v>923</v>
      </c>
      <c r="P138" s="10" t="s">
        <v>15</v>
      </c>
      <c r="Q138" s="6"/>
      <c r="R138" s="6"/>
      <c r="S138" s="6"/>
      <c r="T138" s="6" t="s">
        <v>16</v>
      </c>
      <c r="U138" s="9" t="s">
        <v>17</v>
      </c>
      <c r="AI138" s="6" t="s">
        <v>18</v>
      </c>
      <c r="AJ138" s="12" t="s">
        <v>917</v>
      </c>
      <c r="AL138" s="13" t="s">
        <v>20</v>
      </c>
    </row>
    <row r="139">
      <c r="A139" s="5" t="s">
        <v>924</v>
      </c>
      <c r="B139" s="5" t="s">
        <v>925</v>
      </c>
      <c r="C139" s="5" t="s">
        <v>926</v>
      </c>
      <c r="D139" s="5" t="s">
        <v>8</v>
      </c>
      <c r="E139" s="6"/>
      <c r="F139" s="6"/>
      <c r="G139" s="7" t="s">
        <v>927</v>
      </c>
      <c r="I139" s="8" t="s">
        <v>928</v>
      </c>
      <c r="J139" s="9">
        <v>8.8</v>
      </c>
      <c r="K139" s="10" t="s">
        <v>11</v>
      </c>
      <c r="L139" s="6"/>
      <c r="M139" s="11" t="s">
        <v>12</v>
      </c>
      <c r="N139" s="6" t="s">
        <v>929</v>
      </c>
      <c r="O139" s="6" t="s">
        <v>930</v>
      </c>
      <c r="P139" s="10" t="s">
        <v>15</v>
      </c>
      <c r="Q139" s="6"/>
      <c r="R139" s="6"/>
      <c r="S139" s="6"/>
      <c r="T139" s="6" t="s">
        <v>16</v>
      </c>
      <c r="U139" s="9" t="s">
        <v>17</v>
      </c>
      <c r="AI139" s="6" t="s">
        <v>18</v>
      </c>
      <c r="AJ139" s="12" t="s">
        <v>931</v>
      </c>
      <c r="AL139" s="13" t="s">
        <v>20</v>
      </c>
    </row>
    <row r="140">
      <c r="A140" s="5" t="s">
        <v>932</v>
      </c>
      <c r="B140" s="5" t="s">
        <v>933</v>
      </c>
      <c r="C140" s="5" t="s">
        <v>926</v>
      </c>
      <c r="D140" s="5" t="s">
        <v>8</v>
      </c>
      <c r="E140" s="6"/>
      <c r="F140" s="6"/>
      <c r="G140" s="7" t="s">
        <v>934</v>
      </c>
      <c r="I140" s="8" t="s">
        <v>935</v>
      </c>
      <c r="J140" s="9">
        <v>35.0</v>
      </c>
      <c r="K140" s="10" t="s">
        <v>11</v>
      </c>
      <c r="L140" s="6"/>
      <c r="M140" s="11" t="s">
        <v>12</v>
      </c>
      <c r="N140" s="6" t="s">
        <v>936</v>
      </c>
      <c r="O140" s="6" t="s">
        <v>937</v>
      </c>
      <c r="P140" s="10" t="s">
        <v>15</v>
      </c>
      <c r="Q140" s="6"/>
      <c r="R140" s="6"/>
      <c r="S140" s="6"/>
      <c r="T140" s="6" t="s">
        <v>16</v>
      </c>
      <c r="U140" s="9" t="s">
        <v>17</v>
      </c>
      <c r="AI140" s="6" t="s">
        <v>18</v>
      </c>
      <c r="AJ140" s="12" t="s">
        <v>931</v>
      </c>
      <c r="AL140" s="13" t="s">
        <v>20</v>
      </c>
    </row>
    <row r="141">
      <c r="A141" s="5" t="s">
        <v>938</v>
      </c>
      <c r="B141" s="5" t="s">
        <v>939</v>
      </c>
      <c r="C141" s="5" t="s">
        <v>940</v>
      </c>
      <c r="D141" s="5" t="s">
        <v>8</v>
      </c>
      <c r="E141" s="6"/>
      <c r="F141" s="6"/>
      <c r="G141" s="7" t="s">
        <v>941</v>
      </c>
      <c r="I141" s="8" t="s">
        <v>942</v>
      </c>
      <c r="J141" s="9">
        <v>9.9</v>
      </c>
      <c r="K141" s="10" t="s">
        <v>11</v>
      </c>
      <c r="L141" s="6"/>
      <c r="M141" s="11" t="s">
        <v>12</v>
      </c>
      <c r="N141" s="6" t="s">
        <v>943</v>
      </c>
      <c r="O141" s="6" t="s">
        <v>944</v>
      </c>
      <c r="P141" s="10" t="s">
        <v>15</v>
      </c>
      <c r="Q141" s="6"/>
      <c r="R141" s="6"/>
      <c r="S141" s="6"/>
      <c r="T141" s="6" t="s">
        <v>16</v>
      </c>
      <c r="U141" s="9" t="s">
        <v>17</v>
      </c>
      <c r="AI141" s="6" t="s">
        <v>18</v>
      </c>
      <c r="AJ141" s="12" t="s">
        <v>945</v>
      </c>
      <c r="AL141" s="13" t="s">
        <v>20</v>
      </c>
    </row>
    <row r="142">
      <c r="A142" s="5" t="s">
        <v>946</v>
      </c>
      <c r="B142" s="5" t="s">
        <v>947</v>
      </c>
      <c r="C142" s="5" t="s">
        <v>940</v>
      </c>
      <c r="D142" s="5" t="s">
        <v>8</v>
      </c>
      <c r="E142" s="6"/>
      <c r="F142" s="6"/>
      <c r="G142" s="7" t="s">
        <v>948</v>
      </c>
      <c r="I142" s="8" t="s">
        <v>949</v>
      </c>
      <c r="J142" s="9">
        <v>26.9</v>
      </c>
      <c r="K142" s="10" t="s">
        <v>11</v>
      </c>
      <c r="L142" s="6"/>
      <c r="M142" s="11" t="s">
        <v>12</v>
      </c>
      <c r="N142" s="6" t="s">
        <v>950</v>
      </c>
      <c r="O142" s="6" t="s">
        <v>951</v>
      </c>
      <c r="P142" s="10" t="s">
        <v>15</v>
      </c>
      <c r="Q142" s="6"/>
      <c r="R142" s="6"/>
      <c r="S142" s="6"/>
      <c r="T142" s="6" t="s">
        <v>16</v>
      </c>
      <c r="U142" s="9" t="s">
        <v>17</v>
      </c>
      <c r="AI142" s="6" t="s">
        <v>18</v>
      </c>
      <c r="AJ142" s="12" t="s">
        <v>945</v>
      </c>
      <c r="AL142" s="13" t="s">
        <v>20</v>
      </c>
    </row>
    <row r="143">
      <c r="A143" s="5" t="s">
        <v>952</v>
      </c>
      <c r="B143" s="5" t="s">
        <v>953</v>
      </c>
      <c r="C143" s="5" t="s">
        <v>940</v>
      </c>
      <c r="D143" s="5" t="s">
        <v>8</v>
      </c>
      <c r="E143" s="6"/>
      <c r="F143" s="6"/>
      <c r="G143" s="7" t="s">
        <v>954</v>
      </c>
      <c r="I143" s="8" t="s">
        <v>955</v>
      </c>
      <c r="J143" s="9">
        <v>24.9</v>
      </c>
      <c r="K143" s="10" t="s">
        <v>11</v>
      </c>
      <c r="L143" s="6"/>
      <c r="M143" s="11" t="s">
        <v>12</v>
      </c>
      <c r="N143" s="6" t="s">
        <v>943</v>
      </c>
      <c r="O143" s="6" t="s">
        <v>956</v>
      </c>
      <c r="P143" s="10" t="s">
        <v>15</v>
      </c>
      <c r="Q143" s="6"/>
      <c r="R143" s="6"/>
      <c r="S143" s="6"/>
      <c r="T143" s="6" t="s">
        <v>16</v>
      </c>
      <c r="U143" s="9" t="s">
        <v>17</v>
      </c>
      <c r="AI143" s="6" t="s">
        <v>18</v>
      </c>
      <c r="AJ143" s="12" t="s">
        <v>945</v>
      </c>
      <c r="AL143" s="13" t="s">
        <v>20</v>
      </c>
    </row>
    <row r="144">
      <c r="A144" s="5" t="s">
        <v>957</v>
      </c>
      <c r="B144" s="5" t="s">
        <v>958</v>
      </c>
      <c r="C144" s="5" t="s">
        <v>959</v>
      </c>
      <c r="D144" s="5" t="s">
        <v>8</v>
      </c>
      <c r="E144" s="6"/>
      <c r="F144" s="6"/>
      <c r="G144" s="7" t="s">
        <v>960</v>
      </c>
      <c r="I144" s="8" t="s">
        <v>961</v>
      </c>
      <c r="J144" s="9">
        <v>16.9</v>
      </c>
      <c r="K144" s="10" t="s">
        <v>11</v>
      </c>
      <c r="L144" s="6"/>
      <c r="M144" s="11" t="s">
        <v>12</v>
      </c>
      <c r="N144" s="6" t="s">
        <v>962</v>
      </c>
      <c r="O144" s="6" t="s">
        <v>963</v>
      </c>
      <c r="P144" s="10" t="s">
        <v>15</v>
      </c>
      <c r="Q144" s="6"/>
      <c r="R144" s="6"/>
      <c r="S144" s="6" t="s">
        <v>964</v>
      </c>
      <c r="T144" s="6" t="s">
        <v>16</v>
      </c>
      <c r="U144" s="9" t="s">
        <v>17</v>
      </c>
      <c r="AI144" s="6" t="s">
        <v>18</v>
      </c>
      <c r="AJ144" s="12" t="s">
        <v>965</v>
      </c>
      <c r="AL144" s="13" t="s">
        <v>20</v>
      </c>
    </row>
    <row r="145">
      <c r="A145" s="5" t="s">
        <v>966</v>
      </c>
      <c r="B145" s="5" t="s">
        <v>967</v>
      </c>
      <c r="C145" s="5" t="s">
        <v>968</v>
      </c>
      <c r="D145" s="5" t="s">
        <v>8</v>
      </c>
      <c r="E145" s="6"/>
      <c r="F145" s="6"/>
      <c r="G145" s="7" t="s">
        <v>969</v>
      </c>
      <c r="I145" s="8" t="s">
        <v>970</v>
      </c>
      <c r="J145" s="9">
        <v>10.9</v>
      </c>
      <c r="K145" s="10" t="s">
        <v>11</v>
      </c>
      <c r="L145" s="6"/>
      <c r="M145" s="11" t="s">
        <v>12</v>
      </c>
      <c r="N145" s="6" t="s">
        <v>971</v>
      </c>
      <c r="O145" s="6" t="s">
        <v>972</v>
      </c>
      <c r="P145" s="10" t="s">
        <v>15</v>
      </c>
      <c r="Q145" s="6"/>
      <c r="R145" s="6"/>
      <c r="S145" s="6"/>
      <c r="T145" s="6" t="s">
        <v>16</v>
      </c>
      <c r="U145" s="9" t="s">
        <v>17</v>
      </c>
      <c r="AI145" s="6" t="s">
        <v>18</v>
      </c>
      <c r="AJ145" s="12" t="s">
        <v>973</v>
      </c>
      <c r="AL145" s="13" t="s">
        <v>20</v>
      </c>
    </row>
    <row r="146">
      <c r="A146" s="5" t="s">
        <v>974</v>
      </c>
      <c r="B146" s="5" t="s">
        <v>975</v>
      </c>
      <c r="C146" s="5" t="s">
        <v>976</v>
      </c>
      <c r="D146" s="5" t="s">
        <v>8</v>
      </c>
      <c r="E146" s="6"/>
      <c r="F146" s="6"/>
      <c r="G146" s="7" t="s">
        <v>977</v>
      </c>
      <c r="I146" s="8" t="s">
        <v>978</v>
      </c>
      <c r="J146" s="9">
        <v>7.3</v>
      </c>
      <c r="K146" s="10" t="s">
        <v>11</v>
      </c>
      <c r="L146" s="6"/>
      <c r="M146" s="11" t="s">
        <v>12</v>
      </c>
      <c r="N146" s="6" t="s">
        <v>979</v>
      </c>
      <c r="O146" s="6" t="s">
        <v>980</v>
      </c>
      <c r="P146" s="10" t="s">
        <v>15</v>
      </c>
      <c r="Q146" s="6"/>
      <c r="R146" s="6"/>
      <c r="S146" s="6"/>
      <c r="T146" s="6" t="s">
        <v>16</v>
      </c>
      <c r="U146" s="9" t="s">
        <v>17</v>
      </c>
      <c r="AI146" s="6" t="s">
        <v>18</v>
      </c>
      <c r="AJ146" s="12" t="s">
        <v>981</v>
      </c>
      <c r="AL146" s="13" t="s">
        <v>20</v>
      </c>
    </row>
    <row r="147">
      <c r="A147" s="5" t="s">
        <v>982</v>
      </c>
      <c r="B147" s="5" t="s">
        <v>983</v>
      </c>
      <c r="C147" s="5" t="s">
        <v>968</v>
      </c>
      <c r="D147" s="5" t="s">
        <v>8</v>
      </c>
      <c r="E147" s="6"/>
      <c r="F147" s="6"/>
      <c r="G147" s="7" t="s">
        <v>984</v>
      </c>
      <c r="I147" s="8" t="s">
        <v>985</v>
      </c>
      <c r="J147" s="9">
        <v>37.9</v>
      </c>
      <c r="K147" s="10" t="s">
        <v>11</v>
      </c>
      <c r="L147" s="6"/>
      <c r="M147" s="11" t="s">
        <v>12</v>
      </c>
      <c r="N147" s="6" t="s">
        <v>986</v>
      </c>
      <c r="O147" s="6" t="s">
        <v>987</v>
      </c>
      <c r="P147" s="10" t="s">
        <v>15</v>
      </c>
      <c r="Q147" s="6"/>
      <c r="R147" s="6"/>
      <c r="S147" s="6"/>
      <c r="T147" s="6" t="s">
        <v>16</v>
      </c>
      <c r="U147" s="9" t="s">
        <v>17</v>
      </c>
      <c r="AI147" s="6" t="s">
        <v>18</v>
      </c>
      <c r="AJ147" s="12" t="s">
        <v>973</v>
      </c>
      <c r="AL147" s="13" t="s">
        <v>20</v>
      </c>
    </row>
    <row r="148">
      <c r="A148" s="5" t="s">
        <v>988</v>
      </c>
      <c r="B148" s="5" t="s">
        <v>989</v>
      </c>
      <c r="C148" s="5" t="s">
        <v>968</v>
      </c>
      <c r="D148" s="5" t="s">
        <v>8</v>
      </c>
      <c r="E148" s="6"/>
      <c r="F148" s="6"/>
      <c r="G148" s="7" t="s">
        <v>990</v>
      </c>
      <c r="I148" s="8" t="s">
        <v>991</v>
      </c>
      <c r="J148" s="9">
        <v>26.9</v>
      </c>
      <c r="K148" s="10" t="s">
        <v>11</v>
      </c>
      <c r="L148" s="6"/>
      <c r="M148" s="11" t="s">
        <v>12</v>
      </c>
      <c r="N148" s="6" t="s">
        <v>992</v>
      </c>
      <c r="O148" s="6" t="s">
        <v>993</v>
      </c>
      <c r="P148" s="10" t="s">
        <v>15</v>
      </c>
      <c r="Q148" s="6"/>
      <c r="R148" s="6"/>
      <c r="S148" s="6"/>
      <c r="T148" s="6" t="s">
        <v>16</v>
      </c>
      <c r="U148" s="9" t="s">
        <v>17</v>
      </c>
      <c r="AI148" s="6" t="s">
        <v>18</v>
      </c>
      <c r="AJ148" s="12" t="s">
        <v>973</v>
      </c>
      <c r="AL148" s="13" t="s">
        <v>20</v>
      </c>
    </row>
    <row r="149">
      <c r="A149" s="5" t="s">
        <v>994</v>
      </c>
      <c r="B149" s="5" t="s">
        <v>995</v>
      </c>
      <c r="C149" s="5" t="s">
        <v>996</v>
      </c>
      <c r="D149" s="5" t="s">
        <v>8</v>
      </c>
      <c r="E149" s="6"/>
      <c r="F149" s="6"/>
      <c r="G149" s="7" t="s">
        <v>997</v>
      </c>
      <c r="I149" s="8" t="s">
        <v>998</v>
      </c>
      <c r="J149" s="9">
        <v>9.9</v>
      </c>
      <c r="K149" s="10" t="s">
        <v>11</v>
      </c>
      <c r="L149" s="6"/>
      <c r="M149" s="11" t="s">
        <v>12</v>
      </c>
      <c r="N149" s="6" t="s">
        <v>999</v>
      </c>
      <c r="O149" s="6" t="s">
        <v>1000</v>
      </c>
      <c r="P149" s="10" t="s">
        <v>15</v>
      </c>
      <c r="Q149" s="6"/>
      <c r="R149" s="6"/>
      <c r="S149" s="6"/>
      <c r="T149" s="6" t="s">
        <v>16</v>
      </c>
      <c r="U149" s="9" t="s">
        <v>17</v>
      </c>
      <c r="AI149" s="6" t="s">
        <v>18</v>
      </c>
      <c r="AJ149" s="12" t="s">
        <v>1001</v>
      </c>
      <c r="AL149" s="13" t="s">
        <v>20</v>
      </c>
    </row>
    <row r="150">
      <c r="A150" s="5" t="s">
        <v>1002</v>
      </c>
      <c r="B150" s="5" t="s">
        <v>1003</v>
      </c>
      <c r="C150" s="5" t="s">
        <v>968</v>
      </c>
      <c r="D150" s="5" t="s">
        <v>8</v>
      </c>
      <c r="E150" s="6"/>
      <c r="F150" s="6"/>
      <c r="G150" s="7" t="s">
        <v>1004</v>
      </c>
      <c r="I150" s="8" t="s">
        <v>1005</v>
      </c>
      <c r="J150" s="9">
        <v>29.2</v>
      </c>
      <c r="K150" s="10" t="s">
        <v>11</v>
      </c>
      <c r="L150" s="6"/>
      <c r="M150" s="11" t="s">
        <v>12</v>
      </c>
      <c r="N150" s="6" t="s">
        <v>1006</v>
      </c>
      <c r="O150" s="6" t="s">
        <v>1007</v>
      </c>
      <c r="P150" s="10" t="s">
        <v>15</v>
      </c>
      <c r="Q150" s="6"/>
      <c r="R150" s="6"/>
      <c r="S150" s="6"/>
      <c r="T150" s="6" t="s">
        <v>16</v>
      </c>
      <c r="U150" s="9" t="s">
        <v>17</v>
      </c>
      <c r="AI150" s="6" t="s">
        <v>18</v>
      </c>
      <c r="AJ150" s="12" t="s">
        <v>973</v>
      </c>
      <c r="AL150" s="13" t="s">
        <v>20</v>
      </c>
    </row>
    <row r="151">
      <c r="A151" s="5" t="s">
        <v>1008</v>
      </c>
      <c r="B151" s="5" t="s">
        <v>1009</v>
      </c>
      <c r="C151" s="5" t="s">
        <v>1010</v>
      </c>
      <c r="D151" s="5" t="s">
        <v>8</v>
      </c>
      <c r="E151" s="6"/>
      <c r="F151" s="6"/>
      <c r="G151" s="7" t="s">
        <v>1011</v>
      </c>
      <c r="I151" s="8" t="s">
        <v>1012</v>
      </c>
      <c r="J151" s="9">
        <v>7.3</v>
      </c>
      <c r="K151" s="10" t="s">
        <v>11</v>
      </c>
      <c r="L151" s="6"/>
      <c r="M151" s="11" t="s">
        <v>12</v>
      </c>
      <c r="N151" s="6" t="s">
        <v>1013</v>
      </c>
      <c r="O151" s="6" t="s">
        <v>1014</v>
      </c>
      <c r="P151" s="10" t="s">
        <v>15</v>
      </c>
      <c r="Q151" s="6"/>
      <c r="R151" s="6"/>
      <c r="S151" s="6"/>
      <c r="T151" s="6" t="s">
        <v>16</v>
      </c>
      <c r="U151" s="9" t="s">
        <v>17</v>
      </c>
      <c r="AI151" s="6" t="s">
        <v>18</v>
      </c>
      <c r="AJ151" s="12" t="s">
        <v>1015</v>
      </c>
      <c r="AL151" s="13" t="s">
        <v>20</v>
      </c>
    </row>
    <row r="152">
      <c r="A152" s="5" t="s">
        <v>1016</v>
      </c>
      <c r="B152" s="5" t="s">
        <v>1017</v>
      </c>
      <c r="C152" s="5" t="s">
        <v>1010</v>
      </c>
      <c r="D152" s="5" t="s">
        <v>8</v>
      </c>
      <c r="E152" s="6"/>
      <c r="F152" s="6"/>
      <c r="G152" s="7" t="s">
        <v>1018</v>
      </c>
      <c r="I152" s="8" t="s">
        <v>1019</v>
      </c>
      <c r="J152" s="9">
        <v>17.52</v>
      </c>
      <c r="K152" s="10" t="s">
        <v>11</v>
      </c>
      <c r="L152" s="6"/>
      <c r="M152" s="11" t="s">
        <v>12</v>
      </c>
      <c r="N152" s="6" t="s">
        <v>1020</v>
      </c>
      <c r="O152" s="6" t="s">
        <v>1021</v>
      </c>
      <c r="P152" s="10" t="s">
        <v>15</v>
      </c>
      <c r="Q152" s="6"/>
      <c r="R152" s="6"/>
      <c r="S152" s="6"/>
      <c r="T152" s="6" t="s">
        <v>16</v>
      </c>
      <c r="U152" s="9" t="s">
        <v>17</v>
      </c>
      <c r="AI152" s="6" t="s">
        <v>18</v>
      </c>
      <c r="AJ152" s="12" t="s">
        <v>1015</v>
      </c>
      <c r="AL152" s="13" t="s">
        <v>20</v>
      </c>
    </row>
    <row r="153">
      <c r="A153" s="5" t="s">
        <v>1022</v>
      </c>
      <c r="B153" s="5" t="s">
        <v>1023</v>
      </c>
      <c r="C153" s="5" t="s">
        <v>1024</v>
      </c>
      <c r="D153" s="5" t="s">
        <v>8</v>
      </c>
      <c r="E153" s="6"/>
      <c r="F153" s="6"/>
      <c r="G153" s="7" t="s">
        <v>1025</v>
      </c>
      <c r="I153" s="8" t="s">
        <v>1026</v>
      </c>
      <c r="J153" s="9">
        <v>9.6</v>
      </c>
      <c r="K153" s="10" t="s">
        <v>11</v>
      </c>
      <c r="L153" s="6"/>
      <c r="M153" s="11" t="s">
        <v>12</v>
      </c>
      <c r="N153" s="6" t="s">
        <v>1027</v>
      </c>
      <c r="O153" s="6" t="s">
        <v>1028</v>
      </c>
      <c r="P153" s="10" t="s">
        <v>15</v>
      </c>
      <c r="Q153" s="6"/>
      <c r="R153" s="6"/>
      <c r="S153" s="6"/>
      <c r="T153" s="6" t="s">
        <v>16</v>
      </c>
      <c r="U153" s="9" t="s">
        <v>17</v>
      </c>
      <c r="AI153" s="6" t="s">
        <v>18</v>
      </c>
      <c r="AJ153" s="12" t="s">
        <v>1029</v>
      </c>
      <c r="AL153" s="13" t="s">
        <v>20</v>
      </c>
    </row>
    <row r="154">
      <c r="A154" s="5" t="s">
        <v>1030</v>
      </c>
      <c r="B154" s="5" t="s">
        <v>1031</v>
      </c>
      <c r="C154" s="5" t="s">
        <v>1024</v>
      </c>
      <c r="D154" s="5" t="s">
        <v>8</v>
      </c>
      <c r="E154" s="6"/>
      <c r="F154" s="6"/>
      <c r="G154" s="7" t="s">
        <v>1032</v>
      </c>
      <c r="I154" s="8" t="s">
        <v>1033</v>
      </c>
      <c r="J154" s="9">
        <v>37.9</v>
      </c>
      <c r="K154" s="10" t="s">
        <v>11</v>
      </c>
      <c r="L154" s="6"/>
      <c r="M154" s="11" t="s">
        <v>12</v>
      </c>
      <c r="N154" s="6" t="s">
        <v>1034</v>
      </c>
      <c r="O154" s="6" t="s">
        <v>1035</v>
      </c>
      <c r="P154" s="10" t="s">
        <v>15</v>
      </c>
      <c r="Q154" s="6"/>
      <c r="R154" s="6"/>
      <c r="S154" s="6"/>
      <c r="T154" s="6" t="s">
        <v>16</v>
      </c>
      <c r="U154" s="9" t="s">
        <v>17</v>
      </c>
      <c r="AI154" s="6" t="s">
        <v>18</v>
      </c>
      <c r="AJ154" s="12" t="s">
        <v>1029</v>
      </c>
      <c r="AL154" s="13" t="s">
        <v>20</v>
      </c>
    </row>
    <row r="155">
      <c r="A155" s="5" t="s">
        <v>1036</v>
      </c>
      <c r="B155" s="5" t="s">
        <v>1037</v>
      </c>
      <c r="C155" s="5" t="s">
        <v>1024</v>
      </c>
      <c r="D155" s="5" t="s">
        <v>8</v>
      </c>
      <c r="E155" s="6"/>
      <c r="F155" s="6"/>
      <c r="G155" s="7" t="s">
        <v>1038</v>
      </c>
      <c r="I155" s="8" t="s">
        <v>1039</v>
      </c>
      <c r="J155" s="9">
        <v>26.9</v>
      </c>
      <c r="K155" s="10" t="s">
        <v>11</v>
      </c>
      <c r="L155" s="6"/>
      <c r="M155" s="11" t="s">
        <v>12</v>
      </c>
      <c r="N155" s="6" t="s">
        <v>1040</v>
      </c>
      <c r="O155" s="6" t="s">
        <v>1041</v>
      </c>
      <c r="P155" s="10" t="s">
        <v>15</v>
      </c>
      <c r="Q155" s="6"/>
      <c r="R155" s="6"/>
      <c r="S155" s="6"/>
      <c r="T155" s="6" t="s">
        <v>16</v>
      </c>
      <c r="U155" s="9" t="s">
        <v>17</v>
      </c>
      <c r="AI155" s="6" t="s">
        <v>18</v>
      </c>
      <c r="AJ155" s="12" t="s">
        <v>1029</v>
      </c>
      <c r="AL155" s="13" t="s">
        <v>20</v>
      </c>
    </row>
    <row r="156">
      <c r="A156" s="5" t="s">
        <v>1042</v>
      </c>
      <c r="B156" s="5" t="s">
        <v>1043</v>
      </c>
      <c r="C156" s="5" t="s">
        <v>1024</v>
      </c>
      <c r="D156" s="5" t="s">
        <v>8</v>
      </c>
      <c r="E156" s="6"/>
      <c r="F156" s="6"/>
      <c r="G156" s="7" t="s">
        <v>1044</v>
      </c>
      <c r="I156" s="8" t="s">
        <v>1045</v>
      </c>
      <c r="J156" s="9">
        <v>28.6</v>
      </c>
      <c r="K156" s="10" t="s">
        <v>11</v>
      </c>
      <c r="L156" s="6"/>
      <c r="M156" s="11" t="s">
        <v>12</v>
      </c>
      <c r="N156" s="6" t="s">
        <v>1046</v>
      </c>
      <c r="O156" s="6" t="s">
        <v>1047</v>
      </c>
      <c r="P156" s="10" t="s">
        <v>15</v>
      </c>
      <c r="Q156" s="6"/>
      <c r="R156" s="6"/>
      <c r="S156" s="6"/>
      <c r="T156" s="6" t="s">
        <v>16</v>
      </c>
      <c r="U156" s="9" t="s">
        <v>17</v>
      </c>
      <c r="AI156" s="6" t="s">
        <v>18</v>
      </c>
      <c r="AJ156" s="12" t="s">
        <v>1029</v>
      </c>
      <c r="AL156" s="13" t="s">
        <v>20</v>
      </c>
    </row>
    <row r="157">
      <c r="A157" s="5" t="s">
        <v>1048</v>
      </c>
      <c r="B157" s="5" t="s">
        <v>1049</v>
      </c>
      <c r="C157" s="5" t="s">
        <v>1050</v>
      </c>
      <c r="D157" s="5" t="s">
        <v>8</v>
      </c>
      <c r="E157" s="6"/>
      <c r="F157" s="6"/>
      <c r="G157" s="7" t="s">
        <v>1051</v>
      </c>
      <c r="I157" s="8" t="s">
        <v>1052</v>
      </c>
      <c r="J157" s="9">
        <v>11.9</v>
      </c>
      <c r="K157" s="10" t="s">
        <v>11</v>
      </c>
      <c r="L157" s="6"/>
      <c r="M157" s="11" t="s">
        <v>12</v>
      </c>
      <c r="N157" s="6" t="s">
        <v>1053</v>
      </c>
      <c r="O157" s="6" t="s">
        <v>1054</v>
      </c>
      <c r="P157" s="10" t="s">
        <v>15</v>
      </c>
      <c r="Q157" s="6"/>
      <c r="R157" s="6"/>
      <c r="S157" s="6" t="s">
        <v>1055</v>
      </c>
      <c r="T157" s="6" t="s">
        <v>16</v>
      </c>
      <c r="U157" s="9" t="s">
        <v>17</v>
      </c>
      <c r="AI157" s="6" t="s">
        <v>18</v>
      </c>
      <c r="AJ157" s="12" t="s">
        <v>1056</v>
      </c>
      <c r="AL157" s="13" t="s">
        <v>20</v>
      </c>
    </row>
    <row r="158">
      <c r="A158" s="5" t="s">
        <v>1057</v>
      </c>
      <c r="B158" s="5" t="s">
        <v>1058</v>
      </c>
      <c r="C158" s="5" t="s">
        <v>1059</v>
      </c>
      <c r="D158" s="5" t="s">
        <v>8</v>
      </c>
      <c r="E158" s="6"/>
      <c r="F158" s="6"/>
      <c r="G158" s="7" t="s">
        <v>1060</v>
      </c>
      <c r="I158" s="8" t="s">
        <v>1061</v>
      </c>
      <c r="J158" s="9">
        <v>23.8</v>
      </c>
      <c r="K158" s="10">
        <v>19.75</v>
      </c>
      <c r="L158" s="6"/>
      <c r="M158" s="11" t="s">
        <v>17</v>
      </c>
      <c r="N158" s="6"/>
      <c r="O158" s="6" t="s">
        <v>1062</v>
      </c>
      <c r="P158" s="10" t="s">
        <v>15</v>
      </c>
      <c r="Q158" s="6"/>
      <c r="R158" s="6"/>
      <c r="S158" s="6"/>
      <c r="T158" s="6" t="s">
        <v>16</v>
      </c>
      <c r="U158" s="9" t="s">
        <v>17</v>
      </c>
      <c r="AI158" s="6" t="s">
        <v>18</v>
      </c>
      <c r="AJ158" s="12" t="s">
        <v>1063</v>
      </c>
      <c r="AL158" s="13" t="s">
        <v>20</v>
      </c>
    </row>
    <row r="159">
      <c r="A159" s="5" t="s">
        <v>1064</v>
      </c>
      <c r="B159" s="5" t="s">
        <v>1065</v>
      </c>
      <c r="C159" s="5" t="s">
        <v>1066</v>
      </c>
      <c r="D159" s="5" t="s">
        <v>8</v>
      </c>
      <c r="E159" s="6"/>
      <c r="F159" s="6"/>
      <c r="G159" s="7" t="s">
        <v>1067</v>
      </c>
      <c r="I159" s="8" t="s">
        <v>1068</v>
      </c>
      <c r="J159" s="9">
        <v>37.9</v>
      </c>
      <c r="K159" s="10" t="s">
        <v>11</v>
      </c>
      <c r="L159" s="6"/>
      <c r="M159" s="11" t="s">
        <v>12</v>
      </c>
      <c r="N159" s="6" t="s">
        <v>1069</v>
      </c>
      <c r="O159" s="6" t="s">
        <v>1070</v>
      </c>
      <c r="P159" s="10" t="s">
        <v>15</v>
      </c>
      <c r="Q159" s="6"/>
      <c r="R159" s="6"/>
      <c r="S159" s="6"/>
      <c r="T159" s="6" t="s">
        <v>16</v>
      </c>
      <c r="U159" s="9" t="s">
        <v>17</v>
      </c>
      <c r="AI159" s="6" t="s">
        <v>18</v>
      </c>
      <c r="AJ159" s="12" t="s">
        <v>1071</v>
      </c>
      <c r="AL159" s="13" t="s">
        <v>20</v>
      </c>
    </row>
    <row r="160">
      <c r="A160" s="5" t="s">
        <v>1072</v>
      </c>
      <c r="B160" s="5" t="s">
        <v>1073</v>
      </c>
      <c r="C160" s="5" t="s">
        <v>1066</v>
      </c>
      <c r="D160" s="5" t="s">
        <v>8</v>
      </c>
      <c r="E160" s="6"/>
      <c r="F160" s="6"/>
      <c r="G160" s="7" t="s">
        <v>1074</v>
      </c>
      <c r="I160" s="8" t="s">
        <v>1075</v>
      </c>
      <c r="J160" s="9">
        <v>26.9</v>
      </c>
      <c r="K160" s="10" t="s">
        <v>11</v>
      </c>
      <c r="L160" s="6"/>
      <c r="M160" s="11" t="s">
        <v>12</v>
      </c>
      <c r="N160" s="6" t="s">
        <v>1076</v>
      </c>
      <c r="O160" s="6" t="s">
        <v>1077</v>
      </c>
      <c r="P160" s="10" t="s">
        <v>15</v>
      </c>
      <c r="Q160" s="6"/>
      <c r="R160" s="6"/>
      <c r="S160" s="6"/>
      <c r="T160" s="6" t="s">
        <v>16</v>
      </c>
      <c r="U160" s="9" t="s">
        <v>17</v>
      </c>
      <c r="AI160" s="6" t="s">
        <v>18</v>
      </c>
      <c r="AJ160" s="12" t="s">
        <v>1071</v>
      </c>
      <c r="AL160" s="13" t="s">
        <v>20</v>
      </c>
    </row>
    <row r="161">
      <c r="A161" s="5" t="s">
        <v>1078</v>
      </c>
      <c r="B161" s="5" t="s">
        <v>1079</v>
      </c>
      <c r="C161" s="5" t="s">
        <v>1050</v>
      </c>
      <c r="D161" s="5" t="s">
        <v>8</v>
      </c>
      <c r="E161" s="6"/>
      <c r="F161" s="6"/>
      <c r="G161" s="7" t="s">
        <v>1080</v>
      </c>
      <c r="I161" s="8" t="s">
        <v>1081</v>
      </c>
      <c r="J161" s="9">
        <v>29.7</v>
      </c>
      <c r="K161" s="10">
        <v>28.22</v>
      </c>
      <c r="L161" s="6"/>
      <c r="M161" s="11" t="s">
        <v>12</v>
      </c>
      <c r="N161" s="6" t="s">
        <v>1082</v>
      </c>
      <c r="O161" s="6" t="s">
        <v>1083</v>
      </c>
      <c r="P161" s="10" t="s">
        <v>15</v>
      </c>
      <c r="Q161" s="6"/>
      <c r="R161" s="6"/>
      <c r="S161" s="6" t="s">
        <v>1055</v>
      </c>
      <c r="T161" s="6" t="s">
        <v>16</v>
      </c>
      <c r="U161" s="9" t="s">
        <v>17</v>
      </c>
      <c r="AI161" s="6" t="s">
        <v>18</v>
      </c>
      <c r="AJ161" s="12" t="s">
        <v>1056</v>
      </c>
      <c r="AL161" s="13" t="s">
        <v>20</v>
      </c>
    </row>
    <row r="162">
      <c r="A162" s="5" t="s">
        <v>1084</v>
      </c>
      <c r="B162" s="5" t="s">
        <v>1085</v>
      </c>
      <c r="C162" s="5" t="s">
        <v>1086</v>
      </c>
      <c r="D162" s="5" t="s">
        <v>8</v>
      </c>
      <c r="E162" s="6"/>
      <c r="F162" s="6"/>
      <c r="G162" s="7" t="s">
        <v>1087</v>
      </c>
      <c r="I162" s="8" t="s">
        <v>1088</v>
      </c>
      <c r="J162" s="9">
        <v>10.9</v>
      </c>
      <c r="K162" s="10" t="s">
        <v>11</v>
      </c>
      <c r="L162" s="6"/>
      <c r="M162" s="11" t="s">
        <v>12</v>
      </c>
      <c r="N162" s="6" t="s">
        <v>1089</v>
      </c>
      <c r="O162" s="6" t="s">
        <v>1090</v>
      </c>
      <c r="P162" s="10" t="s">
        <v>15</v>
      </c>
      <c r="Q162" s="6"/>
      <c r="R162" s="6"/>
      <c r="S162" s="6"/>
      <c r="T162" s="6" t="s">
        <v>16</v>
      </c>
      <c r="U162" s="9" t="s">
        <v>17</v>
      </c>
      <c r="AI162" s="6" t="s">
        <v>18</v>
      </c>
      <c r="AJ162" s="12" t="s">
        <v>1091</v>
      </c>
      <c r="AL162" s="13" t="s">
        <v>20</v>
      </c>
    </row>
    <row r="163">
      <c r="A163" s="5" t="s">
        <v>1092</v>
      </c>
      <c r="B163" s="5" t="s">
        <v>1093</v>
      </c>
      <c r="C163" s="5" t="s">
        <v>1086</v>
      </c>
      <c r="D163" s="5" t="s">
        <v>8</v>
      </c>
      <c r="E163" s="6"/>
      <c r="F163" s="6"/>
      <c r="G163" s="7" t="s">
        <v>1094</v>
      </c>
      <c r="I163" s="8" t="s">
        <v>1095</v>
      </c>
      <c r="J163" s="9">
        <v>23.5</v>
      </c>
      <c r="K163" s="10" t="s">
        <v>11</v>
      </c>
      <c r="L163" s="6"/>
      <c r="M163" s="11" t="s">
        <v>12</v>
      </c>
      <c r="N163" s="6" t="s">
        <v>1096</v>
      </c>
      <c r="O163" s="6" t="s">
        <v>1097</v>
      </c>
      <c r="P163" s="10" t="s">
        <v>15</v>
      </c>
      <c r="Q163" s="6"/>
      <c r="R163" s="6"/>
      <c r="S163" s="6"/>
      <c r="T163" s="6" t="s">
        <v>16</v>
      </c>
      <c r="U163" s="9" t="s">
        <v>17</v>
      </c>
      <c r="AI163" s="6" t="s">
        <v>18</v>
      </c>
      <c r="AJ163" s="12" t="s">
        <v>1091</v>
      </c>
      <c r="AL163" s="13" t="s">
        <v>20</v>
      </c>
    </row>
    <row r="164">
      <c r="A164" s="5" t="s">
        <v>1098</v>
      </c>
      <c r="B164" s="5" t="s">
        <v>1099</v>
      </c>
      <c r="C164" s="5" t="s">
        <v>1100</v>
      </c>
      <c r="D164" s="5" t="s">
        <v>8</v>
      </c>
      <c r="E164" s="6"/>
      <c r="F164" s="6"/>
      <c r="G164" s="7" t="s">
        <v>1101</v>
      </c>
      <c r="I164" s="8" t="s">
        <v>1102</v>
      </c>
      <c r="J164" s="9">
        <v>10.9</v>
      </c>
      <c r="K164" s="10" t="s">
        <v>11</v>
      </c>
      <c r="L164" s="6"/>
      <c r="M164" s="11" t="s">
        <v>12</v>
      </c>
      <c r="N164" s="6" t="s">
        <v>1103</v>
      </c>
      <c r="O164" s="6" t="s">
        <v>1104</v>
      </c>
      <c r="P164" s="10" t="s">
        <v>15</v>
      </c>
      <c r="Q164" s="6"/>
      <c r="R164" s="6"/>
      <c r="S164" s="6"/>
      <c r="T164" s="6" t="s">
        <v>16</v>
      </c>
      <c r="U164" s="9" t="s">
        <v>17</v>
      </c>
      <c r="AI164" s="6" t="s">
        <v>18</v>
      </c>
      <c r="AJ164" s="12" t="s">
        <v>1105</v>
      </c>
      <c r="AL164" s="13" t="s">
        <v>20</v>
      </c>
    </row>
    <row r="165">
      <c r="A165" s="5" t="s">
        <v>1106</v>
      </c>
      <c r="B165" s="5" t="s">
        <v>1107</v>
      </c>
      <c r="C165" s="5" t="s">
        <v>1100</v>
      </c>
      <c r="D165" s="5" t="s">
        <v>8</v>
      </c>
      <c r="E165" s="6"/>
      <c r="F165" s="6"/>
      <c r="G165" s="7" t="s">
        <v>1108</v>
      </c>
      <c r="I165" s="8" t="s">
        <v>1109</v>
      </c>
      <c r="J165" s="9">
        <v>26.9</v>
      </c>
      <c r="K165" s="10" t="s">
        <v>11</v>
      </c>
      <c r="L165" s="6"/>
      <c r="M165" s="11" t="s">
        <v>12</v>
      </c>
      <c r="N165" s="6" t="s">
        <v>1110</v>
      </c>
      <c r="O165" s="6" t="s">
        <v>1111</v>
      </c>
      <c r="P165" s="10" t="s">
        <v>15</v>
      </c>
      <c r="Q165" s="6"/>
      <c r="R165" s="6"/>
      <c r="S165" s="6"/>
      <c r="T165" s="6" t="s">
        <v>16</v>
      </c>
      <c r="U165" s="9" t="s">
        <v>17</v>
      </c>
      <c r="AI165" s="6" t="s">
        <v>18</v>
      </c>
      <c r="AJ165" s="12" t="s">
        <v>1105</v>
      </c>
      <c r="AL165" s="13" t="s">
        <v>20</v>
      </c>
    </row>
    <row r="166">
      <c r="A166" s="5" t="s">
        <v>1112</v>
      </c>
      <c r="B166" s="5" t="s">
        <v>1113</v>
      </c>
      <c r="C166" s="5" t="s">
        <v>1100</v>
      </c>
      <c r="D166" s="5" t="s">
        <v>8</v>
      </c>
      <c r="E166" s="6"/>
      <c r="F166" s="6"/>
      <c r="G166" s="7" t="s">
        <v>1114</v>
      </c>
      <c r="I166" s="8" t="s">
        <v>1115</v>
      </c>
      <c r="J166" s="9">
        <v>23.5</v>
      </c>
      <c r="K166" s="10" t="s">
        <v>11</v>
      </c>
      <c r="L166" s="6"/>
      <c r="M166" s="11" t="s">
        <v>12</v>
      </c>
      <c r="N166" s="6" t="s">
        <v>1116</v>
      </c>
      <c r="O166" s="6" t="s">
        <v>1117</v>
      </c>
      <c r="P166" s="10" t="s">
        <v>15</v>
      </c>
      <c r="Q166" s="6"/>
      <c r="R166" s="6"/>
      <c r="S166" s="6"/>
      <c r="T166" s="6" t="s">
        <v>16</v>
      </c>
      <c r="U166" s="9" t="s">
        <v>17</v>
      </c>
      <c r="AI166" s="6" t="s">
        <v>18</v>
      </c>
      <c r="AJ166" s="12" t="s">
        <v>1105</v>
      </c>
      <c r="AL166" s="13" t="s">
        <v>20</v>
      </c>
    </row>
    <row r="167">
      <c r="A167" s="5" t="s">
        <v>1118</v>
      </c>
      <c r="B167" s="5" t="s">
        <v>1119</v>
      </c>
      <c r="C167" s="5" t="s">
        <v>1120</v>
      </c>
      <c r="D167" s="5" t="s">
        <v>8</v>
      </c>
      <c r="E167" s="6"/>
      <c r="F167" s="6"/>
      <c r="G167" s="7" t="s">
        <v>1121</v>
      </c>
      <c r="I167" s="8" t="s">
        <v>1122</v>
      </c>
      <c r="J167" s="9">
        <v>9.7</v>
      </c>
      <c r="K167" s="10" t="s">
        <v>11</v>
      </c>
      <c r="L167" s="6"/>
      <c r="M167" s="11" t="s">
        <v>12</v>
      </c>
      <c r="N167" s="6" t="s">
        <v>1123</v>
      </c>
      <c r="O167" s="6" t="s">
        <v>1124</v>
      </c>
      <c r="P167" s="10" t="s">
        <v>15</v>
      </c>
      <c r="Q167" s="6"/>
      <c r="R167" s="6"/>
      <c r="S167" s="6"/>
      <c r="T167" s="6" t="s">
        <v>16</v>
      </c>
      <c r="U167" s="9" t="s">
        <v>17</v>
      </c>
      <c r="AI167" s="6" t="s">
        <v>18</v>
      </c>
      <c r="AJ167" s="12" t="s">
        <v>1125</v>
      </c>
      <c r="AL167" s="13" t="s">
        <v>20</v>
      </c>
    </row>
    <row r="168">
      <c r="A168" s="5" t="s">
        <v>1126</v>
      </c>
      <c r="B168" s="5" t="s">
        <v>1127</v>
      </c>
      <c r="C168" s="5" t="s">
        <v>1120</v>
      </c>
      <c r="D168" s="5" t="s">
        <v>8</v>
      </c>
      <c r="E168" s="6"/>
      <c r="F168" s="6"/>
      <c r="G168" s="7" t="s">
        <v>1128</v>
      </c>
      <c r="I168" s="8" t="s">
        <v>1129</v>
      </c>
      <c r="J168" s="9">
        <v>26.9</v>
      </c>
      <c r="K168" s="10" t="s">
        <v>11</v>
      </c>
      <c r="L168" s="6"/>
      <c r="M168" s="11" t="s">
        <v>12</v>
      </c>
      <c r="N168" s="6" t="s">
        <v>1130</v>
      </c>
      <c r="O168" s="6" t="s">
        <v>1131</v>
      </c>
      <c r="P168" s="10" t="s">
        <v>15</v>
      </c>
      <c r="Q168" s="6"/>
      <c r="R168" s="6"/>
      <c r="S168" s="6"/>
      <c r="T168" s="6" t="s">
        <v>16</v>
      </c>
      <c r="U168" s="9" t="s">
        <v>17</v>
      </c>
      <c r="AI168" s="6" t="s">
        <v>18</v>
      </c>
      <c r="AJ168" s="12" t="s">
        <v>1125</v>
      </c>
      <c r="AL168" s="13" t="s">
        <v>20</v>
      </c>
    </row>
    <row r="169">
      <c r="A169" s="5" t="s">
        <v>1132</v>
      </c>
      <c r="B169" s="5" t="s">
        <v>1133</v>
      </c>
      <c r="C169" s="5" t="s">
        <v>1120</v>
      </c>
      <c r="D169" s="5" t="s">
        <v>8</v>
      </c>
      <c r="E169" s="6"/>
      <c r="F169" s="6"/>
      <c r="G169" s="7" t="s">
        <v>1134</v>
      </c>
      <c r="I169" s="8" t="s">
        <v>1135</v>
      </c>
      <c r="J169" s="9">
        <v>28.9</v>
      </c>
      <c r="K169" s="10" t="s">
        <v>11</v>
      </c>
      <c r="L169" s="6"/>
      <c r="M169" s="11" t="s">
        <v>12</v>
      </c>
      <c r="N169" s="6" t="s">
        <v>1136</v>
      </c>
      <c r="O169" s="6" t="s">
        <v>1137</v>
      </c>
      <c r="P169" s="10" t="s">
        <v>15</v>
      </c>
      <c r="Q169" s="6"/>
      <c r="R169" s="6"/>
      <c r="S169" s="6"/>
      <c r="T169" s="6" t="s">
        <v>16</v>
      </c>
      <c r="U169" s="9" t="s">
        <v>17</v>
      </c>
      <c r="AI169" s="6" t="s">
        <v>18</v>
      </c>
      <c r="AJ169" s="12" t="s">
        <v>1125</v>
      </c>
      <c r="AL169" s="13" t="s">
        <v>20</v>
      </c>
    </row>
    <row r="170">
      <c r="A170" s="5" t="s">
        <v>1138</v>
      </c>
      <c r="B170" s="5" t="s">
        <v>1139</v>
      </c>
      <c r="C170" s="5" t="s">
        <v>1140</v>
      </c>
      <c r="D170" s="5" t="s">
        <v>8</v>
      </c>
      <c r="E170" s="6"/>
      <c r="F170" s="6"/>
      <c r="G170" s="7" t="s">
        <v>1141</v>
      </c>
      <c r="I170" s="8" t="s">
        <v>1142</v>
      </c>
      <c r="J170" s="9">
        <v>9.6</v>
      </c>
      <c r="K170" s="10" t="s">
        <v>11</v>
      </c>
      <c r="L170" s="6"/>
      <c r="M170" s="11" t="s">
        <v>12</v>
      </c>
      <c r="N170" s="6" t="s">
        <v>1143</v>
      </c>
      <c r="O170" s="6" t="s">
        <v>1144</v>
      </c>
      <c r="P170" s="10" t="s">
        <v>15</v>
      </c>
      <c r="Q170" s="6"/>
      <c r="R170" s="6"/>
      <c r="S170" s="6"/>
      <c r="T170" s="6" t="s">
        <v>16</v>
      </c>
      <c r="U170" s="9" t="s">
        <v>17</v>
      </c>
      <c r="AI170" s="6" t="s">
        <v>18</v>
      </c>
      <c r="AJ170" s="12" t="s">
        <v>1145</v>
      </c>
      <c r="AL170" s="13" t="s">
        <v>20</v>
      </c>
    </row>
    <row r="171">
      <c r="A171" s="5" t="s">
        <v>1146</v>
      </c>
      <c r="B171" s="5" t="s">
        <v>1147</v>
      </c>
      <c r="C171" s="5" t="s">
        <v>1140</v>
      </c>
      <c r="D171" s="5" t="s">
        <v>8</v>
      </c>
      <c r="E171" s="6"/>
      <c r="F171" s="6"/>
      <c r="G171" s="7" t="s">
        <v>1148</v>
      </c>
      <c r="I171" s="8" t="s">
        <v>1149</v>
      </c>
      <c r="J171" s="9">
        <v>28.6</v>
      </c>
      <c r="K171" s="10" t="s">
        <v>11</v>
      </c>
      <c r="L171" s="6"/>
      <c r="M171" s="11" t="s">
        <v>17</v>
      </c>
      <c r="N171" s="6"/>
      <c r="O171" s="6" t="s">
        <v>1150</v>
      </c>
      <c r="P171" s="10" t="s">
        <v>15</v>
      </c>
      <c r="Q171" s="6"/>
      <c r="R171" s="6"/>
      <c r="S171" s="6"/>
      <c r="T171" s="6" t="s">
        <v>16</v>
      </c>
      <c r="U171" s="9" t="s">
        <v>17</v>
      </c>
      <c r="AI171" s="6" t="s">
        <v>18</v>
      </c>
      <c r="AJ171" s="12" t="s">
        <v>1145</v>
      </c>
      <c r="AL171" s="13" t="s">
        <v>20</v>
      </c>
    </row>
    <row r="172">
      <c r="A172" s="5" t="s">
        <v>1151</v>
      </c>
      <c r="B172" s="5" t="s">
        <v>1152</v>
      </c>
      <c r="C172" s="5" t="s">
        <v>1153</v>
      </c>
      <c r="D172" s="5" t="s">
        <v>507</v>
      </c>
      <c r="E172" s="6"/>
      <c r="F172" s="6"/>
      <c r="G172" s="7" t="s">
        <v>1154</v>
      </c>
      <c r="I172" s="8" t="s">
        <v>1155</v>
      </c>
      <c r="J172" s="9">
        <v>11.9</v>
      </c>
      <c r="K172" s="10" t="s">
        <v>11</v>
      </c>
      <c r="L172" s="6"/>
      <c r="M172" s="11" t="s">
        <v>12</v>
      </c>
      <c r="N172" s="6" t="s">
        <v>1156</v>
      </c>
      <c r="O172" s="6" t="s">
        <v>1157</v>
      </c>
      <c r="P172" s="10" t="s">
        <v>15</v>
      </c>
      <c r="Q172" s="6"/>
      <c r="R172" s="6"/>
      <c r="S172" s="6" t="s">
        <v>1158</v>
      </c>
      <c r="T172" s="6" t="s">
        <v>16</v>
      </c>
      <c r="U172" s="9" t="s">
        <v>17</v>
      </c>
      <c r="AI172" s="6" t="s">
        <v>18</v>
      </c>
      <c r="AJ172" s="12" t="s">
        <v>1159</v>
      </c>
      <c r="AL172" s="13" t="s">
        <v>20</v>
      </c>
    </row>
    <row r="173">
      <c r="A173" s="5" t="s">
        <v>1160</v>
      </c>
      <c r="B173" s="5" t="s">
        <v>1161</v>
      </c>
      <c r="C173" s="5" t="s">
        <v>1153</v>
      </c>
      <c r="D173" s="5" t="s">
        <v>8</v>
      </c>
      <c r="E173" s="6"/>
      <c r="F173" s="6"/>
      <c r="G173" s="7" t="s">
        <v>1162</v>
      </c>
      <c r="I173" s="8" t="s">
        <v>1163</v>
      </c>
      <c r="J173" s="9">
        <v>14.9</v>
      </c>
      <c r="K173" s="10" t="s">
        <v>11</v>
      </c>
      <c r="L173" s="6"/>
      <c r="M173" s="11" t="s">
        <v>12</v>
      </c>
      <c r="N173" s="6" t="s">
        <v>1164</v>
      </c>
      <c r="O173" s="6" t="s">
        <v>1165</v>
      </c>
      <c r="P173" s="10" t="s">
        <v>15</v>
      </c>
      <c r="Q173" s="6" t="s">
        <v>1166</v>
      </c>
      <c r="R173" s="6"/>
      <c r="S173" s="15" t="s">
        <v>1158</v>
      </c>
      <c r="T173" s="6" t="s">
        <v>16</v>
      </c>
      <c r="U173" s="9" t="s">
        <v>17</v>
      </c>
      <c r="AI173" s="6" t="s">
        <v>18</v>
      </c>
      <c r="AJ173" s="12" t="s">
        <v>1159</v>
      </c>
      <c r="AL173" s="13" t="s">
        <v>20</v>
      </c>
    </row>
    <row r="174">
      <c r="A174" s="5" t="s">
        <v>1167</v>
      </c>
      <c r="B174" s="5" t="s">
        <v>1168</v>
      </c>
      <c r="C174" s="5" t="s">
        <v>1169</v>
      </c>
      <c r="D174" s="5" t="s">
        <v>507</v>
      </c>
      <c r="E174" s="6"/>
      <c r="F174" s="6"/>
      <c r="G174" s="7" t="s">
        <v>1170</v>
      </c>
      <c r="I174" s="8" t="s">
        <v>1171</v>
      </c>
      <c r="J174" s="9">
        <v>8.8</v>
      </c>
      <c r="K174" s="10" t="s">
        <v>11</v>
      </c>
      <c r="L174" s="6"/>
      <c r="M174" s="11" t="s">
        <v>12</v>
      </c>
      <c r="N174" s="6" t="s">
        <v>1172</v>
      </c>
      <c r="O174" s="6" t="s">
        <v>1173</v>
      </c>
      <c r="P174" s="10" t="s">
        <v>15</v>
      </c>
      <c r="Q174" s="6"/>
      <c r="R174" s="6"/>
      <c r="S174" s="6"/>
      <c r="T174" s="6" t="s">
        <v>16</v>
      </c>
      <c r="U174" s="9" t="s">
        <v>17</v>
      </c>
      <c r="AI174" s="6" t="s">
        <v>18</v>
      </c>
      <c r="AJ174" s="12" t="s">
        <v>1174</v>
      </c>
      <c r="AL174" s="13" t="s">
        <v>20</v>
      </c>
    </row>
    <row r="175">
      <c r="A175" s="5" t="s">
        <v>1175</v>
      </c>
      <c r="B175" s="5" t="s">
        <v>1176</v>
      </c>
      <c r="C175" s="5" t="s">
        <v>1177</v>
      </c>
      <c r="D175" s="5" t="s">
        <v>8</v>
      </c>
      <c r="E175" s="6"/>
      <c r="F175" s="6"/>
      <c r="G175" s="7" t="s">
        <v>1178</v>
      </c>
      <c r="I175" s="8" t="s">
        <v>1179</v>
      </c>
      <c r="J175" s="9">
        <v>9.8</v>
      </c>
      <c r="K175" s="10" t="s">
        <v>11</v>
      </c>
      <c r="L175" s="6"/>
      <c r="M175" s="11" t="s">
        <v>12</v>
      </c>
      <c r="N175" s="6" t="s">
        <v>1180</v>
      </c>
      <c r="O175" s="6" t="s">
        <v>1181</v>
      </c>
      <c r="P175" s="10" t="s">
        <v>15</v>
      </c>
      <c r="Q175" s="6"/>
      <c r="R175" s="6"/>
      <c r="S175" s="6"/>
      <c r="T175" s="6" t="s">
        <v>16</v>
      </c>
      <c r="U175" s="9" t="s">
        <v>17</v>
      </c>
      <c r="AI175" s="6" t="s">
        <v>18</v>
      </c>
      <c r="AJ175" s="12" t="s">
        <v>1182</v>
      </c>
      <c r="AL175" s="13" t="s">
        <v>20</v>
      </c>
    </row>
    <row r="176">
      <c r="A176" s="5" t="s">
        <v>1183</v>
      </c>
      <c r="B176" s="5" t="s">
        <v>1184</v>
      </c>
      <c r="C176" s="5" t="s">
        <v>1177</v>
      </c>
      <c r="D176" s="5" t="s">
        <v>8</v>
      </c>
      <c r="E176" s="6"/>
      <c r="F176" s="6"/>
      <c r="G176" s="7" t="s">
        <v>1185</v>
      </c>
      <c r="I176" s="8" t="s">
        <v>1186</v>
      </c>
      <c r="J176" s="9">
        <v>37.9</v>
      </c>
      <c r="K176" s="10" t="s">
        <v>11</v>
      </c>
      <c r="L176" s="6"/>
      <c r="M176" s="11" t="s">
        <v>12</v>
      </c>
      <c r="N176" s="6" t="s">
        <v>1187</v>
      </c>
      <c r="O176" s="6" t="s">
        <v>1188</v>
      </c>
      <c r="P176" s="10" t="s">
        <v>15</v>
      </c>
      <c r="Q176" s="6"/>
      <c r="R176" s="6"/>
      <c r="S176" s="6"/>
      <c r="T176" s="6" t="s">
        <v>16</v>
      </c>
      <c r="U176" s="9" t="s">
        <v>17</v>
      </c>
      <c r="AI176" s="6" t="s">
        <v>18</v>
      </c>
      <c r="AJ176" s="12" t="s">
        <v>1182</v>
      </c>
      <c r="AL176" s="13" t="s">
        <v>20</v>
      </c>
    </row>
    <row r="177">
      <c r="A177" s="5" t="s">
        <v>1189</v>
      </c>
      <c r="B177" s="5" t="s">
        <v>1190</v>
      </c>
      <c r="C177" s="5" t="s">
        <v>1177</v>
      </c>
      <c r="D177" s="5" t="s">
        <v>8</v>
      </c>
      <c r="E177" s="6"/>
      <c r="F177" s="6"/>
      <c r="G177" s="7" t="s">
        <v>1191</v>
      </c>
      <c r="I177" s="8" t="s">
        <v>1192</v>
      </c>
      <c r="J177" s="9">
        <v>26.9</v>
      </c>
      <c r="K177" s="10" t="s">
        <v>11</v>
      </c>
      <c r="L177" s="6"/>
      <c r="M177" s="11" t="s">
        <v>12</v>
      </c>
      <c r="N177" s="6" t="s">
        <v>1193</v>
      </c>
      <c r="O177" s="6" t="s">
        <v>1194</v>
      </c>
      <c r="P177" s="10" t="s">
        <v>15</v>
      </c>
      <c r="Q177" s="6"/>
      <c r="R177" s="6"/>
      <c r="S177" s="6"/>
      <c r="T177" s="6" t="s">
        <v>16</v>
      </c>
      <c r="U177" s="9" t="s">
        <v>17</v>
      </c>
      <c r="AI177" s="6" t="s">
        <v>18</v>
      </c>
      <c r="AJ177" s="12" t="s">
        <v>1182</v>
      </c>
      <c r="AL177" s="13" t="s">
        <v>20</v>
      </c>
    </row>
    <row r="178">
      <c r="A178" s="5" t="s">
        <v>1195</v>
      </c>
      <c r="B178" s="5" t="s">
        <v>1196</v>
      </c>
      <c r="C178" s="5" t="s">
        <v>1177</v>
      </c>
      <c r="D178" s="5" t="s">
        <v>8</v>
      </c>
      <c r="E178" s="6"/>
      <c r="F178" s="6"/>
      <c r="G178" s="7" t="s">
        <v>1197</v>
      </c>
      <c r="I178" s="8" t="s">
        <v>1198</v>
      </c>
      <c r="J178" s="9">
        <v>23.52</v>
      </c>
      <c r="K178" s="10" t="s">
        <v>11</v>
      </c>
      <c r="L178" s="6"/>
      <c r="M178" s="11" t="s">
        <v>12</v>
      </c>
      <c r="N178" s="6" t="s">
        <v>1199</v>
      </c>
      <c r="O178" s="6" t="s">
        <v>1200</v>
      </c>
      <c r="P178" s="10" t="s">
        <v>15</v>
      </c>
      <c r="Q178" s="6"/>
      <c r="R178" s="6"/>
      <c r="S178" s="6"/>
      <c r="T178" s="6" t="s">
        <v>16</v>
      </c>
      <c r="U178" s="9" t="s">
        <v>17</v>
      </c>
      <c r="AI178" s="6" t="s">
        <v>18</v>
      </c>
      <c r="AJ178" s="12" t="s">
        <v>1182</v>
      </c>
      <c r="AL178" s="13" t="s">
        <v>20</v>
      </c>
    </row>
    <row r="179">
      <c r="A179" s="5" t="s">
        <v>1201</v>
      </c>
      <c r="B179" s="5" t="s">
        <v>1202</v>
      </c>
      <c r="C179" s="5" t="s">
        <v>1203</v>
      </c>
      <c r="D179" s="5" t="s">
        <v>8</v>
      </c>
      <c r="E179" s="6"/>
      <c r="F179" s="6"/>
      <c r="G179" s="7" t="s">
        <v>1204</v>
      </c>
      <c r="I179" s="8" t="s">
        <v>1205</v>
      </c>
      <c r="J179" s="9">
        <v>9.7</v>
      </c>
      <c r="K179" s="10" t="s">
        <v>11</v>
      </c>
      <c r="L179" s="6"/>
      <c r="M179" s="11" t="s">
        <v>12</v>
      </c>
      <c r="N179" s="6" t="s">
        <v>1206</v>
      </c>
      <c r="O179" s="6" t="s">
        <v>1207</v>
      </c>
      <c r="P179" s="10" t="s">
        <v>15</v>
      </c>
      <c r="Q179" s="6"/>
      <c r="R179" s="6"/>
      <c r="S179" s="6"/>
      <c r="T179" s="6" t="s">
        <v>16</v>
      </c>
      <c r="U179" s="9" t="s">
        <v>17</v>
      </c>
      <c r="AI179" s="6" t="s">
        <v>18</v>
      </c>
      <c r="AJ179" s="12" t="s">
        <v>1208</v>
      </c>
      <c r="AL179" s="13" t="s">
        <v>20</v>
      </c>
    </row>
    <row r="180">
      <c r="A180" s="5" t="s">
        <v>1209</v>
      </c>
      <c r="B180" s="5" t="s">
        <v>1210</v>
      </c>
      <c r="C180" s="5" t="s">
        <v>1203</v>
      </c>
      <c r="D180" s="5" t="s">
        <v>8</v>
      </c>
      <c r="E180" s="6"/>
      <c r="F180" s="6"/>
      <c r="G180" s="7" t="s">
        <v>1211</v>
      </c>
      <c r="I180" s="8" t="s">
        <v>1212</v>
      </c>
      <c r="J180" s="9">
        <v>37.9</v>
      </c>
      <c r="K180" s="10" t="s">
        <v>11</v>
      </c>
      <c r="L180" s="6"/>
      <c r="M180" s="11" t="s">
        <v>12</v>
      </c>
      <c r="N180" s="6" t="s">
        <v>1213</v>
      </c>
      <c r="O180" s="6" t="s">
        <v>1214</v>
      </c>
      <c r="P180" s="10" t="s">
        <v>15</v>
      </c>
      <c r="Q180" s="6"/>
      <c r="R180" s="6"/>
      <c r="S180" s="6"/>
      <c r="T180" s="6" t="s">
        <v>16</v>
      </c>
      <c r="U180" s="9" t="s">
        <v>17</v>
      </c>
      <c r="AI180" s="6" t="s">
        <v>18</v>
      </c>
      <c r="AJ180" s="12" t="s">
        <v>1208</v>
      </c>
      <c r="AL180" s="13" t="s">
        <v>20</v>
      </c>
    </row>
    <row r="181">
      <c r="A181" s="5" t="s">
        <v>1215</v>
      </c>
      <c r="B181" s="5" t="s">
        <v>1216</v>
      </c>
      <c r="C181" s="5" t="s">
        <v>1203</v>
      </c>
      <c r="D181" s="5" t="s">
        <v>8</v>
      </c>
      <c r="E181" s="6"/>
      <c r="F181" s="6"/>
      <c r="G181" s="7" t="s">
        <v>1217</v>
      </c>
      <c r="I181" s="8" t="s">
        <v>1218</v>
      </c>
      <c r="J181" s="9">
        <v>26.9</v>
      </c>
      <c r="K181" s="10" t="s">
        <v>11</v>
      </c>
      <c r="L181" s="6"/>
      <c r="M181" s="11" t="s">
        <v>12</v>
      </c>
      <c r="N181" s="6" t="s">
        <v>757</v>
      </c>
      <c r="O181" s="6" t="s">
        <v>1219</v>
      </c>
      <c r="P181" s="10" t="s">
        <v>15</v>
      </c>
      <c r="Q181" s="6"/>
      <c r="R181" s="6"/>
      <c r="S181" s="6"/>
      <c r="T181" s="6" t="s">
        <v>16</v>
      </c>
      <c r="U181" s="9" t="s">
        <v>17</v>
      </c>
      <c r="AI181" s="6" t="s">
        <v>18</v>
      </c>
      <c r="AJ181" s="12" t="s">
        <v>1208</v>
      </c>
      <c r="AL181" s="13" t="s">
        <v>20</v>
      </c>
    </row>
    <row r="182">
      <c r="A182" s="5" t="s">
        <v>1220</v>
      </c>
      <c r="B182" s="5" t="s">
        <v>1221</v>
      </c>
      <c r="C182" s="5" t="s">
        <v>1203</v>
      </c>
      <c r="D182" s="5" t="s">
        <v>8</v>
      </c>
      <c r="E182" s="6"/>
      <c r="F182" s="6"/>
      <c r="G182" s="7" t="s">
        <v>1222</v>
      </c>
      <c r="I182" s="8" t="s">
        <v>1223</v>
      </c>
      <c r="J182" s="9">
        <v>28.9</v>
      </c>
      <c r="K182" s="10" t="s">
        <v>11</v>
      </c>
      <c r="L182" s="6"/>
      <c r="M182" s="11" t="s">
        <v>12</v>
      </c>
      <c r="N182" s="6" t="s">
        <v>1224</v>
      </c>
      <c r="O182" s="6" t="s">
        <v>1225</v>
      </c>
      <c r="P182" s="10" t="s">
        <v>15</v>
      </c>
      <c r="Q182" s="6"/>
      <c r="R182" s="6"/>
      <c r="S182" s="6"/>
      <c r="T182" s="6" t="s">
        <v>16</v>
      </c>
      <c r="U182" s="9" t="s">
        <v>17</v>
      </c>
      <c r="AI182" s="6" t="s">
        <v>18</v>
      </c>
      <c r="AJ182" s="12" t="s">
        <v>1208</v>
      </c>
      <c r="AL182" s="13" t="s">
        <v>20</v>
      </c>
    </row>
    <row r="183">
      <c r="A183" s="5" t="s">
        <v>1226</v>
      </c>
      <c r="B183" s="5" t="s">
        <v>1227</v>
      </c>
      <c r="C183" s="5" t="s">
        <v>1228</v>
      </c>
      <c r="D183" s="5" t="s">
        <v>8</v>
      </c>
      <c r="E183" s="6"/>
      <c r="F183" s="6"/>
      <c r="G183" s="7" t="s">
        <v>1229</v>
      </c>
      <c r="I183" s="8" t="s">
        <v>1230</v>
      </c>
      <c r="J183" s="9">
        <v>10.9</v>
      </c>
      <c r="K183" s="10" t="s">
        <v>11</v>
      </c>
      <c r="L183" s="6"/>
      <c r="M183" s="11" t="s">
        <v>12</v>
      </c>
      <c r="N183" s="6" t="s">
        <v>1231</v>
      </c>
      <c r="O183" s="6" t="s">
        <v>1232</v>
      </c>
      <c r="P183" s="10" t="s">
        <v>15</v>
      </c>
      <c r="Q183" s="6"/>
      <c r="R183" s="6"/>
      <c r="S183" s="6"/>
      <c r="T183" s="6" t="s">
        <v>16</v>
      </c>
      <c r="U183" s="9" t="s">
        <v>17</v>
      </c>
      <c r="AI183" s="6" t="s">
        <v>18</v>
      </c>
      <c r="AJ183" s="12" t="s">
        <v>1233</v>
      </c>
      <c r="AL183" s="13" t="s">
        <v>20</v>
      </c>
    </row>
    <row r="184">
      <c r="A184" s="5" t="s">
        <v>1234</v>
      </c>
      <c r="B184" s="5" t="s">
        <v>1235</v>
      </c>
      <c r="C184" s="5" t="s">
        <v>1228</v>
      </c>
      <c r="D184" s="5" t="s">
        <v>8</v>
      </c>
      <c r="E184" s="6"/>
      <c r="F184" s="6"/>
      <c r="G184" s="7" t="s">
        <v>1236</v>
      </c>
      <c r="I184" s="8" t="s">
        <v>1237</v>
      </c>
      <c r="J184" s="9">
        <v>37.9</v>
      </c>
      <c r="K184" s="10" t="s">
        <v>11</v>
      </c>
      <c r="L184" s="6"/>
      <c r="M184" s="11" t="s">
        <v>12</v>
      </c>
      <c r="N184" s="6" t="s">
        <v>1238</v>
      </c>
      <c r="O184" s="6" t="s">
        <v>1239</v>
      </c>
      <c r="P184" s="10" t="s">
        <v>15</v>
      </c>
      <c r="Q184" s="6"/>
      <c r="R184" s="6"/>
      <c r="S184" s="6"/>
      <c r="T184" s="6" t="s">
        <v>16</v>
      </c>
      <c r="U184" s="9" t="s">
        <v>17</v>
      </c>
      <c r="AI184" s="6" t="s">
        <v>18</v>
      </c>
      <c r="AJ184" s="12" t="s">
        <v>1233</v>
      </c>
      <c r="AL184" s="13" t="s">
        <v>20</v>
      </c>
    </row>
    <row r="185">
      <c r="A185" s="5" t="s">
        <v>1240</v>
      </c>
      <c r="B185" s="5" t="s">
        <v>1241</v>
      </c>
      <c r="C185" s="5" t="s">
        <v>1228</v>
      </c>
      <c r="D185" s="5" t="s">
        <v>8</v>
      </c>
      <c r="E185" s="6"/>
      <c r="F185" s="6"/>
      <c r="G185" s="7" t="s">
        <v>1242</v>
      </c>
      <c r="I185" s="8" t="s">
        <v>1243</v>
      </c>
      <c r="J185" s="9">
        <v>26.9</v>
      </c>
      <c r="K185" s="10" t="s">
        <v>11</v>
      </c>
      <c r="L185" s="6"/>
      <c r="M185" s="11" t="s">
        <v>12</v>
      </c>
      <c r="N185" s="6" t="s">
        <v>1244</v>
      </c>
      <c r="O185" s="6" t="s">
        <v>1245</v>
      </c>
      <c r="P185" s="10" t="s">
        <v>15</v>
      </c>
      <c r="Q185" s="6"/>
      <c r="R185" s="6"/>
      <c r="S185" s="6"/>
      <c r="T185" s="6" t="s">
        <v>16</v>
      </c>
      <c r="U185" s="9" t="s">
        <v>17</v>
      </c>
      <c r="AI185" s="6" t="s">
        <v>18</v>
      </c>
      <c r="AJ185" s="12" t="s">
        <v>1233</v>
      </c>
      <c r="AL185" s="13" t="s">
        <v>20</v>
      </c>
    </row>
    <row r="186">
      <c r="A186" s="5" t="s">
        <v>1246</v>
      </c>
      <c r="B186" s="5" t="s">
        <v>1247</v>
      </c>
      <c r="C186" s="5" t="s">
        <v>1248</v>
      </c>
      <c r="D186" s="5" t="s">
        <v>8</v>
      </c>
      <c r="E186" s="6"/>
      <c r="F186" s="6"/>
      <c r="G186" s="7" t="s">
        <v>1249</v>
      </c>
      <c r="I186" s="8" t="s">
        <v>1250</v>
      </c>
      <c r="J186" s="9">
        <v>11.9</v>
      </c>
      <c r="K186" s="10" t="s">
        <v>11</v>
      </c>
      <c r="L186" s="6"/>
      <c r="M186" s="11" t="s">
        <v>12</v>
      </c>
      <c r="N186" s="6" t="s">
        <v>1251</v>
      </c>
      <c r="O186" s="6" t="s">
        <v>1252</v>
      </c>
      <c r="P186" s="10" t="s">
        <v>15</v>
      </c>
      <c r="Q186" s="6"/>
      <c r="R186" s="6"/>
      <c r="S186" s="6" t="s">
        <v>1253</v>
      </c>
      <c r="T186" s="6" t="s">
        <v>16</v>
      </c>
      <c r="U186" s="9" t="s">
        <v>17</v>
      </c>
      <c r="AI186" s="6" t="s">
        <v>18</v>
      </c>
      <c r="AJ186" s="12" t="s">
        <v>1254</v>
      </c>
      <c r="AL186" s="13" t="s">
        <v>20</v>
      </c>
    </row>
    <row r="187">
      <c r="A187" s="5" t="s">
        <v>1255</v>
      </c>
      <c r="B187" s="5" t="s">
        <v>1256</v>
      </c>
      <c r="C187" s="5" t="s">
        <v>1257</v>
      </c>
      <c r="D187" s="5" t="s">
        <v>8</v>
      </c>
      <c r="E187" s="6"/>
      <c r="F187" s="6"/>
      <c r="G187" s="7" t="s">
        <v>1258</v>
      </c>
      <c r="I187" s="8" t="s">
        <v>1259</v>
      </c>
      <c r="J187" s="9">
        <v>10.7</v>
      </c>
      <c r="K187" s="10" t="s">
        <v>11</v>
      </c>
      <c r="L187" s="6"/>
      <c r="M187" s="11" t="s">
        <v>12</v>
      </c>
      <c r="N187" s="6" t="s">
        <v>1260</v>
      </c>
      <c r="O187" s="6" t="s">
        <v>1261</v>
      </c>
      <c r="P187" s="10" t="s">
        <v>15</v>
      </c>
      <c r="Q187" s="6"/>
      <c r="R187" s="6"/>
      <c r="S187" s="6"/>
      <c r="T187" s="6" t="s">
        <v>16</v>
      </c>
      <c r="U187" s="9" t="s">
        <v>17</v>
      </c>
      <c r="AI187" s="6" t="s">
        <v>18</v>
      </c>
      <c r="AJ187" s="12" t="s">
        <v>1262</v>
      </c>
      <c r="AL187" s="13" t="s">
        <v>20</v>
      </c>
    </row>
    <row r="188">
      <c r="A188" s="5" t="s">
        <v>1263</v>
      </c>
      <c r="B188" s="5" t="s">
        <v>1264</v>
      </c>
      <c r="C188" s="5" t="s">
        <v>1257</v>
      </c>
      <c r="D188" s="5" t="s">
        <v>8</v>
      </c>
      <c r="E188" s="6"/>
      <c r="F188" s="6"/>
      <c r="G188" s="7" t="s">
        <v>1265</v>
      </c>
      <c r="I188" s="8" t="s">
        <v>1266</v>
      </c>
      <c r="J188" s="9">
        <v>15.9</v>
      </c>
      <c r="K188" s="10" t="s">
        <v>11</v>
      </c>
      <c r="L188" s="6"/>
      <c r="M188" s="11" t="s">
        <v>12</v>
      </c>
      <c r="N188" s="6" t="s">
        <v>1267</v>
      </c>
      <c r="O188" s="6" t="s">
        <v>1268</v>
      </c>
      <c r="P188" s="10" t="s">
        <v>15</v>
      </c>
      <c r="Q188" s="6"/>
      <c r="R188" s="6"/>
      <c r="S188" s="6"/>
      <c r="T188" s="6" t="s">
        <v>16</v>
      </c>
      <c r="U188" s="9" t="s">
        <v>17</v>
      </c>
      <c r="AI188" s="6" t="s">
        <v>18</v>
      </c>
      <c r="AJ188" s="12" t="s">
        <v>1262</v>
      </c>
      <c r="AL188" s="13" t="s">
        <v>20</v>
      </c>
    </row>
    <row r="189">
      <c r="A189" s="5" t="s">
        <v>1269</v>
      </c>
      <c r="B189" s="5" t="s">
        <v>1270</v>
      </c>
      <c r="C189" s="5" t="s">
        <v>1257</v>
      </c>
      <c r="D189" s="5" t="s">
        <v>8</v>
      </c>
      <c r="E189" s="6"/>
      <c r="F189" s="6"/>
      <c r="G189" s="7" t="s">
        <v>1271</v>
      </c>
      <c r="I189" s="8" t="s">
        <v>1272</v>
      </c>
      <c r="J189" s="9">
        <v>28.9</v>
      </c>
      <c r="K189" s="10" t="s">
        <v>11</v>
      </c>
      <c r="L189" s="6"/>
      <c r="M189" s="11" t="s">
        <v>12</v>
      </c>
      <c r="N189" s="6" t="s">
        <v>1273</v>
      </c>
      <c r="O189" s="6" t="s">
        <v>1274</v>
      </c>
      <c r="P189" s="10" t="s">
        <v>15</v>
      </c>
      <c r="Q189" s="6"/>
      <c r="R189" s="6"/>
      <c r="S189" s="6"/>
      <c r="T189" s="6" t="s">
        <v>16</v>
      </c>
      <c r="U189" s="9" t="s">
        <v>17</v>
      </c>
      <c r="AI189" s="6" t="s">
        <v>18</v>
      </c>
      <c r="AJ189" s="12" t="s">
        <v>1262</v>
      </c>
      <c r="AL189" s="13" t="s">
        <v>20</v>
      </c>
    </row>
    <row r="190">
      <c r="A190" s="5" t="s">
        <v>1275</v>
      </c>
      <c r="B190" s="5" t="s">
        <v>1276</v>
      </c>
      <c r="C190" s="5" t="s">
        <v>1277</v>
      </c>
      <c r="D190" s="5" t="s">
        <v>8</v>
      </c>
      <c r="E190" s="6"/>
      <c r="F190" s="6"/>
      <c r="G190" s="7" t="s">
        <v>1278</v>
      </c>
      <c r="I190" s="8" t="s">
        <v>1279</v>
      </c>
      <c r="J190" s="9">
        <v>9.7</v>
      </c>
      <c r="K190" s="10" t="s">
        <v>11</v>
      </c>
      <c r="L190" s="6"/>
      <c r="M190" s="11" t="s">
        <v>12</v>
      </c>
      <c r="N190" s="6" t="s">
        <v>1280</v>
      </c>
      <c r="O190" s="6" t="s">
        <v>1281</v>
      </c>
      <c r="P190" s="10" t="s">
        <v>15</v>
      </c>
      <c r="Q190" s="6"/>
      <c r="R190" s="6"/>
      <c r="S190" s="6"/>
      <c r="T190" s="6" t="s">
        <v>16</v>
      </c>
      <c r="U190" s="9" t="s">
        <v>17</v>
      </c>
      <c r="AI190" s="6" t="s">
        <v>18</v>
      </c>
      <c r="AJ190" s="12" t="s">
        <v>1282</v>
      </c>
      <c r="AL190" s="13" t="s">
        <v>20</v>
      </c>
    </row>
    <row r="191">
      <c r="A191" s="5" t="s">
        <v>1283</v>
      </c>
      <c r="B191" s="5" t="s">
        <v>1284</v>
      </c>
      <c r="C191" s="5" t="s">
        <v>1277</v>
      </c>
      <c r="D191" s="5" t="s">
        <v>8</v>
      </c>
      <c r="E191" s="6"/>
      <c r="F191" s="6"/>
      <c r="G191" s="7" t="s">
        <v>1285</v>
      </c>
      <c r="I191" s="8" t="s">
        <v>1286</v>
      </c>
      <c r="J191" s="9">
        <v>15.9</v>
      </c>
      <c r="K191" s="10" t="s">
        <v>11</v>
      </c>
      <c r="L191" s="6"/>
      <c r="M191" s="11" t="s">
        <v>12</v>
      </c>
      <c r="N191" s="6" t="s">
        <v>1287</v>
      </c>
      <c r="O191" s="6" t="s">
        <v>1288</v>
      </c>
      <c r="P191" s="10" t="s">
        <v>15</v>
      </c>
      <c r="Q191" s="6"/>
      <c r="R191" s="6"/>
      <c r="S191" s="6"/>
      <c r="T191" s="6" t="s">
        <v>16</v>
      </c>
      <c r="U191" s="9" t="s">
        <v>17</v>
      </c>
      <c r="AI191" s="6" t="s">
        <v>18</v>
      </c>
      <c r="AJ191" s="12" t="s">
        <v>1282</v>
      </c>
      <c r="AL191" s="13" t="s">
        <v>20</v>
      </c>
    </row>
    <row r="192">
      <c r="A192" s="5" t="s">
        <v>1289</v>
      </c>
      <c r="B192" s="5" t="s">
        <v>1290</v>
      </c>
      <c r="C192" s="5" t="s">
        <v>1277</v>
      </c>
      <c r="D192" s="5" t="s">
        <v>8</v>
      </c>
      <c r="E192" s="6"/>
      <c r="F192" s="6"/>
      <c r="G192" s="7" t="s">
        <v>1291</v>
      </c>
      <c r="I192" s="8" t="s">
        <v>1292</v>
      </c>
      <c r="J192" s="9">
        <v>28.9</v>
      </c>
      <c r="K192" s="10" t="s">
        <v>11</v>
      </c>
      <c r="L192" s="6"/>
      <c r="M192" s="11" t="s">
        <v>12</v>
      </c>
      <c r="N192" s="6" t="s">
        <v>1293</v>
      </c>
      <c r="O192" s="6" t="s">
        <v>1294</v>
      </c>
      <c r="P192" s="10" t="s">
        <v>15</v>
      </c>
      <c r="Q192" s="6"/>
      <c r="R192" s="6"/>
      <c r="S192" s="6"/>
      <c r="T192" s="6" t="s">
        <v>16</v>
      </c>
      <c r="U192" s="9" t="s">
        <v>17</v>
      </c>
      <c r="AI192" s="6" t="s">
        <v>18</v>
      </c>
      <c r="AJ192" s="12" t="s">
        <v>1282</v>
      </c>
      <c r="AL192" s="13" t="s">
        <v>20</v>
      </c>
    </row>
    <row r="193">
      <c r="A193" s="5" t="s">
        <v>1295</v>
      </c>
      <c r="B193" s="5" t="s">
        <v>1296</v>
      </c>
      <c r="C193" s="5" t="s">
        <v>1248</v>
      </c>
      <c r="D193" s="5" t="s">
        <v>8</v>
      </c>
      <c r="E193" s="6"/>
      <c r="F193" s="6"/>
      <c r="G193" s="7" t="s">
        <v>1297</v>
      </c>
      <c r="I193" s="8" t="s">
        <v>1298</v>
      </c>
      <c r="J193" s="9">
        <v>29.5</v>
      </c>
      <c r="K193" s="10" t="s">
        <v>11</v>
      </c>
      <c r="L193" s="6"/>
      <c r="M193" s="11" t="s">
        <v>12</v>
      </c>
      <c r="N193" s="6" t="s">
        <v>1299</v>
      </c>
      <c r="O193" s="6" t="s">
        <v>1300</v>
      </c>
      <c r="P193" s="10" t="s">
        <v>15</v>
      </c>
      <c r="Q193" s="6"/>
      <c r="R193" s="6"/>
      <c r="S193" s="15" t="s">
        <v>1253</v>
      </c>
      <c r="T193" s="6" t="s">
        <v>16</v>
      </c>
      <c r="U193" s="9" t="s">
        <v>17</v>
      </c>
      <c r="AI193" s="6" t="s">
        <v>18</v>
      </c>
      <c r="AJ193" s="12" t="s">
        <v>1254</v>
      </c>
      <c r="AL193" s="13" t="s">
        <v>20</v>
      </c>
    </row>
    <row r="194">
      <c r="A194" s="5" t="s">
        <v>1301</v>
      </c>
      <c r="B194" s="5" t="s">
        <v>1302</v>
      </c>
      <c r="C194" s="5" t="s">
        <v>1303</v>
      </c>
      <c r="D194" s="5" t="s">
        <v>8</v>
      </c>
      <c r="E194" s="6"/>
      <c r="F194" s="6"/>
      <c r="G194" s="7" t="s">
        <v>1304</v>
      </c>
      <c r="I194" s="8" t="s">
        <v>1305</v>
      </c>
      <c r="J194" s="9">
        <v>9.9</v>
      </c>
      <c r="K194" s="10" t="s">
        <v>11</v>
      </c>
      <c r="L194" s="6"/>
      <c r="M194" s="11" t="s">
        <v>12</v>
      </c>
      <c r="N194" s="6" t="s">
        <v>1306</v>
      </c>
      <c r="O194" s="6" t="s">
        <v>1307</v>
      </c>
      <c r="P194" s="10" t="s">
        <v>15</v>
      </c>
      <c r="Q194" s="6"/>
      <c r="R194" s="6"/>
      <c r="S194" s="6"/>
      <c r="T194" s="6" t="s">
        <v>16</v>
      </c>
      <c r="U194" s="9" t="s">
        <v>17</v>
      </c>
      <c r="AI194" s="6" t="s">
        <v>18</v>
      </c>
      <c r="AJ194" s="12" t="s">
        <v>1308</v>
      </c>
      <c r="AL194" s="13" t="s">
        <v>20</v>
      </c>
    </row>
    <row r="195">
      <c r="A195" s="5" t="s">
        <v>1309</v>
      </c>
      <c r="B195" s="5" t="s">
        <v>1310</v>
      </c>
      <c r="C195" s="5" t="s">
        <v>1303</v>
      </c>
      <c r="D195" s="5" t="s">
        <v>8</v>
      </c>
      <c r="E195" s="6"/>
      <c r="F195" s="6"/>
      <c r="G195" s="7" t="s">
        <v>1311</v>
      </c>
      <c r="I195" s="8" t="s">
        <v>1312</v>
      </c>
      <c r="J195" s="9">
        <v>29.4</v>
      </c>
      <c r="K195" s="10" t="s">
        <v>11</v>
      </c>
      <c r="L195" s="6"/>
      <c r="M195" s="11" t="s">
        <v>12</v>
      </c>
      <c r="N195" s="6" t="s">
        <v>1313</v>
      </c>
      <c r="O195" s="6" t="s">
        <v>1314</v>
      </c>
      <c r="P195" s="10" t="s">
        <v>15</v>
      </c>
      <c r="Q195" s="6"/>
      <c r="R195" s="6"/>
      <c r="S195" s="6"/>
      <c r="T195" s="6" t="s">
        <v>16</v>
      </c>
      <c r="U195" s="9" t="s">
        <v>17</v>
      </c>
      <c r="AI195" s="6" t="s">
        <v>18</v>
      </c>
      <c r="AJ195" s="12" t="s">
        <v>1308</v>
      </c>
      <c r="AL195" s="13" t="s">
        <v>20</v>
      </c>
    </row>
    <row r="196">
      <c r="A196" s="5" t="s">
        <v>1315</v>
      </c>
      <c r="B196" s="5" t="s">
        <v>1316</v>
      </c>
      <c r="C196" s="5" t="s">
        <v>1303</v>
      </c>
      <c r="D196" s="5" t="s">
        <v>8</v>
      </c>
      <c r="E196" s="6"/>
      <c r="F196" s="6"/>
      <c r="G196" s="7" t="s">
        <v>1317</v>
      </c>
      <c r="I196" s="8" t="s">
        <v>1318</v>
      </c>
      <c r="J196" s="9">
        <v>9.9</v>
      </c>
      <c r="K196" s="10" t="s">
        <v>11</v>
      </c>
      <c r="L196" s="6"/>
      <c r="M196" s="11" t="s">
        <v>12</v>
      </c>
      <c r="N196" s="6" t="s">
        <v>1319</v>
      </c>
      <c r="O196" s="6" t="s">
        <v>1320</v>
      </c>
      <c r="P196" s="10" t="s">
        <v>15</v>
      </c>
      <c r="Q196" s="6"/>
      <c r="R196" s="6"/>
      <c r="S196" s="6"/>
      <c r="T196" s="6" t="s">
        <v>16</v>
      </c>
      <c r="U196" s="9" t="s">
        <v>17</v>
      </c>
      <c r="AI196" s="6" t="s">
        <v>18</v>
      </c>
      <c r="AJ196" s="12" t="s">
        <v>1321</v>
      </c>
      <c r="AL196" s="13" t="s">
        <v>20</v>
      </c>
    </row>
    <row r="197">
      <c r="A197" s="5" t="s">
        <v>1322</v>
      </c>
      <c r="B197" s="5" t="s">
        <v>1323</v>
      </c>
      <c r="C197" s="5" t="s">
        <v>1303</v>
      </c>
      <c r="D197" s="5" t="s">
        <v>8</v>
      </c>
      <c r="E197" s="6"/>
      <c r="F197" s="6"/>
      <c r="G197" s="7" t="s">
        <v>1324</v>
      </c>
      <c r="I197" s="8" t="s">
        <v>1325</v>
      </c>
      <c r="J197" s="9">
        <v>29.4</v>
      </c>
      <c r="K197" s="10" t="s">
        <v>11</v>
      </c>
      <c r="L197" s="6"/>
      <c r="M197" s="11" t="s">
        <v>12</v>
      </c>
      <c r="N197" s="6" t="s">
        <v>1313</v>
      </c>
      <c r="O197" s="6" t="s">
        <v>1326</v>
      </c>
      <c r="P197" s="10" t="s">
        <v>15</v>
      </c>
      <c r="Q197" s="6"/>
      <c r="R197" s="6"/>
      <c r="S197" s="6"/>
      <c r="T197" s="6" t="s">
        <v>16</v>
      </c>
      <c r="U197" s="9" t="s">
        <v>17</v>
      </c>
      <c r="AI197" s="6" t="s">
        <v>18</v>
      </c>
      <c r="AJ197" s="12" t="s">
        <v>1321</v>
      </c>
      <c r="AL197" s="13" t="s">
        <v>20</v>
      </c>
    </row>
    <row r="198">
      <c r="A198" s="5" t="s">
        <v>1327</v>
      </c>
      <c r="B198" s="5" t="s">
        <v>1328</v>
      </c>
      <c r="C198" s="5" t="s">
        <v>1329</v>
      </c>
      <c r="D198" s="5" t="s">
        <v>8</v>
      </c>
      <c r="E198" s="6"/>
      <c r="F198" s="6"/>
      <c r="G198" s="7" t="s">
        <v>1330</v>
      </c>
      <c r="I198" s="8" t="s">
        <v>1331</v>
      </c>
      <c r="J198" s="9">
        <v>11.9</v>
      </c>
      <c r="K198" s="10" t="s">
        <v>11</v>
      </c>
      <c r="L198" s="6"/>
      <c r="M198" s="11" t="s">
        <v>12</v>
      </c>
      <c r="N198" s="6" t="s">
        <v>1332</v>
      </c>
      <c r="O198" s="6" t="s">
        <v>1333</v>
      </c>
      <c r="P198" s="10" t="s">
        <v>15</v>
      </c>
      <c r="Q198" s="6"/>
      <c r="R198" s="6"/>
      <c r="S198" s="6"/>
      <c r="T198" s="6" t="s">
        <v>16</v>
      </c>
      <c r="U198" s="9" t="s">
        <v>17</v>
      </c>
      <c r="AI198" s="6" t="s">
        <v>18</v>
      </c>
      <c r="AJ198" s="12" t="s">
        <v>1334</v>
      </c>
      <c r="AL198" s="13" t="s">
        <v>20</v>
      </c>
    </row>
    <row r="199">
      <c r="A199" s="5" t="s">
        <v>1335</v>
      </c>
      <c r="B199" s="5" t="s">
        <v>1336</v>
      </c>
      <c r="C199" s="5" t="s">
        <v>1337</v>
      </c>
      <c r="D199" s="5" t="s">
        <v>8</v>
      </c>
      <c r="E199" s="6"/>
      <c r="F199" s="6"/>
      <c r="G199" s="7" t="s">
        <v>1338</v>
      </c>
      <c r="I199" s="8" t="s">
        <v>1339</v>
      </c>
      <c r="J199" s="9">
        <v>37.9</v>
      </c>
      <c r="K199" s="10" t="s">
        <v>11</v>
      </c>
      <c r="L199" s="6"/>
      <c r="M199" s="11" t="s">
        <v>12</v>
      </c>
      <c r="N199" s="6" t="s">
        <v>1340</v>
      </c>
      <c r="O199" s="6" t="s">
        <v>1341</v>
      </c>
      <c r="P199" s="10" t="s">
        <v>15</v>
      </c>
      <c r="Q199" s="6"/>
      <c r="R199" s="6"/>
      <c r="S199" s="6"/>
      <c r="T199" s="6" t="s">
        <v>16</v>
      </c>
      <c r="U199" s="9" t="s">
        <v>17</v>
      </c>
      <c r="AI199" s="6" t="s">
        <v>18</v>
      </c>
      <c r="AJ199" s="12" t="s">
        <v>1342</v>
      </c>
      <c r="AL199" s="13" t="s">
        <v>20</v>
      </c>
    </row>
    <row r="200">
      <c r="A200" s="5" t="s">
        <v>1343</v>
      </c>
      <c r="B200" s="5" t="s">
        <v>1344</v>
      </c>
      <c r="C200" s="5" t="s">
        <v>1337</v>
      </c>
      <c r="D200" s="5" t="s">
        <v>8</v>
      </c>
      <c r="E200" s="6"/>
      <c r="F200" s="6"/>
      <c r="G200" s="7" t="s">
        <v>1345</v>
      </c>
      <c r="I200" s="8" t="s">
        <v>1346</v>
      </c>
      <c r="J200" s="9">
        <v>26.9</v>
      </c>
      <c r="K200" s="10" t="s">
        <v>11</v>
      </c>
      <c r="L200" s="6"/>
      <c r="M200" s="11" t="s">
        <v>12</v>
      </c>
      <c r="N200" s="6" t="s">
        <v>1347</v>
      </c>
      <c r="O200" s="6" t="s">
        <v>1348</v>
      </c>
      <c r="P200" s="10" t="s">
        <v>15</v>
      </c>
      <c r="Q200" s="6"/>
      <c r="R200" s="6"/>
      <c r="S200" s="6"/>
      <c r="T200" s="6" t="s">
        <v>16</v>
      </c>
      <c r="U200" s="9" t="s">
        <v>17</v>
      </c>
      <c r="AI200" s="6" t="s">
        <v>18</v>
      </c>
      <c r="AJ200" s="12" t="s">
        <v>1342</v>
      </c>
      <c r="AL200" s="13" t="s">
        <v>20</v>
      </c>
    </row>
    <row r="201">
      <c r="A201" s="5" t="s">
        <v>1349</v>
      </c>
      <c r="B201" s="5" t="s">
        <v>1350</v>
      </c>
      <c r="C201" s="5" t="s">
        <v>1329</v>
      </c>
      <c r="D201" s="5" t="s">
        <v>8</v>
      </c>
      <c r="E201" s="6"/>
      <c r="F201" s="6"/>
      <c r="G201" s="7" t="s">
        <v>1351</v>
      </c>
      <c r="I201" s="8" t="s">
        <v>1352</v>
      </c>
      <c r="J201" s="9">
        <v>29.4</v>
      </c>
      <c r="K201" s="10" t="s">
        <v>11</v>
      </c>
      <c r="L201" s="6"/>
      <c r="M201" s="11" t="s">
        <v>12</v>
      </c>
      <c r="N201" s="6" t="s">
        <v>1353</v>
      </c>
      <c r="O201" s="6" t="s">
        <v>1354</v>
      </c>
      <c r="P201" s="10" t="s">
        <v>15</v>
      </c>
      <c r="Q201" s="6"/>
      <c r="R201" s="6"/>
      <c r="S201" s="6"/>
      <c r="T201" s="6" t="s">
        <v>16</v>
      </c>
      <c r="U201" s="9" t="s">
        <v>17</v>
      </c>
      <c r="AI201" s="6" t="s">
        <v>18</v>
      </c>
      <c r="AJ201" s="12" t="s">
        <v>1334</v>
      </c>
      <c r="AL201" s="13" t="s">
        <v>20</v>
      </c>
    </row>
    <row r="202">
      <c r="A202" s="5" t="s">
        <v>1355</v>
      </c>
      <c r="B202" s="5" t="s">
        <v>1356</v>
      </c>
      <c r="C202" s="5" t="s">
        <v>1357</v>
      </c>
      <c r="D202" s="5" t="s">
        <v>8</v>
      </c>
      <c r="E202" s="6"/>
      <c r="F202" s="6"/>
      <c r="G202" s="7" t="s">
        <v>1358</v>
      </c>
      <c r="I202" s="8" t="s">
        <v>1359</v>
      </c>
      <c r="J202" s="9">
        <v>10.9</v>
      </c>
      <c r="K202" s="10" t="s">
        <v>11</v>
      </c>
      <c r="L202" s="6"/>
      <c r="M202" s="11" t="s">
        <v>12</v>
      </c>
      <c r="N202" s="6" t="s">
        <v>1360</v>
      </c>
      <c r="O202" s="6" t="s">
        <v>1361</v>
      </c>
      <c r="P202" s="10" t="s">
        <v>15</v>
      </c>
      <c r="Q202" s="6"/>
      <c r="R202" s="6"/>
      <c r="S202" s="6"/>
      <c r="T202" s="6" t="s">
        <v>16</v>
      </c>
      <c r="U202" s="9" t="s">
        <v>17</v>
      </c>
      <c r="AI202" s="6" t="s">
        <v>18</v>
      </c>
      <c r="AJ202" s="12" t="s">
        <v>1362</v>
      </c>
      <c r="AL202" s="13" t="s">
        <v>20</v>
      </c>
    </row>
    <row r="203">
      <c r="A203" s="5" t="s">
        <v>1363</v>
      </c>
      <c r="B203" s="5" t="s">
        <v>1364</v>
      </c>
      <c r="C203" s="5" t="s">
        <v>1357</v>
      </c>
      <c r="D203" s="5" t="s">
        <v>8</v>
      </c>
      <c r="E203" s="6"/>
      <c r="F203" s="6"/>
      <c r="G203" s="7" t="s">
        <v>1365</v>
      </c>
      <c r="I203" s="8" t="s">
        <v>1366</v>
      </c>
      <c r="J203" s="9">
        <v>29.7</v>
      </c>
      <c r="K203" s="10">
        <v>26.73</v>
      </c>
      <c r="L203" s="6"/>
      <c r="M203" s="11" t="s">
        <v>17</v>
      </c>
      <c r="N203" s="6"/>
      <c r="O203" s="6" t="s">
        <v>1367</v>
      </c>
      <c r="P203" s="10" t="s">
        <v>15</v>
      </c>
      <c r="Q203" s="6"/>
      <c r="R203" s="6"/>
      <c r="S203" s="6"/>
      <c r="T203" s="6" t="s">
        <v>16</v>
      </c>
      <c r="U203" s="9" t="s">
        <v>17</v>
      </c>
      <c r="AI203" s="6" t="s">
        <v>18</v>
      </c>
      <c r="AJ203" s="12" t="s">
        <v>1362</v>
      </c>
      <c r="AL203" s="13" t="s">
        <v>20</v>
      </c>
    </row>
    <row r="204">
      <c r="A204" s="5" t="s">
        <v>1368</v>
      </c>
      <c r="B204" s="5" t="s">
        <v>1369</v>
      </c>
      <c r="C204" s="5" t="s">
        <v>1370</v>
      </c>
      <c r="D204" s="5" t="s">
        <v>8</v>
      </c>
      <c r="E204" s="6"/>
      <c r="F204" s="6"/>
      <c r="G204" s="7" t="s">
        <v>1371</v>
      </c>
      <c r="I204" s="8" t="s">
        <v>1372</v>
      </c>
      <c r="J204" s="9">
        <v>9.7</v>
      </c>
      <c r="K204" s="10" t="s">
        <v>11</v>
      </c>
      <c r="L204" s="6"/>
      <c r="M204" s="11" t="s">
        <v>12</v>
      </c>
      <c r="N204" s="6" t="s">
        <v>1373</v>
      </c>
      <c r="O204" s="6" t="s">
        <v>1374</v>
      </c>
      <c r="P204" s="10" t="s">
        <v>15</v>
      </c>
      <c r="Q204" s="6"/>
      <c r="R204" s="6"/>
      <c r="S204" s="6"/>
      <c r="T204" s="6" t="s">
        <v>16</v>
      </c>
      <c r="U204" s="9" t="s">
        <v>17</v>
      </c>
      <c r="AI204" s="6" t="s">
        <v>18</v>
      </c>
      <c r="AJ204" s="12" t="s">
        <v>1375</v>
      </c>
      <c r="AL204" s="13" t="s">
        <v>20</v>
      </c>
    </row>
    <row r="205">
      <c r="A205" s="5" t="s">
        <v>1376</v>
      </c>
      <c r="B205" s="5" t="s">
        <v>1377</v>
      </c>
      <c r="C205" s="5" t="s">
        <v>1370</v>
      </c>
      <c r="D205" s="5" t="s">
        <v>8</v>
      </c>
      <c r="E205" s="6"/>
      <c r="F205" s="6"/>
      <c r="G205" s="7" t="s">
        <v>1378</v>
      </c>
      <c r="I205" s="8" t="s">
        <v>1379</v>
      </c>
      <c r="J205" s="9">
        <v>28.9</v>
      </c>
      <c r="K205" s="10" t="s">
        <v>11</v>
      </c>
      <c r="L205" s="6"/>
      <c r="M205" s="11" t="s">
        <v>12</v>
      </c>
      <c r="N205" s="6" t="s">
        <v>1380</v>
      </c>
      <c r="O205" s="6" t="s">
        <v>1381</v>
      </c>
      <c r="P205" s="10" t="s">
        <v>15</v>
      </c>
      <c r="Q205" s="6"/>
      <c r="R205" s="6"/>
      <c r="S205" s="6"/>
      <c r="T205" s="6" t="s">
        <v>16</v>
      </c>
      <c r="U205" s="9" t="s">
        <v>17</v>
      </c>
      <c r="AI205" s="6" t="s">
        <v>18</v>
      </c>
      <c r="AJ205" s="12" t="s">
        <v>1375</v>
      </c>
      <c r="AL205" s="13" t="s">
        <v>20</v>
      </c>
    </row>
    <row r="206">
      <c r="A206" s="5" t="s">
        <v>1382</v>
      </c>
      <c r="B206" s="5" t="s">
        <v>1383</v>
      </c>
      <c r="C206" s="5" t="s">
        <v>1384</v>
      </c>
      <c r="D206" s="5" t="s">
        <v>8</v>
      </c>
      <c r="E206" s="6"/>
      <c r="F206" s="6"/>
      <c r="G206" s="7" t="s">
        <v>1385</v>
      </c>
      <c r="I206" s="8" t="s">
        <v>1386</v>
      </c>
      <c r="J206" s="9">
        <v>11.7</v>
      </c>
      <c r="K206" s="10" t="s">
        <v>11</v>
      </c>
      <c r="L206" s="6"/>
      <c r="M206" s="11" t="s">
        <v>12</v>
      </c>
      <c r="N206" s="6" t="s">
        <v>1387</v>
      </c>
      <c r="O206" s="6" t="s">
        <v>1388</v>
      </c>
      <c r="P206" s="10" t="s">
        <v>15</v>
      </c>
      <c r="Q206" s="6"/>
      <c r="R206" s="6"/>
      <c r="S206" s="6"/>
      <c r="T206" s="6" t="s">
        <v>16</v>
      </c>
      <c r="U206" s="9" t="s">
        <v>17</v>
      </c>
      <c r="AI206" s="6" t="s">
        <v>18</v>
      </c>
      <c r="AJ206" s="12" t="s">
        <v>1389</v>
      </c>
      <c r="AL206" s="13" t="s">
        <v>20</v>
      </c>
    </row>
    <row r="207">
      <c r="A207" s="5" t="s">
        <v>1390</v>
      </c>
      <c r="B207" s="5" t="s">
        <v>1391</v>
      </c>
      <c r="C207" s="5" t="s">
        <v>1392</v>
      </c>
      <c r="D207" s="5" t="s">
        <v>8</v>
      </c>
      <c r="E207" s="6"/>
      <c r="F207" s="6"/>
      <c r="G207" s="7" t="s">
        <v>1393</v>
      </c>
      <c r="I207" s="8" t="s">
        <v>1394</v>
      </c>
      <c r="J207" s="9">
        <v>8.9</v>
      </c>
      <c r="K207" s="10" t="s">
        <v>11</v>
      </c>
      <c r="L207" s="6"/>
      <c r="M207" s="11" t="s">
        <v>12</v>
      </c>
      <c r="N207" s="6" t="s">
        <v>1395</v>
      </c>
      <c r="O207" s="6" t="s">
        <v>1396</v>
      </c>
      <c r="P207" s="10" t="s">
        <v>15</v>
      </c>
      <c r="Q207" s="6"/>
      <c r="R207" s="6"/>
      <c r="S207" s="6" t="s">
        <v>1397</v>
      </c>
      <c r="T207" s="6" t="s">
        <v>16</v>
      </c>
      <c r="U207" s="9" t="s">
        <v>17</v>
      </c>
      <c r="AI207" s="6" t="s">
        <v>18</v>
      </c>
      <c r="AJ207" s="12" t="s">
        <v>1398</v>
      </c>
      <c r="AL207" s="13" t="s">
        <v>20</v>
      </c>
    </row>
    <row r="208">
      <c r="A208" s="5" t="s">
        <v>1399</v>
      </c>
      <c r="B208" s="5" t="s">
        <v>1400</v>
      </c>
      <c r="C208" s="5" t="s">
        <v>1392</v>
      </c>
      <c r="D208" s="5" t="s">
        <v>8</v>
      </c>
      <c r="E208" s="6"/>
      <c r="F208" s="6"/>
      <c r="G208" s="7" t="s">
        <v>1401</v>
      </c>
      <c r="I208" s="8" t="s">
        <v>1402</v>
      </c>
      <c r="J208" s="9">
        <v>15.8</v>
      </c>
      <c r="K208" s="10">
        <v>15.01</v>
      </c>
      <c r="L208" s="6"/>
      <c r="M208" s="11" t="s">
        <v>17</v>
      </c>
      <c r="N208" s="6"/>
      <c r="O208" s="6" t="s">
        <v>1403</v>
      </c>
      <c r="P208" s="10" t="s">
        <v>15</v>
      </c>
      <c r="Q208" s="6"/>
      <c r="R208" s="6"/>
      <c r="S208" s="6" t="s">
        <v>1397</v>
      </c>
      <c r="T208" s="6" t="s">
        <v>16</v>
      </c>
      <c r="U208" s="9" t="s">
        <v>17</v>
      </c>
      <c r="AI208" s="6" t="s">
        <v>18</v>
      </c>
      <c r="AJ208" s="12" t="s">
        <v>1398</v>
      </c>
      <c r="AL208" s="13" t="s">
        <v>20</v>
      </c>
    </row>
    <row r="209">
      <c r="A209" s="5" t="s">
        <v>1404</v>
      </c>
      <c r="B209" s="5" t="s">
        <v>1405</v>
      </c>
      <c r="C209" s="5" t="s">
        <v>1384</v>
      </c>
      <c r="D209" s="5" t="s">
        <v>8</v>
      </c>
      <c r="E209" s="6"/>
      <c r="F209" s="6"/>
      <c r="G209" s="7" t="s">
        <v>1406</v>
      </c>
      <c r="I209" s="8" t="s">
        <v>1407</v>
      </c>
      <c r="J209" s="9">
        <v>28.9</v>
      </c>
      <c r="K209" s="10" t="s">
        <v>11</v>
      </c>
      <c r="L209" s="6"/>
      <c r="M209" s="11" t="s">
        <v>12</v>
      </c>
      <c r="N209" s="6" t="s">
        <v>1408</v>
      </c>
      <c r="O209" s="6" t="s">
        <v>1409</v>
      </c>
      <c r="P209" s="10" t="s">
        <v>15</v>
      </c>
      <c r="Q209" s="6"/>
      <c r="R209" s="6"/>
      <c r="S209" s="6"/>
      <c r="T209" s="6" t="s">
        <v>16</v>
      </c>
      <c r="U209" s="9" t="s">
        <v>17</v>
      </c>
      <c r="AI209" s="6" t="s">
        <v>18</v>
      </c>
      <c r="AJ209" s="12" t="s">
        <v>1389</v>
      </c>
      <c r="AL209" s="13" t="s">
        <v>20</v>
      </c>
    </row>
    <row r="210">
      <c r="A210" s="5" t="s">
        <v>1410</v>
      </c>
      <c r="B210" s="5" t="s">
        <v>1411</v>
      </c>
      <c r="C210" s="5" t="s">
        <v>1412</v>
      </c>
      <c r="D210" s="5" t="s">
        <v>8</v>
      </c>
      <c r="E210" s="6"/>
      <c r="F210" s="6"/>
      <c r="G210" s="7" t="s">
        <v>1413</v>
      </c>
      <c r="I210" s="8" t="s">
        <v>1414</v>
      </c>
      <c r="J210" s="9">
        <v>11.9</v>
      </c>
      <c r="K210" s="10" t="s">
        <v>11</v>
      </c>
      <c r="L210" s="6"/>
      <c r="M210" s="11" t="s">
        <v>12</v>
      </c>
      <c r="N210" s="6" t="s">
        <v>1415</v>
      </c>
      <c r="O210" s="6" t="s">
        <v>1416</v>
      </c>
      <c r="P210" s="10" t="s">
        <v>15</v>
      </c>
      <c r="Q210" s="6"/>
      <c r="R210" s="6"/>
      <c r="S210" s="6" t="s">
        <v>1417</v>
      </c>
      <c r="T210" s="6" t="s">
        <v>16</v>
      </c>
      <c r="U210" s="9" t="s">
        <v>17</v>
      </c>
      <c r="AI210" s="6" t="s">
        <v>18</v>
      </c>
      <c r="AJ210" s="12" t="s">
        <v>1418</v>
      </c>
      <c r="AL210" s="13" t="s">
        <v>20</v>
      </c>
    </row>
    <row r="211">
      <c r="A211" s="5" t="s">
        <v>1419</v>
      </c>
      <c r="B211" s="5" t="s">
        <v>1420</v>
      </c>
      <c r="C211" s="5" t="s">
        <v>1412</v>
      </c>
      <c r="D211" s="5" t="s">
        <v>8</v>
      </c>
      <c r="E211" s="6"/>
      <c r="F211" s="6"/>
      <c r="G211" s="7" t="s">
        <v>1421</v>
      </c>
      <c r="I211" s="8" t="s">
        <v>1422</v>
      </c>
      <c r="J211" s="9">
        <v>29.5</v>
      </c>
      <c r="K211" s="10" t="s">
        <v>11</v>
      </c>
      <c r="L211" s="6"/>
      <c r="M211" s="11" t="s">
        <v>12</v>
      </c>
      <c r="N211" s="6" t="s">
        <v>1423</v>
      </c>
      <c r="O211" s="6" t="s">
        <v>1424</v>
      </c>
      <c r="P211" s="10" t="s">
        <v>15</v>
      </c>
      <c r="Q211" s="6"/>
      <c r="R211" s="6"/>
      <c r="S211" s="6" t="s">
        <v>1417</v>
      </c>
      <c r="T211" s="6" t="s">
        <v>16</v>
      </c>
      <c r="U211" s="9" t="s">
        <v>17</v>
      </c>
      <c r="AI211" s="6" t="s">
        <v>18</v>
      </c>
      <c r="AJ211" s="12" t="s">
        <v>1418</v>
      </c>
      <c r="AL211" s="13" t="s">
        <v>20</v>
      </c>
    </row>
    <row r="212">
      <c r="A212" s="5" t="s">
        <v>1425</v>
      </c>
      <c r="B212" s="5" t="s">
        <v>1426</v>
      </c>
      <c r="C212" s="5" t="s">
        <v>1427</v>
      </c>
      <c r="D212" s="5" t="s">
        <v>8</v>
      </c>
      <c r="E212" s="6"/>
      <c r="F212" s="6"/>
      <c r="G212" s="7" t="s">
        <v>1428</v>
      </c>
      <c r="I212" s="8" t="s">
        <v>1429</v>
      </c>
      <c r="J212" s="9">
        <v>16.9</v>
      </c>
      <c r="K212" s="10" t="s">
        <v>11</v>
      </c>
      <c r="L212" s="6"/>
      <c r="M212" s="11" t="s">
        <v>12</v>
      </c>
      <c r="N212" s="6" t="s">
        <v>1430</v>
      </c>
      <c r="O212" s="6" t="s">
        <v>1431</v>
      </c>
      <c r="P212" s="10" t="s">
        <v>15</v>
      </c>
      <c r="Q212" s="6"/>
      <c r="R212" s="6"/>
      <c r="S212" s="6"/>
      <c r="T212" s="6" t="s">
        <v>16</v>
      </c>
      <c r="U212" s="9" t="s">
        <v>17</v>
      </c>
      <c r="AI212" s="6" t="s">
        <v>18</v>
      </c>
      <c r="AJ212" s="12" t="s">
        <v>1432</v>
      </c>
      <c r="AL212" s="13" t="s">
        <v>20</v>
      </c>
    </row>
    <row r="213">
      <c r="A213" s="5" t="s">
        <v>1433</v>
      </c>
      <c r="B213" s="5" t="s">
        <v>1434</v>
      </c>
      <c r="C213" s="5" t="s">
        <v>1435</v>
      </c>
      <c r="D213" s="5" t="s">
        <v>8</v>
      </c>
      <c r="E213" s="6"/>
      <c r="F213" s="6"/>
      <c r="G213" s="7" t="s">
        <v>1436</v>
      </c>
      <c r="I213" s="8" t="s">
        <v>1437</v>
      </c>
      <c r="J213" s="9">
        <v>18.9</v>
      </c>
      <c r="K213" s="10" t="s">
        <v>11</v>
      </c>
      <c r="L213" s="6"/>
      <c r="M213" s="11" t="s">
        <v>12</v>
      </c>
      <c r="N213" s="6" t="s">
        <v>1438</v>
      </c>
      <c r="O213" s="6" t="s">
        <v>1439</v>
      </c>
      <c r="P213" s="10" t="s">
        <v>15</v>
      </c>
      <c r="Q213" s="6"/>
      <c r="R213" s="6"/>
      <c r="S213" s="6"/>
      <c r="T213" s="6" t="s">
        <v>16</v>
      </c>
      <c r="U213" s="9" t="s">
        <v>17</v>
      </c>
      <c r="AI213" s="6" t="s">
        <v>18</v>
      </c>
      <c r="AJ213" s="12" t="s">
        <v>1440</v>
      </c>
      <c r="AL213" s="13" t="s">
        <v>20</v>
      </c>
    </row>
    <row r="214">
      <c r="A214" s="5" t="s">
        <v>1441</v>
      </c>
      <c r="B214" s="5" t="s">
        <v>1442</v>
      </c>
      <c r="C214" s="5" t="s">
        <v>1443</v>
      </c>
      <c r="D214" s="5" t="s">
        <v>8</v>
      </c>
      <c r="E214" s="6"/>
      <c r="F214" s="6"/>
      <c r="G214" s="7" t="s">
        <v>1444</v>
      </c>
      <c r="I214" s="8" t="s">
        <v>1445</v>
      </c>
      <c r="J214" s="9">
        <v>9.9</v>
      </c>
      <c r="K214" s="10" t="s">
        <v>11</v>
      </c>
      <c r="L214" s="6"/>
      <c r="M214" s="11" t="s">
        <v>12</v>
      </c>
      <c r="N214" s="6" t="s">
        <v>1446</v>
      </c>
      <c r="O214" s="6" t="s">
        <v>1447</v>
      </c>
      <c r="P214" s="10" t="s">
        <v>15</v>
      </c>
      <c r="Q214" s="6"/>
      <c r="R214" s="6"/>
      <c r="S214" s="6"/>
      <c r="T214" s="6" t="s">
        <v>16</v>
      </c>
      <c r="U214" s="9" t="s">
        <v>17</v>
      </c>
      <c r="AI214" s="6" t="s">
        <v>18</v>
      </c>
      <c r="AJ214" s="12" t="s">
        <v>1448</v>
      </c>
      <c r="AL214" s="13" t="s">
        <v>20</v>
      </c>
    </row>
    <row r="215">
      <c r="A215" s="5" t="s">
        <v>1449</v>
      </c>
      <c r="B215" s="5" t="s">
        <v>1450</v>
      </c>
      <c r="C215" s="5" t="s">
        <v>1443</v>
      </c>
      <c r="D215" s="5" t="s">
        <v>8</v>
      </c>
      <c r="E215" s="6"/>
      <c r="F215" s="6"/>
      <c r="G215" s="7" t="s">
        <v>1451</v>
      </c>
      <c r="I215" s="16" t="s">
        <v>1452</v>
      </c>
      <c r="J215" s="9">
        <v>29.5</v>
      </c>
      <c r="K215" s="10" t="s">
        <v>11</v>
      </c>
      <c r="L215" s="6"/>
      <c r="M215" s="11" t="s">
        <v>12</v>
      </c>
      <c r="N215" s="6" t="s">
        <v>1453</v>
      </c>
      <c r="O215" s="6" t="s">
        <v>1454</v>
      </c>
      <c r="P215" s="10" t="s">
        <v>15</v>
      </c>
      <c r="Q215" s="6"/>
      <c r="R215" s="6"/>
      <c r="S215" s="6"/>
      <c r="T215" s="6" t="s">
        <v>16</v>
      </c>
      <c r="U215" s="9" t="s">
        <v>17</v>
      </c>
      <c r="AI215" s="6" t="s">
        <v>18</v>
      </c>
      <c r="AJ215" s="12" t="s">
        <v>1448</v>
      </c>
      <c r="AL215" s="13" t="s">
        <v>20</v>
      </c>
    </row>
    <row r="216">
      <c r="A216" s="5" t="s">
        <v>1455</v>
      </c>
      <c r="B216" s="5" t="s">
        <v>1456</v>
      </c>
      <c r="C216" s="5" t="s">
        <v>1457</v>
      </c>
      <c r="D216" s="5" t="s">
        <v>8</v>
      </c>
      <c r="E216" s="6"/>
      <c r="F216" s="6"/>
      <c r="G216" s="7" t="s">
        <v>1458</v>
      </c>
      <c r="I216" s="8" t="s">
        <v>1459</v>
      </c>
      <c r="J216" s="9">
        <v>6.8</v>
      </c>
      <c r="K216" s="10" t="s">
        <v>11</v>
      </c>
      <c r="L216" s="6"/>
      <c r="M216" s="11" t="s">
        <v>12</v>
      </c>
      <c r="N216" s="6" t="s">
        <v>1460</v>
      </c>
      <c r="O216" s="6" t="s">
        <v>1461</v>
      </c>
      <c r="P216" s="10" t="s">
        <v>15</v>
      </c>
      <c r="Q216" s="6"/>
      <c r="R216" s="6"/>
      <c r="S216" s="6"/>
      <c r="T216" s="6" t="s">
        <v>16</v>
      </c>
      <c r="U216" s="9" t="s">
        <v>17</v>
      </c>
      <c r="AI216" s="6" t="s">
        <v>18</v>
      </c>
      <c r="AJ216" s="12" t="s">
        <v>1462</v>
      </c>
      <c r="AL216" s="13" t="s">
        <v>20</v>
      </c>
    </row>
    <row r="217">
      <c r="A217" s="5" t="s">
        <v>1463</v>
      </c>
      <c r="B217" s="5" t="s">
        <v>1464</v>
      </c>
      <c r="C217" s="5" t="s">
        <v>1457</v>
      </c>
      <c r="D217" s="5" t="s">
        <v>8</v>
      </c>
      <c r="E217" s="6"/>
      <c r="F217" s="6"/>
      <c r="G217" s="7" t="s">
        <v>1465</v>
      </c>
      <c r="I217" s="8" t="s">
        <v>1466</v>
      </c>
      <c r="J217" s="9">
        <v>15.9</v>
      </c>
      <c r="K217" s="10" t="s">
        <v>11</v>
      </c>
      <c r="L217" s="6"/>
      <c r="M217" s="11" t="s">
        <v>12</v>
      </c>
      <c r="N217" s="6" t="s">
        <v>1467</v>
      </c>
      <c r="O217" s="6" t="s">
        <v>1468</v>
      </c>
      <c r="P217" s="10" t="s">
        <v>15</v>
      </c>
      <c r="Q217" s="6"/>
      <c r="R217" s="6"/>
      <c r="S217" s="6"/>
      <c r="T217" s="6" t="s">
        <v>16</v>
      </c>
      <c r="U217" s="9" t="s">
        <v>17</v>
      </c>
      <c r="AI217" s="6" t="s">
        <v>18</v>
      </c>
      <c r="AJ217" s="12" t="s">
        <v>1462</v>
      </c>
      <c r="AL217" s="13" t="s">
        <v>20</v>
      </c>
    </row>
    <row r="218">
      <c r="A218" s="5" t="s">
        <v>1469</v>
      </c>
      <c r="B218" s="5" t="s">
        <v>1470</v>
      </c>
      <c r="C218" s="5" t="s">
        <v>1457</v>
      </c>
      <c r="D218" s="5" t="s">
        <v>8</v>
      </c>
      <c r="E218" s="6"/>
      <c r="F218" s="6"/>
      <c r="G218" s="7" t="s">
        <v>1471</v>
      </c>
      <c r="I218" s="8" t="s">
        <v>1472</v>
      </c>
      <c r="J218" s="9">
        <v>26.11</v>
      </c>
      <c r="K218" s="10" t="s">
        <v>11</v>
      </c>
      <c r="L218" s="6"/>
      <c r="M218" s="11" t="s">
        <v>12</v>
      </c>
      <c r="N218" s="6" t="s">
        <v>1473</v>
      </c>
      <c r="O218" s="6" t="s">
        <v>1474</v>
      </c>
      <c r="P218" s="10" t="s">
        <v>15</v>
      </c>
      <c r="Q218" s="6"/>
      <c r="R218" s="6"/>
      <c r="S218" s="6"/>
      <c r="T218" s="6" t="s">
        <v>16</v>
      </c>
      <c r="U218" s="9" t="s">
        <v>17</v>
      </c>
      <c r="AI218" s="6" t="s">
        <v>18</v>
      </c>
      <c r="AJ218" s="12" t="s">
        <v>1462</v>
      </c>
      <c r="AL218" s="13" t="s">
        <v>20</v>
      </c>
    </row>
    <row r="219">
      <c r="A219" s="5" t="s">
        <v>1475</v>
      </c>
      <c r="B219" s="5" t="s">
        <v>1476</v>
      </c>
      <c r="C219" s="5" t="s">
        <v>1477</v>
      </c>
      <c r="D219" s="5" t="s">
        <v>8</v>
      </c>
      <c r="E219" s="6"/>
      <c r="F219" s="6"/>
      <c r="G219" s="7" t="s">
        <v>1478</v>
      </c>
      <c r="I219" s="8" t="s">
        <v>1479</v>
      </c>
      <c r="J219" s="9">
        <v>7.9</v>
      </c>
      <c r="K219" s="10" t="s">
        <v>11</v>
      </c>
      <c r="L219" s="6"/>
      <c r="M219" s="11" t="s">
        <v>12</v>
      </c>
      <c r="N219" s="6" t="s">
        <v>1480</v>
      </c>
      <c r="O219" s="6" t="s">
        <v>1481</v>
      </c>
      <c r="P219" s="10" t="s">
        <v>15</v>
      </c>
      <c r="Q219" s="6"/>
      <c r="R219" s="6"/>
      <c r="S219" s="6"/>
      <c r="T219" s="6" t="s">
        <v>16</v>
      </c>
      <c r="U219" s="9" t="s">
        <v>17</v>
      </c>
      <c r="AI219" s="6" t="s">
        <v>18</v>
      </c>
      <c r="AJ219" s="12" t="s">
        <v>1482</v>
      </c>
      <c r="AL219" s="13" t="s">
        <v>20</v>
      </c>
    </row>
    <row r="220">
      <c r="A220" s="5" t="s">
        <v>1483</v>
      </c>
      <c r="B220" s="5" t="s">
        <v>1484</v>
      </c>
      <c r="C220" s="5" t="s">
        <v>1477</v>
      </c>
      <c r="D220" s="5" t="s">
        <v>8</v>
      </c>
      <c r="E220" s="6"/>
      <c r="F220" s="6"/>
      <c r="G220" s="7" t="s">
        <v>1485</v>
      </c>
      <c r="I220" s="8" t="s">
        <v>1486</v>
      </c>
      <c r="J220" s="9">
        <v>37.9</v>
      </c>
      <c r="K220" s="10" t="s">
        <v>11</v>
      </c>
      <c r="L220" s="6"/>
      <c r="M220" s="11" t="s">
        <v>12</v>
      </c>
      <c r="N220" s="6" t="s">
        <v>1487</v>
      </c>
      <c r="O220" s="6" t="s">
        <v>1488</v>
      </c>
      <c r="P220" s="10" t="s">
        <v>15</v>
      </c>
      <c r="Q220" s="6"/>
      <c r="R220" s="6"/>
      <c r="S220" s="6"/>
      <c r="T220" s="6" t="s">
        <v>16</v>
      </c>
      <c r="U220" s="9" t="s">
        <v>17</v>
      </c>
      <c r="AI220" s="6" t="s">
        <v>18</v>
      </c>
      <c r="AJ220" s="12" t="s">
        <v>1482</v>
      </c>
      <c r="AL220" s="13" t="s">
        <v>20</v>
      </c>
    </row>
    <row r="221">
      <c r="A221" s="5" t="s">
        <v>1489</v>
      </c>
      <c r="B221" s="5" t="s">
        <v>1490</v>
      </c>
      <c r="C221" s="5" t="s">
        <v>1477</v>
      </c>
      <c r="D221" s="5" t="s">
        <v>8</v>
      </c>
      <c r="E221" s="6"/>
      <c r="F221" s="6"/>
      <c r="G221" s="7" t="s">
        <v>1491</v>
      </c>
      <c r="I221" s="8" t="s">
        <v>1492</v>
      </c>
      <c r="J221" s="9">
        <v>26.9</v>
      </c>
      <c r="K221" s="10" t="s">
        <v>11</v>
      </c>
      <c r="L221" s="6"/>
      <c r="M221" s="11" t="s">
        <v>12</v>
      </c>
      <c r="N221" s="6" t="s">
        <v>1493</v>
      </c>
      <c r="O221" s="6" t="s">
        <v>1494</v>
      </c>
      <c r="P221" s="10" t="s">
        <v>15</v>
      </c>
      <c r="Q221" s="6"/>
      <c r="R221" s="6"/>
      <c r="S221" s="6"/>
      <c r="T221" s="6" t="s">
        <v>16</v>
      </c>
      <c r="U221" s="9" t="s">
        <v>17</v>
      </c>
      <c r="AI221" s="6" t="s">
        <v>18</v>
      </c>
      <c r="AJ221" s="12" t="s">
        <v>1482</v>
      </c>
      <c r="AL221" s="13" t="s">
        <v>20</v>
      </c>
    </row>
    <row r="222">
      <c r="A222" s="5" t="s">
        <v>1495</v>
      </c>
      <c r="B222" s="5" t="s">
        <v>1496</v>
      </c>
      <c r="C222" s="5" t="s">
        <v>1477</v>
      </c>
      <c r="D222" s="5" t="s">
        <v>8</v>
      </c>
      <c r="E222" s="6"/>
      <c r="F222" s="6"/>
      <c r="G222" s="7" t="s">
        <v>1497</v>
      </c>
      <c r="I222" s="8" t="s">
        <v>1498</v>
      </c>
      <c r="J222" s="9">
        <v>23.7</v>
      </c>
      <c r="K222" s="10" t="s">
        <v>11</v>
      </c>
      <c r="L222" s="6"/>
      <c r="M222" s="11" t="s">
        <v>12</v>
      </c>
      <c r="N222" s="6" t="s">
        <v>1499</v>
      </c>
      <c r="O222" s="6" t="s">
        <v>1500</v>
      </c>
      <c r="P222" s="10" t="s">
        <v>15</v>
      </c>
      <c r="Q222" s="6"/>
      <c r="R222" s="6"/>
      <c r="S222" s="6"/>
      <c r="T222" s="6" t="s">
        <v>16</v>
      </c>
      <c r="U222" s="9" t="s">
        <v>17</v>
      </c>
      <c r="AI222" s="6" t="s">
        <v>18</v>
      </c>
      <c r="AJ222" s="12" t="s">
        <v>1482</v>
      </c>
      <c r="AL222" s="13" t="s">
        <v>20</v>
      </c>
    </row>
    <row r="223">
      <c r="A223" s="5" t="s">
        <v>1501</v>
      </c>
      <c r="B223" s="5" t="s">
        <v>1502</v>
      </c>
      <c r="C223" s="5" t="s">
        <v>1503</v>
      </c>
      <c r="D223" s="5" t="s">
        <v>8</v>
      </c>
      <c r="E223" s="6"/>
      <c r="F223" s="6"/>
      <c r="G223" s="7" t="s">
        <v>1504</v>
      </c>
      <c r="I223" s="8" t="s">
        <v>1505</v>
      </c>
      <c r="J223" s="9">
        <v>6.9</v>
      </c>
      <c r="K223" s="10" t="s">
        <v>11</v>
      </c>
      <c r="L223" s="6"/>
      <c r="M223" s="11" t="s">
        <v>12</v>
      </c>
      <c r="N223" s="6" t="s">
        <v>1506</v>
      </c>
      <c r="O223" s="6" t="s">
        <v>1507</v>
      </c>
      <c r="P223" s="10" t="s">
        <v>15</v>
      </c>
      <c r="Q223" s="6"/>
      <c r="R223" s="6"/>
      <c r="S223" s="6"/>
      <c r="T223" s="6" t="s">
        <v>16</v>
      </c>
      <c r="U223" s="9" t="s">
        <v>17</v>
      </c>
      <c r="AI223" s="6" t="s">
        <v>18</v>
      </c>
      <c r="AJ223" s="12" t="s">
        <v>1508</v>
      </c>
      <c r="AL223" s="13" t="s">
        <v>20</v>
      </c>
    </row>
    <row r="224">
      <c r="A224" s="5" t="s">
        <v>1509</v>
      </c>
      <c r="B224" s="5" t="s">
        <v>1510</v>
      </c>
      <c r="C224" s="5" t="s">
        <v>1503</v>
      </c>
      <c r="D224" s="5" t="s">
        <v>8</v>
      </c>
      <c r="E224" s="6"/>
      <c r="F224" s="6"/>
      <c r="G224" s="7" t="s">
        <v>1511</v>
      </c>
      <c r="I224" s="8" t="s">
        <v>1512</v>
      </c>
      <c r="J224" s="9">
        <v>37.9</v>
      </c>
      <c r="K224" s="10" t="s">
        <v>11</v>
      </c>
      <c r="L224" s="6"/>
      <c r="M224" s="11" t="s">
        <v>12</v>
      </c>
      <c r="N224" s="6" t="s">
        <v>1513</v>
      </c>
      <c r="O224" s="6" t="s">
        <v>1514</v>
      </c>
      <c r="P224" s="10" t="s">
        <v>15</v>
      </c>
      <c r="Q224" s="6"/>
      <c r="R224" s="6"/>
      <c r="S224" s="6"/>
      <c r="T224" s="6" t="s">
        <v>16</v>
      </c>
      <c r="U224" s="9" t="s">
        <v>17</v>
      </c>
      <c r="AI224" s="6" t="s">
        <v>18</v>
      </c>
      <c r="AJ224" s="12" t="s">
        <v>1508</v>
      </c>
      <c r="AL224" s="13" t="s">
        <v>20</v>
      </c>
    </row>
    <row r="225">
      <c r="A225" s="5" t="s">
        <v>1515</v>
      </c>
      <c r="B225" s="5" t="s">
        <v>1516</v>
      </c>
      <c r="C225" s="5" t="s">
        <v>1503</v>
      </c>
      <c r="D225" s="5" t="s">
        <v>8</v>
      </c>
      <c r="E225" s="6"/>
      <c r="F225" s="6"/>
      <c r="G225" s="7" t="s">
        <v>1517</v>
      </c>
      <c r="I225" s="8" t="s">
        <v>1518</v>
      </c>
      <c r="J225" s="9">
        <v>26.9</v>
      </c>
      <c r="K225" s="10" t="s">
        <v>11</v>
      </c>
      <c r="L225" s="6"/>
      <c r="M225" s="11" t="s">
        <v>12</v>
      </c>
      <c r="N225" s="6" t="s">
        <v>1519</v>
      </c>
      <c r="O225" s="6" t="s">
        <v>1520</v>
      </c>
      <c r="P225" s="10" t="s">
        <v>15</v>
      </c>
      <c r="Q225" s="6"/>
      <c r="R225" s="6"/>
      <c r="S225" s="6"/>
      <c r="T225" s="6" t="s">
        <v>16</v>
      </c>
      <c r="U225" s="9" t="s">
        <v>17</v>
      </c>
      <c r="AI225" s="6" t="s">
        <v>18</v>
      </c>
      <c r="AJ225" s="12" t="s">
        <v>1508</v>
      </c>
      <c r="AL225" s="13" t="s">
        <v>20</v>
      </c>
    </row>
    <row r="226">
      <c r="A226" s="5" t="s">
        <v>1521</v>
      </c>
      <c r="B226" s="5" t="s">
        <v>1522</v>
      </c>
      <c r="C226" s="5" t="s">
        <v>1503</v>
      </c>
      <c r="D226" s="5" t="s">
        <v>8</v>
      </c>
      <c r="E226" s="6"/>
      <c r="F226" s="6"/>
      <c r="G226" s="7" t="s">
        <v>1523</v>
      </c>
      <c r="I226" s="8" t="s">
        <v>1524</v>
      </c>
      <c r="J226" s="9">
        <v>15.46</v>
      </c>
      <c r="K226" s="10" t="s">
        <v>11</v>
      </c>
      <c r="L226" s="6"/>
      <c r="M226" s="11" t="s">
        <v>12</v>
      </c>
      <c r="N226" s="6" t="s">
        <v>1525</v>
      </c>
      <c r="O226" s="6" t="s">
        <v>1526</v>
      </c>
      <c r="P226" s="10" t="s">
        <v>15</v>
      </c>
      <c r="Q226" s="6"/>
      <c r="R226" s="6"/>
      <c r="S226" s="6"/>
      <c r="T226" s="6" t="s">
        <v>16</v>
      </c>
      <c r="U226" s="9" t="s">
        <v>17</v>
      </c>
      <c r="AI226" s="6" t="s">
        <v>18</v>
      </c>
      <c r="AJ226" s="12" t="s">
        <v>1508</v>
      </c>
      <c r="AL226" s="13" t="s">
        <v>20</v>
      </c>
    </row>
    <row r="227">
      <c r="A227" s="5" t="s">
        <v>1527</v>
      </c>
      <c r="B227" s="5" t="s">
        <v>1528</v>
      </c>
      <c r="C227" s="5" t="s">
        <v>1529</v>
      </c>
      <c r="D227" s="5" t="s">
        <v>8</v>
      </c>
      <c r="E227" s="6"/>
      <c r="F227" s="6"/>
      <c r="G227" s="7" t="s">
        <v>1530</v>
      </c>
      <c r="I227" s="8" t="s">
        <v>1531</v>
      </c>
      <c r="J227" s="9">
        <v>8.9</v>
      </c>
      <c r="K227" s="10" t="s">
        <v>11</v>
      </c>
      <c r="L227" s="6"/>
      <c r="M227" s="11" t="s">
        <v>12</v>
      </c>
      <c r="N227" s="6" t="s">
        <v>1532</v>
      </c>
      <c r="O227" s="6" t="s">
        <v>1533</v>
      </c>
      <c r="P227" s="10" t="s">
        <v>15</v>
      </c>
      <c r="Q227" s="6"/>
      <c r="R227" s="6"/>
      <c r="S227" s="6"/>
      <c r="T227" s="6" t="s">
        <v>16</v>
      </c>
      <c r="U227" s="9" t="s">
        <v>17</v>
      </c>
      <c r="AI227" s="6" t="s">
        <v>18</v>
      </c>
      <c r="AJ227" s="12" t="s">
        <v>1534</v>
      </c>
      <c r="AL227" s="13" t="s">
        <v>20</v>
      </c>
    </row>
    <row r="228">
      <c r="A228" s="5" t="s">
        <v>1535</v>
      </c>
      <c r="B228" s="5" t="s">
        <v>1536</v>
      </c>
      <c r="C228" s="5" t="s">
        <v>1537</v>
      </c>
      <c r="D228" s="5" t="s">
        <v>8</v>
      </c>
      <c r="E228" s="6"/>
      <c r="F228" s="6"/>
      <c r="G228" s="7" t="s">
        <v>1538</v>
      </c>
      <c r="I228" s="8" t="s">
        <v>1539</v>
      </c>
      <c r="J228" s="9">
        <v>7.9</v>
      </c>
      <c r="K228" s="10" t="s">
        <v>11</v>
      </c>
      <c r="L228" s="6"/>
      <c r="M228" s="11" t="s">
        <v>12</v>
      </c>
      <c r="N228" s="6" t="s">
        <v>1540</v>
      </c>
      <c r="O228" s="6" t="s">
        <v>1541</v>
      </c>
      <c r="P228" s="10" t="s">
        <v>15</v>
      </c>
      <c r="Q228" s="6"/>
      <c r="R228" s="6"/>
      <c r="S228" s="6"/>
      <c r="T228" s="6" t="s">
        <v>16</v>
      </c>
      <c r="U228" s="9" t="s">
        <v>17</v>
      </c>
      <c r="AI228" s="6" t="s">
        <v>18</v>
      </c>
      <c r="AJ228" s="12" t="s">
        <v>1542</v>
      </c>
      <c r="AL228" s="13" t="s">
        <v>20</v>
      </c>
    </row>
    <row r="229">
      <c r="A229" s="5" t="s">
        <v>1543</v>
      </c>
      <c r="B229" s="5" t="s">
        <v>1544</v>
      </c>
      <c r="C229" s="5" t="s">
        <v>1537</v>
      </c>
      <c r="D229" s="5" t="s">
        <v>507</v>
      </c>
      <c r="E229" s="6"/>
      <c r="F229" s="6"/>
      <c r="G229" s="7" t="s">
        <v>1545</v>
      </c>
      <c r="I229" s="8" t="s">
        <v>1546</v>
      </c>
      <c r="J229" s="9">
        <v>37.9</v>
      </c>
      <c r="K229" s="10" t="s">
        <v>11</v>
      </c>
      <c r="L229" s="6"/>
      <c r="M229" s="11" t="s">
        <v>12</v>
      </c>
      <c r="N229" s="6" t="s">
        <v>1547</v>
      </c>
      <c r="O229" s="6" t="s">
        <v>1548</v>
      </c>
      <c r="P229" s="10" t="s">
        <v>15</v>
      </c>
      <c r="Q229" s="6"/>
      <c r="R229" s="6"/>
      <c r="S229" s="6"/>
      <c r="T229" s="6" t="s">
        <v>16</v>
      </c>
      <c r="U229" s="9" t="s">
        <v>17</v>
      </c>
      <c r="AI229" s="6" t="s">
        <v>18</v>
      </c>
      <c r="AJ229" s="12" t="s">
        <v>1542</v>
      </c>
      <c r="AL229" s="13" t="s">
        <v>20</v>
      </c>
    </row>
    <row r="230">
      <c r="A230" s="5" t="s">
        <v>1549</v>
      </c>
      <c r="B230" s="5" t="s">
        <v>1550</v>
      </c>
      <c r="C230" s="5" t="s">
        <v>1537</v>
      </c>
      <c r="D230" s="5" t="s">
        <v>507</v>
      </c>
      <c r="E230" s="6"/>
      <c r="F230" s="6"/>
      <c r="G230" s="7" t="s">
        <v>1551</v>
      </c>
      <c r="I230" s="8" t="s">
        <v>1552</v>
      </c>
      <c r="J230" s="9">
        <v>26.9</v>
      </c>
      <c r="K230" s="10" t="s">
        <v>11</v>
      </c>
      <c r="L230" s="6"/>
      <c r="M230" s="11" t="s">
        <v>12</v>
      </c>
      <c r="N230" s="6" t="s">
        <v>1553</v>
      </c>
      <c r="O230" s="6" t="s">
        <v>1554</v>
      </c>
      <c r="P230" s="10" t="s">
        <v>15</v>
      </c>
      <c r="Q230" s="6"/>
      <c r="R230" s="6"/>
      <c r="S230" s="6"/>
      <c r="T230" s="6" t="s">
        <v>16</v>
      </c>
      <c r="U230" s="9" t="s">
        <v>17</v>
      </c>
      <c r="AI230" s="6" t="s">
        <v>18</v>
      </c>
      <c r="AJ230" s="12" t="s">
        <v>1542</v>
      </c>
      <c r="AL230" s="13" t="s">
        <v>20</v>
      </c>
    </row>
    <row r="231">
      <c r="A231" s="5" t="s">
        <v>1555</v>
      </c>
      <c r="B231" s="5" t="s">
        <v>1556</v>
      </c>
      <c r="C231" s="5" t="s">
        <v>1537</v>
      </c>
      <c r="D231" s="5" t="s">
        <v>8</v>
      </c>
      <c r="E231" s="6"/>
      <c r="F231" s="6"/>
      <c r="G231" s="7" t="s">
        <v>1557</v>
      </c>
      <c r="I231" s="8" t="s">
        <v>1558</v>
      </c>
      <c r="J231" s="9">
        <v>17.7</v>
      </c>
      <c r="K231" s="10" t="s">
        <v>11</v>
      </c>
      <c r="L231" s="6"/>
      <c r="M231" s="11" t="s">
        <v>12</v>
      </c>
      <c r="N231" s="6" t="s">
        <v>1559</v>
      </c>
      <c r="O231" s="6" t="s">
        <v>1560</v>
      </c>
      <c r="P231" s="10" t="s">
        <v>15</v>
      </c>
      <c r="Q231" s="6"/>
      <c r="R231" s="6"/>
      <c r="S231" s="6"/>
      <c r="T231" s="6" t="s">
        <v>16</v>
      </c>
      <c r="U231" s="9" t="s">
        <v>17</v>
      </c>
      <c r="AI231" s="6" t="s">
        <v>18</v>
      </c>
      <c r="AJ231" s="12" t="s">
        <v>1542</v>
      </c>
      <c r="AL231" s="13" t="s">
        <v>20</v>
      </c>
    </row>
    <row r="232">
      <c r="A232" s="5" t="s">
        <v>1561</v>
      </c>
      <c r="B232" s="5" t="s">
        <v>1562</v>
      </c>
      <c r="C232" s="5" t="s">
        <v>1529</v>
      </c>
      <c r="D232" s="5" t="s">
        <v>8</v>
      </c>
      <c r="E232" s="6"/>
      <c r="F232" s="6"/>
      <c r="G232" s="7" t="s">
        <v>1563</v>
      </c>
      <c r="I232" s="8" t="s">
        <v>1564</v>
      </c>
      <c r="J232" s="9">
        <v>26.5</v>
      </c>
      <c r="K232" s="10" t="s">
        <v>11</v>
      </c>
      <c r="L232" s="6"/>
      <c r="M232" s="11" t="s">
        <v>12</v>
      </c>
      <c r="N232" s="6" t="s">
        <v>1565</v>
      </c>
      <c r="O232" s="6" t="s">
        <v>1566</v>
      </c>
      <c r="P232" s="10" t="s">
        <v>15</v>
      </c>
      <c r="Q232" s="6"/>
      <c r="R232" s="6"/>
      <c r="S232" s="6"/>
      <c r="T232" s="6" t="s">
        <v>16</v>
      </c>
      <c r="U232" s="9" t="s">
        <v>17</v>
      </c>
      <c r="AI232" s="6" t="s">
        <v>18</v>
      </c>
      <c r="AJ232" s="12" t="s">
        <v>1534</v>
      </c>
      <c r="AL232" s="13" t="s">
        <v>20</v>
      </c>
    </row>
    <row r="233">
      <c r="A233" s="5" t="s">
        <v>1567</v>
      </c>
      <c r="B233" s="5" t="s">
        <v>1568</v>
      </c>
      <c r="C233" s="5" t="s">
        <v>1569</v>
      </c>
      <c r="D233" s="5" t="s">
        <v>8</v>
      </c>
      <c r="E233" s="6"/>
      <c r="F233" s="6"/>
      <c r="G233" s="7" t="s">
        <v>1570</v>
      </c>
      <c r="I233" s="8" t="s">
        <v>1571</v>
      </c>
      <c r="J233" s="9">
        <v>9.9</v>
      </c>
      <c r="K233" s="10" t="s">
        <v>11</v>
      </c>
      <c r="L233" s="6"/>
      <c r="M233" s="11" t="s">
        <v>12</v>
      </c>
      <c r="N233" s="6" t="s">
        <v>1572</v>
      </c>
      <c r="O233" s="6" t="s">
        <v>1573</v>
      </c>
      <c r="P233" s="10" t="s">
        <v>15</v>
      </c>
      <c r="Q233" s="6"/>
      <c r="R233" s="6"/>
      <c r="S233" s="6"/>
      <c r="T233" s="6" t="s">
        <v>16</v>
      </c>
      <c r="U233" s="9" t="s">
        <v>17</v>
      </c>
      <c r="AI233" s="6" t="s">
        <v>18</v>
      </c>
      <c r="AJ233" s="12" t="s">
        <v>1574</v>
      </c>
      <c r="AL233" s="13" t="s">
        <v>20</v>
      </c>
    </row>
    <row r="234">
      <c r="A234" s="5" t="s">
        <v>1575</v>
      </c>
      <c r="B234" s="5" t="s">
        <v>1576</v>
      </c>
      <c r="C234" s="5" t="s">
        <v>1569</v>
      </c>
      <c r="D234" s="5" t="s">
        <v>8</v>
      </c>
      <c r="E234" s="6"/>
      <c r="F234" s="6"/>
      <c r="G234" s="7" t="s">
        <v>1577</v>
      </c>
      <c r="I234" s="8" t="s">
        <v>1578</v>
      </c>
      <c r="J234" s="9">
        <v>29.5</v>
      </c>
      <c r="K234" s="10" t="s">
        <v>11</v>
      </c>
      <c r="L234" s="6"/>
      <c r="M234" s="11" t="s">
        <v>12</v>
      </c>
      <c r="N234" s="6" t="s">
        <v>1579</v>
      </c>
      <c r="O234" s="6" t="s">
        <v>1580</v>
      </c>
      <c r="P234" s="10" t="s">
        <v>15</v>
      </c>
      <c r="Q234" s="6"/>
      <c r="R234" s="6"/>
      <c r="S234" s="6"/>
      <c r="T234" s="6" t="s">
        <v>16</v>
      </c>
      <c r="U234" s="9" t="s">
        <v>17</v>
      </c>
      <c r="AI234" s="6" t="s">
        <v>18</v>
      </c>
      <c r="AJ234" s="12" t="s">
        <v>1574</v>
      </c>
      <c r="AL234" s="13" t="s">
        <v>20</v>
      </c>
    </row>
    <row r="235">
      <c r="A235" s="5" t="s">
        <v>1581</v>
      </c>
      <c r="B235" s="5" t="s">
        <v>1582</v>
      </c>
      <c r="C235" s="5" t="s">
        <v>1583</v>
      </c>
      <c r="D235" s="5" t="s">
        <v>8</v>
      </c>
      <c r="E235" s="6"/>
      <c r="F235" s="6"/>
      <c r="G235" s="7" t="s">
        <v>1584</v>
      </c>
      <c r="I235" s="8" t="s">
        <v>1585</v>
      </c>
      <c r="J235" s="9">
        <v>10.9</v>
      </c>
      <c r="K235" s="10" t="s">
        <v>11</v>
      </c>
      <c r="L235" s="6"/>
      <c r="M235" s="11" t="s">
        <v>12</v>
      </c>
      <c r="N235" s="6" t="s">
        <v>1586</v>
      </c>
      <c r="O235" s="6" t="s">
        <v>1587</v>
      </c>
      <c r="P235" s="10" t="s">
        <v>15</v>
      </c>
      <c r="Q235" s="6"/>
      <c r="R235" s="6"/>
      <c r="S235" s="6"/>
      <c r="T235" s="6" t="s">
        <v>16</v>
      </c>
      <c r="U235" s="9" t="s">
        <v>17</v>
      </c>
      <c r="AI235" s="6" t="s">
        <v>18</v>
      </c>
      <c r="AJ235" s="12" t="s">
        <v>1588</v>
      </c>
      <c r="AL235" s="13" t="s">
        <v>20</v>
      </c>
    </row>
    <row r="236">
      <c r="A236" s="5" t="s">
        <v>1589</v>
      </c>
      <c r="B236" s="5" t="s">
        <v>1590</v>
      </c>
      <c r="C236" s="5" t="s">
        <v>1583</v>
      </c>
      <c r="D236" s="5" t="s">
        <v>8</v>
      </c>
      <c r="E236" s="6"/>
      <c r="F236" s="6"/>
      <c r="G236" s="7" t="s">
        <v>1591</v>
      </c>
      <c r="I236" s="8" t="s">
        <v>1592</v>
      </c>
      <c r="J236" s="9">
        <v>37.9</v>
      </c>
      <c r="K236" s="10" t="s">
        <v>11</v>
      </c>
      <c r="L236" s="6"/>
      <c r="M236" s="11" t="s">
        <v>12</v>
      </c>
      <c r="N236" s="6" t="s">
        <v>1593</v>
      </c>
      <c r="O236" s="6" t="s">
        <v>1594</v>
      </c>
      <c r="P236" s="10" t="s">
        <v>15</v>
      </c>
      <c r="Q236" s="6"/>
      <c r="R236" s="6"/>
      <c r="S236" s="6"/>
      <c r="T236" s="6" t="s">
        <v>16</v>
      </c>
      <c r="U236" s="9" t="s">
        <v>17</v>
      </c>
      <c r="AI236" s="6" t="s">
        <v>18</v>
      </c>
      <c r="AJ236" s="12" t="s">
        <v>1588</v>
      </c>
      <c r="AL236" s="13" t="s">
        <v>20</v>
      </c>
    </row>
    <row r="237">
      <c r="A237" s="5" t="s">
        <v>1595</v>
      </c>
      <c r="B237" s="5" t="s">
        <v>1596</v>
      </c>
      <c r="C237" s="5" t="s">
        <v>1583</v>
      </c>
      <c r="D237" s="5" t="s">
        <v>8</v>
      </c>
      <c r="E237" s="6"/>
      <c r="F237" s="6"/>
      <c r="G237" s="7" t="s">
        <v>1597</v>
      </c>
      <c r="I237" s="8" t="s">
        <v>1598</v>
      </c>
      <c r="J237" s="9">
        <v>26.9</v>
      </c>
      <c r="K237" s="10" t="s">
        <v>11</v>
      </c>
      <c r="L237" s="6"/>
      <c r="M237" s="11" t="s">
        <v>12</v>
      </c>
      <c r="N237" s="6" t="s">
        <v>782</v>
      </c>
      <c r="O237" s="6" t="s">
        <v>1599</v>
      </c>
      <c r="P237" s="10" t="s">
        <v>15</v>
      </c>
      <c r="Q237" s="6"/>
      <c r="R237" s="6"/>
      <c r="S237" s="6"/>
      <c r="T237" s="6" t="s">
        <v>16</v>
      </c>
      <c r="U237" s="9" t="s">
        <v>17</v>
      </c>
      <c r="AI237" s="6" t="s">
        <v>18</v>
      </c>
      <c r="AJ237" s="12" t="s">
        <v>1588</v>
      </c>
      <c r="AL237" s="13" t="s">
        <v>20</v>
      </c>
    </row>
    <row r="238">
      <c r="A238" s="5" t="s">
        <v>1600</v>
      </c>
      <c r="B238" s="5" t="s">
        <v>1601</v>
      </c>
      <c r="C238" s="5" t="s">
        <v>1583</v>
      </c>
      <c r="D238" s="5" t="s">
        <v>8</v>
      </c>
      <c r="E238" s="6"/>
      <c r="F238" s="6"/>
      <c r="G238" s="7" t="s">
        <v>1602</v>
      </c>
      <c r="I238" s="8" t="s">
        <v>1603</v>
      </c>
      <c r="J238" s="9">
        <v>29.5</v>
      </c>
      <c r="K238" s="10" t="s">
        <v>11</v>
      </c>
      <c r="L238" s="6"/>
      <c r="M238" s="11" t="s">
        <v>12</v>
      </c>
      <c r="N238" s="6" t="s">
        <v>1604</v>
      </c>
      <c r="O238" s="6" t="s">
        <v>1605</v>
      </c>
      <c r="P238" s="10" t="s">
        <v>15</v>
      </c>
      <c r="Q238" s="6"/>
      <c r="R238" s="6"/>
      <c r="S238" s="6"/>
      <c r="T238" s="6" t="s">
        <v>16</v>
      </c>
      <c r="U238" s="9" t="s">
        <v>17</v>
      </c>
      <c r="AI238" s="6" t="s">
        <v>18</v>
      </c>
      <c r="AJ238" s="12" t="s">
        <v>1588</v>
      </c>
      <c r="AL238" s="13" t="s">
        <v>20</v>
      </c>
    </row>
    <row r="239">
      <c r="A239" s="5" t="s">
        <v>1606</v>
      </c>
      <c r="B239" s="5" t="s">
        <v>1607</v>
      </c>
      <c r="C239" s="5" t="s">
        <v>1608</v>
      </c>
      <c r="D239" s="5" t="s">
        <v>8</v>
      </c>
      <c r="E239" s="6"/>
      <c r="F239" s="6"/>
      <c r="G239" s="7" t="s">
        <v>1609</v>
      </c>
      <c r="I239" s="8" t="s">
        <v>1610</v>
      </c>
      <c r="J239" s="9">
        <v>7.3</v>
      </c>
      <c r="K239" s="10" t="s">
        <v>11</v>
      </c>
      <c r="L239" s="6"/>
      <c r="M239" s="11" t="s">
        <v>12</v>
      </c>
      <c r="N239" s="6" t="s">
        <v>1611</v>
      </c>
      <c r="O239" s="6" t="s">
        <v>1612</v>
      </c>
      <c r="P239" s="10" t="s">
        <v>15</v>
      </c>
      <c r="Q239" s="6"/>
      <c r="R239" s="6"/>
      <c r="S239" s="6"/>
      <c r="T239" s="6" t="s">
        <v>16</v>
      </c>
      <c r="U239" s="9" t="s">
        <v>17</v>
      </c>
      <c r="AI239" s="6" t="s">
        <v>18</v>
      </c>
      <c r="AJ239" s="12" t="s">
        <v>1613</v>
      </c>
      <c r="AL239" s="13" t="s">
        <v>20</v>
      </c>
    </row>
    <row r="240">
      <c r="A240" s="5" t="s">
        <v>1614</v>
      </c>
      <c r="B240" s="5" t="s">
        <v>1615</v>
      </c>
      <c r="C240" s="5" t="s">
        <v>1608</v>
      </c>
      <c r="D240" s="5" t="s">
        <v>8</v>
      </c>
      <c r="E240" s="6"/>
      <c r="F240" s="6"/>
      <c r="G240" s="7" t="s">
        <v>1616</v>
      </c>
      <c r="I240" s="8" t="s">
        <v>1617</v>
      </c>
      <c r="J240" s="9">
        <v>17.52</v>
      </c>
      <c r="K240" s="10" t="s">
        <v>11</v>
      </c>
      <c r="L240" s="6"/>
      <c r="M240" s="11" t="s">
        <v>12</v>
      </c>
      <c r="N240" s="6" t="s">
        <v>1618</v>
      </c>
      <c r="O240" s="6" t="s">
        <v>1619</v>
      </c>
      <c r="P240" s="10" t="s">
        <v>15</v>
      </c>
      <c r="Q240" s="6"/>
      <c r="R240" s="6"/>
      <c r="S240" s="6"/>
      <c r="T240" s="6" t="s">
        <v>16</v>
      </c>
      <c r="U240" s="9" t="s">
        <v>17</v>
      </c>
      <c r="AI240" s="6" t="s">
        <v>18</v>
      </c>
      <c r="AJ240" s="12" t="s">
        <v>1613</v>
      </c>
      <c r="AL240" s="13" t="s">
        <v>20</v>
      </c>
    </row>
    <row r="241">
      <c r="A241" s="5" t="s">
        <v>1620</v>
      </c>
      <c r="B241" s="5" t="s">
        <v>1621</v>
      </c>
      <c r="C241" s="5" t="s">
        <v>1622</v>
      </c>
      <c r="D241" s="5" t="s">
        <v>8</v>
      </c>
      <c r="E241" s="6"/>
      <c r="F241" s="6"/>
      <c r="G241" s="7" t="s">
        <v>1623</v>
      </c>
      <c r="I241" s="8" t="s">
        <v>1624</v>
      </c>
      <c r="J241" s="9">
        <v>37.9</v>
      </c>
      <c r="K241" s="10" t="s">
        <v>11</v>
      </c>
      <c r="L241" s="6"/>
      <c r="M241" s="11" t="s">
        <v>12</v>
      </c>
      <c r="N241" s="6" t="s">
        <v>1625</v>
      </c>
      <c r="O241" s="6" t="s">
        <v>1626</v>
      </c>
      <c r="P241" s="10" t="s">
        <v>15</v>
      </c>
      <c r="Q241" s="6"/>
      <c r="R241" s="6"/>
      <c r="S241" s="6"/>
      <c r="T241" s="6" t="s">
        <v>16</v>
      </c>
      <c r="U241" s="9" t="s">
        <v>17</v>
      </c>
      <c r="AI241" s="6" t="s">
        <v>18</v>
      </c>
      <c r="AJ241" s="12" t="s">
        <v>1627</v>
      </c>
      <c r="AL241" s="13" t="s">
        <v>20</v>
      </c>
    </row>
    <row r="242">
      <c r="A242" s="5" t="s">
        <v>1628</v>
      </c>
      <c r="B242" s="5" t="s">
        <v>1629</v>
      </c>
      <c r="C242" s="5" t="s">
        <v>1622</v>
      </c>
      <c r="D242" s="5" t="s">
        <v>8</v>
      </c>
      <c r="E242" s="6"/>
      <c r="F242" s="6"/>
      <c r="G242" s="7" t="s">
        <v>1630</v>
      </c>
      <c r="I242" s="8" t="s">
        <v>1631</v>
      </c>
      <c r="J242" s="9">
        <v>11.6</v>
      </c>
      <c r="K242" s="10" t="s">
        <v>11</v>
      </c>
      <c r="L242" s="6"/>
      <c r="M242" s="11" t="s">
        <v>12</v>
      </c>
      <c r="N242" s="6" t="s">
        <v>1632</v>
      </c>
      <c r="O242" s="6" t="s">
        <v>1633</v>
      </c>
      <c r="P242" s="10" t="s">
        <v>15</v>
      </c>
      <c r="Q242" s="6"/>
      <c r="R242" s="6"/>
      <c r="S242" s="6"/>
      <c r="T242" s="6" t="s">
        <v>16</v>
      </c>
      <c r="U242" s="9" t="s">
        <v>17</v>
      </c>
      <c r="AI242" s="6" t="s">
        <v>18</v>
      </c>
      <c r="AJ242" s="12" t="s">
        <v>1627</v>
      </c>
      <c r="AL242" s="13" t="s">
        <v>20</v>
      </c>
    </row>
    <row r="243">
      <c r="A243" s="5" t="s">
        <v>1634</v>
      </c>
      <c r="B243" s="5" t="s">
        <v>1635</v>
      </c>
      <c r="C243" s="5" t="s">
        <v>1622</v>
      </c>
      <c r="D243" s="5" t="s">
        <v>8</v>
      </c>
      <c r="E243" s="6"/>
      <c r="F243" s="6"/>
      <c r="G243" s="7" t="s">
        <v>1636</v>
      </c>
      <c r="I243" s="8" t="s">
        <v>1637</v>
      </c>
      <c r="J243" s="9">
        <v>31.5</v>
      </c>
      <c r="K243" s="10" t="s">
        <v>11</v>
      </c>
      <c r="L243" s="6"/>
      <c r="M243" s="11" t="s">
        <v>12</v>
      </c>
      <c r="N243" s="6" t="s">
        <v>1638</v>
      </c>
      <c r="O243" s="6" t="s">
        <v>1639</v>
      </c>
      <c r="P243" s="10" t="s">
        <v>15</v>
      </c>
      <c r="Q243" s="6"/>
      <c r="R243" s="6"/>
      <c r="S243" s="6"/>
      <c r="T243" s="6" t="s">
        <v>16</v>
      </c>
      <c r="U243" s="9" t="s">
        <v>17</v>
      </c>
      <c r="AI243" s="6" t="s">
        <v>18</v>
      </c>
      <c r="AJ243" s="12" t="s">
        <v>1627</v>
      </c>
      <c r="AL243" s="13" t="s">
        <v>20</v>
      </c>
    </row>
    <row r="244">
      <c r="A244" s="5" t="s">
        <v>1640</v>
      </c>
      <c r="B244" s="5" t="s">
        <v>1641</v>
      </c>
      <c r="C244" s="5" t="s">
        <v>1622</v>
      </c>
      <c r="D244" s="5" t="s">
        <v>8</v>
      </c>
      <c r="E244" s="6"/>
      <c r="F244" s="6"/>
      <c r="G244" s="7" t="s">
        <v>1642</v>
      </c>
      <c r="I244" s="8" t="s">
        <v>1643</v>
      </c>
      <c r="J244" s="9">
        <v>26.9</v>
      </c>
      <c r="K244" s="10" t="s">
        <v>11</v>
      </c>
      <c r="L244" s="6"/>
      <c r="M244" s="11" t="s">
        <v>12</v>
      </c>
      <c r="N244" s="6" t="s">
        <v>1644</v>
      </c>
      <c r="O244" s="6" t="s">
        <v>1645</v>
      </c>
      <c r="P244" s="10" t="s">
        <v>15</v>
      </c>
      <c r="Q244" s="6"/>
      <c r="R244" s="6"/>
      <c r="S244" s="6"/>
      <c r="T244" s="6" t="s">
        <v>16</v>
      </c>
      <c r="U244" s="9" t="s">
        <v>17</v>
      </c>
      <c r="AI244" s="6" t="s">
        <v>18</v>
      </c>
      <c r="AJ244" s="12" t="s">
        <v>1627</v>
      </c>
      <c r="AL244" s="13" t="s">
        <v>20</v>
      </c>
    </row>
    <row r="245">
      <c r="A245" s="5" t="s">
        <v>1646</v>
      </c>
      <c r="B245" s="5" t="s">
        <v>1647</v>
      </c>
      <c r="C245" s="5" t="s">
        <v>1648</v>
      </c>
      <c r="D245" s="5" t="s">
        <v>8</v>
      </c>
      <c r="E245" s="6"/>
      <c r="F245" s="6"/>
      <c r="G245" s="7" t="s">
        <v>1649</v>
      </c>
      <c r="I245" s="8" t="s">
        <v>1650</v>
      </c>
      <c r="J245" s="9">
        <v>8.9</v>
      </c>
      <c r="K245" s="10" t="s">
        <v>11</v>
      </c>
      <c r="L245" s="6"/>
      <c r="M245" s="11" t="s">
        <v>12</v>
      </c>
      <c r="N245" s="6" t="s">
        <v>1651</v>
      </c>
      <c r="O245" s="6" t="s">
        <v>1652</v>
      </c>
      <c r="P245" s="10" t="s">
        <v>15</v>
      </c>
      <c r="Q245" s="6"/>
      <c r="R245" s="6"/>
      <c r="S245" s="6"/>
      <c r="T245" s="6" t="s">
        <v>16</v>
      </c>
      <c r="U245" s="9" t="s">
        <v>17</v>
      </c>
      <c r="AI245" s="6" t="s">
        <v>18</v>
      </c>
      <c r="AJ245" s="12" t="s">
        <v>1653</v>
      </c>
      <c r="AL245" s="13" t="s">
        <v>20</v>
      </c>
    </row>
    <row r="246">
      <c r="A246" s="5" t="s">
        <v>1654</v>
      </c>
      <c r="B246" s="5" t="s">
        <v>1655</v>
      </c>
      <c r="C246" s="5" t="s">
        <v>1656</v>
      </c>
      <c r="D246" s="5" t="s">
        <v>8</v>
      </c>
      <c r="E246" s="6"/>
      <c r="F246" s="6"/>
      <c r="G246" s="7" t="s">
        <v>1657</v>
      </c>
      <c r="I246" s="8" t="s">
        <v>1658</v>
      </c>
      <c r="J246" s="9">
        <v>10.9</v>
      </c>
      <c r="K246" s="10" t="s">
        <v>11</v>
      </c>
      <c r="L246" s="6"/>
      <c r="M246" s="11" t="s">
        <v>12</v>
      </c>
      <c r="N246" s="6" t="s">
        <v>1659</v>
      </c>
      <c r="O246" s="6" t="s">
        <v>1660</v>
      </c>
      <c r="P246" s="10" t="s">
        <v>15</v>
      </c>
      <c r="Q246" s="6"/>
      <c r="R246" s="6"/>
      <c r="S246" s="6" t="s">
        <v>1661</v>
      </c>
      <c r="T246" s="6" t="s">
        <v>16</v>
      </c>
      <c r="U246" s="9" t="s">
        <v>17</v>
      </c>
      <c r="AI246" s="6" t="s">
        <v>18</v>
      </c>
      <c r="AJ246" s="12" t="s">
        <v>1662</v>
      </c>
      <c r="AL246" s="13" t="s">
        <v>20</v>
      </c>
    </row>
    <row r="247">
      <c r="A247" s="5" t="s">
        <v>1663</v>
      </c>
      <c r="B247" s="5" t="s">
        <v>1664</v>
      </c>
      <c r="C247" s="5" t="s">
        <v>1665</v>
      </c>
      <c r="D247" s="5" t="s">
        <v>8</v>
      </c>
      <c r="E247" s="6"/>
      <c r="F247" s="6"/>
      <c r="G247" s="7" t="s">
        <v>1666</v>
      </c>
      <c r="I247" s="8" t="s">
        <v>1667</v>
      </c>
      <c r="J247" s="9">
        <v>9.5</v>
      </c>
      <c r="K247" s="10" t="s">
        <v>11</v>
      </c>
      <c r="L247" s="6"/>
      <c r="M247" s="11" t="s">
        <v>12</v>
      </c>
      <c r="N247" s="6" t="s">
        <v>1668</v>
      </c>
      <c r="O247" s="6" t="s">
        <v>1669</v>
      </c>
      <c r="P247" s="10" t="s">
        <v>15</v>
      </c>
      <c r="Q247" s="6"/>
      <c r="R247" s="6"/>
      <c r="S247" s="6"/>
      <c r="T247" s="6" t="s">
        <v>16</v>
      </c>
      <c r="U247" s="9" t="s">
        <v>17</v>
      </c>
      <c r="AI247" s="6" t="s">
        <v>18</v>
      </c>
      <c r="AJ247" s="12" t="s">
        <v>1670</v>
      </c>
      <c r="AL247" s="13" t="s">
        <v>20</v>
      </c>
    </row>
    <row r="248">
      <c r="A248" s="5" t="s">
        <v>1671</v>
      </c>
      <c r="B248" s="5" t="s">
        <v>1672</v>
      </c>
      <c r="C248" s="5" t="s">
        <v>1665</v>
      </c>
      <c r="D248" s="5" t="s">
        <v>8</v>
      </c>
      <c r="E248" s="6"/>
      <c r="F248" s="6"/>
      <c r="G248" s="7" t="s">
        <v>1673</v>
      </c>
      <c r="I248" s="8" t="s">
        <v>1674</v>
      </c>
      <c r="J248" s="9">
        <v>28.3</v>
      </c>
      <c r="K248" s="10" t="s">
        <v>11</v>
      </c>
      <c r="L248" s="6"/>
      <c r="M248" s="11" t="s">
        <v>12</v>
      </c>
      <c r="N248" s="6" t="s">
        <v>1675</v>
      </c>
      <c r="O248" s="6" t="s">
        <v>1676</v>
      </c>
      <c r="P248" s="10" t="s">
        <v>15</v>
      </c>
      <c r="Q248" s="6"/>
      <c r="R248" s="6"/>
      <c r="S248" s="6"/>
      <c r="T248" s="6" t="s">
        <v>16</v>
      </c>
      <c r="U248" s="9" t="s">
        <v>17</v>
      </c>
      <c r="AI248" s="6" t="s">
        <v>18</v>
      </c>
      <c r="AJ248" s="12" t="s">
        <v>1670</v>
      </c>
      <c r="AL248" s="13" t="s">
        <v>20</v>
      </c>
    </row>
    <row r="249">
      <c r="A249" s="5" t="s">
        <v>1677</v>
      </c>
      <c r="B249" s="5" t="s">
        <v>1678</v>
      </c>
      <c r="C249" s="5" t="s">
        <v>1679</v>
      </c>
      <c r="D249" s="5" t="s">
        <v>8</v>
      </c>
      <c r="E249" s="6"/>
      <c r="F249" s="6"/>
      <c r="G249" s="7" t="s">
        <v>1680</v>
      </c>
      <c r="I249" s="8" t="s">
        <v>1681</v>
      </c>
      <c r="J249" s="9">
        <v>11.9</v>
      </c>
      <c r="K249" s="10" t="s">
        <v>11</v>
      </c>
      <c r="L249" s="6"/>
      <c r="M249" s="11" t="s">
        <v>12</v>
      </c>
      <c r="N249" s="6" t="s">
        <v>1682</v>
      </c>
      <c r="O249" s="6" t="s">
        <v>1683</v>
      </c>
      <c r="P249" s="10" t="s">
        <v>15</v>
      </c>
      <c r="Q249" s="6"/>
      <c r="R249" s="6"/>
      <c r="S249" s="6" t="s">
        <v>1684</v>
      </c>
      <c r="T249" s="6" t="s">
        <v>16</v>
      </c>
      <c r="U249" s="9" t="s">
        <v>17</v>
      </c>
      <c r="AI249" s="6" t="s">
        <v>18</v>
      </c>
      <c r="AJ249" s="12" t="s">
        <v>1685</v>
      </c>
      <c r="AL249" s="13" t="s">
        <v>20</v>
      </c>
    </row>
    <row r="250">
      <c r="A250" s="5" t="s">
        <v>1686</v>
      </c>
      <c r="B250" s="5" t="s">
        <v>1687</v>
      </c>
      <c r="C250" s="5" t="s">
        <v>1679</v>
      </c>
      <c r="D250" s="5" t="s">
        <v>8</v>
      </c>
      <c r="E250" s="6"/>
      <c r="F250" s="6"/>
      <c r="G250" s="7" t="s">
        <v>1688</v>
      </c>
      <c r="I250" s="8" t="s">
        <v>1689</v>
      </c>
      <c r="J250" s="9">
        <v>19.6</v>
      </c>
      <c r="K250" s="10" t="s">
        <v>11</v>
      </c>
      <c r="L250" s="6"/>
      <c r="M250" s="11" t="s">
        <v>12</v>
      </c>
      <c r="N250" s="6" t="s">
        <v>1690</v>
      </c>
      <c r="O250" s="6" t="s">
        <v>1691</v>
      </c>
      <c r="P250" s="10" t="s">
        <v>15</v>
      </c>
      <c r="Q250" s="6"/>
      <c r="R250" s="6"/>
      <c r="S250" s="6" t="s">
        <v>1684</v>
      </c>
      <c r="T250" s="6" t="s">
        <v>16</v>
      </c>
      <c r="U250" s="9" t="s">
        <v>17</v>
      </c>
      <c r="AI250" s="6" t="s">
        <v>18</v>
      </c>
      <c r="AJ250" s="12" t="s">
        <v>1685</v>
      </c>
      <c r="AL250" s="13" t="s">
        <v>20</v>
      </c>
    </row>
    <row r="251">
      <c r="A251" s="5" t="s">
        <v>1692</v>
      </c>
      <c r="B251" s="5" t="s">
        <v>1693</v>
      </c>
      <c r="C251" s="5" t="s">
        <v>1694</v>
      </c>
      <c r="D251" s="5" t="s">
        <v>8</v>
      </c>
      <c r="E251" s="6"/>
      <c r="F251" s="6"/>
      <c r="G251" s="7" t="s">
        <v>1695</v>
      </c>
      <c r="I251" s="8" t="s">
        <v>1696</v>
      </c>
      <c r="J251" s="9">
        <v>7.9</v>
      </c>
      <c r="K251" s="10" t="s">
        <v>11</v>
      </c>
      <c r="L251" s="6"/>
      <c r="M251" s="11" t="s">
        <v>12</v>
      </c>
      <c r="N251" s="6" t="s">
        <v>1697</v>
      </c>
      <c r="O251" s="6" t="s">
        <v>1698</v>
      </c>
      <c r="P251" s="10" t="s">
        <v>15</v>
      </c>
      <c r="Q251" s="6"/>
      <c r="R251" s="6"/>
      <c r="S251" s="6"/>
      <c r="T251" s="6" t="s">
        <v>16</v>
      </c>
      <c r="U251" s="9" t="s">
        <v>17</v>
      </c>
      <c r="AI251" s="6" t="s">
        <v>18</v>
      </c>
      <c r="AJ251" s="12" t="s">
        <v>1699</v>
      </c>
      <c r="AL251" s="13" t="s">
        <v>20</v>
      </c>
    </row>
    <row r="252">
      <c r="A252" s="5" t="s">
        <v>1700</v>
      </c>
      <c r="B252" s="5" t="s">
        <v>1701</v>
      </c>
      <c r="C252" s="5" t="s">
        <v>1694</v>
      </c>
      <c r="D252" s="5" t="s">
        <v>8</v>
      </c>
      <c r="E252" s="6"/>
      <c r="F252" s="6"/>
      <c r="G252" s="7" t="s">
        <v>1702</v>
      </c>
      <c r="I252" s="8" t="s">
        <v>1703</v>
      </c>
      <c r="J252" s="9">
        <v>37.9</v>
      </c>
      <c r="K252" s="10" t="s">
        <v>11</v>
      </c>
      <c r="L252" s="6"/>
      <c r="M252" s="11" t="s">
        <v>12</v>
      </c>
      <c r="N252" s="6" t="s">
        <v>1704</v>
      </c>
      <c r="O252" s="6" t="s">
        <v>1705</v>
      </c>
      <c r="P252" s="10" t="s">
        <v>15</v>
      </c>
      <c r="Q252" s="6"/>
      <c r="R252" s="6"/>
      <c r="S252" s="6"/>
      <c r="T252" s="6" t="s">
        <v>16</v>
      </c>
      <c r="U252" s="9" t="s">
        <v>17</v>
      </c>
      <c r="AI252" s="6" t="s">
        <v>18</v>
      </c>
      <c r="AJ252" s="12" t="s">
        <v>1699</v>
      </c>
      <c r="AL252" s="13" t="s">
        <v>20</v>
      </c>
    </row>
    <row r="253">
      <c r="A253" s="5" t="s">
        <v>1706</v>
      </c>
      <c r="B253" s="5" t="s">
        <v>1707</v>
      </c>
      <c r="C253" s="5" t="s">
        <v>1694</v>
      </c>
      <c r="D253" s="5" t="s">
        <v>8</v>
      </c>
      <c r="E253" s="6"/>
      <c r="F253" s="6"/>
      <c r="G253" s="7" t="s">
        <v>1708</v>
      </c>
      <c r="I253" s="8" t="s">
        <v>1709</v>
      </c>
      <c r="J253" s="9">
        <v>26.9</v>
      </c>
      <c r="K253" s="10" t="s">
        <v>11</v>
      </c>
      <c r="L253" s="6"/>
      <c r="M253" s="11" t="s">
        <v>12</v>
      </c>
      <c r="N253" s="6" t="s">
        <v>1710</v>
      </c>
      <c r="O253" s="6" t="s">
        <v>1711</v>
      </c>
      <c r="P253" s="10" t="s">
        <v>15</v>
      </c>
      <c r="Q253" s="6"/>
      <c r="R253" s="6"/>
      <c r="S253" s="6"/>
      <c r="T253" s="6" t="s">
        <v>16</v>
      </c>
      <c r="U253" s="9" t="s">
        <v>17</v>
      </c>
      <c r="AI253" s="6" t="s">
        <v>18</v>
      </c>
      <c r="AJ253" s="12" t="s">
        <v>1699</v>
      </c>
      <c r="AL253" s="13" t="s">
        <v>20</v>
      </c>
    </row>
    <row r="254">
      <c r="A254" s="5" t="s">
        <v>1712</v>
      </c>
      <c r="B254" s="5" t="s">
        <v>1713</v>
      </c>
      <c r="C254" s="5" t="s">
        <v>1694</v>
      </c>
      <c r="D254" s="5" t="s">
        <v>8</v>
      </c>
      <c r="E254" s="6"/>
      <c r="F254" s="6"/>
      <c r="G254" s="7" t="s">
        <v>1714</v>
      </c>
      <c r="I254" s="8" t="s">
        <v>1715</v>
      </c>
      <c r="J254" s="9">
        <v>17.7</v>
      </c>
      <c r="K254" s="10" t="s">
        <v>11</v>
      </c>
      <c r="L254" s="6"/>
      <c r="M254" s="11" t="s">
        <v>12</v>
      </c>
      <c r="N254" s="6" t="s">
        <v>1716</v>
      </c>
      <c r="O254" s="6" t="s">
        <v>1717</v>
      </c>
      <c r="P254" s="10" t="s">
        <v>15</v>
      </c>
      <c r="Q254" s="6"/>
      <c r="R254" s="6"/>
      <c r="S254" s="6"/>
      <c r="T254" s="6" t="s">
        <v>16</v>
      </c>
      <c r="U254" s="9" t="s">
        <v>17</v>
      </c>
      <c r="AI254" s="6" t="s">
        <v>18</v>
      </c>
      <c r="AJ254" s="12" t="s">
        <v>1699</v>
      </c>
      <c r="AL254" s="13" t="s">
        <v>20</v>
      </c>
    </row>
    <row r="255">
      <c r="A255" s="5" t="s">
        <v>1718</v>
      </c>
      <c r="B255" s="5" t="s">
        <v>1719</v>
      </c>
      <c r="C255" s="5" t="s">
        <v>1720</v>
      </c>
      <c r="D255" s="5" t="s">
        <v>8</v>
      </c>
      <c r="E255" s="6"/>
      <c r="F255" s="6"/>
      <c r="G255" s="7" t="s">
        <v>1721</v>
      </c>
      <c r="I255" s="8" t="s">
        <v>1722</v>
      </c>
      <c r="J255" s="9">
        <v>13.6</v>
      </c>
      <c r="K255" s="10" t="s">
        <v>11</v>
      </c>
      <c r="L255" s="6"/>
      <c r="M255" s="11" t="s">
        <v>12</v>
      </c>
      <c r="N255" s="6" t="s">
        <v>1723</v>
      </c>
      <c r="O255" s="6" t="s">
        <v>1724</v>
      </c>
      <c r="P255" s="10" t="s">
        <v>15</v>
      </c>
      <c r="Q255" s="6"/>
      <c r="R255" s="6"/>
      <c r="S255" s="6"/>
      <c r="T255" s="6" t="s">
        <v>16</v>
      </c>
      <c r="U255" s="9" t="s">
        <v>17</v>
      </c>
      <c r="AI255" s="6" t="s">
        <v>18</v>
      </c>
      <c r="AJ255" s="12" t="s">
        <v>1725</v>
      </c>
      <c r="AL255" s="13" t="s">
        <v>20</v>
      </c>
    </row>
    <row r="256">
      <c r="A256" s="5" t="s">
        <v>1726</v>
      </c>
      <c r="B256" s="5" t="s">
        <v>1727</v>
      </c>
      <c r="C256" s="5" t="s">
        <v>1728</v>
      </c>
      <c r="D256" s="5" t="s">
        <v>8</v>
      </c>
      <c r="E256" s="6"/>
      <c r="F256" s="6"/>
      <c r="G256" s="7" t="s">
        <v>1729</v>
      </c>
      <c r="I256" s="8" t="s">
        <v>1730</v>
      </c>
      <c r="J256" s="9">
        <v>9.4</v>
      </c>
      <c r="K256" s="10" t="s">
        <v>11</v>
      </c>
      <c r="L256" s="6"/>
      <c r="M256" s="11" t="s">
        <v>12</v>
      </c>
      <c r="N256" s="6" t="s">
        <v>1731</v>
      </c>
      <c r="O256" s="6" t="s">
        <v>1732</v>
      </c>
      <c r="P256" s="10" t="s">
        <v>15</v>
      </c>
      <c r="Q256" s="6"/>
      <c r="R256" s="6"/>
      <c r="S256" s="6"/>
      <c r="T256" s="6" t="s">
        <v>16</v>
      </c>
      <c r="U256" s="9" t="s">
        <v>17</v>
      </c>
      <c r="AI256" s="6" t="s">
        <v>18</v>
      </c>
      <c r="AJ256" s="12" t="s">
        <v>1733</v>
      </c>
      <c r="AL256" s="13" t="s">
        <v>20</v>
      </c>
    </row>
    <row r="257">
      <c r="A257" s="5" t="s">
        <v>1734</v>
      </c>
      <c r="B257" s="5" t="s">
        <v>1735</v>
      </c>
      <c r="C257" s="5" t="s">
        <v>1728</v>
      </c>
      <c r="D257" s="5" t="s">
        <v>8</v>
      </c>
      <c r="E257" s="6"/>
      <c r="F257" s="6"/>
      <c r="G257" s="7" t="s">
        <v>1736</v>
      </c>
      <c r="I257" s="8" t="s">
        <v>1737</v>
      </c>
      <c r="J257" s="9">
        <v>27.9</v>
      </c>
      <c r="K257" s="10" t="s">
        <v>11</v>
      </c>
      <c r="L257" s="6"/>
      <c r="M257" s="11" t="s">
        <v>12</v>
      </c>
      <c r="N257" s="6" t="s">
        <v>1738</v>
      </c>
      <c r="O257" s="6" t="s">
        <v>1739</v>
      </c>
      <c r="P257" s="10" t="s">
        <v>15</v>
      </c>
      <c r="Q257" s="6"/>
      <c r="R257" s="6"/>
      <c r="S257" s="6"/>
      <c r="T257" s="6" t="s">
        <v>16</v>
      </c>
      <c r="U257" s="9" t="s">
        <v>17</v>
      </c>
      <c r="AI257" s="6" t="s">
        <v>18</v>
      </c>
      <c r="AJ257" s="12" t="s">
        <v>1733</v>
      </c>
      <c r="AL257" s="13" t="s">
        <v>20</v>
      </c>
    </row>
    <row r="258">
      <c r="A258" s="5" t="s">
        <v>1740</v>
      </c>
      <c r="B258" s="5" t="s">
        <v>1741</v>
      </c>
      <c r="C258" s="5" t="s">
        <v>1742</v>
      </c>
      <c r="D258" s="5" t="s">
        <v>8</v>
      </c>
      <c r="E258" s="6"/>
      <c r="F258" s="6"/>
      <c r="G258" s="7" t="s">
        <v>1743</v>
      </c>
      <c r="I258" s="8" t="s">
        <v>1744</v>
      </c>
      <c r="J258" s="9">
        <v>7.9</v>
      </c>
      <c r="K258" s="10" t="s">
        <v>11</v>
      </c>
      <c r="L258" s="6"/>
      <c r="M258" s="11" t="s">
        <v>12</v>
      </c>
      <c r="N258" s="6" t="s">
        <v>1745</v>
      </c>
      <c r="O258" s="6" t="s">
        <v>1746</v>
      </c>
      <c r="P258" s="10" t="s">
        <v>15</v>
      </c>
      <c r="Q258" s="6"/>
      <c r="R258" s="6"/>
      <c r="S258" s="6"/>
      <c r="T258" s="6" t="s">
        <v>16</v>
      </c>
      <c r="U258" s="9" t="s">
        <v>17</v>
      </c>
      <c r="AI258" s="6" t="s">
        <v>18</v>
      </c>
      <c r="AJ258" s="12" t="s">
        <v>1747</v>
      </c>
      <c r="AL258" s="13" t="s">
        <v>20</v>
      </c>
    </row>
    <row r="259">
      <c r="A259" s="5" t="s">
        <v>1748</v>
      </c>
      <c r="B259" s="5" t="s">
        <v>1749</v>
      </c>
      <c r="C259" s="5" t="s">
        <v>1750</v>
      </c>
      <c r="D259" s="5" t="s">
        <v>8</v>
      </c>
      <c r="E259" s="6"/>
      <c r="F259" s="6"/>
      <c r="G259" s="7" t="s">
        <v>1751</v>
      </c>
      <c r="I259" s="8" t="s">
        <v>1752</v>
      </c>
      <c r="J259" s="9">
        <v>37.9</v>
      </c>
      <c r="K259" s="10" t="s">
        <v>11</v>
      </c>
      <c r="L259" s="6"/>
      <c r="M259" s="11" t="s">
        <v>12</v>
      </c>
      <c r="N259" s="6" t="s">
        <v>1753</v>
      </c>
      <c r="O259" s="6" t="s">
        <v>1754</v>
      </c>
      <c r="P259" s="10" t="s">
        <v>15</v>
      </c>
      <c r="Q259" s="6"/>
      <c r="R259" s="6"/>
      <c r="S259" s="6"/>
      <c r="T259" s="6" t="s">
        <v>16</v>
      </c>
      <c r="U259" s="9" t="s">
        <v>17</v>
      </c>
      <c r="AI259" s="6" t="s">
        <v>18</v>
      </c>
      <c r="AJ259" s="12" t="s">
        <v>1755</v>
      </c>
      <c r="AL259" s="13" t="s">
        <v>20</v>
      </c>
    </row>
    <row r="260">
      <c r="A260" s="5" t="s">
        <v>1756</v>
      </c>
      <c r="B260" s="5" t="s">
        <v>1757</v>
      </c>
      <c r="C260" s="5" t="s">
        <v>1750</v>
      </c>
      <c r="D260" s="5" t="s">
        <v>8</v>
      </c>
      <c r="E260" s="6"/>
      <c r="F260" s="6"/>
      <c r="G260" s="7" t="s">
        <v>1758</v>
      </c>
      <c r="I260" s="8" t="s">
        <v>1759</v>
      </c>
      <c r="J260" s="9">
        <v>26.9</v>
      </c>
      <c r="K260" s="10" t="s">
        <v>11</v>
      </c>
      <c r="L260" s="6"/>
      <c r="M260" s="11" t="s">
        <v>12</v>
      </c>
      <c r="N260" s="6" t="s">
        <v>1760</v>
      </c>
      <c r="O260" s="6" t="s">
        <v>1761</v>
      </c>
      <c r="P260" s="10" t="s">
        <v>15</v>
      </c>
      <c r="Q260" s="6"/>
      <c r="R260" s="6"/>
      <c r="S260" s="6"/>
      <c r="T260" s="6" t="s">
        <v>16</v>
      </c>
      <c r="U260" s="9" t="s">
        <v>17</v>
      </c>
      <c r="AI260" s="6" t="s">
        <v>18</v>
      </c>
      <c r="AJ260" s="12" t="s">
        <v>1755</v>
      </c>
      <c r="AL260" s="13" t="s">
        <v>20</v>
      </c>
    </row>
    <row r="261">
      <c r="A261" s="5" t="s">
        <v>1762</v>
      </c>
      <c r="B261" s="5" t="s">
        <v>1763</v>
      </c>
      <c r="C261" s="5" t="s">
        <v>1742</v>
      </c>
      <c r="D261" s="5" t="s">
        <v>8</v>
      </c>
      <c r="E261" s="6"/>
      <c r="F261" s="6"/>
      <c r="G261" s="7" t="s">
        <v>1764</v>
      </c>
      <c r="I261" s="8" t="s">
        <v>1765</v>
      </c>
      <c r="J261" s="9">
        <v>18.96</v>
      </c>
      <c r="K261" s="10" t="s">
        <v>11</v>
      </c>
      <c r="L261" s="6"/>
      <c r="M261" s="11" t="s">
        <v>12</v>
      </c>
      <c r="N261" s="6" t="s">
        <v>1020</v>
      </c>
      <c r="O261" s="6" t="s">
        <v>1766</v>
      </c>
      <c r="P261" s="10" t="s">
        <v>15</v>
      </c>
      <c r="Q261" s="6"/>
      <c r="R261" s="6"/>
      <c r="S261" s="6"/>
      <c r="T261" s="6" t="s">
        <v>16</v>
      </c>
      <c r="U261" s="9" t="s">
        <v>17</v>
      </c>
      <c r="AI261" s="6" t="s">
        <v>18</v>
      </c>
      <c r="AJ261" s="12" t="s">
        <v>1747</v>
      </c>
      <c r="AL261" s="13" t="s">
        <v>20</v>
      </c>
    </row>
    <row r="262">
      <c r="A262" s="5" t="s">
        <v>1767</v>
      </c>
      <c r="B262" s="5" t="s">
        <v>1768</v>
      </c>
      <c r="C262" s="5" t="s">
        <v>1769</v>
      </c>
      <c r="D262" s="5" t="s">
        <v>8</v>
      </c>
      <c r="E262" s="6"/>
      <c r="F262" s="6"/>
      <c r="G262" s="7" t="s">
        <v>1770</v>
      </c>
      <c r="I262" s="8" t="s">
        <v>1771</v>
      </c>
      <c r="J262" s="9">
        <v>13.3</v>
      </c>
      <c r="K262" s="10" t="s">
        <v>11</v>
      </c>
      <c r="L262" s="6"/>
      <c r="M262" s="11" t="s">
        <v>12</v>
      </c>
      <c r="N262" s="6" t="s">
        <v>1772</v>
      </c>
      <c r="O262" s="6" t="s">
        <v>1773</v>
      </c>
      <c r="P262" s="10" t="s">
        <v>15</v>
      </c>
      <c r="Q262" s="6"/>
      <c r="R262" s="6"/>
      <c r="S262" s="6"/>
      <c r="T262" s="6" t="s">
        <v>16</v>
      </c>
      <c r="U262" s="9" t="s">
        <v>17</v>
      </c>
      <c r="AI262" s="6" t="s">
        <v>18</v>
      </c>
      <c r="AJ262" s="12" t="s">
        <v>1774</v>
      </c>
      <c r="AL262" s="13" t="s">
        <v>20</v>
      </c>
    </row>
    <row r="263">
      <c r="A263" s="5" t="s">
        <v>1775</v>
      </c>
      <c r="B263" s="5" t="s">
        <v>1776</v>
      </c>
      <c r="C263" s="5" t="s">
        <v>1777</v>
      </c>
      <c r="D263" s="5" t="s">
        <v>8</v>
      </c>
      <c r="E263" s="6"/>
      <c r="F263" s="6"/>
      <c r="G263" s="7" t="s">
        <v>1778</v>
      </c>
      <c r="I263" s="8" t="s">
        <v>1779</v>
      </c>
      <c r="J263" s="9">
        <v>9.3</v>
      </c>
      <c r="K263" s="10" t="s">
        <v>11</v>
      </c>
      <c r="L263" s="6"/>
      <c r="M263" s="11" t="s">
        <v>12</v>
      </c>
      <c r="N263" s="6" t="s">
        <v>1780</v>
      </c>
      <c r="O263" s="6" t="s">
        <v>1781</v>
      </c>
      <c r="P263" s="10" t="s">
        <v>15</v>
      </c>
      <c r="Q263" s="6"/>
      <c r="R263" s="6"/>
      <c r="S263" s="6"/>
      <c r="T263" s="6" t="s">
        <v>16</v>
      </c>
      <c r="U263" s="9" t="s">
        <v>17</v>
      </c>
      <c r="AI263" s="6" t="s">
        <v>18</v>
      </c>
      <c r="AJ263" s="12" t="s">
        <v>1782</v>
      </c>
      <c r="AL263" s="13" t="s">
        <v>20</v>
      </c>
    </row>
    <row r="264">
      <c r="A264" s="5" t="s">
        <v>1783</v>
      </c>
      <c r="B264" s="5" t="s">
        <v>1784</v>
      </c>
      <c r="C264" s="5" t="s">
        <v>1777</v>
      </c>
      <c r="D264" s="5" t="s">
        <v>8</v>
      </c>
      <c r="E264" s="6"/>
      <c r="F264" s="6"/>
      <c r="G264" s="7" t="s">
        <v>1785</v>
      </c>
      <c r="I264" s="8" t="s">
        <v>1786</v>
      </c>
      <c r="J264" s="9">
        <v>37.9</v>
      </c>
      <c r="K264" s="10" t="s">
        <v>11</v>
      </c>
      <c r="L264" s="6"/>
      <c r="M264" s="11" t="s">
        <v>12</v>
      </c>
      <c r="N264" s="6" t="s">
        <v>1787</v>
      </c>
      <c r="O264" s="6" t="s">
        <v>1788</v>
      </c>
      <c r="P264" s="10" t="s">
        <v>15</v>
      </c>
      <c r="Q264" s="6"/>
      <c r="R264" s="6"/>
      <c r="S264" s="6"/>
      <c r="T264" s="6" t="s">
        <v>16</v>
      </c>
      <c r="U264" s="9" t="s">
        <v>17</v>
      </c>
      <c r="AI264" s="6" t="s">
        <v>18</v>
      </c>
      <c r="AJ264" s="12" t="s">
        <v>1782</v>
      </c>
      <c r="AL264" s="13" t="s">
        <v>20</v>
      </c>
    </row>
    <row r="265">
      <c r="A265" s="5" t="s">
        <v>1789</v>
      </c>
      <c r="B265" s="5" t="s">
        <v>1790</v>
      </c>
      <c r="C265" s="5" t="s">
        <v>1777</v>
      </c>
      <c r="D265" s="5" t="s">
        <v>8</v>
      </c>
      <c r="E265" s="6"/>
      <c r="F265" s="6"/>
      <c r="G265" s="7" t="s">
        <v>1791</v>
      </c>
      <c r="I265" s="8" t="s">
        <v>1792</v>
      </c>
      <c r="J265" s="9">
        <v>26.9</v>
      </c>
      <c r="K265" s="10" t="s">
        <v>11</v>
      </c>
      <c r="L265" s="6"/>
      <c r="M265" s="11" t="s">
        <v>12</v>
      </c>
      <c r="N265" s="6" t="s">
        <v>1793</v>
      </c>
      <c r="O265" s="6" t="s">
        <v>1794</v>
      </c>
      <c r="P265" s="10" t="s">
        <v>15</v>
      </c>
      <c r="Q265" s="6"/>
      <c r="R265" s="6"/>
      <c r="S265" s="6"/>
      <c r="T265" s="6" t="s">
        <v>16</v>
      </c>
      <c r="U265" s="9" t="s">
        <v>17</v>
      </c>
      <c r="AI265" s="6" t="s">
        <v>18</v>
      </c>
      <c r="AJ265" s="12" t="s">
        <v>1782</v>
      </c>
      <c r="AL265" s="13" t="s">
        <v>20</v>
      </c>
    </row>
    <row r="266">
      <c r="A266" s="5" t="s">
        <v>1795</v>
      </c>
      <c r="B266" s="5" t="s">
        <v>1796</v>
      </c>
      <c r="C266" s="5" t="s">
        <v>1777</v>
      </c>
      <c r="D266" s="5" t="s">
        <v>8</v>
      </c>
      <c r="E266" s="6"/>
      <c r="F266" s="6"/>
      <c r="G266" s="7" t="s">
        <v>1797</v>
      </c>
      <c r="I266" s="8" t="s">
        <v>1798</v>
      </c>
      <c r="J266" s="9">
        <v>27.7</v>
      </c>
      <c r="K266" s="10" t="s">
        <v>11</v>
      </c>
      <c r="L266" s="6"/>
      <c r="M266" s="11" t="s">
        <v>12</v>
      </c>
      <c r="N266" s="6" t="s">
        <v>1799</v>
      </c>
      <c r="O266" s="6" t="s">
        <v>1800</v>
      </c>
      <c r="P266" s="10" t="s">
        <v>15</v>
      </c>
      <c r="Q266" s="6"/>
      <c r="R266" s="6"/>
      <c r="S266" s="6"/>
      <c r="T266" s="6" t="s">
        <v>16</v>
      </c>
      <c r="U266" s="9" t="s">
        <v>17</v>
      </c>
      <c r="AI266" s="6" t="s">
        <v>18</v>
      </c>
      <c r="AJ266" s="12" t="s">
        <v>1782</v>
      </c>
      <c r="AL266" s="13" t="s">
        <v>20</v>
      </c>
    </row>
    <row r="267">
      <c r="A267" s="5" t="s">
        <v>1801</v>
      </c>
      <c r="B267" s="5" t="s">
        <v>1802</v>
      </c>
      <c r="C267" s="5" t="s">
        <v>1803</v>
      </c>
      <c r="D267" s="5" t="s">
        <v>8</v>
      </c>
      <c r="E267" s="6"/>
      <c r="F267" s="6"/>
      <c r="G267" s="7" t="s">
        <v>1804</v>
      </c>
      <c r="I267" s="8" t="s">
        <v>1805</v>
      </c>
      <c r="J267" s="9">
        <v>9.9</v>
      </c>
      <c r="K267" s="10" t="s">
        <v>11</v>
      </c>
      <c r="L267" s="6"/>
      <c r="M267" s="11" t="s">
        <v>12</v>
      </c>
      <c r="N267" s="6" t="s">
        <v>1806</v>
      </c>
      <c r="O267" s="6" t="s">
        <v>1807</v>
      </c>
      <c r="P267" s="10" t="s">
        <v>15</v>
      </c>
      <c r="Q267" s="6"/>
      <c r="R267" s="6"/>
      <c r="S267" s="6"/>
      <c r="T267" s="6" t="s">
        <v>16</v>
      </c>
      <c r="U267" s="9" t="s">
        <v>17</v>
      </c>
      <c r="AI267" s="6" t="s">
        <v>18</v>
      </c>
      <c r="AJ267" s="12" t="s">
        <v>1808</v>
      </c>
      <c r="AL267" s="13" t="s">
        <v>20</v>
      </c>
    </row>
    <row r="268">
      <c r="A268" s="5" t="s">
        <v>1809</v>
      </c>
      <c r="B268" s="5" t="s">
        <v>1810</v>
      </c>
      <c r="C268" s="5" t="s">
        <v>1803</v>
      </c>
      <c r="D268" s="5" t="s">
        <v>8</v>
      </c>
      <c r="E268" s="6"/>
      <c r="F268" s="6"/>
      <c r="G268" s="7" t="s">
        <v>1811</v>
      </c>
      <c r="I268" s="8" t="s">
        <v>1812</v>
      </c>
      <c r="J268" s="9">
        <v>37.9</v>
      </c>
      <c r="K268" s="10" t="s">
        <v>11</v>
      </c>
      <c r="L268" s="6"/>
      <c r="M268" s="11" t="s">
        <v>12</v>
      </c>
      <c r="N268" s="6" t="s">
        <v>1813</v>
      </c>
      <c r="O268" s="6" t="s">
        <v>1814</v>
      </c>
      <c r="P268" s="10" t="s">
        <v>15</v>
      </c>
      <c r="Q268" s="6"/>
      <c r="R268" s="6"/>
      <c r="S268" s="6"/>
      <c r="T268" s="6" t="s">
        <v>16</v>
      </c>
      <c r="U268" s="9" t="s">
        <v>17</v>
      </c>
      <c r="AI268" s="6" t="s">
        <v>18</v>
      </c>
      <c r="AJ268" s="12" t="s">
        <v>1808</v>
      </c>
      <c r="AL268" s="13" t="s">
        <v>20</v>
      </c>
    </row>
    <row r="269">
      <c r="A269" s="5" t="s">
        <v>1815</v>
      </c>
      <c r="B269" s="5" t="s">
        <v>1816</v>
      </c>
      <c r="C269" s="5" t="s">
        <v>1803</v>
      </c>
      <c r="D269" s="5" t="s">
        <v>8</v>
      </c>
      <c r="E269" s="6"/>
      <c r="F269" s="6"/>
      <c r="G269" s="7" t="s">
        <v>1817</v>
      </c>
      <c r="I269" s="8" t="s">
        <v>1818</v>
      </c>
      <c r="J269" s="9">
        <v>26.9</v>
      </c>
      <c r="K269" s="10" t="s">
        <v>11</v>
      </c>
      <c r="L269" s="6"/>
      <c r="M269" s="11" t="s">
        <v>12</v>
      </c>
      <c r="N269" s="6" t="s">
        <v>1819</v>
      </c>
      <c r="O269" s="6" t="s">
        <v>1820</v>
      </c>
      <c r="P269" s="10" t="s">
        <v>15</v>
      </c>
      <c r="Q269" s="6"/>
      <c r="R269" s="6"/>
      <c r="S269" s="6"/>
      <c r="T269" s="6" t="s">
        <v>16</v>
      </c>
      <c r="U269" s="9" t="s">
        <v>17</v>
      </c>
      <c r="AI269" s="6" t="s">
        <v>18</v>
      </c>
      <c r="AJ269" s="12" t="s">
        <v>1808</v>
      </c>
      <c r="AL269" s="13" t="s">
        <v>20</v>
      </c>
    </row>
    <row r="270">
      <c r="A270" s="5" t="s">
        <v>1821</v>
      </c>
      <c r="B270" s="5" t="s">
        <v>1822</v>
      </c>
      <c r="C270" s="5" t="s">
        <v>1803</v>
      </c>
      <c r="D270" s="5" t="s">
        <v>8</v>
      </c>
      <c r="E270" s="6"/>
      <c r="F270" s="6"/>
      <c r="G270" s="7" t="s">
        <v>1823</v>
      </c>
      <c r="I270" s="8" t="s">
        <v>1824</v>
      </c>
      <c r="J270" s="9">
        <v>28.9</v>
      </c>
      <c r="K270" s="10" t="s">
        <v>11</v>
      </c>
      <c r="L270" s="6"/>
      <c r="M270" s="11" t="s">
        <v>12</v>
      </c>
      <c r="N270" s="6" t="s">
        <v>1825</v>
      </c>
      <c r="O270" s="6" t="s">
        <v>1826</v>
      </c>
      <c r="P270" s="10" t="s">
        <v>15</v>
      </c>
      <c r="Q270" s="6"/>
      <c r="R270" s="6"/>
      <c r="S270" s="6"/>
      <c r="T270" s="6" t="s">
        <v>16</v>
      </c>
      <c r="U270" s="9" t="s">
        <v>17</v>
      </c>
      <c r="AI270" s="6" t="s">
        <v>18</v>
      </c>
      <c r="AJ270" s="12" t="s">
        <v>1808</v>
      </c>
      <c r="AL270" s="13" t="s">
        <v>20</v>
      </c>
    </row>
    <row r="271">
      <c r="A271" s="5" t="s">
        <v>1827</v>
      </c>
      <c r="B271" s="5" t="s">
        <v>1828</v>
      </c>
      <c r="C271" s="5" t="s">
        <v>1829</v>
      </c>
      <c r="D271" s="5" t="s">
        <v>8</v>
      </c>
      <c r="E271" s="6"/>
      <c r="F271" s="6"/>
      <c r="G271" s="7" t="s">
        <v>1830</v>
      </c>
      <c r="I271" s="8" t="s">
        <v>1831</v>
      </c>
      <c r="J271" s="9">
        <v>8.9</v>
      </c>
      <c r="K271" s="10" t="s">
        <v>11</v>
      </c>
      <c r="L271" s="6"/>
      <c r="M271" s="11" t="s">
        <v>12</v>
      </c>
      <c r="N271" s="6" t="s">
        <v>1832</v>
      </c>
      <c r="O271" s="6" t="s">
        <v>1833</v>
      </c>
      <c r="P271" s="10" t="s">
        <v>15</v>
      </c>
      <c r="Q271" s="6"/>
      <c r="R271" s="6"/>
      <c r="S271" s="6"/>
      <c r="T271" s="6" t="s">
        <v>16</v>
      </c>
      <c r="U271" s="9" t="s">
        <v>17</v>
      </c>
      <c r="AI271" s="6" t="s">
        <v>18</v>
      </c>
      <c r="AJ271" s="12" t="s">
        <v>1834</v>
      </c>
      <c r="AL271" s="13" t="s">
        <v>20</v>
      </c>
    </row>
    <row r="272">
      <c r="A272" s="5" t="s">
        <v>1835</v>
      </c>
      <c r="B272" s="5" t="s">
        <v>1836</v>
      </c>
      <c r="C272" s="5" t="s">
        <v>1837</v>
      </c>
      <c r="D272" s="5" t="s">
        <v>8</v>
      </c>
      <c r="E272" s="6"/>
      <c r="F272" s="6"/>
      <c r="G272" s="7" t="s">
        <v>1838</v>
      </c>
      <c r="I272" s="8" t="s">
        <v>1839</v>
      </c>
      <c r="J272" s="9">
        <v>7.9</v>
      </c>
      <c r="K272" s="10" t="s">
        <v>11</v>
      </c>
      <c r="L272" s="6"/>
      <c r="M272" s="11" t="s">
        <v>12</v>
      </c>
      <c r="N272" s="6" t="s">
        <v>1840</v>
      </c>
      <c r="O272" s="6" t="s">
        <v>1841</v>
      </c>
      <c r="P272" s="10" t="s">
        <v>15</v>
      </c>
      <c r="Q272" s="6"/>
      <c r="R272" s="6"/>
      <c r="S272" s="6"/>
      <c r="T272" s="6" t="s">
        <v>16</v>
      </c>
      <c r="U272" s="9" t="s">
        <v>17</v>
      </c>
      <c r="AI272" s="6" t="s">
        <v>18</v>
      </c>
      <c r="AJ272" s="12" t="s">
        <v>1842</v>
      </c>
      <c r="AL272" s="13" t="s">
        <v>20</v>
      </c>
    </row>
    <row r="273">
      <c r="A273" s="5" t="s">
        <v>1843</v>
      </c>
      <c r="B273" s="5" t="s">
        <v>1844</v>
      </c>
      <c r="C273" s="5" t="s">
        <v>1837</v>
      </c>
      <c r="D273" s="5" t="s">
        <v>8</v>
      </c>
      <c r="E273" s="6"/>
      <c r="F273" s="6"/>
      <c r="G273" s="7" t="s">
        <v>1845</v>
      </c>
      <c r="I273" s="8" t="s">
        <v>1846</v>
      </c>
      <c r="J273" s="9">
        <v>17.7</v>
      </c>
      <c r="K273" s="10" t="s">
        <v>11</v>
      </c>
      <c r="L273" s="6"/>
      <c r="M273" s="11" t="s">
        <v>12</v>
      </c>
      <c r="N273" s="6" t="s">
        <v>1847</v>
      </c>
      <c r="O273" s="6" t="s">
        <v>1848</v>
      </c>
      <c r="P273" s="10" t="s">
        <v>15</v>
      </c>
      <c r="Q273" s="6"/>
      <c r="R273" s="6"/>
      <c r="S273" s="6"/>
      <c r="T273" s="6" t="s">
        <v>16</v>
      </c>
      <c r="U273" s="9" t="s">
        <v>17</v>
      </c>
      <c r="AI273" s="6" t="s">
        <v>18</v>
      </c>
      <c r="AJ273" s="12" t="s">
        <v>1842</v>
      </c>
      <c r="AL273" s="13" t="s">
        <v>20</v>
      </c>
    </row>
    <row r="274">
      <c r="A274" s="5" t="s">
        <v>1849</v>
      </c>
      <c r="B274" s="5" t="s">
        <v>1850</v>
      </c>
      <c r="C274" s="5" t="s">
        <v>1851</v>
      </c>
      <c r="D274" s="5" t="s">
        <v>8</v>
      </c>
      <c r="E274" s="6"/>
      <c r="F274" s="6"/>
      <c r="G274" s="7" t="s">
        <v>1852</v>
      </c>
      <c r="I274" s="8" t="s">
        <v>1853</v>
      </c>
      <c r="J274" s="9">
        <v>5.3</v>
      </c>
      <c r="K274" s="10" t="s">
        <v>11</v>
      </c>
      <c r="L274" s="6"/>
      <c r="M274" s="11" t="s">
        <v>12</v>
      </c>
      <c r="N274" s="6" t="s">
        <v>1854</v>
      </c>
      <c r="O274" s="6" t="s">
        <v>1855</v>
      </c>
      <c r="P274" s="10" t="s">
        <v>15</v>
      </c>
      <c r="Q274" s="6"/>
      <c r="R274" s="6"/>
      <c r="S274" s="6"/>
      <c r="T274" s="6" t="s">
        <v>16</v>
      </c>
      <c r="U274" s="9" t="s">
        <v>17</v>
      </c>
      <c r="AI274" s="6" t="s">
        <v>18</v>
      </c>
      <c r="AJ274" s="12" t="s">
        <v>1856</v>
      </c>
      <c r="AL274" s="13" t="s">
        <v>20</v>
      </c>
    </row>
    <row r="275">
      <c r="A275" s="5" t="s">
        <v>1857</v>
      </c>
      <c r="B275" s="5" t="s">
        <v>1858</v>
      </c>
      <c r="C275" s="5" t="s">
        <v>1851</v>
      </c>
      <c r="D275" s="5" t="s">
        <v>8</v>
      </c>
      <c r="E275" s="6"/>
      <c r="F275" s="6"/>
      <c r="G275" s="7" t="s">
        <v>1859</v>
      </c>
      <c r="I275" s="8" t="s">
        <v>1860</v>
      </c>
      <c r="J275" s="9">
        <v>31.3</v>
      </c>
      <c r="K275" s="10" t="s">
        <v>11</v>
      </c>
      <c r="L275" s="6"/>
      <c r="M275" s="11" t="s">
        <v>12</v>
      </c>
      <c r="N275" s="6" t="s">
        <v>1861</v>
      </c>
      <c r="O275" s="6" t="s">
        <v>1862</v>
      </c>
      <c r="P275" s="10" t="s">
        <v>15</v>
      </c>
      <c r="Q275" s="6"/>
      <c r="R275" s="6"/>
      <c r="S275" s="6"/>
      <c r="T275" s="6" t="s">
        <v>16</v>
      </c>
      <c r="U275" s="9" t="s">
        <v>17</v>
      </c>
      <c r="AI275" s="6" t="s">
        <v>18</v>
      </c>
      <c r="AJ275" s="12" t="s">
        <v>1856</v>
      </c>
      <c r="AL275" s="13" t="s">
        <v>20</v>
      </c>
    </row>
    <row r="276">
      <c r="A276" s="5" t="s">
        <v>1863</v>
      </c>
      <c r="B276" s="5" t="s">
        <v>1864</v>
      </c>
      <c r="C276" s="5" t="s">
        <v>1865</v>
      </c>
      <c r="D276" s="5" t="s">
        <v>8</v>
      </c>
      <c r="E276" s="6"/>
      <c r="F276" s="6"/>
      <c r="G276" s="7" t="s">
        <v>1866</v>
      </c>
      <c r="I276" s="8" t="s">
        <v>1867</v>
      </c>
      <c r="J276" s="9">
        <v>10.7</v>
      </c>
      <c r="K276" s="10" t="s">
        <v>11</v>
      </c>
      <c r="L276" s="6"/>
      <c r="M276" s="11" t="s">
        <v>12</v>
      </c>
      <c r="N276" s="6" t="s">
        <v>1868</v>
      </c>
      <c r="O276" s="6" t="s">
        <v>1869</v>
      </c>
      <c r="P276" s="10" t="s">
        <v>15</v>
      </c>
      <c r="Q276" s="6"/>
      <c r="R276" s="6"/>
      <c r="S276" s="6"/>
      <c r="T276" s="6" t="s">
        <v>16</v>
      </c>
      <c r="U276" s="9" t="s">
        <v>17</v>
      </c>
      <c r="AI276" s="6" t="s">
        <v>18</v>
      </c>
      <c r="AJ276" s="12" t="s">
        <v>1870</v>
      </c>
      <c r="AL276" s="13" t="s">
        <v>20</v>
      </c>
    </row>
    <row r="277">
      <c r="A277" s="5" t="s">
        <v>1871</v>
      </c>
      <c r="B277" s="5" t="s">
        <v>1872</v>
      </c>
      <c r="C277" s="5" t="s">
        <v>1873</v>
      </c>
      <c r="D277" s="5" t="s">
        <v>8</v>
      </c>
      <c r="E277" s="6"/>
      <c r="F277" s="6"/>
      <c r="G277" s="7" t="s">
        <v>1874</v>
      </c>
      <c r="I277" s="8" t="s">
        <v>1875</v>
      </c>
      <c r="J277" s="9">
        <v>37.9</v>
      </c>
      <c r="K277" s="10" t="s">
        <v>11</v>
      </c>
      <c r="L277" s="6"/>
      <c r="M277" s="11" t="s">
        <v>12</v>
      </c>
      <c r="N277" s="6" t="s">
        <v>1876</v>
      </c>
      <c r="O277" s="6" t="s">
        <v>1877</v>
      </c>
      <c r="P277" s="10" t="s">
        <v>15</v>
      </c>
      <c r="Q277" s="6"/>
      <c r="R277" s="6"/>
      <c r="S277" s="6"/>
      <c r="T277" s="6" t="s">
        <v>16</v>
      </c>
      <c r="U277" s="9" t="s">
        <v>17</v>
      </c>
      <c r="AI277" s="6" t="s">
        <v>18</v>
      </c>
      <c r="AJ277" s="12" t="s">
        <v>1878</v>
      </c>
      <c r="AL277" s="13" t="s">
        <v>20</v>
      </c>
    </row>
    <row r="278">
      <c r="A278" s="5" t="s">
        <v>1879</v>
      </c>
      <c r="B278" s="5" t="s">
        <v>1880</v>
      </c>
      <c r="C278" s="5" t="s">
        <v>1873</v>
      </c>
      <c r="D278" s="5" t="s">
        <v>8</v>
      </c>
      <c r="E278" s="6"/>
      <c r="F278" s="6"/>
      <c r="G278" s="7" t="s">
        <v>1881</v>
      </c>
      <c r="I278" s="8" t="s">
        <v>1882</v>
      </c>
      <c r="J278" s="9">
        <v>26.9</v>
      </c>
      <c r="K278" s="10" t="s">
        <v>11</v>
      </c>
      <c r="L278" s="6"/>
      <c r="M278" s="11" t="s">
        <v>12</v>
      </c>
      <c r="N278" s="6" t="s">
        <v>1883</v>
      </c>
      <c r="O278" s="6" t="s">
        <v>1884</v>
      </c>
      <c r="P278" s="10" t="s">
        <v>15</v>
      </c>
      <c r="Q278" s="6"/>
      <c r="R278" s="6"/>
      <c r="S278" s="6"/>
      <c r="T278" s="6" t="s">
        <v>16</v>
      </c>
      <c r="U278" s="9" t="s">
        <v>17</v>
      </c>
      <c r="AI278" s="6" t="s">
        <v>18</v>
      </c>
      <c r="AJ278" s="12" t="s">
        <v>1878</v>
      </c>
      <c r="AL278" s="13" t="s">
        <v>20</v>
      </c>
    </row>
    <row r="279">
      <c r="A279" s="5" t="s">
        <v>1885</v>
      </c>
      <c r="B279" s="5" t="s">
        <v>1886</v>
      </c>
      <c r="C279" s="5" t="s">
        <v>1865</v>
      </c>
      <c r="D279" s="5" t="s">
        <v>8</v>
      </c>
      <c r="E279" s="6"/>
      <c r="F279" s="6"/>
      <c r="G279" s="7" t="s">
        <v>1887</v>
      </c>
      <c r="I279" s="8" t="s">
        <v>1888</v>
      </c>
      <c r="J279" s="9">
        <v>28.9</v>
      </c>
      <c r="K279" s="10" t="s">
        <v>11</v>
      </c>
      <c r="L279" s="6"/>
      <c r="M279" s="11" t="s">
        <v>12</v>
      </c>
      <c r="N279" s="6" t="s">
        <v>1889</v>
      </c>
      <c r="O279" s="6" t="s">
        <v>1890</v>
      </c>
      <c r="P279" s="10" t="s">
        <v>15</v>
      </c>
      <c r="Q279" s="6"/>
      <c r="R279" s="6"/>
      <c r="S279" s="6"/>
      <c r="T279" s="6" t="s">
        <v>16</v>
      </c>
      <c r="U279" s="9" t="s">
        <v>17</v>
      </c>
      <c r="AI279" s="6" t="s">
        <v>18</v>
      </c>
      <c r="AJ279" s="12" t="s">
        <v>1870</v>
      </c>
      <c r="AL279" s="13" t="s">
        <v>20</v>
      </c>
    </row>
    <row r="280">
      <c r="A280" s="5" t="s">
        <v>1891</v>
      </c>
      <c r="B280" s="5" t="s">
        <v>1892</v>
      </c>
      <c r="C280" s="5" t="s">
        <v>1893</v>
      </c>
      <c r="D280" s="5" t="s">
        <v>8</v>
      </c>
      <c r="E280" s="6"/>
      <c r="F280" s="6"/>
      <c r="G280" s="7" t="s">
        <v>1894</v>
      </c>
      <c r="I280" s="8" t="s">
        <v>1895</v>
      </c>
      <c r="J280" s="9">
        <v>8.9</v>
      </c>
      <c r="K280" s="10" t="s">
        <v>11</v>
      </c>
      <c r="L280" s="6"/>
      <c r="M280" s="11" t="s">
        <v>12</v>
      </c>
      <c r="N280" s="6" t="s">
        <v>1896</v>
      </c>
      <c r="O280" s="6" t="s">
        <v>1897</v>
      </c>
      <c r="P280" s="10" t="s">
        <v>15</v>
      </c>
      <c r="Q280" s="6"/>
      <c r="R280" s="6"/>
      <c r="S280" s="6"/>
      <c r="T280" s="6" t="s">
        <v>16</v>
      </c>
      <c r="U280" s="9" t="s">
        <v>17</v>
      </c>
      <c r="AI280" s="6" t="s">
        <v>18</v>
      </c>
      <c r="AJ280" s="12" t="s">
        <v>1898</v>
      </c>
      <c r="AL280" s="13" t="s">
        <v>20</v>
      </c>
    </row>
    <row r="281">
      <c r="A281" s="5" t="s">
        <v>1899</v>
      </c>
      <c r="B281" s="5" t="s">
        <v>1900</v>
      </c>
      <c r="C281" s="5" t="s">
        <v>1901</v>
      </c>
      <c r="D281" s="5" t="s">
        <v>8</v>
      </c>
      <c r="E281" s="6"/>
      <c r="F281" s="6"/>
      <c r="G281" s="7" t="s">
        <v>1902</v>
      </c>
      <c r="I281" s="8" t="s">
        <v>1903</v>
      </c>
      <c r="J281" s="9">
        <v>10.6</v>
      </c>
      <c r="K281" s="10" t="s">
        <v>11</v>
      </c>
      <c r="L281" s="6"/>
      <c r="M281" s="11" t="s">
        <v>12</v>
      </c>
      <c r="N281" s="6" t="s">
        <v>1904</v>
      </c>
      <c r="O281" s="6" t="s">
        <v>1905</v>
      </c>
      <c r="P281" s="10" t="s">
        <v>15</v>
      </c>
      <c r="Q281" s="6"/>
      <c r="R281" s="6"/>
      <c r="S281" s="6"/>
      <c r="T281" s="6" t="s">
        <v>16</v>
      </c>
      <c r="U281" s="9" t="s">
        <v>17</v>
      </c>
      <c r="AI281" s="6" t="s">
        <v>18</v>
      </c>
      <c r="AJ281" s="12" t="s">
        <v>1906</v>
      </c>
      <c r="AL281" s="13" t="s">
        <v>20</v>
      </c>
    </row>
    <row r="282">
      <c r="A282" s="5" t="s">
        <v>1907</v>
      </c>
      <c r="B282" s="5" t="s">
        <v>1908</v>
      </c>
      <c r="C282" s="5" t="s">
        <v>1901</v>
      </c>
      <c r="D282" s="5" t="s">
        <v>8</v>
      </c>
      <c r="E282" s="6"/>
      <c r="F282" s="6"/>
      <c r="G282" s="7" t="s">
        <v>1909</v>
      </c>
      <c r="I282" s="8" t="s">
        <v>1910</v>
      </c>
      <c r="J282" s="9">
        <v>18.9</v>
      </c>
      <c r="K282" s="10" t="s">
        <v>11</v>
      </c>
      <c r="L282" s="6"/>
      <c r="M282" s="11" t="s">
        <v>12</v>
      </c>
      <c r="N282" s="6" t="s">
        <v>1911</v>
      </c>
      <c r="O282" s="6" t="s">
        <v>1912</v>
      </c>
      <c r="P282" s="10" t="s">
        <v>15</v>
      </c>
      <c r="Q282" s="6"/>
      <c r="R282" s="6"/>
      <c r="S282" s="6"/>
      <c r="T282" s="6" t="s">
        <v>16</v>
      </c>
      <c r="U282" s="9" t="s">
        <v>17</v>
      </c>
      <c r="AI282" s="6" t="s">
        <v>18</v>
      </c>
      <c r="AJ282" s="12" t="s">
        <v>1906</v>
      </c>
      <c r="AL282" s="13" t="s">
        <v>20</v>
      </c>
    </row>
    <row r="283">
      <c r="A283" s="5" t="s">
        <v>1913</v>
      </c>
      <c r="B283" s="5" t="s">
        <v>1914</v>
      </c>
      <c r="C283" s="5" t="s">
        <v>1915</v>
      </c>
      <c r="D283" s="5" t="s">
        <v>8</v>
      </c>
      <c r="E283" s="6"/>
      <c r="F283" s="6"/>
      <c r="G283" s="7" t="s">
        <v>1916</v>
      </c>
      <c r="I283" s="8" t="s">
        <v>1917</v>
      </c>
      <c r="J283" s="9">
        <v>9.7</v>
      </c>
      <c r="K283" s="10" t="s">
        <v>11</v>
      </c>
      <c r="L283" s="6"/>
      <c r="M283" s="11" t="s">
        <v>12</v>
      </c>
      <c r="N283" s="6" t="s">
        <v>1918</v>
      </c>
      <c r="O283" s="6" t="s">
        <v>1919</v>
      </c>
      <c r="P283" s="10" t="s">
        <v>15</v>
      </c>
      <c r="Q283" s="6"/>
      <c r="R283" s="6"/>
      <c r="S283" s="6"/>
      <c r="T283" s="6" t="s">
        <v>16</v>
      </c>
      <c r="U283" s="9" t="s">
        <v>17</v>
      </c>
      <c r="AI283" s="6" t="s">
        <v>18</v>
      </c>
      <c r="AJ283" s="12" t="s">
        <v>1920</v>
      </c>
      <c r="AL283" s="13" t="s">
        <v>1921</v>
      </c>
    </row>
    <row r="284">
      <c r="A284" s="5" t="s">
        <v>1922</v>
      </c>
      <c r="B284" s="5" t="s">
        <v>1923</v>
      </c>
      <c r="C284" s="5" t="s">
        <v>1915</v>
      </c>
      <c r="D284" s="5" t="s">
        <v>8</v>
      </c>
      <c r="E284" s="6"/>
      <c r="F284" s="6"/>
      <c r="G284" s="7" t="s">
        <v>1924</v>
      </c>
      <c r="I284" s="8" t="s">
        <v>1925</v>
      </c>
      <c r="J284" s="9">
        <v>15.9</v>
      </c>
      <c r="K284" s="10" t="s">
        <v>11</v>
      </c>
      <c r="L284" s="6"/>
      <c r="M284" s="11" t="s">
        <v>12</v>
      </c>
      <c r="N284" s="6" t="s">
        <v>1926</v>
      </c>
      <c r="O284" s="6" t="s">
        <v>1927</v>
      </c>
      <c r="P284" s="10" t="s">
        <v>15</v>
      </c>
      <c r="Q284" s="6"/>
      <c r="R284" s="6"/>
      <c r="S284" s="6"/>
      <c r="T284" s="6" t="s">
        <v>16</v>
      </c>
      <c r="U284" s="9" t="s">
        <v>17</v>
      </c>
      <c r="AI284" s="6" t="s">
        <v>18</v>
      </c>
      <c r="AJ284" s="12" t="s">
        <v>1920</v>
      </c>
      <c r="AL284" s="13" t="s">
        <v>1921</v>
      </c>
    </row>
    <row r="285">
      <c r="A285" s="5" t="s">
        <v>1928</v>
      </c>
      <c r="B285" s="5" t="s">
        <v>1929</v>
      </c>
      <c r="C285" s="5" t="s">
        <v>1915</v>
      </c>
      <c r="D285" s="5" t="s">
        <v>8</v>
      </c>
      <c r="E285" s="6"/>
      <c r="F285" s="6"/>
      <c r="G285" s="7" t="s">
        <v>1930</v>
      </c>
      <c r="I285" s="8" t="s">
        <v>1931</v>
      </c>
      <c r="J285" s="9">
        <v>28.9</v>
      </c>
      <c r="K285" s="10" t="s">
        <v>11</v>
      </c>
      <c r="L285" s="6"/>
      <c r="M285" s="11" t="s">
        <v>12</v>
      </c>
      <c r="N285" s="6" t="s">
        <v>1932</v>
      </c>
      <c r="O285" s="6" t="s">
        <v>1933</v>
      </c>
      <c r="P285" s="10" t="s">
        <v>15</v>
      </c>
      <c r="Q285" s="6"/>
      <c r="R285" s="6"/>
      <c r="S285" s="6"/>
      <c r="T285" s="6" t="s">
        <v>16</v>
      </c>
      <c r="U285" s="9" t="s">
        <v>17</v>
      </c>
      <c r="AI285" s="6" t="s">
        <v>18</v>
      </c>
      <c r="AJ285" s="12" t="s">
        <v>1920</v>
      </c>
      <c r="AL285" s="13" t="s">
        <v>1921</v>
      </c>
    </row>
    <row r="286">
      <c r="A286" s="5" t="s">
        <v>1934</v>
      </c>
      <c r="B286" s="5" t="s">
        <v>1935</v>
      </c>
      <c r="C286" s="5" t="s">
        <v>1936</v>
      </c>
      <c r="D286" s="5" t="s">
        <v>8</v>
      </c>
      <c r="E286" s="6"/>
      <c r="F286" s="6"/>
      <c r="G286" s="7" t="s">
        <v>1937</v>
      </c>
      <c r="I286" s="8" t="s">
        <v>1938</v>
      </c>
      <c r="J286" s="9">
        <v>9.8</v>
      </c>
      <c r="K286" s="10" t="s">
        <v>11</v>
      </c>
      <c r="L286" s="6"/>
      <c r="M286" s="11" t="s">
        <v>12</v>
      </c>
      <c r="N286" s="6" t="s">
        <v>1939</v>
      </c>
      <c r="O286" s="6" t="s">
        <v>1940</v>
      </c>
      <c r="P286" s="10" t="s">
        <v>15</v>
      </c>
      <c r="Q286" s="6"/>
      <c r="R286" s="6"/>
      <c r="S286" s="6"/>
      <c r="T286" s="6" t="s">
        <v>16</v>
      </c>
      <c r="U286" s="9" t="s">
        <v>17</v>
      </c>
      <c r="AI286" s="6" t="s">
        <v>18</v>
      </c>
      <c r="AJ286" s="12" t="s">
        <v>1941</v>
      </c>
      <c r="AL286" s="13" t="s">
        <v>20</v>
      </c>
    </row>
    <row r="287">
      <c r="A287" s="5" t="s">
        <v>1942</v>
      </c>
      <c r="B287" s="5" t="s">
        <v>1943</v>
      </c>
      <c r="C287" s="5" t="s">
        <v>1936</v>
      </c>
      <c r="D287" s="5" t="s">
        <v>8</v>
      </c>
      <c r="E287" s="6"/>
      <c r="F287" s="6"/>
      <c r="G287" s="7" t="s">
        <v>1944</v>
      </c>
      <c r="I287" s="8" t="s">
        <v>1945</v>
      </c>
      <c r="J287" s="9">
        <v>37.9</v>
      </c>
      <c r="K287" s="10" t="s">
        <v>11</v>
      </c>
      <c r="L287" s="6"/>
      <c r="M287" s="11" t="s">
        <v>12</v>
      </c>
      <c r="N287" s="6" t="s">
        <v>1946</v>
      </c>
      <c r="O287" s="6" t="s">
        <v>1947</v>
      </c>
      <c r="P287" s="10" t="s">
        <v>15</v>
      </c>
      <c r="Q287" s="6"/>
      <c r="R287" s="6"/>
      <c r="S287" s="6"/>
      <c r="T287" s="6" t="s">
        <v>16</v>
      </c>
      <c r="U287" s="9" t="s">
        <v>17</v>
      </c>
      <c r="AI287" s="6" t="s">
        <v>18</v>
      </c>
      <c r="AJ287" s="12" t="s">
        <v>1941</v>
      </c>
      <c r="AL287" s="13" t="s">
        <v>20</v>
      </c>
    </row>
    <row r="288">
      <c r="A288" s="5" t="s">
        <v>1948</v>
      </c>
      <c r="B288" s="5" t="s">
        <v>1949</v>
      </c>
      <c r="C288" s="5" t="s">
        <v>1936</v>
      </c>
      <c r="D288" s="5" t="s">
        <v>8</v>
      </c>
      <c r="E288" s="6"/>
      <c r="F288" s="6"/>
      <c r="G288" s="7" t="s">
        <v>1950</v>
      </c>
      <c r="I288" s="8" t="s">
        <v>1951</v>
      </c>
      <c r="J288" s="9">
        <v>26.9</v>
      </c>
      <c r="K288" s="10" t="s">
        <v>11</v>
      </c>
      <c r="L288" s="6"/>
      <c r="M288" s="11" t="s">
        <v>12</v>
      </c>
      <c r="N288" s="6" t="s">
        <v>1952</v>
      </c>
      <c r="O288" s="6" t="s">
        <v>1953</v>
      </c>
      <c r="P288" s="10" t="s">
        <v>15</v>
      </c>
      <c r="Q288" s="6"/>
      <c r="R288" s="6"/>
      <c r="S288" s="6"/>
      <c r="T288" s="6" t="s">
        <v>16</v>
      </c>
      <c r="U288" s="9" t="s">
        <v>17</v>
      </c>
      <c r="AI288" s="6" t="s">
        <v>18</v>
      </c>
      <c r="AJ288" s="12" t="s">
        <v>1941</v>
      </c>
      <c r="AL288" s="13" t="s">
        <v>20</v>
      </c>
    </row>
    <row r="289">
      <c r="A289" s="5" t="s">
        <v>1954</v>
      </c>
      <c r="B289" s="5" t="s">
        <v>1955</v>
      </c>
      <c r="C289" s="5" t="s">
        <v>1936</v>
      </c>
      <c r="D289" s="5" t="s">
        <v>8</v>
      </c>
      <c r="E289" s="6"/>
      <c r="F289" s="6"/>
      <c r="G289" s="7" t="s">
        <v>1956</v>
      </c>
      <c r="I289" s="8" t="s">
        <v>1957</v>
      </c>
      <c r="J289" s="9">
        <v>31.36</v>
      </c>
      <c r="K289" s="10" t="s">
        <v>11</v>
      </c>
      <c r="L289" s="6"/>
      <c r="M289" s="11" t="s">
        <v>12</v>
      </c>
      <c r="N289" s="6" t="s">
        <v>1958</v>
      </c>
      <c r="O289" s="6" t="s">
        <v>1959</v>
      </c>
      <c r="P289" s="10" t="s">
        <v>15</v>
      </c>
      <c r="Q289" s="6"/>
      <c r="R289" s="6"/>
      <c r="S289" s="6"/>
      <c r="T289" s="6" t="s">
        <v>16</v>
      </c>
      <c r="U289" s="9" t="s">
        <v>17</v>
      </c>
      <c r="AI289" s="6" t="s">
        <v>18</v>
      </c>
      <c r="AJ289" s="12" t="s">
        <v>1941</v>
      </c>
      <c r="AL289" s="13" t="s">
        <v>20</v>
      </c>
    </row>
    <row r="290">
      <c r="A290" s="5" t="s">
        <v>1960</v>
      </c>
      <c r="B290" s="5" t="s">
        <v>1961</v>
      </c>
      <c r="C290" s="5" t="s">
        <v>1962</v>
      </c>
      <c r="D290" s="5" t="s">
        <v>8</v>
      </c>
      <c r="E290" s="6"/>
      <c r="F290" s="6"/>
      <c r="G290" s="7" t="s">
        <v>1963</v>
      </c>
      <c r="I290" s="8" t="s">
        <v>1964</v>
      </c>
      <c r="J290" s="9">
        <v>12.3</v>
      </c>
      <c r="K290" s="10" t="s">
        <v>11</v>
      </c>
      <c r="L290" s="6"/>
      <c r="M290" s="11" t="s">
        <v>12</v>
      </c>
      <c r="N290" s="6" t="s">
        <v>1965</v>
      </c>
      <c r="O290" s="6" t="s">
        <v>1966</v>
      </c>
      <c r="P290" s="10" t="s">
        <v>15</v>
      </c>
      <c r="Q290" s="6"/>
      <c r="R290" s="6"/>
      <c r="S290" s="6"/>
      <c r="T290" s="6" t="s">
        <v>16</v>
      </c>
      <c r="U290" s="9" t="s">
        <v>17</v>
      </c>
      <c r="AI290" s="6" t="s">
        <v>18</v>
      </c>
      <c r="AJ290" s="12" t="s">
        <v>1967</v>
      </c>
      <c r="AL290" s="13" t="s">
        <v>20</v>
      </c>
    </row>
    <row r="291">
      <c r="A291" s="5" t="s">
        <v>1968</v>
      </c>
      <c r="B291" s="5" t="s">
        <v>1969</v>
      </c>
      <c r="C291" s="5" t="s">
        <v>1962</v>
      </c>
      <c r="D291" s="5" t="s">
        <v>8</v>
      </c>
      <c r="E291" s="6"/>
      <c r="F291" s="6"/>
      <c r="G291" s="7" t="s">
        <v>1970</v>
      </c>
      <c r="I291" s="8" t="s">
        <v>1971</v>
      </c>
      <c r="J291" s="9">
        <v>37.0</v>
      </c>
      <c r="K291" s="10" t="s">
        <v>11</v>
      </c>
      <c r="L291" s="6"/>
      <c r="M291" s="11" t="s">
        <v>12</v>
      </c>
      <c r="N291" s="6" t="s">
        <v>1972</v>
      </c>
      <c r="O291" s="6" t="s">
        <v>1973</v>
      </c>
      <c r="P291" s="10" t="s">
        <v>15</v>
      </c>
      <c r="Q291" s="6"/>
      <c r="R291" s="6"/>
      <c r="S291" s="6"/>
      <c r="T291" s="6" t="s">
        <v>16</v>
      </c>
      <c r="U291" s="9" t="s">
        <v>17</v>
      </c>
      <c r="AI291" s="6" t="s">
        <v>18</v>
      </c>
      <c r="AJ291" s="12" t="s">
        <v>1967</v>
      </c>
      <c r="AL291" s="13" t="s">
        <v>20</v>
      </c>
    </row>
    <row r="292">
      <c r="A292" s="5" t="s">
        <v>1974</v>
      </c>
      <c r="B292" s="5" t="s">
        <v>1975</v>
      </c>
      <c r="C292" s="5" t="s">
        <v>1976</v>
      </c>
      <c r="D292" s="5" t="s">
        <v>8</v>
      </c>
      <c r="E292" s="6"/>
      <c r="F292" s="6"/>
      <c r="G292" s="7" t="s">
        <v>1977</v>
      </c>
      <c r="I292" s="8" t="s">
        <v>1978</v>
      </c>
      <c r="J292" s="9">
        <v>9.3</v>
      </c>
      <c r="K292" s="10" t="s">
        <v>11</v>
      </c>
      <c r="L292" s="6"/>
      <c r="M292" s="11" t="s">
        <v>12</v>
      </c>
      <c r="N292" s="6" t="s">
        <v>1979</v>
      </c>
      <c r="O292" s="6" t="s">
        <v>1980</v>
      </c>
      <c r="P292" s="10" t="s">
        <v>15</v>
      </c>
      <c r="Q292" s="6"/>
      <c r="R292" s="6"/>
      <c r="S292" s="6"/>
      <c r="T292" s="6" t="s">
        <v>16</v>
      </c>
      <c r="U292" s="9" t="s">
        <v>17</v>
      </c>
      <c r="AI292" s="6" t="s">
        <v>18</v>
      </c>
      <c r="AJ292" s="12" t="s">
        <v>1981</v>
      </c>
      <c r="AL292" s="13" t="s">
        <v>20</v>
      </c>
    </row>
    <row r="293">
      <c r="A293" s="5" t="s">
        <v>1982</v>
      </c>
      <c r="B293" s="5" t="s">
        <v>1983</v>
      </c>
      <c r="C293" s="5" t="s">
        <v>1976</v>
      </c>
      <c r="D293" s="5" t="s">
        <v>8</v>
      </c>
      <c r="E293" s="6"/>
      <c r="F293" s="6"/>
      <c r="G293" s="7" t="s">
        <v>1984</v>
      </c>
      <c r="I293" s="8" t="s">
        <v>1985</v>
      </c>
      <c r="J293" s="9">
        <v>37.9</v>
      </c>
      <c r="K293" s="10" t="s">
        <v>11</v>
      </c>
      <c r="L293" s="6"/>
      <c r="M293" s="11" t="s">
        <v>12</v>
      </c>
      <c r="N293" s="6" t="s">
        <v>1986</v>
      </c>
      <c r="O293" s="6" t="s">
        <v>1987</v>
      </c>
      <c r="P293" s="10" t="s">
        <v>15</v>
      </c>
      <c r="Q293" s="6"/>
      <c r="R293" s="6"/>
      <c r="S293" s="6"/>
      <c r="T293" s="6" t="s">
        <v>16</v>
      </c>
      <c r="U293" s="9" t="s">
        <v>17</v>
      </c>
      <c r="AI293" s="6" t="s">
        <v>18</v>
      </c>
      <c r="AJ293" s="12" t="s">
        <v>1981</v>
      </c>
      <c r="AL293" s="13" t="s">
        <v>20</v>
      </c>
    </row>
    <row r="294">
      <c r="A294" s="5" t="s">
        <v>1988</v>
      </c>
      <c r="B294" s="5" t="s">
        <v>1989</v>
      </c>
      <c r="C294" s="5" t="s">
        <v>1976</v>
      </c>
      <c r="D294" s="5" t="s">
        <v>8</v>
      </c>
      <c r="E294" s="6"/>
      <c r="F294" s="6"/>
      <c r="G294" s="7" t="s">
        <v>1990</v>
      </c>
      <c r="I294" s="8" t="s">
        <v>1991</v>
      </c>
      <c r="J294" s="9">
        <v>26.9</v>
      </c>
      <c r="K294" s="10" t="s">
        <v>11</v>
      </c>
      <c r="L294" s="6"/>
      <c r="M294" s="11" t="s">
        <v>12</v>
      </c>
      <c r="N294" s="6" t="s">
        <v>1992</v>
      </c>
      <c r="O294" s="6" t="s">
        <v>1993</v>
      </c>
      <c r="P294" s="10" t="s">
        <v>15</v>
      </c>
      <c r="Q294" s="6"/>
      <c r="R294" s="6"/>
      <c r="S294" s="6"/>
      <c r="T294" s="6" t="s">
        <v>16</v>
      </c>
      <c r="U294" s="9" t="s">
        <v>17</v>
      </c>
      <c r="AI294" s="6" t="s">
        <v>18</v>
      </c>
      <c r="AJ294" s="12" t="s">
        <v>1981</v>
      </c>
      <c r="AL294" s="13" t="s">
        <v>20</v>
      </c>
    </row>
    <row r="295">
      <c r="A295" s="5" t="s">
        <v>1994</v>
      </c>
      <c r="B295" s="5" t="s">
        <v>1995</v>
      </c>
      <c r="C295" s="5" t="s">
        <v>1976</v>
      </c>
      <c r="D295" s="5" t="s">
        <v>8</v>
      </c>
      <c r="E295" s="6"/>
      <c r="F295" s="6"/>
      <c r="G295" s="7" t="s">
        <v>1996</v>
      </c>
      <c r="I295" s="8" t="s">
        <v>1997</v>
      </c>
      <c r="J295" s="9">
        <v>27.7</v>
      </c>
      <c r="K295" s="10" t="s">
        <v>11</v>
      </c>
      <c r="L295" s="6"/>
      <c r="M295" s="11" t="s">
        <v>12</v>
      </c>
      <c r="N295" s="6" t="s">
        <v>1998</v>
      </c>
      <c r="O295" s="6" t="s">
        <v>1999</v>
      </c>
      <c r="P295" s="10" t="s">
        <v>15</v>
      </c>
      <c r="Q295" s="6"/>
      <c r="R295" s="6"/>
      <c r="S295" s="6"/>
      <c r="T295" s="6" t="s">
        <v>16</v>
      </c>
      <c r="U295" s="9" t="s">
        <v>17</v>
      </c>
      <c r="AI295" s="6" t="s">
        <v>18</v>
      </c>
      <c r="AJ295" s="12" t="s">
        <v>1981</v>
      </c>
      <c r="AL295" s="13" t="s">
        <v>20</v>
      </c>
    </row>
    <row r="296">
      <c r="A296" s="5" t="s">
        <v>2000</v>
      </c>
      <c r="B296" s="5" t="s">
        <v>2001</v>
      </c>
      <c r="C296" s="5" t="s">
        <v>2002</v>
      </c>
      <c r="D296" s="5" t="s">
        <v>8</v>
      </c>
      <c r="E296" s="6"/>
      <c r="F296" s="6"/>
      <c r="G296" s="7" t="s">
        <v>2003</v>
      </c>
      <c r="I296" s="8" t="s">
        <v>2004</v>
      </c>
      <c r="J296" s="9">
        <v>9.5</v>
      </c>
      <c r="K296" s="10" t="s">
        <v>11</v>
      </c>
      <c r="L296" s="6"/>
      <c r="M296" s="11" t="s">
        <v>12</v>
      </c>
      <c r="N296" s="6" t="s">
        <v>2005</v>
      </c>
      <c r="O296" s="6" t="s">
        <v>2006</v>
      </c>
      <c r="P296" s="10" t="s">
        <v>15</v>
      </c>
      <c r="Q296" s="6"/>
      <c r="R296" s="6"/>
      <c r="S296" s="6"/>
      <c r="T296" s="6" t="s">
        <v>16</v>
      </c>
      <c r="U296" s="9" t="s">
        <v>17</v>
      </c>
      <c r="AI296" s="6" t="s">
        <v>18</v>
      </c>
      <c r="AJ296" s="12" t="s">
        <v>2007</v>
      </c>
      <c r="AL296" s="13" t="s">
        <v>20</v>
      </c>
    </row>
    <row r="297">
      <c r="A297" s="5" t="s">
        <v>2008</v>
      </c>
      <c r="B297" s="5" t="s">
        <v>2009</v>
      </c>
      <c r="C297" s="5" t="s">
        <v>2010</v>
      </c>
      <c r="D297" s="5" t="s">
        <v>8</v>
      </c>
      <c r="E297" s="6"/>
      <c r="F297" s="6"/>
      <c r="G297" s="7" t="s">
        <v>2011</v>
      </c>
      <c r="I297" s="8" t="s">
        <v>2012</v>
      </c>
      <c r="J297" s="9">
        <v>6.9</v>
      </c>
      <c r="K297" s="10" t="s">
        <v>11</v>
      </c>
      <c r="L297" s="6"/>
      <c r="M297" s="11" t="s">
        <v>12</v>
      </c>
      <c r="N297" s="6" t="s">
        <v>2013</v>
      </c>
      <c r="O297" s="6" t="s">
        <v>2014</v>
      </c>
      <c r="P297" s="10" t="s">
        <v>15</v>
      </c>
      <c r="Q297" s="6"/>
      <c r="R297" s="6"/>
      <c r="S297" s="6"/>
      <c r="T297" s="6" t="s">
        <v>16</v>
      </c>
      <c r="U297" s="9" t="s">
        <v>17</v>
      </c>
      <c r="AI297" s="6" t="s">
        <v>18</v>
      </c>
      <c r="AJ297" s="12" t="s">
        <v>2015</v>
      </c>
      <c r="AL297" s="13" t="s">
        <v>20</v>
      </c>
    </row>
    <row r="298">
      <c r="A298" s="5" t="s">
        <v>2016</v>
      </c>
      <c r="B298" s="5" t="s">
        <v>2017</v>
      </c>
      <c r="C298" s="5" t="s">
        <v>2010</v>
      </c>
      <c r="D298" s="5" t="s">
        <v>8</v>
      </c>
      <c r="E298" s="6"/>
      <c r="F298" s="6"/>
      <c r="G298" s="7" t="s">
        <v>2018</v>
      </c>
      <c r="I298" s="8" t="s">
        <v>2019</v>
      </c>
      <c r="J298" s="9">
        <v>17.66</v>
      </c>
      <c r="K298" s="10" t="s">
        <v>11</v>
      </c>
      <c r="L298" s="6"/>
      <c r="M298" s="11" t="s">
        <v>12</v>
      </c>
      <c r="N298" s="6" t="s">
        <v>2020</v>
      </c>
      <c r="O298" s="6" t="s">
        <v>2021</v>
      </c>
      <c r="P298" s="10" t="s">
        <v>15</v>
      </c>
      <c r="Q298" s="6"/>
      <c r="R298" s="6"/>
      <c r="S298" s="6"/>
      <c r="T298" s="6" t="s">
        <v>16</v>
      </c>
      <c r="U298" s="9" t="s">
        <v>17</v>
      </c>
      <c r="AI298" s="6" t="s">
        <v>18</v>
      </c>
      <c r="AJ298" s="12" t="s">
        <v>2015</v>
      </c>
      <c r="AL298" s="13" t="s">
        <v>20</v>
      </c>
    </row>
    <row r="299">
      <c r="A299" s="5" t="s">
        <v>2022</v>
      </c>
      <c r="B299" s="5" t="s">
        <v>2023</v>
      </c>
      <c r="C299" s="5" t="s">
        <v>2002</v>
      </c>
      <c r="D299" s="5" t="s">
        <v>8</v>
      </c>
      <c r="E299" s="6"/>
      <c r="F299" s="6"/>
      <c r="G299" s="7" t="s">
        <v>2024</v>
      </c>
      <c r="I299" s="8" t="s">
        <v>2025</v>
      </c>
      <c r="J299" s="9">
        <v>27.9</v>
      </c>
      <c r="K299" s="10" t="s">
        <v>11</v>
      </c>
      <c r="L299" s="6"/>
      <c r="M299" s="11" t="s">
        <v>12</v>
      </c>
      <c r="N299" s="6" t="s">
        <v>2026</v>
      </c>
      <c r="O299" s="6" t="s">
        <v>2027</v>
      </c>
      <c r="P299" s="10" t="s">
        <v>15</v>
      </c>
      <c r="Q299" s="6"/>
      <c r="R299" s="6"/>
      <c r="S299" s="6"/>
      <c r="T299" s="6" t="s">
        <v>16</v>
      </c>
      <c r="U299" s="9" t="s">
        <v>17</v>
      </c>
      <c r="AI299" s="6" t="s">
        <v>18</v>
      </c>
      <c r="AJ299" s="12" t="s">
        <v>2007</v>
      </c>
      <c r="AL299" s="13" t="s">
        <v>20</v>
      </c>
    </row>
    <row r="300">
      <c r="A300" s="5" t="s">
        <v>2028</v>
      </c>
      <c r="B300" s="5" t="s">
        <v>2029</v>
      </c>
      <c r="C300" s="5" t="s">
        <v>2030</v>
      </c>
      <c r="D300" s="5" t="s">
        <v>8</v>
      </c>
      <c r="E300" s="6"/>
      <c r="F300" s="6"/>
      <c r="G300" s="7" t="s">
        <v>2031</v>
      </c>
      <c r="I300" s="8" t="s">
        <v>2032</v>
      </c>
      <c r="J300" s="9">
        <v>9.9</v>
      </c>
      <c r="K300" s="10" t="s">
        <v>11</v>
      </c>
      <c r="L300" s="6"/>
      <c r="M300" s="11" t="s">
        <v>12</v>
      </c>
      <c r="N300" s="6" t="s">
        <v>2033</v>
      </c>
      <c r="O300" s="6" t="s">
        <v>2034</v>
      </c>
      <c r="P300" s="10" t="s">
        <v>15</v>
      </c>
      <c r="Q300" s="6"/>
      <c r="R300" s="6"/>
      <c r="S300" s="6"/>
      <c r="T300" s="6" t="s">
        <v>16</v>
      </c>
      <c r="U300" s="9" t="s">
        <v>17</v>
      </c>
      <c r="AI300" s="6" t="s">
        <v>18</v>
      </c>
      <c r="AJ300" s="12" t="s">
        <v>2035</v>
      </c>
      <c r="AL300" s="13" t="s">
        <v>20</v>
      </c>
    </row>
    <row r="301">
      <c r="A301" s="5" t="s">
        <v>2036</v>
      </c>
      <c r="B301" s="5" t="s">
        <v>2037</v>
      </c>
      <c r="C301" s="5" t="s">
        <v>2030</v>
      </c>
      <c r="D301" s="5" t="s">
        <v>8</v>
      </c>
      <c r="E301" s="6"/>
      <c r="F301" s="6"/>
      <c r="G301" s="7" t="s">
        <v>2038</v>
      </c>
      <c r="I301" s="8" t="s">
        <v>2039</v>
      </c>
      <c r="J301" s="9">
        <v>19.6</v>
      </c>
      <c r="K301" s="10" t="s">
        <v>11</v>
      </c>
      <c r="L301" s="6"/>
      <c r="M301" s="11" t="s">
        <v>12</v>
      </c>
      <c r="N301" s="6" t="s">
        <v>2040</v>
      </c>
      <c r="O301" s="6" t="s">
        <v>2041</v>
      </c>
      <c r="P301" s="10" t="s">
        <v>15</v>
      </c>
      <c r="Q301" s="6"/>
      <c r="R301" s="6"/>
      <c r="S301" s="6"/>
      <c r="T301" s="6" t="s">
        <v>16</v>
      </c>
      <c r="U301" s="9" t="s">
        <v>17</v>
      </c>
      <c r="AI301" s="6" t="s">
        <v>18</v>
      </c>
      <c r="AJ301" s="12" t="s">
        <v>2035</v>
      </c>
      <c r="AL301" s="13" t="s">
        <v>20</v>
      </c>
    </row>
    <row r="302">
      <c r="A302" s="5" t="s">
        <v>2042</v>
      </c>
      <c r="B302" s="5" t="s">
        <v>2043</v>
      </c>
      <c r="C302" s="5" t="s">
        <v>2044</v>
      </c>
      <c r="D302" s="5" t="s">
        <v>8</v>
      </c>
      <c r="E302" s="6"/>
      <c r="F302" s="6"/>
      <c r="G302" s="7" t="s">
        <v>2045</v>
      </c>
      <c r="I302" s="8" t="s">
        <v>2046</v>
      </c>
      <c r="J302" s="9">
        <v>9.3</v>
      </c>
      <c r="K302" s="10" t="s">
        <v>11</v>
      </c>
      <c r="L302" s="6"/>
      <c r="M302" s="11" t="s">
        <v>12</v>
      </c>
      <c r="N302" s="6" t="s">
        <v>2047</v>
      </c>
      <c r="O302" s="6" t="s">
        <v>2048</v>
      </c>
      <c r="P302" s="10" t="s">
        <v>15</v>
      </c>
      <c r="Q302" s="6"/>
      <c r="R302" s="6"/>
      <c r="S302" s="6"/>
      <c r="T302" s="6" t="s">
        <v>16</v>
      </c>
      <c r="U302" s="9" t="s">
        <v>17</v>
      </c>
      <c r="AI302" s="6" t="s">
        <v>18</v>
      </c>
      <c r="AJ302" s="12" t="s">
        <v>2049</v>
      </c>
      <c r="AL302" s="13" t="s">
        <v>20</v>
      </c>
    </row>
    <row r="303">
      <c r="A303" s="5" t="s">
        <v>2050</v>
      </c>
      <c r="B303" s="5" t="s">
        <v>2051</v>
      </c>
      <c r="C303" s="5" t="s">
        <v>2044</v>
      </c>
      <c r="D303" s="5" t="s">
        <v>8</v>
      </c>
      <c r="E303" s="6"/>
      <c r="F303" s="6"/>
      <c r="G303" s="7" t="s">
        <v>2052</v>
      </c>
      <c r="I303" s="8" t="s">
        <v>2053</v>
      </c>
      <c r="J303" s="9">
        <v>23.9</v>
      </c>
      <c r="K303" s="10" t="s">
        <v>11</v>
      </c>
      <c r="L303" s="6"/>
      <c r="M303" s="11" t="s">
        <v>12</v>
      </c>
      <c r="N303" s="6" t="s">
        <v>2054</v>
      </c>
      <c r="O303" s="6" t="s">
        <v>2055</v>
      </c>
      <c r="P303" s="10" t="s">
        <v>15</v>
      </c>
      <c r="Q303" s="6"/>
      <c r="R303" s="6"/>
      <c r="S303" s="6"/>
      <c r="T303" s="6" t="s">
        <v>16</v>
      </c>
      <c r="U303" s="9" t="s">
        <v>17</v>
      </c>
      <c r="AI303" s="6" t="s">
        <v>18</v>
      </c>
      <c r="AJ303" s="12" t="s">
        <v>2049</v>
      </c>
      <c r="AL303" s="13" t="s">
        <v>20</v>
      </c>
    </row>
    <row r="304">
      <c r="A304" s="5" t="s">
        <v>2056</v>
      </c>
      <c r="B304" s="5" t="s">
        <v>2057</v>
      </c>
      <c r="C304" s="5" t="s">
        <v>2058</v>
      </c>
      <c r="D304" s="5" t="s">
        <v>8</v>
      </c>
      <c r="E304" s="6"/>
      <c r="F304" s="6"/>
      <c r="G304" s="7" t="s">
        <v>2059</v>
      </c>
      <c r="I304" s="8" t="s">
        <v>2060</v>
      </c>
      <c r="J304" s="9">
        <v>11.6</v>
      </c>
      <c r="K304" s="10" t="s">
        <v>11</v>
      </c>
      <c r="L304" s="6"/>
      <c r="M304" s="11" t="s">
        <v>12</v>
      </c>
      <c r="N304" s="6" t="s">
        <v>2061</v>
      </c>
      <c r="O304" s="6" t="s">
        <v>2062</v>
      </c>
      <c r="P304" s="10" t="s">
        <v>15</v>
      </c>
      <c r="Q304" s="6"/>
      <c r="R304" s="6"/>
      <c r="S304" s="6"/>
      <c r="T304" s="6" t="s">
        <v>16</v>
      </c>
      <c r="U304" s="9" t="s">
        <v>17</v>
      </c>
      <c r="AI304" s="6" t="s">
        <v>18</v>
      </c>
      <c r="AJ304" s="12" t="s">
        <v>2063</v>
      </c>
      <c r="AL304" s="13" t="s">
        <v>20</v>
      </c>
    </row>
    <row r="305">
      <c r="A305" s="5" t="s">
        <v>2064</v>
      </c>
      <c r="B305" s="5" t="s">
        <v>2065</v>
      </c>
      <c r="C305" s="5" t="s">
        <v>2058</v>
      </c>
      <c r="D305" s="5" t="s">
        <v>8</v>
      </c>
      <c r="E305" s="6"/>
      <c r="F305" s="6"/>
      <c r="G305" s="7" t="s">
        <v>2066</v>
      </c>
      <c r="I305" s="8" t="s">
        <v>2067</v>
      </c>
      <c r="J305" s="9">
        <v>37.9</v>
      </c>
      <c r="K305" s="10" t="s">
        <v>11</v>
      </c>
      <c r="L305" s="6"/>
      <c r="M305" s="11" t="s">
        <v>12</v>
      </c>
      <c r="N305" s="6" t="s">
        <v>2068</v>
      </c>
      <c r="O305" s="6" t="s">
        <v>2069</v>
      </c>
      <c r="P305" s="10" t="s">
        <v>15</v>
      </c>
      <c r="Q305" s="6"/>
      <c r="R305" s="6"/>
      <c r="S305" s="6"/>
      <c r="T305" s="6" t="s">
        <v>16</v>
      </c>
      <c r="U305" s="9" t="s">
        <v>17</v>
      </c>
      <c r="AI305" s="6" t="s">
        <v>18</v>
      </c>
      <c r="AJ305" s="12" t="s">
        <v>2063</v>
      </c>
      <c r="AL305" s="13" t="s">
        <v>20</v>
      </c>
    </row>
    <row r="306">
      <c r="A306" s="5" t="s">
        <v>2070</v>
      </c>
      <c r="B306" s="5" t="s">
        <v>2071</v>
      </c>
      <c r="C306" s="5" t="s">
        <v>2058</v>
      </c>
      <c r="D306" s="5" t="s">
        <v>8</v>
      </c>
      <c r="E306" s="6"/>
      <c r="F306" s="6"/>
      <c r="G306" s="7" t="s">
        <v>2072</v>
      </c>
      <c r="I306" s="8" t="s">
        <v>2073</v>
      </c>
      <c r="J306" s="9">
        <v>26.9</v>
      </c>
      <c r="K306" s="10" t="s">
        <v>11</v>
      </c>
      <c r="L306" s="6"/>
      <c r="M306" s="11" t="s">
        <v>12</v>
      </c>
      <c r="N306" s="6" t="s">
        <v>2074</v>
      </c>
      <c r="O306" s="6" t="s">
        <v>2075</v>
      </c>
      <c r="P306" s="10" t="s">
        <v>15</v>
      </c>
      <c r="Q306" s="6"/>
      <c r="R306" s="6"/>
      <c r="S306" s="6"/>
      <c r="T306" s="6" t="s">
        <v>16</v>
      </c>
      <c r="U306" s="9" t="s">
        <v>17</v>
      </c>
      <c r="AI306" s="6" t="s">
        <v>18</v>
      </c>
      <c r="AJ306" s="12" t="s">
        <v>2063</v>
      </c>
      <c r="AL306" s="13" t="s">
        <v>20</v>
      </c>
    </row>
    <row r="307">
      <c r="A307" s="5" t="s">
        <v>2076</v>
      </c>
      <c r="B307" s="5" t="s">
        <v>2077</v>
      </c>
      <c r="C307" s="5" t="s">
        <v>2058</v>
      </c>
      <c r="D307" s="5" t="s">
        <v>8</v>
      </c>
      <c r="E307" s="6"/>
      <c r="F307" s="6"/>
      <c r="G307" s="7" t="s">
        <v>2078</v>
      </c>
      <c r="I307" s="8" t="s">
        <v>2079</v>
      </c>
      <c r="J307" s="9">
        <v>29.8</v>
      </c>
      <c r="K307" s="10" t="s">
        <v>11</v>
      </c>
      <c r="L307" s="6"/>
      <c r="M307" s="11" t="s">
        <v>12</v>
      </c>
      <c r="N307" s="6" t="s">
        <v>2080</v>
      </c>
      <c r="O307" s="6" t="s">
        <v>2081</v>
      </c>
      <c r="P307" s="10" t="s">
        <v>15</v>
      </c>
      <c r="Q307" s="6"/>
      <c r="R307" s="6"/>
      <c r="S307" s="6"/>
      <c r="T307" s="6" t="s">
        <v>16</v>
      </c>
      <c r="U307" s="9" t="s">
        <v>17</v>
      </c>
      <c r="AI307" s="6" t="s">
        <v>18</v>
      </c>
      <c r="AJ307" s="12" t="s">
        <v>2063</v>
      </c>
      <c r="AL307" s="13" t="s">
        <v>20</v>
      </c>
    </row>
    <row r="308">
      <c r="A308" s="5" t="s">
        <v>2082</v>
      </c>
      <c r="B308" s="5" t="s">
        <v>2083</v>
      </c>
      <c r="C308" s="5" t="s">
        <v>2084</v>
      </c>
      <c r="D308" s="5" t="s">
        <v>8</v>
      </c>
      <c r="E308" s="6"/>
      <c r="F308" s="6"/>
      <c r="G308" s="7" t="s">
        <v>2085</v>
      </c>
      <c r="I308" s="8" t="s">
        <v>2086</v>
      </c>
      <c r="J308" s="9">
        <v>9.6</v>
      </c>
      <c r="K308" s="10" t="s">
        <v>11</v>
      </c>
      <c r="L308" s="6"/>
      <c r="M308" s="11" t="s">
        <v>12</v>
      </c>
      <c r="N308" s="6" t="s">
        <v>2087</v>
      </c>
      <c r="O308" s="6" t="s">
        <v>2088</v>
      </c>
      <c r="P308" s="10" t="s">
        <v>15</v>
      </c>
      <c r="Q308" s="6"/>
      <c r="R308" s="6"/>
      <c r="S308" s="6"/>
      <c r="T308" s="6" t="s">
        <v>16</v>
      </c>
      <c r="U308" s="9" t="s">
        <v>17</v>
      </c>
      <c r="AI308" s="6" t="s">
        <v>18</v>
      </c>
      <c r="AJ308" s="12" t="s">
        <v>2089</v>
      </c>
      <c r="AL308" s="13" t="s">
        <v>20</v>
      </c>
    </row>
    <row r="309">
      <c r="A309" s="5" t="s">
        <v>2090</v>
      </c>
      <c r="B309" s="5" t="s">
        <v>2091</v>
      </c>
      <c r="C309" s="5" t="s">
        <v>2084</v>
      </c>
      <c r="D309" s="5" t="s">
        <v>8</v>
      </c>
      <c r="E309" s="6"/>
      <c r="F309" s="6"/>
      <c r="G309" s="7" t="s">
        <v>2092</v>
      </c>
      <c r="I309" s="8" t="s">
        <v>2093</v>
      </c>
      <c r="J309" s="9">
        <v>28.6</v>
      </c>
      <c r="K309" s="10" t="s">
        <v>11</v>
      </c>
      <c r="L309" s="6"/>
      <c r="M309" s="11" t="s">
        <v>12</v>
      </c>
      <c r="N309" s="6" t="s">
        <v>2094</v>
      </c>
      <c r="O309" s="6" t="s">
        <v>2095</v>
      </c>
      <c r="P309" s="10" t="s">
        <v>15</v>
      </c>
      <c r="Q309" s="6"/>
      <c r="R309" s="6"/>
      <c r="S309" s="6"/>
      <c r="T309" s="6" t="s">
        <v>16</v>
      </c>
      <c r="U309" s="9" t="s">
        <v>17</v>
      </c>
      <c r="AI309" s="6" t="s">
        <v>18</v>
      </c>
      <c r="AJ309" s="12" t="s">
        <v>2089</v>
      </c>
      <c r="AL309" s="13" t="s">
        <v>20</v>
      </c>
    </row>
    <row r="310">
      <c r="A310" s="5" t="s">
        <v>2096</v>
      </c>
      <c r="B310" s="5" t="s">
        <v>2097</v>
      </c>
      <c r="C310" s="5" t="s">
        <v>2098</v>
      </c>
      <c r="D310" s="5" t="s">
        <v>8</v>
      </c>
      <c r="E310" s="6"/>
      <c r="F310" s="6"/>
      <c r="G310" s="7" t="s">
        <v>2099</v>
      </c>
      <c r="I310" s="8" t="s">
        <v>2100</v>
      </c>
      <c r="J310" s="9">
        <v>9.7</v>
      </c>
      <c r="K310" s="10" t="s">
        <v>11</v>
      </c>
      <c r="L310" s="6"/>
      <c r="M310" s="11" t="s">
        <v>12</v>
      </c>
      <c r="N310" s="6" t="s">
        <v>2101</v>
      </c>
      <c r="O310" s="6" t="s">
        <v>2102</v>
      </c>
      <c r="P310" s="10" t="s">
        <v>15</v>
      </c>
      <c r="Q310" s="6"/>
      <c r="R310" s="6"/>
      <c r="S310" s="6"/>
      <c r="T310" s="6" t="s">
        <v>16</v>
      </c>
      <c r="U310" s="9" t="s">
        <v>17</v>
      </c>
      <c r="AI310" s="6" t="s">
        <v>18</v>
      </c>
      <c r="AJ310" s="12" t="s">
        <v>2103</v>
      </c>
      <c r="AL310" s="13" t="s">
        <v>20</v>
      </c>
    </row>
    <row r="311">
      <c r="A311" s="5" t="s">
        <v>2104</v>
      </c>
      <c r="B311" s="5" t="s">
        <v>2105</v>
      </c>
      <c r="C311" s="5" t="s">
        <v>2106</v>
      </c>
      <c r="D311" s="5" t="s">
        <v>8</v>
      </c>
      <c r="E311" s="6"/>
      <c r="F311" s="6"/>
      <c r="G311" s="7" t="s">
        <v>2107</v>
      </c>
      <c r="I311" s="8" t="s">
        <v>2108</v>
      </c>
      <c r="J311" s="9">
        <v>11.9</v>
      </c>
      <c r="K311" s="10" t="s">
        <v>11</v>
      </c>
      <c r="L311" s="6"/>
      <c r="M311" s="11" t="s">
        <v>12</v>
      </c>
      <c r="N311" s="6" t="s">
        <v>2109</v>
      </c>
      <c r="O311" s="6" t="s">
        <v>2110</v>
      </c>
      <c r="P311" s="10" t="s">
        <v>15</v>
      </c>
      <c r="Q311" s="6"/>
      <c r="R311" s="6"/>
      <c r="S311" s="6"/>
      <c r="T311" s="6" t="s">
        <v>16</v>
      </c>
      <c r="U311" s="9" t="s">
        <v>17</v>
      </c>
      <c r="AI311" s="6" t="s">
        <v>18</v>
      </c>
      <c r="AJ311" s="12" t="s">
        <v>2111</v>
      </c>
      <c r="AL311" s="13" t="s">
        <v>20</v>
      </c>
    </row>
    <row r="312">
      <c r="A312" s="5" t="s">
        <v>2112</v>
      </c>
      <c r="B312" s="5" t="s">
        <v>2113</v>
      </c>
      <c r="C312" s="5" t="s">
        <v>2106</v>
      </c>
      <c r="D312" s="5" t="s">
        <v>8</v>
      </c>
      <c r="E312" s="6"/>
      <c r="F312" s="6"/>
      <c r="G312" s="7" t="s">
        <v>2114</v>
      </c>
      <c r="I312" s="8" t="s">
        <v>2115</v>
      </c>
      <c r="J312" s="9">
        <v>37.9</v>
      </c>
      <c r="K312" s="10" t="s">
        <v>11</v>
      </c>
      <c r="L312" s="6"/>
      <c r="M312" s="11" t="s">
        <v>12</v>
      </c>
      <c r="N312" s="6" t="s">
        <v>2116</v>
      </c>
      <c r="O312" s="6" t="s">
        <v>2117</v>
      </c>
      <c r="P312" s="10" t="s">
        <v>15</v>
      </c>
      <c r="Q312" s="6"/>
      <c r="R312" s="6"/>
      <c r="S312" s="6"/>
      <c r="T312" s="6" t="s">
        <v>16</v>
      </c>
      <c r="U312" s="9" t="s">
        <v>17</v>
      </c>
      <c r="AI312" s="6" t="s">
        <v>18</v>
      </c>
      <c r="AJ312" s="12" t="s">
        <v>2111</v>
      </c>
      <c r="AL312" s="13" t="s">
        <v>20</v>
      </c>
    </row>
    <row r="313">
      <c r="A313" s="5" t="s">
        <v>2118</v>
      </c>
      <c r="B313" s="5" t="s">
        <v>2119</v>
      </c>
      <c r="C313" s="5" t="s">
        <v>2106</v>
      </c>
      <c r="D313" s="5" t="s">
        <v>8</v>
      </c>
      <c r="E313" s="6"/>
      <c r="F313" s="6"/>
      <c r="G313" s="7" t="s">
        <v>2120</v>
      </c>
      <c r="I313" s="8" t="s">
        <v>2121</v>
      </c>
      <c r="J313" s="9">
        <v>26.9</v>
      </c>
      <c r="K313" s="10" t="s">
        <v>11</v>
      </c>
      <c r="L313" s="6"/>
      <c r="M313" s="11" t="s">
        <v>12</v>
      </c>
      <c r="N313" s="6" t="s">
        <v>2122</v>
      </c>
      <c r="O313" s="6" t="s">
        <v>2123</v>
      </c>
      <c r="P313" s="10" t="s">
        <v>15</v>
      </c>
      <c r="Q313" s="6"/>
      <c r="R313" s="6"/>
      <c r="S313" s="6"/>
      <c r="T313" s="6" t="s">
        <v>16</v>
      </c>
      <c r="U313" s="9" t="s">
        <v>17</v>
      </c>
      <c r="AI313" s="6" t="s">
        <v>18</v>
      </c>
      <c r="AJ313" s="12" t="s">
        <v>2111</v>
      </c>
      <c r="AL313" s="13" t="s">
        <v>20</v>
      </c>
    </row>
    <row r="314">
      <c r="A314" s="5" t="s">
        <v>2124</v>
      </c>
      <c r="B314" s="5" t="s">
        <v>2125</v>
      </c>
      <c r="C314" s="5" t="s">
        <v>2106</v>
      </c>
      <c r="D314" s="5" t="s">
        <v>8</v>
      </c>
      <c r="E314" s="6"/>
      <c r="F314" s="6"/>
      <c r="G314" s="7" t="s">
        <v>2126</v>
      </c>
      <c r="I314" s="8" t="s">
        <v>2127</v>
      </c>
      <c r="J314" s="9">
        <v>32.4</v>
      </c>
      <c r="K314" s="10" t="s">
        <v>11</v>
      </c>
      <c r="L314" s="6"/>
      <c r="M314" s="11" t="s">
        <v>12</v>
      </c>
      <c r="N314" s="6" t="s">
        <v>2128</v>
      </c>
      <c r="O314" s="6" t="s">
        <v>2129</v>
      </c>
      <c r="P314" s="10" t="s">
        <v>15</v>
      </c>
      <c r="Q314" s="6"/>
      <c r="R314" s="6"/>
      <c r="S314" s="6"/>
      <c r="T314" s="6" t="s">
        <v>16</v>
      </c>
      <c r="U314" s="9" t="s">
        <v>17</v>
      </c>
      <c r="AI314" s="6" t="s">
        <v>18</v>
      </c>
      <c r="AJ314" s="12" t="s">
        <v>2111</v>
      </c>
      <c r="AL314" s="13" t="s">
        <v>20</v>
      </c>
    </row>
    <row r="315">
      <c r="A315" s="5" t="s">
        <v>2130</v>
      </c>
      <c r="B315" s="5" t="s">
        <v>2131</v>
      </c>
      <c r="C315" s="5" t="s">
        <v>2132</v>
      </c>
      <c r="D315" s="5" t="s">
        <v>8</v>
      </c>
      <c r="E315" s="6"/>
      <c r="F315" s="6"/>
      <c r="G315" s="7" t="s">
        <v>2133</v>
      </c>
      <c r="I315" s="8" t="s">
        <v>2134</v>
      </c>
      <c r="J315" s="9">
        <v>10.9</v>
      </c>
      <c r="K315" s="10" t="s">
        <v>11</v>
      </c>
      <c r="L315" s="6"/>
      <c r="M315" s="11" t="s">
        <v>12</v>
      </c>
      <c r="N315" s="6" t="s">
        <v>2135</v>
      </c>
      <c r="O315" s="6" t="s">
        <v>2136</v>
      </c>
      <c r="P315" s="10" t="s">
        <v>15</v>
      </c>
      <c r="Q315" s="6"/>
      <c r="R315" s="6"/>
      <c r="S315" s="6" t="s">
        <v>2137</v>
      </c>
      <c r="T315" s="6" t="s">
        <v>16</v>
      </c>
      <c r="U315" s="9" t="s">
        <v>17</v>
      </c>
      <c r="AI315" s="6" t="s">
        <v>18</v>
      </c>
      <c r="AJ315" s="12" t="s">
        <v>2138</v>
      </c>
      <c r="AL315" s="13" t="s">
        <v>20</v>
      </c>
    </row>
    <row r="316">
      <c r="A316" s="5" t="s">
        <v>2139</v>
      </c>
      <c r="B316" s="5" t="s">
        <v>2140</v>
      </c>
      <c r="C316" s="5" t="s">
        <v>2132</v>
      </c>
      <c r="D316" s="5" t="s">
        <v>8</v>
      </c>
      <c r="E316" s="6"/>
      <c r="F316" s="6"/>
      <c r="G316" s="7" t="s">
        <v>2141</v>
      </c>
      <c r="I316" s="8" t="s">
        <v>2142</v>
      </c>
      <c r="J316" s="9">
        <v>37.9</v>
      </c>
      <c r="K316" s="10" t="s">
        <v>11</v>
      </c>
      <c r="L316" s="6"/>
      <c r="M316" s="11" t="s">
        <v>12</v>
      </c>
      <c r="N316" s="6" t="s">
        <v>2143</v>
      </c>
      <c r="O316" s="6" t="s">
        <v>2144</v>
      </c>
      <c r="P316" s="10" t="s">
        <v>15</v>
      </c>
      <c r="Q316" s="6"/>
      <c r="R316" s="6"/>
      <c r="S316" s="6" t="s">
        <v>2137</v>
      </c>
      <c r="T316" s="6" t="s">
        <v>16</v>
      </c>
      <c r="U316" s="9" t="s">
        <v>17</v>
      </c>
      <c r="AI316" s="6" t="s">
        <v>18</v>
      </c>
      <c r="AJ316" s="12" t="s">
        <v>2138</v>
      </c>
      <c r="AL316" s="13" t="s">
        <v>20</v>
      </c>
    </row>
    <row r="317">
      <c r="A317" s="5" t="s">
        <v>2145</v>
      </c>
      <c r="B317" s="5" t="s">
        <v>2146</v>
      </c>
      <c r="C317" s="5" t="s">
        <v>2132</v>
      </c>
      <c r="D317" s="5" t="s">
        <v>8</v>
      </c>
      <c r="E317" s="6"/>
      <c r="F317" s="6"/>
      <c r="G317" s="7" t="s">
        <v>2147</v>
      </c>
      <c r="I317" s="8" t="s">
        <v>2148</v>
      </c>
      <c r="J317" s="9">
        <v>26.9</v>
      </c>
      <c r="K317" s="10" t="s">
        <v>11</v>
      </c>
      <c r="L317" s="6"/>
      <c r="M317" s="11" t="s">
        <v>12</v>
      </c>
      <c r="N317" s="6" t="s">
        <v>2149</v>
      </c>
      <c r="O317" s="6" t="s">
        <v>2150</v>
      </c>
      <c r="P317" s="10" t="s">
        <v>15</v>
      </c>
      <c r="Q317" s="6"/>
      <c r="R317" s="6"/>
      <c r="S317" s="6" t="s">
        <v>2137</v>
      </c>
      <c r="T317" s="6" t="s">
        <v>16</v>
      </c>
      <c r="U317" s="9" t="s">
        <v>17</v>
      </c>
      <c r="AI317" s="6" t="s">
        <v>18</v>
      </c>
      <c r="AJ317" s="12" t="s">
        <v>2138</v>
      </c>
      <c r="AL317" s="13" t="s">
        <v>20</v>
      </c>
    </row>
    <row r="318">
      <c r="A318" s="5" t="s">
        <v>2151</v>
      </c>
      <c r="B318" s="5" t="s">
        <v>2152</v>
      </c>
      <c r="C318" s="5" t="s">
        <v>2153</v>
      </c>
      <c r="D318" s="5" t="s">
        <v>8</v>
      </c>
      <c r="E318" s="6"/>
      <c r="F318" s="6"/>
      <c r="G318" s="7" t="s">
        <v>2154</v>
      </c>
      <c r="I318" s="8" t="s">
        <v>2155</v>
      </c>
      <c r="J318" s="9">
        <v>10.7</v>
      </c>
      <c r="K318" s="10" t="s">
        <v>11</v>
      </c>
      <c r="L318" s="6"/>
      <c r="M318" s="11" t="s">
        <v>12</v>
      </c>
      <c r="N318" s="6" t="s">
        <v>2156</v>
      </c>
      <c r="O318" s="6" t="s">
        <v>2157</v>
      </c>
      <c r="P318" s="10" t="s">
        <v>15</v>
      </c>
      <c r="Q318" s="6"/>
      <c r="R318" s="6"/>
      <c r="S318" s="6" t="s">
        <v>2158</v>
      </c>
      <c r="T318" s="6" t="s">
        <v>16</v>
      </c>
      <c r="U318" s="9" t="s">
        <v>17</v>
      </c>
      <c r="AI318" s="6" t="s">
        <v>18</v>
      </c>
      <c r="AJ318" s="12" t="s">
        <v>2159</v>
      </c>
      <c r="AL318" s="13" t="s">
        <v>20</v>
      </c>
    </row>
    <row r="319">
      <c r="A319" s="5" t="s">
        <v>2160</v>
      </c>
      <c r="B319" s="5" t="s">
        <v>2161</v>
      </c>
      <c r="C319" s="5" t="s">
        <v>2153</v>
      </c>
      <c r="D319" s="5" t="s">
        <v>8</v>
      </c>
      <c r="E319" s="6"/>
      <c r="F319" s="6"/>
      <c r="G319" s="7" t="s">
        <v>2162</v>
      </c>
      <c r="I319" s="8" t="s">
        <v>2163</v>
      </c>
      <c r="J319" s="9">
        <v>26.9</v>
      </c>
      <c r="K319" s="10" t="s">
        <v>11</v>
      </c>
      <c r="L319" s="6"/>
      <c r="M319" s="11" t="s">
        <v>12</v>
      </c>
      <c r="N319" s="6" t="s">
        <v>2164</v>
      </c>
      <c r="O319" s="6" t="s">
        <v>2165</v>
      </c>
      <c r="P319" s="10" t="s">
        <v>15</v>
      </c>
      <c r="Q319" s="6"/>
      <c r="R319" s="6"/>
      <c r="S319" s="6" t="s">
        <v>2158</v>
      </c>
      <c r="T319" s="6" t="s">
        <v>16</v>
      </c>
      <c r="U319" s="9" t="s">
        <v>17</v>
      </c>
      <c r="AI319" s="6" t="s">
        <v>18</v>
      </c>
      <c r="AJ319" s="12" t="s">
        <v>2159</v>
      </c>
      <c r="AL319" s="13" t="s">
        <v>20</v>
      </c>
    </row>
    <row r="320">
      <c r="A320" s="5" t="s">
        <v>2166</v>
      </c>
      <c r="B320" s="5" t="s">
        <v>2167</v>
      </c>
      <c r="C320" s="5" t="s">
        <v>2153</v>
      </c>
      <c r="D320" s="5" t="s">
        <v>8</v>
      </c>
      <c r="E320" s="6"/>
      <c r="F320" s="6"/>
      <c r="G320" s="7" t="s">
        <v>2168</v>
      </c>
      <c r="I320" s="8" t="s">
        <v>2169</v>
      </c>
      <c r="J320" s="9">
        <v>28.9</v>
      </c>
      <c r="K320" s="10" t="s">
        <v>11</v>
      </c>
      <c r="L320" s="6"/>
      <c r="M320" s="11" t="s">
        <v>12</v>
      </c>
      <c r="N320" s="6" t="s">
        <v>2170</v>
      </c>
      <c r="O320" s="6" t="s">
        <v>2171</v>
      </c>
      <c r="P320" s="10" t="s">
        <v>15</v>
      </c>
      <c r="Q320" s="6"/>
      <c r="R320" s="6"/>
      <c r="S320" s="6" t="s">
        <v>2158</v>
      </c>
      <c r="T320" s="6" t="s">
        <v>16</v>
      </c>
      <c r="U320" s="9" t="s">
        <v>17</v>
      </c>
      <c r="AI320" s="6" t="s">
        <v>18</v>
      </c>
      <c r="AJ320" s="12" t="s">
        <v>2159</v>
      </c>
      <c r="AL320" s="13" t="s">
        <v>20</v>
      </c>
    </row>
    <row r="321">
      <c r="A321" s="5" t="s">
        <v>2172</v>
      </c>
      <c r="B321" s="5" t="s">
        <v>2173</v>
      </c>
      <c r="C321" s="5" t="s">
        <v>2132</v>
      </c>
      <c r="D321" s="5" t="s">
        <v>8</v>
      </c>
      <c r="E321" s="6"/>
      <c r="F321" s="6"/>
      <c r="G321" s="7" t="s">
        <v>2174</v>
      </c>
      <c r="I321" s="8" t="s">
        <v>2175</v>
      </c>
      <c r="J321" s="9">
        <v>19.6</v>
      </c>
      <c r="K321" s="10" t="s">
        <v>11</v>
      </c>
      <c r="L321" s="6"/>
      <c r="M321" s="11" t="s">
        <v>12</v>
      </c>
      <c r="N321" s="6" t="s">
        <v>2176</v>
      </c>
      <c r="O321" s="6" t="s">
        <v>2177</v>
      </c>
      <c r="P321" s="10" t="s">
        <v>15</v>
      </c>
      <c r="Q321" s="6"/>
      <c r="R321" s="6"/>
      <c r="S321" s="6" t="s">
        <v>2137</v>
      </c>
      <c r="T321" s="6" t="s">
        <v>16</v>
      </c>
      <c r="U321" s="9" t="s">
        <v>17</v>
      </c>
      <c r="AI321" s="6" t="s">
        <v>18</v>
      </c>
      <c r="AJ321" s="12" t="s">
        <v>2138</v>
      </c>
      <c r="AL321" s="13" t="s">
        <v>20</v>
      </c>
    </row>
    <row r="322">
      <c r="A322" s="5" t="s">
        <v>2178</v>
      </c>
      <c r="B322" s="5" t="s">
        <v>2179</v>
      </c>
      <c r="C322" s="5" t="s">
        <v>2180</v>
      </c>
      <c r="D322" s="5" t="s">
        <v>8</v>
      </c>
      <c r="E322" s="6"/>
      <c r="F322" s="6"/>
      <c r="G322" s="7" t="s">
        <v>2181</v>
      </c>
      <c r="I322" s="8" t="s">
        <v>2182</v>
      </c>
      <c r="J322" s="9">
        <v>8.9</v>
      </c>
      <c r="K322" s="10" t="s">
        <v>11</v>
      </c>
      <c r="L322" s="6"/>
      <c r="M322" s="11" t="s">
        <v>12</v>
      </c>
      <c r="N322" s="6" t="s">
        <v>2183</v>
      </c>
      <c r="O322" s="6" t="s">
        <v>2184</v>
      </c>
      <c r="P322" s="10" t="s">
        <v>15</v>
      </c>
      <c r="Q322" s="6"/>
      <c r="R322" s="6"/>
      <c r="S322" s="6" t="s">
        <v>2185</v>
      </c>
      <c r="T322" s="6" t="s">
        <v>16</v>
      </c>
      <c r="U322" s="9" t="s">
        <v>17</v>
      </c>
      <c r="AI322" s="6" t="s">
        <v>18</v>
      </c>
      <c r="AJ322" s="12" t="s">
        <v>2186</v>
      </c>
      <c r="AL322" s="13" t="s">
        <v>20</v>
      </c>
    </row>
    <row r="323">
      <c r="A323" s="5" t="s">
        <v>2187</v>
      </c>
      <c r="B323" s="5" t="s">
        <v>2188</v>
      </c>
      <c r="C323" s="5" t="s">
        <v>2189</v>
      </c>
      <c r="D323" s="5" t="s">
        <v>8</v>
      </c>
      <c r="E323" s="6"/>
      <c r="F323" s="6"/>
      <c r="G323" s="7" t="s">
        <v>2190</v>
      </c>
      <c r="I323" s="8" t="s">
        <v>2191</v>
      </c>
      <c r="J323" s="9">
        <v>7.8</v>
      </c>
      <c r="K323" s="10" t="s">
        <v>11</v>
      </c>
      <c r="L323" s="6"/>
      <c r="M323" s="11" t="s">
        <v>12</v>
      </c>
      <c r="N323" s="6" t="s">
        <v>2192</v>
      </c>
      <c r="O323" s="6" t="s">
        <v>2193</v>
      </c>
      <c r="P323" s="10" t="s">
        <v>15</v>
      </c>
      <c r="Q323" s="6"/>
      <c r="R323" s="6"/>
      <c r="S323" s="6"/>
      <c r="T323" s="6" t="s">
        <v>16</v>
      </c>
      <c r="U323" s="9" t="s">
        <v>17</v>
      </c>
      <c r="AI323" s="6" t="s">
        <v>18</v>
      </c>
      <c r="AJ323" s="12" t="s">
        <v>2194</v>
      </c>
      <c r="AL323" s="13" t="s">
        <v>20</v>
      </c>
    </row>
    <row r="324">
      <c r="A324" s="5" t="s">
        <v>2195</v>
      </c>
      <c r="B324" s="5" t="s">
        <v>2196</v>
      </c>
      <c r="C324" s="5" t="s">
        <v>2189</v>
      </c>
      <c r="D324" s="5" t="s">
        <v>8</v>
      </c>
      <c r="E324" s="6"/>
      <c r="F324" s="6"/>
      <c r="G324" s="7" t="s">
        <v>2197</v>
      </c>
      <c r="I324" s="8" t="s">
        <v>2198</v>
      </c>
      <c r="J324" s="9">
        <v>23.4</v>
      </c>
      <c r="K324" s="10" t="s">
        <v>11</v>
      </c>
      <c r="L324" s="6"/>
      <c r="M324" s="11" t="s">
        <v>12</v>
      </c>
      <c r="N324" s="6" t="s">
        <v>2199</v>
      </c>
      <c r="O324" s="6" t="s">
        <v>2200</v>
      </c>
      <c r="P324" s="10" t="s">
        <v>15</v>
      </c>
      <c r="Q324" s="6"/>
      <c r="R324" s="6"/>
      <c r="S324" s="6"/>
      <c r="T324" s="6" t="s">
        <v>16</v>
      </c>
      <c r="U324" s="9" t="s">
        <v>17</v>
      </c>
      <c r="AI324" s="6" t="s">
        <v>18</v>
      </c>
      <c r="AJ324" s="12" t="s">
        <v>2194</v>
      </c>
      <c r="AL324" s="13" t="s">
        <v>20</v>
      </c>
    </row>
    <row r="325">
      <c r="A325" s="5" t="s">
        <v>2201</v>
      </c>
      <c r="B325" s="5" t="s">
        <v>2202</v>
      </c>
      <c r="C325" s="5" t="s">
        <v>2203</v>
      </c>
      <c r="D325" s="5" t="s">
        <v>8</v>
      </c>
      <c r="E325" s="6"/>
      <c r="F325" s="6"/>
      <c r="G325" s="7" t="s">
        <v>2204</v>
      </c>
      <c r="I325" s="8" t="s">
        <v>2205</v>
      </c>
      <c r="J325" s="9">
        <v>9.9</v>
      </c>
      <c r="K325" s="10" t="s">
        <v>11</v>
      </c>
      <c r="L325" s="6"/>
      <c r="M325" s="11" t="s">
        <v>12</v>
      </c>
      <c r="N325" s="6" t="s">
        <v>2206</v>
      </c>
      <c r="O325" s="6" t="s">
        <v>2207</v>
      </c>
      <c r="P325" s="10" t="s">
        <v>15</v>
      </c>
      <c r="Q325" s="6"/>
      <c r="R325" s="6"/>
      <c r="S325" s="6"/>
      <c r="T325" s="6" t="s">
        <v>16</v>
      </c>
      <c r="U325" s="9" t="s">
        <v>17</v>
      </c>
      <c r="AI325" s="6" t="s">
        <v>18</v>
      </c>
      <c r="AJ325" s="12" t="s">
        <v>2208</v>
      </c>
      <c r="AL325" s="13" t="s">
        <v>20</v>
      </c>
    </row>
    <row r="326">
      <c r="A326" s="5" t="s">
        <v>2209</v>
      </c>
      <c r="B326" s="5" t="s">
        <v>2210</v>
      </c>
      <c r="C326" s="5" t="s">
        <v>2203</v>
      </c>
      <c r="D326" s="5" t="s">
        <v>8</v>
      </c>
      <c r="E326" s="6"/>
      <c r="F326" s="6"/>
      <c r="G326" s="7" t="s">
        <v>2211</v>
      </c>
      <c r="I326" s="8" t="s">
        <v>2212</v>
      </c>
      <c r="J326" s="9">
        <v>37.9</v>
      </c>
      <c r="K326" s="10" t="s">
        <v>11</v>
      </c>
      <c r="L326" s="6"/>
      <c r="M326" s="11" t="s">
        <v>12</v>
      </c>
      <c r="N326" s="6" t="s">
        <v>2213</v>
      </c>
      <c r="O326" s="6" t="s">
        <v>2214</v>
      </c>
      <c r="P326" s="10" t="s">
        <v>15</v>
      </c>
      <c r="Q326" s="6"/>
      <c r="R326" s="6"/>
      <c r="S326" s="6"/>
      <c r="T326" s="6" t="s">
        <v>16</v>
      </c>
      <c r="U326" s="9" t="s">
        <v>17</v>
      </c>
      <c r="AI326" s="6" t="s">
        <v>18</v>
      </c>
      <c r="AJ326" s="12" t="s">
        <v>2208</v>
      </c>
      <c r="AL326" s="13" t="s">
        <v>20</v>
      </c>
    </row>
    <row r="327">
      <c r="A327" s="5" t="s">
        <v>2215</v>
      </c>
      <c r="B327" s="5" t="s">
        <v>2216</v>
      </c>
      <c r="C327" s="5" t="s">
        <v>2203</v>
      </c>
      <c r="D327" s="5" t="s">
        <v>8</v>
      </c>
      <c r="E327" s="6"/>
      <c r="F327" s="6"/>
      <c r="G327" s="7" t="s">
        <v>2217</v>
      </c>
      <c r="I327" s="8" t="s">
        <v>2218</v>
      </c>
      <c r="J327" s="9">
        <v>26.9</v>
      </c>
      <c r="K327" s="10" t="s">
        <v>11</v>
      </c>
      <c r="L327" s="6"/>
      <c r="M327" s="11" t="s">
        <v>12</v>
      </c>
      <c r="N327" s="6" t="s">
        <v>2219</v>
      </c>
      <c r="O327" s="6" t="s">
        <v>2220</v>
      </c>
      <c r="P327" s="10" t="s">
        <v>15</v>
      </c>
      <c r="Q327" s="6"/>
      <c r="R327" s="6"/>
      <c r="S327" s="6"/>
      <c r="T327" s="6" t="s">
        <v>16</v>
      </c>
      <c r="U327" s="9" t="s">
        <v>17</v>
      </c>
      <c r="AI327" s="6" t="s">
        <v>18</v>
      </c>
      <c r="AJ327" s="12" t="s">
        <v>2208</v>
      </c>
      <c r="AL327" s="13" t="s">
        <v>20</v>
      </c>
    </row>
    <row r="328">
      <c r="A328" s="5" t="s">
        <v>2221</v>
      </c>
      <c r="B328" s="5" t="s">
        <v>2222</v>
      </c>
      <c r="C328" s="5" t="s">
        <v>2223</v>
      </c>
      <c r="D328" s="5" t="s">
        <v>8</v>
      </c>
      <c r="E328" s="6"/>
      <c r="F328" s="6"/>
      <c r="G328" s="7" t="s">
        <v>2224</v>
      </c>
      <c r="I328" s="8" t="s">
        <v>2225</v>
      </c>
      <c r="J328" s="9">
        <v>7.9</v>
      </c>
      <c r="K328" s="10" t="s">
        <v>11</v>
      </c>
      <c r="L328" s="6"/>
      <c r="M328" s="11" t="s">
        <v>12</v>
      </c>
      <c r="N328" s="6" t="s">
        <v>2226</v>
      </c>
      <c r="O328" s="6" t="s">
        <v>2227</v>
      </c>
      <c r="P328" s="10" t="s">
        <v>15</v>
      </c>
      <c r="Q328" s="6"/>
      <c r="R328" s="6"/>
      <c r="S328" s="6"/>
      <c r="T328" s="6" t="s">
        <v>16</v>
      </c>
      <c r="U328" s="9" t="s">
        <v>17</v>
      </c>
      <c r="AI328" s="6" t="s">
        <v>18</v>
      </c>
      <c r="AJ328" s="12" t="s">
        <v>2228</v>
      </c>
      <c r="AL328" s="13" t="s">
        <v>20</v>
      </c>
    </row>
    <row r="329">
      <c r="A329" s="5" t="s">
        <v>2229</v>
      </c>
      <c r="B329" s="5" t="s">
        <v>2230</v>
      </c>
      <c r="C329" s="5" t="s">
        <v>2203</v>
      </c>
      <c r="D329" s="5" t="s">
        <v>8</v>
      </c>
      <c r="E329" s="6"/>
      <c r="F329" s="6"/>
      <c r="G329" s="7" t="s">
        <v>2231</v>
      </c>
      <c r="I329" s="8" t="s">
        <v>2232</v>
      </c>
      <c r="J329" s="9">
        <v>34.9</v>
      </c>
      <c r="K329" s="10" t="s">
        <v>11</v>
      </c>
      <c r="L329" s="6"/>
      <c r="M329" s="11" t="s">
        <v>12</v>
      </c>
      <c r="N329" s="6" t="s">
        <v>2233</v>
      </c>
      <c r="O329" s="6" t="s">
        <v>2234</v>
      </c>
      <c r="P329" s="10" t="s">
        <v>15</v>
      </c>
      <c r="Q329" s="6"/>
      <c r="R329" s="6"/>
      <c r="S329" s="6"/>
      <c r="T329" s="6" t="s">
        <v>16</v>
      </c>
      <c r="U329" s="9" t="s">
        <v>17</v>
      </c>
      <c r="AI329" s="6" t="s">
        <v>18</v>
      </c>
      <c r="AJ329" s="12" t="s">
        <v>2208</v>
      </c>
      <c r="AL329" s="13" t="s">
        <v>20</v>
      </c>
    </row>
    <row r="330">
      <c r="A330" s="5" t="s">
        <v>2235</v>
      </c>
      <c r="B330" s="5" t="s">
        <v>2236</v>
      </c>
      <c r="C330" s="5" t="s">
        <v>2237</v>
      </c>
      <c r="D330" s="5" t="s">
        <v>8</v>
      </c>
      <c r="E330" s="6"/>
      <c r="F330" s="6"/>
      <c r="G330" s="7" t="s">
        <v>2238</v>
      </c>
      <c r="I330" s="8" t="s">
        <v>2239</v>
      </c>
      <c r="J330" s="9">
        <v>10.9</v>
      </c>
      <c r="K330" s="10" t="s">
        <v>11</v>
      </c>
      <c r="L330" s="6"/>
      <c r="M330" s="11" t="s">
        <v>12</v>
      </c>
      <c r="N330" s="6" t="s">
        <v>2240</v>
      </c>
      <c r="O330" s="6" t="s">
        <v>2241</v>
      </c>
      <c r="P330" s="10" t="s">
        <v>15</v>
      </c>
      <c r="Q330" s="6"/>
      <c r="R330" s="6"/>
      <c r="S330" s="6"/>
      <c r="T330" s="6" t="s">
        <v>16</v>
      </c>
      <c r="U330" s="9" t="s">
        <v>17</v>
      </c>
      <c r="AI330" s="6" t="s">
        <v>18</v>
      </c>
      <c r="AJ330" s="12" t="s">
        <v>2242</v>
      </c>
      <c r="AL330" s="13" t="s">
        <v>20</v>
      </c>
    </row>
    <row r="331">
      <c r="A331" s="5" t="s">
        <v>2243</v>
      </c>
      <c r="B331" s="5" t="s">
        <v>2244</v>
      </c>
      <c r="C331" s="5" t="s">
        <v>2237</v>
      </c>
      <c r="D331" s="5" t="s">
        <v>8</v>
      </c>
      <c r="E331" s="6"/>
      <c r="F331" s="6"/>
      <c r="G331" s="7" t="s">
        <v>2245</v>
      </c>
      <c r="I331" s="8" t="s">
        <v>2246</v>
      </c>
      <c r="J331" s="9">
        <v>37.9</v>
      </c>
      <c r="K331" s="10" t="s">
        <v>11</v>
      </c>
      <c r="L331" s="6"/>
      <c r="M331" s="11" t="s">
        <v>12</v>
      </c>
      <c r="N331" s="6" t="s">
        <v>2247</v>
      </c>
      <c r="O331" s="6" t="s">
        <v>2248</v>
      </c>
      <c r="P331" s="10" t="s">
        <v>15</v>
      </c>
      <c r="Q331" s="6"/>
      <c r="R331" s="6"/>
      <c r="S331" s="6"/>
      <c r="T331" s="6" t="s">
        <v>16</v>
      </c>
      <c r="U331" s="9" t="s">
        <v>17</v>
      </c>
      <c r="AI331" s="6" t="s">
        <v>18</v>
      </c>
      <c r="AJ331" s="12" t="s">
        <v>2242</v>
      </c>
      <c r="AL331" s="13" t="s">
        <v>20</v>
      </c>
    </row>
    <row r="332">
      <c r="A332" s="5" t="s">
        <v>2249</v>
      </c>
      <c r="B332" s="5" t="s">
        <v>2250</v>
      </c>
      <c r="C332" s="5" t="s">
        <v>2237</v>
      </c>
      <c r="D332" s="5" t="s">
        <v>8</v>
      </c>
      <c r="E332" s="6"/>
      <c r="F332" s="6"/>
      <c r="G332" s="7" t="s">
        <v>2251</v>
      </c>
      <c r="I332" s="8" t="s">
        <v>2252</v>
      </c>
      <c r="J332" s="9">
        <v>26.9</v>
      </c>
      <c r="K332" s="10" t="s">
        <v>11</v>
      </c>
      <c r="L332" s="6"/>
      <c r="M332" s="11" t="s">
        <v>12</v>
      </c>
      <c r="N332" s="6" t="s">
        <v>2253</v>
      </c>
      <c r="O332" s="6" t="s">
        <v>2254</v>
      </c>
      <c r="P332" s="10" t="s">
        <v>15</v>
      </c>
      <c r="Q332" s="6"/>
      <c r="R332" s="6"/>
      <c r="S332" s="6"/>
      <c r="T332" s="6" t="s">
        <v>16</v>
      </c>
      <c r="U332" s="9" t="s">
        <v>17</v>
      </c>
      <c r="AI332" s="6" t="s">
        <v>18</v>
      </c>
      <c r="AJ332" s="12" t="s">
        <v>2242</v>
      </c>
      <c r="AL332" s="13" t="s">
        <v>20</v>
      </c>
    </row>
    <row r="333">
      <c r="A333" s="5" t="s">
        <v>2255</v>
      </c>
      <c r="B333" s="5" t="s">
        <v>2256</v>
      </c>
      <c r="C333" s="5" t="s">
        <v>2237</v>
      </c>
      <c r="D333" s="5" t="s">
        <v>8</v>
      </c>
      <c r="E333" s="6"/>
      <c r="F333" s="6"/>
      <c r="G333" s="7" t="s">
        <v>2257</v>
      </c>
      <c r="I333" s="8" t="s">
        <v>2258</v>
      </c>
      <c r="J333" s="9">
        <v>29.5</v>
      </c>
      <c r="K333" s="10" t="s">
        <v>11</v>
      </c>
      <c r="L333" s="6"/>
      <c r="M333" s="11" t="s">
        <v>12</v>
      </c>
      <c r="N333" s="6" t="s">
        <v>2259</v>
      </c>
      <c r="O333" s="6" t="s">
        <v>2260</v>
      </c>
      <c r="P333" s="10" t="s">
        <v>15</v>
      </c>
      <c r="Q333" s="6"/>
      <c r="R333" s="6"/>
      <c r="S333" s="6"/>
      <c r="T333" s="6" t="s">
        <v>16</v>
      </c>
      <c r="U333" s="9" t="s">
        <v>17</v>
      </c>
      <c r="AI333" s="6" t="s">
        <v>18</v>
      </c>
      <c r="AJ333" s="12" t="s">
        <v>2242</v>
      </c>
      <c r="AL333" s="13" t="s">
        <v>20</v>
      </c>
    </row>
    <row r="334">
      <c r="A334" s="5" t="s">
        <v>2261</v>
      </c>
      <c r="B334" s="5" t="s">
        <v>2262</v>
      </c>
      <c r="C334" s="5" t="s">
        <v>2263</v>
      </c>
      <c r="D334" s="5" t="s">
        <v>8</v>
      </c>
      <c r="E334" s="6"/>
      <c r="F334" s="6"/>
      <c r="G334" s="7" t="s">
        <v>2264</v>
      </c>
      <c r="I334" s="8" t="s">
        <v>2265</v>
      </c>
      <c r="J334" s="9">
        <v>9.9</v>
      </c>
      <c r="K334" s="10" t="s">
        <v>11</v>
      </c>
      <c r="L334" s="6"/>
      <c r="M334" s="11" t="s">
        <v>12</v>
      </c>
      <c r="N334" s="6" t="s">
        <v>2266</v>
      </c>
      <c r="O334" s="6" t="s">
        <v>2267</v>
      </c>
      <c r="P334" s="10" t="s">
        <v>15</v>
      </c>
      <c r="Q334" s="6"/>
      <c r="R334" s="6"/>
      <c r="S334" s="6"/>
      <c r="T334" s="6" t="s">
        <v>16</v>
      </c>
      <c r="U334" s="9" t="s">
        <v>17</v>
      </c>
      <c r="AI334" s="6" t="s">
        <v>18</v>
      </c>
      <c r="AJ334" s="12" t="s">
        <v>2268</v>
      </c>
      <c r="AL334" s="13" t="s">
        <v>20</v>
      </c>
    </row>
    <row r="335">
      <c r="A335" s="5" t="s">
        <v>2269</v>
      </c>
      <c r="B335" s="5" t="s">
        <v>2270</v>
      </c>
      <c r="C335" s="5" t="s">
        <v>2263</v>
      </c>
      <c r="D335" s="5" t="s">
        <v>8</v>
      </c>
      <c r="E335" s="6"/>
      <c r="F335" s="6"/>
      <c r="G335" s="7" t="s">
        <v>2271</v>
      </c>
      <c r="I335" s="8" t="s">
        <v>2272</v>
      </c>
      <c r="J335" s="9">
        <v>26.9</v>
      </c>
      <c r="K335" s="10" t="s">
        <v>11</v>
      </c>
      <c r="L335" s="6"/>
      <c r="M335" s="11" t="s">
        <v>12</v>
      </c>
      <c r="N335" s="6" t="s">
        <v>2273</v>
      </c>
      <c r="O335" s="6" t="s">
        <v>2274</v>
      </c>
      <c r="P335" s="10" t="s">
        <v>15</v>
      </c>
      <c r="Q335" s="6"/>
      <c r="R335" s="6"/>
      <c r="S335" s="6"/>
      <c r="T335" s="6" t="s">
        <v>16</v>
      </c>
      <c r="U335" s="9" t="s">
        <v>17</v>
      </c>
      <c r="AI335" s="6" t="s">
        <v>18</v>
      </c>
      <c r="AJ335" s="12" t="s">
        <v>2268</v>
      </c>
      <c r="AL335" s="13" t="s">
        <v>20</v>
      </c>
    </row>
    <row r="336">
      <c r="A336" s="5" t="s">
        <v>2275</v>
      </c>
      <c r="B336" s="5" t="s">
        <v>2276</v>
      </c>
      <c r="C336" s="5" t="s">
        <v>2277</v>
      </c>
      <c r="D336" s="5" t="s">
        <v>8</v>
      </c>
      <c r="E336" s="6"/>
      <c r="F336" s="6"/>
      <c r="G336" s="7" t="s">
        <v>2278</v>
      </c>
      <c r="I336" s="8" t="s">
        <v>2279</v>
      </c>
      <c r="J336" s="9">
        <v>11.9</v>
      </c>
      <c r="K336" s="10" t="s">
        <v>11</v>
      </c>
      <c r="L336" s="6"/>
      <c r="M336" s="11" t="s">
        <v>12</v>
      </c>
      <c r="N336" s="6" t="s">
        <v>2280</v>
      </c>
      <c r="O336" s="6" t="s">
        <v>2281</v>
      </c>
      <c r="P336" s="10" t="s">
        <v>15</v>
      </c>
      <c r="Q336" s="6"/>
      <c r="R336" s="6"/>
      <c r="S336" s="6" t="s">
        <v>2282</v>
      </c>
      <c r="T336" s="6" t="s">
        <v>16</v>
      </c>
      <c r="U336" s="9" t="s">
        <v>17</v>
      </c>
      <c r="AI336" s="6" t="s">
        <v>18</v>
      </c>
      <c r="AJ336" s="12" t="s">
        <v>2283</v>
      </c>
      <c r="AL336" s="13" t="s">
        <v>20</v>
      </c>
    </row>
    <row r="337">
      <c r="A337" s="5" t="s">
        <v>2284</v>
      </c>
      <c r="B337" s="5" t="s">
        <v>2285</v>
      </c>
      <c r="C337" s="5" t="s">
        <v>2277</v>
      </c>
      <c r="D337" s="5" t="s">
        <v>8</v>
      </c>
      <c r="E337" s="6"/>
      <c r="F337" s="6"/>
      <c r="G337" s="7" t="s">
        <v>2286</v>
      </c>
      <c r="I337" s="8" t="s">
        <v>2287</v>
      </c>
      <c r="J337" s="9">
        <v>29.5</v>
      </c>
      <c r="K337" s="10" t="s">
        <v>11</v>
      </c>
      <c r="L337" s="6"/>
      <c r="M337" s="11" t="s">
        <v>12</v>
      </c>
      <c r="N337" s="6" t="s">
        <v>2288</v>
      </c>
      <c r="O337" s="6" t="s">
        <v>2289</v>
      </c>
      <c r="P337" s="10" t="s">
        <v>15</v>
      </c>
      <c r="Q337" s="6"/>
      <c r="R337" s="6"/>
      <c r="S337" s="6" t="s">
        <v>2282</v>
      </c>
      <c r="T337" s="6" t="s">
        <v>16</v>
      </c>
      <c r="U337" s="9" t="s">
        <v>17</v>
      </c>
      <c r="AI337" s="6" t="s">
        <v>18</v>
      </c>
      <c r="AJ337" s="12" t="s">
        <v>2283</v>
      </c>
      <c r="AL337" s="13" t="s">
        <v>20</v>
      </c>
    </row>
    <row r="338">
      <c r="A338" s="5" t="s">
        <v>2290</v>
      </c>
      <c r="B338" s="5" t="s">
        <v>2291</v>
      </c>
      <c r="C338" s="5" t="s">
        <v>2263</v>
      </c>
      <c r="D338" s="5" t="s">
        <v>8</v>
      </c>
      <c r="E338" s="6"/>
      <c r="F338" s="6"/>
      <c r="G338" s="7" t="s">
        <v>2292</v>
      </c>
      <c r="I338" s="8" t="s">
        <v>2293</v>
      </c>
      <c r="J338" s="9">
        <v>29.5</v>
      </c>
      <c r="K338" s="10" t="s">
        <v>11</v>
      </c>
      <c r="L338" s="6"/>
      <c r="M338" s="11" t="s">
        <v>12</v>
      </c>
      <c r="N338" s="6" t="s">
        <v>2294</v>
      </c>
      <c r="O338" s="6" t="s">
        <v>2295</v>
      </c>
      <c r="P338" s="10" t="s">
        <v>15</v>
      </c>
      <c r="Q338" s="6"/>
      <c r="R338" s="6"/>
      <c r="S338" s="6"/>
      <c r="T338" s="6" t="s">
        <v>16</v>
      </c>
      <c r="U338" s="9" t="s">
        <v>17</v>
      </c>
      <c r="AI338" s="6" t="s">
        <v>18</v>
      </c>
      <c r="AJ338" s="12" t="s">
        <v>2268</v>
      </c>
      <c r="AL338" s="13" t="s">
        <v>20</v>
      </c>
    </row>
    <row r="339">
      <c r="A339" s="5" t="s">
        <v>2296</v>
      </c>
      <c r="B339" s="5" t="s">
        <v>2297</v>
      </c>
      <c r="C339" s="5" t="s">
        <v>2298</v>
      </c>
      <c r="D339" s="5" t="s">
        <v>8</v>
      </c>
      <c r="E339" s="6"/>
      <c r="F339" s="6"/>
      <c r="G339" s="7" t="s">
        <v>2299</v>
      </c>
      <c r="I339" s="8" t="s">
        <v>2300</v>
      </c>
      <c r="J339" s="9">
        <v>9.3</v>
      </c>
      <c r="K339" s="10" t="s">
        <v>11</v>
      </c>
      <c r="L339" s="6"/>
      <c r="M339" s="11" t="s">
        <v>12</v>
      </c>
      <c r="N339" s="6" t="s">
        <v>2301</v>
      </c>
      <c r="O339" s="6" t="s">
        <v>2302</v>
      </c>
      <c r="P339" s="10" t="s">
        <v>15</v>
      </c>
      <c r="Q339" s="6"/>
      <c r="R339" s="6"/>
      <c r="S339" s="6"/>
      <c r="T339" s="6" t="s">
        <v>16</v>
      </c>
      <c r="U339" s="9" t="s">
        <v>17</v>
      </c>
      <c r="AI339" s="6" t="s">
        <v>18</v>
      </c>
      <c r="AJ339" s="12" t="s">
        <v>2303</v>
      </c>
      <c r="AL339" s="13" t="s">
        <v>20</v>
      </c>
    </row>
    <row r="340">
      <c r="A340" s="5" t="s">
        <v>2304</v>
      </c>
      <c r="B340" s="5" t="s">
        <v>2305</v>
      </c>
      <c r="C340" s="5" t="s">
        <v>2298</v>
      </c>
      <c r="D340" s="5" t="s">
        <v>8</v>
      </c>
      <c r="E340" s="6"/>
      <c r="F340" s="6"/>
      <c r="G340" s="7" t="s">
        <v>2306</v>
      </c>
      <c r="I340" s="8" t="s">
        <v>2307</v>
      </c>
      <c r="J340" s="9">
        <v>37.9</v>
      </c>
      <c r="K340" s="10" t="s">
        <v>11</v>
      </c>
      <c r="L340" s="6"/>
      <c r="M340" s="11" t="s">
        <v>12</v>
      </c>
      <c r="N340" s="6" t="s">
        <v>2308</v>
      </c>
      <c r="O340" s="6" t="s">
        <v>2309</v>
      </c>
      <c r="P340" s="10" t="s">
        <v>15</v>
      </c>
      <c r="Q340" s="6"/>
      <c r="R340" s="6"/>
      <c r="S340" s="6"/>
      <c r="T340" s="6" t="s">
        <v>16</v>
      </c>
      <c r="U340" s="9" t="s">
        <v>17</v>
      </c>
      <c r="AI340" s="6" t="s">
        <v>18</v>
      </c>
      <c r="AJ340" s="12" t="s">
        <v>2303</v>
      </c>
      <c r="AL340" s="13" t="s">
        <v>20</v>
      </c>
    </row>
    <row r="341">
      <c r="A341" s="5" t="s">
        <v>2310</v>
      </c>
      <c r="B341" s="5" t="s">
        <v>2311</v>
      </c>
      <c r="C341" s="5" t="s">
        <v>2298</v>
      </c>
      <c r="D341" s="5" t="s">
        <v>8</v>
      </c>
      <c r="E341" s="6"/>
      <c r="F341" s="6"/>
      <c r="G341" s="7" t="s">
        <v>2312</v>
      </c>
      <c r="I341" s="8" t="s">
        <v>2313</v>
      </c>
      <c r="J341" s="9">
        <v>26.9</v>
      </c>
      <c r="K341" s="10" t="s">
        <v>11</v>
      </c>
      <c r="L341" s="6"/>
      <c r="M341" s="11" t="s">
        <v>12</v>
      </c>
      <c r="N341" s="6" t="s">
        <v>2314</v>
      </c>
      <c r="O341" s="6" t="s">
        <v>2315</v>
      </c>
      <c r="P341" s="10" t="s">
        <v>15</v>
      </c>
      <c r="Q341" s="6"/>
      <c r="R341" s="6"/>
      <c r="S341" s="6"/>
      <c r="T341" s="6" t="s">
        <v>16</v>
      </c>
      <c r="U341" s="9" t="s">
        <v>17</v>
      </c>
      <c r="AI341" s="6" t="s">
        <v>18</v>
      </c>
      <c r="AJ341" s="12" t="s">
        <v>2303</v>
      </c>
      <c r="AL341" s="13" t="s">
        <v>20</v>
      </c>
    </row>
    <row r="342">
      <c r="A342" s="5" t="s">
        <v>2316</v>
      </c>
      <c r="B342" s="5" t="s">
        <v>2317</v>
      </c>
      <c r="C342" s="5" t="s">
        <v>2298</v>
      </c>
      <c r="D342" s="5" t="s">
        <v>8</v>
      </c>
      <c r="E342" s="6"/>
      <c r="F342" s="6"/>
      <c r="G342" s="7" t="s">
        <v>2318</v>
      </c>
      <c r="I342" s="8" t="s">
        <v>2319</v>
      </c>
      <c r="J342" s="9">
        <v>27.7</v>
      </c>
      <c r="K342" s="10" t="s">
        <v>11</v>
      </c>
      <c r="L342" s="6"/>
      <c r="M342" s="11" t="s">
        <v>12</v>
      </c>
      <c r="N342" s="6" t="s">
        <v>2320</v>
      </c>
      <c r="O342" s="6" t="s">
        <v>2321</v>
      </c>
      <c r="P342" s="10" t="s">
        <v>15</v>
      </c>
      <c r="Q342" s="6"/>
      <c r="R342" s="6"/>
      <c r="S342" s="6"/>
      <c r="T342" s="6" t="s">
        <v>16</v>
      </c>
      <c r="U342" s="9" t="s">
        <v>17</v>
      </c>
      <c r="AI342" s="6" t="s">
        <v>18</v>
      </c>
      <c r="AJ342" s="12" t="s">
        <v>2303</v>
      </c>
      <c r="AL342" s="13" t="s">
        <v>20</v>
      </c>
    </row>
    <row r="343">
      <c r="A343" s="5" t="s">
        <v>2322</v>
      </c>
      <c r="B343" s="5" t="s">
        <v>2323</v>
      </c>
      <c r="C343" s="5" t="s">
        <v>2324</v>
      </c>
      <c r="D343" s="5" t="s">
        <v>8</v>
      </c>
      <c r="E343" s="6"/>
      <c r="F343" s="6"/>
      <c r="G343" s="7" t="s">
        <v>2325</v>
      </c>
      <c r="I343" s="8" t="s">
        <v>2326</v>
      </c>
      <c r="J343" s="9">
        <v>11.9</v>
      </c>
      <c r="K343" s="10" t="s">
        <v>11</v>
      </c>
      <c r="L343" s="6"/>
      <c r="M343" s="11" t="s">
        <v>12</v>
      </c>
      <c r="N343" s="6" t="s">
        <v>2327</v>
      </c>
      <c r="O343" s="6" t="s">
        <v>2328</v>
      </c>
      <c r="P343" s="10" t="s">
        <v>15</v>
      </c>
      <c r="Q343" s="6"/>
      <c r="R343" s="6"/>
      <c r="S343" s="6"/>
      <c r="T343" s="6" t="s">
        <v>16</v>
      </c>
      <c r="U343" s="9" t="s">
        <v>17</v>
      </c>
      <c r="AI343" s="6" t="s">
        <v>18</v>
      </c>
      <c r="AJ343" s="12" t="s">
        <v>2329</v>
      </c>
      <c r="AL343" s="13" t="s">
        <v>20</v>
      </c>
    </row>
    <row r="344">
      <c r="A344" s="5" t="s">
        <v>2330</v>
      </c>
      <c r="B344" s="5" t="s">
        <v>2331</v>
      </c>
      <c r="C344" s="5" t="s">
        <v>2332</v>
      </c>
      <c r="D344" s="5" t="s">
        <v>8</v>
      </c>
      <c r="E344" s="6"/>
      <c r="F344" s="6"/>
      <c r="G344" s="7" t="s">
        <v>2333</v>
      </c>
      <c r="I344" s="8" t="s">
        <v>2334</v>
      </c>
      <c r="J344" s="9">
        <v>8.6</v>
      </c>
      <c r="K344" s="10" t="s">
        <v>11</v>
      </c>
      <c r="L344" s="6"/>
      <c r="M344" s="11" t="s">
        <v>12</v>
      </c>
      <c r="N344" s="6" t="s">
        <v>2335</v>
      </c>
      <c r="O344" s="6" t="s">
        <v>2336</v>
      </c>
      <c r="P344" s="10" t="s">
        <v>15</v>
      </c>
      <c r="Q344" s="6"/>
      <c r="R344" s="6"/>
      <c r="S344" s="6"/>
      <c r="T344" s="6" t="s">
        <v>16</v>
      </c>
      <c r="U344" s="9" t="s">
        <v>17</v>
      </c>
      <c r="AI344" s="6" t="s">
        <v>18</v>
      </c>
      <c r="AJ344" s="12" t="s">
        <v>2337</v>
      </c>
      <c r="AL344" s="13" t="s">
        <v>20</v>
      </c>
    </row>
    <row r="345">
      <c r="A345" s="5" t="s">
        <v>2338</v>
      </c>
      <c r="B345" s="5" t="s">
        <v>2339</v>
      </c>
      <c r="C345" s="5" t="s">
        <v>2332</v>
      </c>
      <c r="D345" s="5" t="s">
        <v>8</v>
      </c>
      <c r="E345" s="6"/>
      <c r="F345" s="6"/>
      <c r="G345" s="7" t="s">
        <v>2340</v>
      </c>
      <c r="I345" s="8" t="s">
        <v>2341</v>
      </c>
      <c r="J345" s="9">
        <v>33.9</v>
      </c>
      <c r="K345" s="10" t="s">
        <v>11</v>
      </c>
      <c r="L345" s="6"/>
      <c r="M345" s="11" t="s">
        <v>12</v>
      </c>
      <c r="N345" s="6" t="s">
        <v>2342</v>
      </c>
      <c r="O345" s="6" t="s">
        <v>2343</v>
      </c>
      <c r="P345" s="10" t="s">
        <v>15</v>
      </c>
      <c r="Q345" s="6"/>
      <c r="R345" s="6"/>
      <c r="S345" s="6"/>
      <c r="T345" s="6" t="s">
        <v>16</v>
      </c>
      <c r="U345" s="9" t="s">
        <v>17</v>
      </c>
      <c r="AI345" s="6" t="s">
        <v>18</v>
      </c>
      <c r="AJ345" s="12" t="s">
        <v>2337</v>
      </c>
      <c r="AL345" s="13" t="s">
        <v>20</v>
      </c>
    </row>
    <row r="346">
      <c r="A346" s="5" t="s">
        <v>2344</v>
      </c>
      <c r="B346" s="5" t="s">
        <v>2345</v>
      </c>
      <c r="C346" s="5" t="s">
        <v>2332</v>
      </c>
      <c r="D346" s="5" t="s">
        <v>8</v>
      </c>
      <c r="E346" s="6"/>
      <c r="F346" s="6"/>
      <c r="G346" s="7" t="s">
        <v>2346</v>
      </c>
      <c r="I346" s="8" t="s">
        <v>2347</v>
      </c>
      <c r="J346" s="9">
        <v>67.8</v>
      </c>
      <c r="K346" s="10">
        <v>61.02</v>
      </c>
      <c r="L346" s="6"/>
      <c r="M346" s="11" t="s">
        <v>17</v>
      </c>
      <c r="N346" s="6"/>
      <c r="O346" s="6" t="s">
        <v>2348</v>
      </c>
      <c r="P346" s="10" t="s">
        <v>15</v>
      </c>
      <c r="Q346" s="6"/>
      <c r="R346" s="6"/>
      <c r="S346" s="6"/>
      <c r="T346" s="6" t="s">
        <v>16</v>
      </c>
      <c r="U346" s="9" t="s">
        <v>17</v>
      </c>
      <c r="AI346" s="6" t="s">
        <v>18</v>
      </c>
      <c r="AJ346" s="12" t="s">
        <v>2337</v>
      </c>
      <c r="AL346" s="13" t="s">
        <v>20</v>
      </c>
    </row>
    <row r="347">
      <c r="A347" s="5" t="s">
        <v>2349</v>
      </c>
      <c r="B347" s="5" t="s">
        <v>2350</v>
      </c>
      <c r="C347" s="5" t="s">
        <v>102</v>
      </c>
      <c r="D347" s="5" t="s">
        <v>8</v>
      </c>
      <c r="E347" s="6"/>
      <c r="F347" s="6"/>
      <c r="G347" s="7" t="s">
        <v>2351</v>
      </c>
      <c r="I347" s="8" t="s">
        <v>2352</v>
      </c>
      <c r="J347" s="9">
        <v>7.9</v>
      </c>
      <c r="K347" s="10" t="s">
        <v>11</v>
      </c>
      <c r="L347" s="6"/>
      <c r="M347" s="11" t="s">
        <v>12</v>
      </c>
      <c r="N347" s="6" t="s">
        <v>2353</v>
      </c>
      <c r="O347" s="6" t="s">
        <v>2354</v>
      </c>
      <c r="P347" s="10" t="s">
        <v>15</v>
      </c>
      <c r="Q347" s="6"/>
      <c r="R347" s="6"/>
      <c r="S347" s="6"/>
      <c r="T347" s="6" t="s">
        <v>16</v>
      </c>
      <c r="U347" s="9" t="s">
        <v>17</v>
      </c>
      <c r="AI347" s="6" t="s">
        <v>18</v>
      </c>
      <c r="AJ347" s="12" t="s">
        <v>2355</v>
      </c>
      <c r="AL347" s="13" t="s">
        <v>20</v>
      </c>
    </row>
    <row r="348">
      <c r="A348" s="5" t="s">
        <v>2356</v>
      </c>
      <c r="B348" s="5" t="s">
        <v>2357</v>
      </c>
      <c r="C348" s="5" t="s">
        <v>102</v>
      </c>
      <c r="D348" s="5" t="s">
        <v>8</v>
      </c>
      <c r="E348" s="6"/>
      <c r="F348" s="6"/>
      <c r="G348" s="7" t="s">
        <v>2358</v>
      </c>
      <c r="I348" s="8" t="s">
        <v>2359</v>
      </c>
      <c r="J348" s="9">
        <v>23.7</v>
      </c>
      <c r="K348" s="10" t="s">
        <v>11</v>
      </c>
      <c r="L348" s="6"/>
      <c r="M348" s="11" t="s">
        <v>12</v>
      </c>
      <c r="N348" s="6" t="s">
        <v>2360</v>
      </c>
      <c r="O348" s="6" t="s">
        <v>2361</v>
      </c>
      <c r="P348" s="10" t="s">
        <v>15</v>
      </c>
      <c r="Q348" s="6"/>
      <c r="R348" s="6"/>
      <c r="S348" s="6"/>
      <c r="T348" s="6" t="s">
        <v>16</v>
      </c>
      <c r="U348" s="9" t="s">
        <v>17</v>
      </c>
      <c r="AI348" s="6" t="s">
        <v>18</v>
      </c>
      <c r="AJ348" s="12" t="s">
        <v>2355</v>
      </c>
      <c r="AL348" s="13" t="s">
        <v>20</v>
      </c>
    </row>
    <row r="349">
      <c r="A349" s="5" t="s">
        <v>2362</v>
      </c>
      <c r="B349" s="5" t="s">
        <v>2363</v>
      </c>
      <c r="C349" s="5" t="s">
        <v>2364</v>
      </c>
      <c r="D349" s="5" t="s">
        <v>8</v>
      </c>
      <c r="E349" s="6"/>
      <c r="F349" s="6"/>
      <c r="G349" s="7" t="s">
        <v>2365</v>
      </c>
      <c r="I349" s="8" t="s">
        <v>2366</v>
      </c>
      <c r="J349" s="9">
        <v>8.7</v>
      </c>
      <c r="K349" s="10" t="s">
        <v>11</v>
      </c>
      <c r="L349" s="6"/>
      <c r="M349" s="11" t="s">
        <v>12</v>
      </c>
      <c r="N349" s="6" t="s">
        <v>2367</v>
      </c>
      <c r="O349" s="6" t="s">
        <v>2368</v>
      </c>
      <c r="P349" s="10" t="s">
        <v>15</v>
      </c>
      <c r="Q349" s="6"/>
      <c r="R349" s="6"/>
      <c r="S349" s="6"/>
      <c r="T349" s="6" t="s">
        <v>16</v>
      </c>
      <c r="U349" s="9" t="s">
        <v>17</v>
      </c>
      <c r="AI349" s="6" t="s">
        <v>18</v>
      </c>
      <c r="AJ349" s="12" t="s">
        <v>2369</v>
      </c>
      <c r="AL349" s="13" t="s">
        <v>20</v>
      </c>
    </row>
    <row r="350">
      <c r="A350" s="5" t="s">
        <v>2370</v>
      </c>
      <c r="B350" s="5" t="s">
        <v>2371</v>
      </c>
      <c r="C350" s="5" t="s">
        <v>2364</v>
      </c>
      <c r="D350" s="5" t="s">
        <v>8</v>
      </c>
      <c r="E350" s="6"/>
      <c r="F350" s="6"/>
      <c r="G350" s="7" t="s">
        <v>2372</v>
      </c>
      <c r="I350" s="8" t="s">
        <v>2373</v>
      </c>
      <c r="J350" s="9">
        <v>37.9</v>
      </c>
      <c r="K350" s="10" t="s">
        <v>11</v>
      </c>
      <c r="L350" s="6"/>
      <c r="M350" s="11" t="s">
        <v>12</v>
      </c>
      <c r="N350" s="6" t="s">
        <v>2374</v>
      </c>
      <c r="O350" s="6" t="s">
        <v>2375</v>
      </c>
      <c r="P350" s="10" t="s">
        <v>15</v>
      </c>
      <c r="Q350" s="6"/>
      <c r="R350" s="6"/>
      <c r="S350" s="6"/>
      <c r="T350" s="6" t="s">
        <v>16</v>
      </c>
      <c r="U350" s="9" t="s">
        <v>17</v>
      </c>
      <c r="AI350" s="6" t="s">
        <v>18</v>
      </c>
      <c r="AJ350" s="12" t="s">
        <v>2369</v>
      </c>
      <c r="AL350" s="13" t="s">
        <v>20</v>
      </c>
    </row>
    <row r="351">
      <c r="A351" s="5" t="s">
        <v>2376</v>
      </c>
      <c r="B351" s="5" t="s">
        <v>2377</v>
      </c>
      <c r="C351" s="5" t="s">
        <v>2364</v>
      </c>
      <c r="D351" s="5" t="s">
        <v>8</v>
      </c>
      <c r="E351" s="6"/>
      <c r="F351" s="6"/>
      <c r="G351" s="7" t="s">
        <v>2378</v>
      </c>
      <c r="I351" s="8" t="s">
        <v>2379</v>
      </c>
      <c r="J351" s="9">
        <v>26.9</v>
      </c>
      <c r="K351" s="10" t="s">
        <v>11</v>
      </c>
      <c r="L351" s="6"/>
      <c r="M351" s="11" t="s">
        <v>12</v>
      </c>
      <c r="N351" s="6" t="s">
        <v>2380</v>
      </c>
      <c r="O351" s="6" t="s">
        <v>2381</v>
      </c>
      <c r="P351" s="10" t="s">
        <v>15</v>
      </c>
      <c r="Q351" s="6"/>
      <c r="R351" s="6"/>
      <c r="S351" s="6"/>
      <c r="T351" s="6" t="s">
        <v>16</v>
      </c>
      <c r="U351" s="9" t="s">
        <v>17</v>
      </c>
      <c r="AI351" s="6" t="s">
        <v>18</v>
      </c>
      <c r="AJ351" s="12" t="s">
        <v>2369</v>
      </c>
      <c r="AL351" s="13" t="s">
        <v>20</v>
      </c>
    </row>
    <row r="352">
      <c r="A352" s="5" t="s">
        <v>2382</v>
      </c>
      <c r="B352" s="5" t="s">
        <v>2383</v>
      </c>
      <c r="C352" s="5" t="s">
        <v>2364</v>
      </c>
      <c r="D352" s="5" t="s">
        <v>8</v>
      </c>
      <c r="E352" s="6"/>
      <c r="F352" s="6"/>
      <c r="G352" s="7" t="s">
        <v>2384</v>
      </c>
      <c r="I352" s="8" t="s">
        <v>2385</v>
      </c>
      <c r="J352" s="9">
        <v>25.9</v>
      </c>
      <c r="K352" s="10" t="s">
        <v>11</v>
      </c>
      <c r="L352" s="6"/>
      <c r="M352" s="11" t="s">
        <v>12</v>
      </c>
      <c r="N352" s="6" t="s">
        <v>2386</v>
      </c>
      <c r="O352" s="6" t="s">
        <v>2387</v>
      </c>
      <c r="P352" s="10" t="s">
        <v>15</v>
      </c>
      <c r="Q352" s="6"/>
      <c r="R352" s="6"/>
      <c r="S352" s="6"/>
      <c r="T352" s="6" t="s">
        <v>16</v>
      </c>
      <c r="U352" s="9" t="s">
        <v>17</v>
      </c>
      <c r="AI352" s="6" t="s">
        <v>18</v>
      </c>
      <c r="AJ352" s="12" t="s">
        <v>2369</v>
      </c>
      <c r="AL352" s="13" t="s">
        <v>20</v>
      </c>
    </row>
    <row r="353">
      <c r="A353" s="5" t="s">
        <v>2388</v>
      </c>
      <c r="B353" s="5" t="s">
        <v>2389</v>
      </c>
      <c r="C353" s="5" t="s">
        <v>2390</v>
      </c>
      <c r="D353" s="5" t="s">
        <v>8</v>
      </c>
      <c r="E353" s="6"/>
      <c r="F353" s="6"/>
      <c r="G353" s="7" t="s">
        <v>2391</v>
      </c>
      <c r="I353" s="8" t="s">
        <v>2392</v>
      </c>
      <c r="J353" s="9">
        <v>7.6</v>
      </c>
      <c r="K353" s="10" t="s">
        <v>11</v>
      </c>
      <c r="L353" s="6"/>
      <c r="M353" s="11" t="s">
        <v>12</v>
      </c>
      <c r="N353" s="6" t="s">
        <v>2393</v>
      </c>
      <c r="O353" s="6" t="s">
        <v>2394</v>
      </c>
      <c r="P353" s="10" t="s">
        <v>15</v>
      </c>
      <c r="Q353" s="6"/>
      <c r="R353" s="6"/>
      <c r="S353" s="6"/>
      <c r="T353" s="6" t="s">
        <v>16</v>
      </c>
      <c r="U353" s="9" t="s">
        <v>17</v>
      </c>
      <c r="AI353" s="6" t="s">
        <v>18</v>
      </c>
      <c r="AJ353" s="12" t="s">
        <v>2395</v>
      </c>
      <c r="AL353" s="13" t="s">
        <v>20</v>
      </c>
    </row>
    <row r="354">
      <c r="A354" s="5" t="s">
        <v>2396</v>
      </c>
      <c r="B354" s="5" t="s">
        <v>2397</v>
      </c>
      <c r="C354" s="5" t="s">
        <v>2398</v>
      </c>
      <c r="D354" s="5" t="s">
        <v>8</v>
      </c>
      <c r="E354" s="6"/>
      <c r="F354" s="6"/>
      <c r="G354" s="7" t="s">
        <v>2399</v>
      </c>
      <c r="I354" s="8" t="s">
        <v>2400</v>
      </c>
      <c r="J354" s="9">
        <v>8.7</v>
      </c>
      <c r="K354" s="10" t="s">
        <v>11</v>
      </c>
      <c r="L354" s="6"/>
      <c r="M354" s="11" t="s">
        <v>12</v>
      </c>
      <c r="N354" s="6" t="s">
        <v>2401</v>
      </c>
      <c r="O354" s="6" t="s">
        <v>2402</v>
      </c>
      <c r="P354" s="10" t="s">
        <v>15</v>
      </c>
      <c r="Q354" s="6"/>
      <c r="R354" s="6"/>
      <c r="S354" s="6"/>
      <c r="T354" s="6" t="s">
        <v>16</v>
      </c>
      <c r="U354" s="9" t="s">
        <v>17</v>
      </c>
      <c r="AI354" s="6" t="s">
        <v>18</v>
      </c>
      <c r="AJ354" s="12" t="s">
        <v>2403</v>
      </c>
      <c r="AL354" s="13" t="s">
        <v>20</v>
      </c>
    </row>
    <row r="355">
      <c r="A355" s="5" t="s">
        <v>2404</v>
      </c>
      <c r="B355" s="5" t="s">
        <v>2405</v>
      </c>
      <c r="C355" s="5" t="s">
        <v>2398</v>
      </c>
      <c r="D355" s="5" t="s">
        <v>8</v>
      </c>
      <c r="E355" s="6"/>
      <c r="F355" s="6"/>
      <c r="G355" s="7" t="s">
        <v>2406</v>
      </c>
      <c r="I355" s="8" t="s">
        <v>2407</v>
      </c>
      <c r="J355" s="9">
        <v>37.9</v>
      </c>
      <c r="K355" s="10" t="s">
        <v>11</v>
      </c>
      <c r="L355" s="6"/>
      <c r="M355" s="11" t="s">
        <v>12</v>
      </c>
      <c r="N355" s="6" t="s">
        <v>2408</v>
      </c>
      <c r="O355" s="6" t="s">
        <v>2409</v>
      </c>
      <c r="P355" s="10" t="s">
        <v>15</v>
      </c>
      <c r="Q355" s="6"/>
      <c r="R355" s="6"/>
      <c r="S355" s="6"/>
      <c r="T355" s="6" t="s">
        <v>16</v>
      </c>
      <c r="U355" s="9" t="s">
        <v>17</v>
      </c>
      <c r="AI355" s="6" t="s">
        <v>18</v>
      </c>
      <c r="AJ355" s="12" t="s">
        <v>2403</v>
      </c>
      <c r="AL355" s="13" t="s">
        <v>20</v>
      </c>
    </row>
    <row r="356">
      <c r="A356" s="5" t="s">
        <v>2410</v>
      </c>
      <c r="B356" s="5" t="s">
        <v>2411</v>
      </c>
      <c r="C356" s="5" t="s">
        <v>2398</v>
      </c>
      <c r="D356" s="5" t="s">
        <v>8</v>
      </c>
      <c r="E356" s="6"/>
      <c r="F356" s="6"/>
      <c r="G356" s="7" t="s">
        <v>2412</v>
      </c>
      <c r="I356" s="8" t="s">
        <v>2413</v>
      </c>
      <c r="J356" s="9">
        <v>26.9</v>
      </c>
      <c r="K356" s="10" t="s">
        <v>11</v>
      </c>
      <c r="L356" s="6"/>
      <c r="M356" s="11" t="s">
        <v>12</v>
      </c>
      <c r="N356" s="6" t="s">
        <v>2414</v>
      </c>
      <c r="O356" s="6" t="s">
        <v>2415</v>
      </c>
      <c r="P356" s="10" t="s">
        <v>15</v>
      </c>
      <c r="Q356" s="6"/>
      <c r="R356" s="6"/>
      <c r="S356" s="6"/>
      <c r="T356" s="6" t="s">
        <v>16</v>
      </c>
      <c r="U356" s="9" t="s">
        <v>17</v>
      </c>
      <c r="AI356" s="6" t="s">
        <v>18</v>
      </c>
      <c r="AJ356" s="12" t="s">
        <v>2403</v>
      </c>
      <c r="AL356" s="13" t="s">
        <v>20</v>
      </c>
    </row>
    <row r="357">
      <c r="A357" s="5" t="s">
        <v>2416</v>
      </c>
      <c r="B357" s="5" t="s">
        <v>2417</v>
      </c>
      <c r="C357" s="5" t="s">
        <v>2398</v>
      </c>
      <c r="D357" s="5" t="s">
        <v>8</v>
      </c>
      <c r="E357" s="6"/>
      <c r="F357" s="6"/>
      <c r="G357" s="7" t="s">
        <v>2418</v>
      </c>
      <c r="I357" s="8" t="s">
        <v>2419</v>
      </c>
      <c r="J357" s="9">
        <v>25.9</v>
      </c>
      <c r="K357" s="10" t="s">
        <v>11</v>
      </c>
      <c r="L357" s="6"/>
      <c r="M357" s="11" t="s">
        <v>12</v>
      </c>
      <c r="N357" s="6" t="s">
        <v>2420</v>
      </c>
      <c r="O357" s="6" t="s">
        <v>2421</v>
      </c>
      <c r="P357" s="10" t="s">
        <v>15</v>
      </c>
      <c r="Q357" s="6"/>
      <c r="R357" s="6"/>
      <c r="S357" s="6"/>
      <c r="T357" s="6" t="s">
        <v>16</v>
      </c>
      <c r="U357" s="9" t="s">
        <v>17</v>
      </c>
      <c r="AI357" s="6" t="s">
        <v>18</v>
      </c>
      <c r="AJ357" s="12" t="s">
        <v>2403</v>
      </c>
      <c r="AL357" s="13" t="s">
        <v>20</v>
      </c>
    </row>
    <row r="358">
      <c r="A358" s="5" t="s">
        <v>2422</v>
      </c>
      <c r="B358" s="5" t="s">
        <v>2423</v>
      </c>
      <c r="C358" s="5" t="s">
        <v>116</v>
      </c>
      <c r="D358" s="5" t="s">
        <v>8</v>
      </c>
      <c r="E358" s="6"/>
      <c r="F358" s="6"/>
      <c r="G358" s="7" t="s">
        <v>2424</v>
      </c>
      <c r="I358" s="8" t="s">
        <v>2425</v>
      </c>
      <c r="J358" s="9">
        <v>9.4</v>
      </c>
      <c r="K358" s="10" t="s">
        <v>11</v>
      </c>
      <c r="L358" s="6"/>
      <c r="M358" s="11" t="s">
        <v>12</v>
      </c>
      <c r="N358" s="6" t="s">
        <v>2426</v>
      </c>
      <c r="O358" s="6" t="s">
        <v>2427</v>
      </c>
      <c r="P358" s="10" t="s">
        <v>15</v>
      </c>
      <c r="Q358" s="6"/>
      <c r="R358" s="6"/>
      <c r="S358" s="6"/>
      <c r="T358" s="6" t="s">
        <v>16</v>
      </c>
      <c r="U358" s="9" t="s">
        <v>17</v>
      </c>
      <c r="AI358" s="6" t="s">
        <v>18</v>
      </c>
      <c r="AJ358" s="12" t="s">
        <v>2428</v>
      </c>
      <c r="AL358" s="13" t="s">
        <v>20</v>
      </c>
    </row>
    <row r="359">
      <c r="A359" s="5" t="s">
        <v>2429</v>
      </c>
      <c r="B359" s="5" t="s">
        <v>2430</v>
      </c>
      <c r="C359" s="5" t="s">
        <v>116</v>
      </c>
      <c r="D359" s="5" t="s">
        <v>8</v>
      </c>
      <c r="E359" s="6"/>
      <c r="F359" s="6"/>
      <c r="G359" s="7" t="s">
        <v>2431</v>
      </c>
      <c r="I359" s="8" t="s">
        <v>2432</v>
      </c>
      <c r="J359" s="9">
        <v>37.9</v>
      </c>
      <c r="K359" s="10" t="s">
        <v>11</v>
      </c>
      <c r="L359" s="6"/>
      <c r="M359" s="11" t="s">
        <v>12</v>
      </c>
      <c r="N359" s="6" t="s">
        <v>2433</v>
      </c>
      <c r="O359" s="6" t="s">
        <v>2434</v>
      </c>
      <c r="P359" s="10" t="s">
        <v>15</v>
      </c>
      <c r="Q359" s="6"/>
      <c r="R359" s="6"/>
      <c r="S359" s="6"/>
      <c r="T359" s="6" t="s">
        <v>16</v>
      </c>
      <c r="U359" s="9" t="s">
        <v>17</v>
      </c>
      <c r="AI359" s="6" t="s">
        <v>18</v>
      </c>
      <c r="AJ359" s="12" t="s">
        <v>2428</v>
      </c>
      <c r="AL359" s="13" t="s">
        <v>20</v>
      </c>
    </row>
    <row r="360">
      <c r="A360" s="5" t="s">
        <v>2435</v>
      </c>
      <c r="B360" s="5" t="s">
        <v>2436</v>
      </c>
      <c r="C360" s="5" t="s">
        <v>116</v>
      </c>
      <c r="D360" s="5" t="s">
        <v>8</v>
      </c>
      <c r="E360" s="6"/>
      <c r="F360" s="6"/>
      <c r="G360" s="7" t="s">
        <v>2437</v>
      </c>
      <c r="I360" s="8" t="s">
        <v>2438</v>
      </c>
      <c r="J360" s="9">
        <v>26.9</v>
      </c>
      <c r="K360" s="10" t="s">
        <v>11</v>
      </c>
      <c r="L360" s="6"/>
      <c r="M360" s="11" t="s">
        <v>12</v>
      </c>
      <c r="N360" s="6" t="s">
        <v>2439</v>
      </c>
      <c r="O360" s="6" t="s">
        <v>2440</v>
      </c>
      <c r="P360" s="10" t="s">
        <v>15</v>
      </c>
      <c r="Q360" s="6"/>
      <c r="R360" s="6"/>
      <c r="S360" s="6"/>
      <c r="T360" s="6" t="s">
        <v>16</v>
      </c>
      <c r="U360" s="9" t="s">
        <v>17</v>
      </c>
      <c r="AI360" s="6" t="s">
        <v>18</v>
      </c>
      <c r="AJ360" s="12" t="s">
        <v>2428</v>
      </c>
      <c r="AL360" s="13" t="s">
        <v>20</v>
      </c>
    </row>
    <row r="361">
      <c r="A361" s="5" t="s">
        <v>2441</v>
      </c>
      <c r="B361" s="5" t="s">
        <v>2442</v>
      </c>
      <c r="C361" s="5" t="s">
        <v>116</v>
      </c>
      <c r="D361" s="5" t="s">
        <v>8</v>
      </c>
      <c r="E361" s="6"/>
      <c r="F361" s="6"/>
      <c r="G361" s="7" t="s">
        <v>2443</v>
      </c>
      <c r="I361" s="8" t="s">
        <v>2444</v>
      </c>
      <c r="J361" s="9">
        <v>27.9</v>
      </c>
      <c r="K361" s="10" t="s">
        <v>11</v>
      </c>
      <c r="L361" s="6"/>
      <c r="M361" s="11" t="s">
        <v>12</v>
      </c>
      <c r="N361" s="6" t="s">
        <v>2445</v>
      </c>
      <c r="O361" s="6" t="s">
        <v>2446</v>
      </c>
      <c r="P361" s="10" t="s">
        <v>15</v>
      </c>
      <c r="Q361" s="6"/>
      <c r="R361" s="6"/>
      <c r="S361" s="6"/>
      <c r="T361" s="6" t="s">
        <v>16</v>
      </c>
      <c r="U361" s="9" t="s">
        <v>17</v>
      </c>
      <c r="AI361" s="6" t="s">
        <v>18</v>
      </c>
      <c r="AJ361" s="12" t="s">
        <v>2428</v>
      </c>
      <c r="AL361" s="13" t="s">
        <v>20</v>
      </c>
    </row>
    <row r="362">
      <c r="A362" s="5" t="s">
        <v>2447</v>
      </c>
      <c r="B362" s="5" t="s">
        <v>2448</v>
      </c>
      <c r="C362" s="5" t="s">
        <v>2449</v>
      </c>
      <c r="D362" s="5" t="s">
        <v>8</v>
      </c>
      <c r="E362" s="6"/>
      <c r="F362" s="6"/>
      <c r="G362" s="7" t="s">
        <v>2450</v>
      </c>
      <c r="I362" s="8" t="s">
        <v>2451</v>
      </c>
      <c r="J362" s="9">
        <v>9.8</v>
      </c>
      <c r="K362" s="10" t="s">
        <v>11</v>
      </c>
      <c r="L362" s="6"/>
      <c r="M362" s="11" t="s">
        <v>12</v>
      </c>
      <c r="N362" s="6" t="s">
        <v>2452</v>
      </c>
      <c r="O362" s="6" t="s">
        <v>2453</v>
      </c>
      <c r="P362" s="10" t="s">
        <v>15</v>
      </c>
      <c r="Q362" s="6"/>
      <c r="R362" s="6"/>
      <c r="S362" s="6"/>
      <c r="T362" s="6" t="s">
        <v>16</v>
      </c>
      <c r="U362" s="9" t="s">
        <v>17</v>
      </c>
      <c r="AI362" s="6" t="s">
        <v>18</v>
      </c>
      <c r="AJ362" s="12" t="s">
        <v>2454</v>
      </c>
      <c r="AL362" s="13" t="s">
        <v>20</v>
      </c>
    </row>
    <row r="363">
      <c r="A363" s="5" t="s">
        <v>2455</v>
      </c>
      <c r="B363" s="5" t="s">
        <v>2456</v>
      </c>
      <c r="C363" s="5" t="s">
        <v>2449</v>
      </c>
      <c r="D363" s="5" t="s">
        <v>8</v>
      </c>
      <c r="E363" s="6"/>
      <c r="F363" s="6"/>
      <c r="G363" s="7" t="s">
        <v>2457</v>
      </c>
      <c r="I363" s="8" t="s">
        <v>2458</v>
      </c>
      <c r="J363" s="9">
        <v>37.9</v>
      </c>
      <c r="K363" s="10" t="s">
        <v>11</v>
      </c>
      <c r="L363" s="6"/>
      <c r="M363" s="11" t="s">
        <v>12</v>
      </c>
      <c r="N363" s="6" t="s">
        <v>2459</v>
      </c>
      <c r="O363" s="6" t="s">
        <v>2460</v>
      </c>
      <c r="P363" s="10" t="s">
        <v>15</v>
      </c>
      <c r="Q363" s="6"/>
      <c r="R363" s="6"/>
      <c r="S363" s="6"/>
      <c r="T363" s="6" t="s">
        <v>16</v>
      </c>
      <c r="U363" s="9" t="s">
        <v>17</v>
      </c>
      <c r="AI363" s="6" t="s">
        <v>18</v>
      </c>
      <c r="AJ363" s="12" t="s">
        <v>2454</v>
      </c>
      <c r="AL363" s="13" t="s">
        <v>20</v>
      </c>
    </row>
    <row r="364">
      <c r="A364" s="5" t="s">
        <v>2461</v>
      </c>
      <c r="B364" s="5" t="s">
        <v>2462</v>
      </c>
      <c r="C364" s="5" t="s">
        <v>2449</v>
      </c>
      <c r="D364" s="5" t="s">
        <v>8</v>
      </c>
      <c r="E364" s="6"/>
      <c r="F364" s="6"/>
      <c r="G364" s="7" t="s">
        <v>2463</v>
      </c>
      <c r="I364" s="8" t="s">
        <v>2464</v>
      </c>
      <c r="J364" s="9">
        <v>26.9</v>
      </c>
      <c r="K364" s="10" t="s">
        <v>11</v>
      </c>
      <c r="L364" s="6"/>
      <c r="M364" s="11" t="s">
        <v>12</v>
      </c>
      <c r="N364" s="6" t="s">
        <v>2465</v>
      </c>
      <c r="O364" s="6" t="s">
        <v>2466</v>
      </c>
      <c r="P364" s="10" t="s">
        <v>15</v>
      </c>
      <c r="Q364" s="6"/>
      <c r="R364" s="6"/>
      <c r="S364" s="6"/>
      <c r="T364" s="6" t="s">
        <v>16</v>
      </c>
      <c r="U364" s="9" t="s">
        <v>17</v>
      </c>
      <c r="AI364" s="6" t="s">
        <v>18</v>
      </c>
      <c r="AJ364" s="12" t="s">
        <v>2454</v>
      </c>
      <c r="AL364" s="13" t="s">
        <v>20</v>
      </c>
    </row>
    <row r="365">
      <c r="A365" s="5" t="s">
        <v>2467</v>
      </c>
      <c r="B365" s="5" t="s">
        <v>2468</v>
      </c>
      <c r="C365" s="5" t="s">
        <v>2449</v>
      </c>
      <c r="D365" s="5" t="s">
        <v>8</v>
      </c>
      <c r="E365" s="6"/>
      <c r="F365" s="6"/>
      <c r="G365" s="7" t="s">
        <v>2469</v>
      </c>
      <c r="I365" s="8" t="s">
        <v>2470</v>
      </c>
      <c r="J365" s="9">
        <v>29.2</v>
      </c>
      <c r="K365" s="10" t="s">
        <v>11</v>
      </c>
      <c r="L365" s="6"/>
      <c r="M365" s="11" t="s">
        <v>12</v>
      </c>
      <c r="N365" s="6" t="s">
        <v>2471</v>
      </c>
      <c r="O365" s="6" t="s">
        <v>2472</v>
      </c>
      <c r="P365" s="10" t="s">
        <v>15</v>
      </c>
      <c r="Q365" s="6"/>
      <c r="R365" s="6"/>
      <c r="S365" s="6"/>
      <c r="T365" s="6" t="s">
        <v>16</v>
      </c>
      <c r="U365" s="9" t="s">
        <v>17</v>
      </c>
      <c r="AI365" s="6" t="s">
        <v>18</v>
      </c>
      <c r="AJ365" s="12" t="s">
        <v>2454</v>
      </c>
      <c r="AL365" s="13" t="s">
        <v>20</v>
      </c>
    </row>
    <row r="366">
      <c r="A366" s="5" t="s">
        <v>2473</v>
      </c>
      <c r="B366" s="5" t="s">
        <v>2474</v>
      </c>
      <c r="C366" s="5" t="s">
        <v>2475</v>
      </c>
      <c r="D366" s="5" t="s">
        <v>8</v>
      </c>
      <c r="E366" s="6"/>
      <c r="F366" s="6"/>
      <c r="G366" s="7" t="s">
        <v>2476</v>
      </c>
      <c r="I366" s="8" t="s">
        <v>2477</v>
      </c>
      <c r="J366" s="9">
        <v>6.9</v>
      </c>
      <c r="K366" s="10" t="s">
        <v>11</v>
      </c>
      <c r="L366" s="6"/>
      <c r="M366" s="11" t="s">
        <v>12</v>
      </c>
      <c r="N366" s="6" t="s">
        <v>2478</v>
      </c>
      <c r="O366" s="6" t="s">
        <v>2479</v>
      </c>
      <c r="P366" s="10" t="s">
        <v>15</v>
      </c>
      <c r="Q366" s="6"/>
      <c r="R366" s="6"/>
      <c r="S366" s="6"/>
      <c r="T366" s="6" t="s">
        <v>16</v>
      </c>
      <c r="U366" s="9" t="s">
        <v>17</v>
      </c>
      <c r="AI366" s="6" t="s">
        <v>18</v>
      </c>
      <c r="AJ366" s="12" t="s">
        <v>2480</v>
      </c>
      <c r="AL366" s="13" t="s">
        <v>20</v>
      </c>
    </row>
    <row r="367">
      <c r="A367" s="5" t="s">
        <v>2481</v>
      </c>
      <c r="B367" s="5" t="s">
        <v>2482</v>
      </c>
      <c r="C367" s="5" t="s">
        <v>2475</v>
      </c>
      <c r="D367" s="5" t="s">
        <v>8</v>
      </c>
      <c r="E367" s="6"/>
      <c r="F367" s="6"/>
      <c r="G367" s="7" t="s">
        <v>2483</v>
      </c>
      <c r="I367" s="8" t="s">
        <v>2484</v>
      </c>
      <c r="J367" s="9">
        <v>37.9</v>
      </c>
      <c r="K367" s="10" t="s">
        <v>11</v>
      </c>
      <c r="L367" s="6"/>
      <c r="M367" s="11" t="s">
        <v>12</v>
      </c>
      <c r="N367" s="6" t="s">
        <v>2485</v>
      </c>
      <c r="O367" s="6" t="s">
        <v>2486</v>
      </c>
      <c r="P367" s="10" t="s">
        <v>15</v>
      </c>
      <c r="Q367" s="6"/>
      <c r="R367" s="6"/>
      <c r="S367" s="6"/>
      <c r="T367" s="6" t="s">
        <v>16</v>
      </c>
      <c r="U367" s="9" t="s">
        <v>17</v>
      </c>
      <c r="AI367" s="6" t="s">
        <v>18</v>
      </c>
      <c r="AJ367" s="12" t="s">
        <v>2480</v>
      </c>
      <c r="AL367" s="13" t="s">
        <v>20</v>
      </c>
    </row>
    <row r="368">
      <c r="A368" s="5" t="s">
        <v>2487</v>
      </c>
      <c r="B368" s="5" t="s">
        <v>2488</v>
      </c>
      <c r="C368" s="5" t="s">
        <v>2475</v>
      </c>
      <c r="D368" s="5" t="s">
        <v>8</v>
      </c>
      <c r="E368" s="6"/>
      <c r="F368" s="6"/>
      <c r="G368" s="7" t="s">
        <v>2489</v>
      </c>
      <c r="I368" s="8" t="s">
        <v>2490</v>
      </c>
      <c r="J368" s="9">
        <v>26.9</v>
      </c>
      <c r="K368" s="10" t="s">
        <v>11</v>
      </c>
      <c r="L368" s="6"/>
      <c r="M368" s="11" t="s">
        <v>12</v>
      </c>
      <c r="N368" s="6" t="s">
        <v>2491</v>
      </c>
      <c r="O368" s="6" t="s">
        <v>2492</v>
      </c>
      <c r="P368" s="10" t="s">
        <v>15</v>
      </c>
      <c r="Q368" s="6"/>
      <c r="R368" s="6"/>
      <c r="S368" s="6"/>
      <c r="T368" s="6" t="s">
        <v>16</v>
      </c>
      <c r="U368" s="9" t="s">
        <v>17</v>
      </c>
      <c r="AI368" s="6" t="s">
        <v>18</v>
      </c>
      <c r="AJ368" s="12" t="s">
        <v>2480</v>
      </c>
      <c r="AL368" s="13" t="s">
        <v>20</v>
      </c>
    </row>
    <row r="369">
      <c r="A369" s="5" t="s">
        <v>2493</v>
      </c>
      <c r="B369" s="5" t="s">
        <v>2494</v>
      </c>
      <c r="C369" s="5" t="s">
        <v>2495</v>
      </c>
      <c r="D369" s="5" t="s">
        <v>8</v>
      </c>
      <c r="E369" s="6"/>
      <c r="F369" s="6"/>
      <c r="G369" s="7" t="s">
        <v>2496</v>
      </c>
      <c r="I369" s="8" t="s">
        <v>2497</v>
      </c>
      <c r="J369" s="9">
        <v>9.9</v>
      </c>
      <c r="K369" s="10" t="s">
        <v>11</v>
      </c>
      <c r="L369" s="6"/>
      <c r="M369" s="11" t="s">
        <v>12</v>
      </c>
      <c r="N369" s="6" t="s">
        <v>2498</v>
      </c>
      <c r="O369" s="6" t="s">
        <v>2499</v>
      </c>
      <c r="P369" s="10" t="s">
        <v>15</v>
      </c>
      <c r="Q369" s="6"/>
      <c r="R369" s="6"/>
      <c r="S369" s="6"/>
      <c r="T369" s="6" t="s">
        <v>16</v>
      </c>
      <c r="U369" s="9" t="s">
        <v>17</v>
      </c>
      <c r="AI369" s="6" t="s">
        <v>18</v>
      </c>
      <c r="AJ369" s="12" t="s">
        <v>2500</v>
      </c>
      <c r="AL369" s="13" t="s">
        <v>20</v>
      </c>
    </row>
    <row r="370">
      <c r="A370" s="5" t="s">
        <v>2501</v>
      </c>
      <c r="B370" s="5" t="s">
        <v>2502</v>
      </c>
      <c r="C370" s="5" t="s">
        <v>2495</v>
      </c>
      <c r="D370" s="5" t="s">
        <v>8</v>
      </c>
      <c r="E370" s="6"/>
      <c r="F370" s="6"/>
      <c r="G370" s="7" t="s">
        <v>2503</v>
      </c>
      <c r="I370" s="8" t="s">
        <v>2504</v>
      </c>
      <c r="J370" s="9">
        <v>29.5</v>
      </c>
      <c r="K370" s="10" t="s">
        <v>11</v>
      </c>
      <c r="L370" s="6"/>
      <c r="M370" s="11" t="s">
        <v>12</v>
      </c>
      <c r="N370" s="6" t="s">
        <v>2505</v>
      </c>
      <c r="O370" s="6" t="s">
        <v>2506</v>
      </c>
      <c r="P370" s="10" t="s">
        <v>15</v>
      </c>
      <c r="Q370" s="6"/>
      <c r="R370" s="6"/>
      <c r="S370" s="6"/>
      <c r="T370" s="6" t="s">
        <v>16</v>
      </c>
      <c r="U370" s="9" t="s">
        <v>17</v>
      </c>
      <c r="AI370" s="6" t="s">
        <v>18</v>
      </c>
      <c r="AJ370" s="12" t="s">
        <v>2500</v>
      </c>
      <c r="AL370" s="13" t="s">
        <v>20</v>
      </c>
    </row>
    <row r="371">
      <c r="A371" s="5" t="s">
        <v>2507</v>
      </c>
      <c r="B371" s="5" t="s">
        <v>2508</v>
      </c>
      <c r="C371" s="5" t="s">
        <v>2509</v>
      </c>
      <c r="D371" s="5" t="s">
        <v>8</v>
      </c>
      <c r="E371" s="6"/>
      <c r="F371" s="6"/>
      <c r="G371" s="7" t="s">
        <v>2510</v>
      </c>
      <c r="I371" s="8" t="s">
        <v>2511</v>
      </c>
      <c r="J371" s="9">
        <v>9.9</v>
      </c>
      <c r="K371" s="10" t="s">
        <v>11</v>
      </c>
      <c r="L371" s="6"/>
      <c r="M371" s="11" t="s">
        <v>12</v>
      </c>
      <c r="N371" s="6" t="s">
        <v>2512</v>
      </c>
      <c r="O371" s="6" t="s">
        <v>2513</v>
      </c>
      <c r="P371" s="10" t="s">
        <v>15</v>
      </c>
      <c r="Q371" s="6"/>
      <c r="R371" s="6"/>
      <c r="S371" s="6"/>
      <c r="T371" s="6" t="s">
        <v>16</v>
      </c>
      <c r="U371" s="9" t="s">
        <v>17</v>
      </c>
      <c r="AI371" s="6" t="s">
        <v>18</v>
      </c>
      <c r="AJ371" s="12" t="s">
        <v>2514</v>
      </c>
      <c r="AL371" s="13" t="s">
        <v>20</v>
      </c>
    </row>
    <row r="372">
      <c r="A372" s="5" t="s">
        <v>2515</v>
      </c>
      <c r="B372" s="5" t="s">
        <v>2516</v>
      </c>
      <c r="C372" s="5" t="s">
        <v>2509</v>
      </c>
      <c r="D372" s="5" t="s">
        <v>8</v>
      </c>
      <c r="E372" s="6"/>
      <c r="F372" s="6"/>
      <c r="G372" s="7" t="s">
        <v>2517</v>
      </c>
      <c r="I372" s="8" t="s">
        <v>2518</v>
      </c>
      <c r="J372" s="9">
        <v>29.5</v>
      </c>
      <c r="K372" s="10" t="s">
        <v>11</v>
      </c>
      <c r="L372" s="6"/>
      <c r="M372" s="11" t="s">
        <v>12</v>
      </c>
      <c r="N372" s="6" t="s">
        <v>2519</v>
      </c>
      <c r="O372" s="6" t="s">
        <v>2520</v>
      </c>
      <c r="P372" s="10" t="s">
        <v>15</v>
      </c>
      <c r="Q372" s="6"/>
      <c r="R372" s="6"/>
      <c r="S372" s="6"/>
      <c r="T372" s="6" t="s">
        <v>16</v>
      </c>
      <c r="U372" s="9" t="s">
        <v>17</v>
      </c>
      <c r="AI372" s="6" t="s">
        <v>18</v>
      </c>
      <c r="AJ372" s="12" t="s">
        <v>2514</v>
      </c>
      <c r="AL372" s="13" t="s">
        <v>20</v>
      </c>
    </row>
    <row r="373">
      <c r="A373" s="5" t="s">
        <v>2521</v>
      </c>
      <c r="B373" s="5" t="s">
        <v>2522</v>
      </c>
      <c r="C373" s="5" t="s">
        <v>2523</v>
      </c>
      <c r="D373" s="5" t="s">
        <v>8</v>
      </c>
      <c r="E373" s="6"/>
      <c r="F373" s="6"/>
      <c r="G373" s="7" t="s">
        <v>2524</v>
      </c>
      <c r="I373" s="8" t="s">
        <v>2525</v>
      </c>
      <c r="J373" s="9">
        <v>9.9</v>
      </c>
      <c r="K373" s="10" t="s">
        <v>11</v>
      </c>
      <c r="L373" s="6"/>
      <c r="M373" s="11" t="s">
        <v>12</v>
      </c>
      <c r="N373" s="6" t="s">
        <v>2526</v>
      </c>
      <c r="O373" s="6" t="s">
        <v>2527</v>
      </c>
      <c r="P373" s="10" t="s">
        <v>15</v>
      </c>
      <c r="Q373" s="6"/>
      <c r="R373" s="6"/>
      <c r="S373" s="6"/>
      <c r="T373" s="6" t="s">
        <v>16</v>
      </c>
      <c r="U373" s="9" t="s">
        <v>17</v>
      </c>
      <c r="AI373" s="6" t="s">
        <v>18</v>
      </c>
      <c r="AJ373" s="12" t="s">
        <v>2528</v>
      </c>
      <c r="AL373" s="13" t="s">
        <v>20</v>
      </c>
    </row>
    <row r="374">
      <c r="A374" s="5" t="s">
        <v>2529</v>
      </c>
      <c r="B374" s="5" t="s">
        <v>2530</v>
      </c>
      <c r="C374" s="5" t="s">
        <v>2523</v>
      </c>
      <c r="D374" s="5" t="s">
        <v>8</v>
      </c>
      <c r="E374" s="6"/>
      <c r="F374" s="6"/>
      <c r="G374" s="7" t="s">
        <v>2531</v>
      </c>
      <c r="I374" s="8" t="s">
        <v>2532</v>
      </c>
      <c r="J374" s="9">
        <v>37.9</v>
      </c>
      <c r="K374" s="10" t="s">
        <v>11</v>
      </c>
      <c r="L374" s="6"/>
      <c r="M374" s="11" t="s">
        <v>12</v>
      </c>
      <c r="N374" s="6" t="s">
        <v>2533</v>
      </c>
      <c r="O374" s="6" t="s">
        <v>2534</v>
      </c>
      <c r="P374" s="10" t="s">
        <v>15</v>
      </c>
      <c r="Q374" s="6"/>
      <c r="R374" s="6"/>
      <c r="S374" s="6"/>
      <c r="T374" s="6" t="s">
        <v>16</v>
      </c>
      <c r="U374" s="9" t="s">
        <v>17</v>
      </c>
      <c r="AI374" s="6" t="s">
        <v>18</v>
      </c>
      <c r="AJ374" s="12" t="s">
        <v>2528</v>
      </c>
      <c r="AL374" s="13" t="s">
        <v>20</v>
      </c>
    </row>
    <row r="375">
      <c r="A375" s="5" t="s">
        <v>2535</v>
      </c>
      <c r="B375" s="5" t="s">
        <v>2536</v>
      </c>
      <c r="C375" s="5" t="s">
        <v>2523</v>
      </c>
      <c r="D375" s="5" t="s">
        <v>8</v>
      </c>
      <c r="E375" s="6"/>
      <c r="F375" s="6"/>
      <c r="G375" s="7" t="s">
        <v>2537</v>
      </c>
      <c r="I375" s="8" t="s">
        <v>2538</v>
      </c>
      <c r="J375" s="9">
        <v>26.9</v>
      </c>
      <c r="K375" s="10" t="s">
        <v>11</v>
      </c>
      <c r="L375" s="6"/>
      <c r="M375" s="11" t="s">
        <v>12</v>
      </c>
      <c r="N375" s="6" t="s">
        <v>2539</v>
      </c>
      <c r="O375" s="6" t="s">
        <v>2540</v>
      </c>
      <c r="P375" s="10" t="s">
        <v>15</v>
      </c>
      <c r="Q375" s="6"/>
      <c r="R375" s="6"/>
      <c r="S375" s="6"/>
      <c r="T375" s="6" t="s">
        <v>16</v>
      </c>
      <c r="U375" s="9" t="s">
        <v>17</v>
      </c>
      <c r="AI375" s="6" t="s">
        <v>18</v>
      </c>
      <c r="AJ375" s="12" t="s">
        <v>2528</v>
      </c>
      <c r="AL375" s="13" t="s">
        <v>20</v>
      </c>
    </row>
    <row r="376">
      <c r="A376" s="5" t="s">
        <v>2541</v>
      </c>
      <c r="B376" s="5" t="s">
        <v>2542</v>
      </c>
      <c r="C376" s="5" t="s">
        <v>2523</v>
      </c>
      <c r="D376" s="5" t="s">
        <v>8</v>
      </c>
      <c r="E376" s="6"/>
      <c r="F376" s="6"/>
      <c r="G376" s="7" t="s">
        <v>2543</v>
      </c>
      <c r="I376" s="8" t="s">
        <v>2544</v>
      </c>
      <c r="J376" s="9">
        <v>29.5</v>
      </c>
      <c r="K376" s="10" t="s">
        <v>11</v>
      </c>
      <c r="L376" s="6"/>
      <c r="M376" s="11" t="s">
        <v>12</v>
      </c>
      <c r="N376" s="6" t="s">
        <v>2545</v>
      </c>
      <c r="O376" s="6" t="s">
        <v>2546</v>
      </c>
      <c r="P376" s="10" t="s">
        <v>15</v>
      </c>
      <c r="Q376" s="6"/>
      <c r="R376" s="6"/>
      <c r="S376" s="6"/>
      <c r="T376" s="6" t="s">
        <v>16</v>
      </c>
      <c r="U376" s="9" t="s">
        <v>17</v>
      </c>
      <c r="AI376" s="6" t="s">
        <v>18</v>
      </c>
      <c r="AJ376" s="12" t="s">
        <v>2528</v>
      </c>
      <c r="AL376" s="13" t="s">
        <v>20</v>
      </c>
    </row>
    <row r="377">
      <c r="A377" s="5" t="s">
        <v>2547</v>
      </c>
      <c r="B377" s="5" t="s">
        <v>2548</v>
      </c>
      <c r="C377" s="5" t="s">
        <v>2549</v>
      </c>
      <c r="D377" s="5" t="s">
        <v>8</v>
      </c>
      <c r="E377" s="6"/>
      <c r="F377" s="6"/>
      <c r="G377" s="7" t="s">
        <v>2550</v>
      </c>
      <c r="I377" s="8" t="s">
        <v>2551</v>
      </c>
      <c r="J377" s="9">
        <v>9.3</v>
      </c>
      <c r="K377" s="10" t="s">
        <v>11</v>
      </c>
      <c r="L377" s="6"/>
      <c r="M377" s="11" t="s">
        <v>12</v>
      </c>
      <c r="N377" s="6" t="s">
        <v>2552</v>
      </c>
      <c r="O377" s="6" t="s">
        <v>2553</v>
      </c>
      <c r="P377" s="10" t="s">
        <v>15</v>
      </c>
      <c r="Q377" s="6"/>
      <c r="R377" s="6"/>
      <c r="S377" s="6"/>
      <c r="T377" s="6" t="s">
        <v>16</v>
      </c>
      <c r="U377" s="9" t="s">
        <v>17</v>
      </c>
      <c r="AI377" s="6" t="s">
        <v>18</v>
      </c>
      <c r="AJ377" s="12" t="s">
        <v>2554</v>
      </c>
      <c r="AL377" s="13" t="s">
        <v>20</v>
      </c>
    </row>
    <row r="378">
      <c r="A378" s="5" t="s">
        <v>2555</v>
      </c>
      <c r="B378" s="5" t="s">
        <v>2556</v>
      </c>
      <c r="C378" s="5" t="s">
        <v>2549</v>
      </c>
      <c r="D378" s="5" t="s">
        <v>8</v>
      </c>
      <c r="E378" s="6"/>
      <c r="F378" s="6"/>
      <c r="G378" s="7" t="s">
        <v>2557</v>
      </c>
      <c r="I378" s="8" t="s">
        <v>2558</v>
      </c>
      <c r="J378" s="9">
        <v>27.7</v>
      </c>
      <c r="K378" s="10" t="s">
        <v>11</v>
      </c>
      <c r="L378" s="6"/>
      <c r="M378" s="11" t="s">
        <v>12</v>
      </c>
      <c r="N378" s="6" t="s">
        <v>2559</v>
      </c>
      <c r="O378" s="6" t="s">
        <v>2560</v>
      </c>
      <c r="P378" s="10" t="s">
        <v>15</v>
      </c>
      <c r="Q378" s="6"/>
      <c r="R378" s="6"/>
      <c r="S378" s="6"/>
      <c r="T378" s="6" t="s">
        <v>16</v>
      </c>
      <c r="U378" s="9" t="s">
        <v>17</v>
      </c>
      <c r="AI378" s="6" t="s">
        <v>18</v>
      </c>
      <c r="AJ378" s="12" t="s">
        <v>2554</v>
      </c>
      <c r="AL378" s="13" t="s">
        <v>20</v>
      </c>
    </row>
    <row r="379">
      <c r="A379" s="5" t="s">
        <v>2561</v>
      </c>
      <c r="B379" s="5" t="s">
        <v>2562</v>
      </c>
      <c r="C379" s="5" t="s">
        <v>2563</v>
      </c>
      <c r="D379" s="5" t="s">
        <v>8</v>
      </c>
      <c r="E379" s="6"/>
      <c r="F379" s="6"/>
      <c r="G379" s="7" t="s">
        <v>2564</v>
      </c>
      <c r="I379" s="8" t="s">
        <v>2565</v>
      </c>
      <c r="J379" s="9">
        <v>9.6</v>
      </c>
      <c r="K379" s="10" t="s">
        <v>11</v>
      </c>
      <c r="L379" s="6"/>
      <c r="M379" s="11" t="s">
        <v>12</v>
      </c>
      <c r="N379" s="6" t="s">
        <v>2566</v>
      </c>
      <c r="O379" s="6" t="s">
        <v>2567</v>
      </c>
      <c r="P379" s="10" t="s">
        <v>15</v>
      </c>
      <c r="Q379" s="6"/>
      <c r="R379" s="6"/>
      <c r="S379" s="6"/>
      <c r="T379" s="6" t="s">
        <v>16</v>
      </c>
      <c r="U379" s="9" t="s">
        <v>17</v>
      </c>
      <c r="AI379" s="6" t="s">
        <v>18</v>
      </c>
      <c r="AJ379" s="12" t="s">
        <v>2568</v>
      </c>
      <c r="AL379" s="13" t="s">
        <v>20</v>
      </c>
    </row>
    <row r="380">
      <c r="A380" s="5" t="s">
        <v>2569</v>
      </c>
      <c r="B380" s="5" t="s">
        <v>2570</v>
      </c>
      <c r="C380" s="5" t="s">
        <v>2563</v>
      </c>
      <c r="D380" s="5" t="s">
        <v>8</v>
      </c>
      <c r="E380" s="6"/>
      <c r="F380" s="6"/>
      <c r="G380" s="7" t="s">
        <v>2571</v>
      </c>
      <c r="I380" s="8" t="s">
        <v>2572</v>
      </c>
      <c r="J380" s="9">
        <v>37.9</v>
      </c>
      <c r="K380" s="10" t="s">
        <v>11</v>
      </c>
      <c r="L380" s="6"/>
      <c r="M380" s="11" t="s">
        <v>12</v>
      </c>
      <c r="N380" s="6" t="s">
        <v>2573</v>
      </c>
      <c r="O380" s="6" t="s">
        <v>2574</v>
      </c>
      <c r="P380" s="10" t="s">
        <v>15</v>
      </c>
      <c r="Q380" s="6"/>
      <c r="R380" s="6"/>
      <c r="S380" s="6"/>
      <c r="T380" s="6" t="s">
        <v>16</v>
      </c>
      <c r="U380" s="9" t="s">
        <v>17</v>
      </c>
      <c r="AI380" s="6" t="s">
        <v>18</v>
      </c>
      <c r="AJ380" s="12" t="s">
        <v>2568</v>
      </c>
      <c r="AL380" s="13" t="s">
        <v>20</v>
      </c>
    </row>
    <row r="381">
      <c r="A381" s="5" t="s">
        <v>2575</v>
      </c>
      <c r="B381" s="5" t="s">
        <v>2576</v>
      </c>
      <c r="C381" s="5" t="s">
        <v>2563</v>
      </c>
      <c r="D381" s="5" t="s">
        <v>8</v>
      </c>
      <c r="E381" s="6"/>
      <c r="F381" s="6"/>
      <c r="G381" s="7" t="s">
        <v>2577</v>
      </c>
      <c r="I381" s="8" t="s">
        <v>2578</v>
      </c>
      <c r="J381" s="9">
        <v>26.9</v>
      </c>
      <c r="K381" s="10" t="s">
        <v>11</v>
      </c>
      <c r="L381" s="6"/>
      <c r="M381" s="11" t="s">
        <v>12</v>
      </c>
      <c r="N381" s="6" t="s">
        <v>2579</v>
      </c>
      <c r="O381" s="6" t="s">
        <v>2580</v>
      </c>
      <c r="P381" s="10" t="s">
        <v>15</v>
      </c>
      <c r="Q381" s="6"/>
      <c r="R381" s="6"/>
      <c r="S381" s="6"/>
      <c r="T381" s="6" t="s">
        <v>16</v>
      </c>
      <c r="U381" s="9" t="s">
        <v>17</v>
      </c>
      <c r="AI381" s="6" t="s">
        <v>18</v>
      </c>
      <c r="AJ381" s="12" t="s">
        <v>2568</v>
      </c>
      <c r="AL381" s="13" t="s">
        <v>20</v>
      </c>
    </row>
    <row r="382">
      <c r="A382" s="5" t="s">
        <v>2581</v>
      </c>
      <c r="B382" s="5" t="s">
        <v>2582</v>
      </c>
      <c r="C382" s="5" t="s">
        <v>2563</v>
      </c>
      <c r="D382" s="5" t="s">
        <v>8</v>
      </c>
      <c r="E382" s="6"/>
      <c r="F382" s="6"/>
      <c r="G382" s="7" t="s">
        <v>2583</v>
      </c>
      <c r="I382" s="8" t="s">
        <v>2584</v>
      </c>
      <c r="J382" s="9">
        <v>28.6</v>
      </c>
      <c r="K382" s="10" t="s">
        <v>11</v>
      </c>
      <c r="L382" s="6"/>
      <c r="M382" s="11" t="s">
        <v>12</v>
      </c>
      <c r="N382" s="6" t="s">
        <v>2585</v>
      </c>
      <c r="O382" s="6" t="s">
        <v>2586</v>
      </c>
      <c r="P382" s="10" t="s">
        <v>15</v>
      </c>
      <c r="Q382" s="6"/>
      <c r="R382" s="6"/>
      <c r="S382" s="6"/>
      <c r="T382" s="6" t="s">
        <v>16</v>
      </c>
      <c r="U382" s="9" t="s">
        <v>17</v>
      </c>
      <c r="AI382" s="6" t="s">
        <v>18</v>
      </c>
      <c r="AJ382" s="12" t="s">
        <v>2568</v>
      </c>
      <c r="AL382" s="13" t="s">
        <v>20</v>
      </c>
    </row>
    <row r="383">
      <c r="A383" s="5" t="s">
        <v>2587</v>
      </c>
      <c r="B383" s="5" t="s">
        <v>2588</v>
      </c>
      <c r="C383" s="5" t="s">
        <v>2589</v>
      </c>
      <c r="D383" s="5" t="s">
        <v>8</v>
      </c>
      <c r="E383" s="6"/>
      <c r="F383" s="6"/>
      <c r="G383" s="7" t="s">
        <v>2590</v>
      </c>
      <c r="I383" s="8" t="s">
        <v>2591</v>
      </c>
      <c r="J383" s="9">
        <v>8.9</v>
      </c>
      <c r="K383" s="10" t="s">
        <v>11</v>
      </c>
      <c r="L383" s="6"/>
      <c r="M383" s="11" t="s">
        <v>12</v>
      </c>
      <c r="N383" s="6" t="s">
        <v>2592</v>
      </c>
      <c r="O383" s="6" t="s">
        <v>2593</v>
      </c>
      <c r="P383" s="10" t="s">
        <v>15</v>
      </c>
      <c r="Q383" s="6"/>
      <c r="R383" s="6"/>
      <c r="S383" s="6"/>
      <c r="T383" s="6" t="s">
        <v>16</v>
      </c>
      <c r="U383" s="9" t="s">
        <v>17</v>
      </c>
      <c r="AI383" s="6" t="s">
        <v>18</v>
      </c>
      <c r="AJ383" s="12" t="s">
        <v>2594</v>
      </c>
      <c r="AL383" s="13" t="s">
        <v>20</v>
      </c>
    </row>
    <row r="384">
      <c r="A384" s="5" t="s">
        <v>2595</v>
      </c>
      <c r="B384" s="5" t="s">
        <v>2596</v>
      </c>
      <c r="C384" s="5" t="s">
        <v>2597</v>
      </c>
      <c r="D384" s="5" t="s">
        <v>8</v>
      </c>
      <c r="E384" s="6"/>
      <c r="F384" s="6"/>
      <c r="G384" s="7" t="s">
        <v>2598</v>
      </c>
      <c r="I384" s="8" t="s">
        <v>2599</v>
      </c>
      <c r="J384" s="9">
        <v>9.8</v>
      </c>
      <c r="K384" s="10" t="s">
        <v>11</v>
      </c>
      <c r="L384" s="6"/>
      <c r="M384" s="11" t="s">
        <v>12</v>
      </c>
      <c r="N384" s="6" t="s">
        <v>2600</v>
      </c>
      <c r="O384" s="6" t="s">
        <v>2601</v>
      </c>
      <c r="P384" s="10" t="s">
        <v>15</v>
      </c>
      <c r="Q384" s="6"/>
      <c r="R384" s="6"/>
      <c r="S384" s="6"/>
      <c r="T384" s="6" t="s">
        <v>16</v>
      </c>
      <c r="U384" s="9" t="s">
        <v>17</v>
      </c>
      <c r="AI384" s="6" t="s">
        <v>18</v>
      </c>
      <c r="AJ384" s="12" t="s">
        <v>2602</v>
      </c>
      <c r="AL384" s="13" t="s">
        <v>20</v>
      </c>
    </row>
    <row r="385">
      <c r="A385" s="5" t="s">
        <v>2603</v>
      </c>
      <c r="B385" s="5" t="s">
        <v>2604</v>
      </c>
      <c r="C385" s="5" t="s">
        <v>2597</v>
      </c>
      <c r="D385" s="5" t="s">
        <v>8</v>
      </c>
      <c r="E385" s="6"/>
      <c r="F385" s="6"/>
      <c r="G385" s="7" t="s">
        <v>2605</v>
      </c>
      <c r="I385" s="8" t="s">
        <v>2606</v>
      </c>
      <c r="J385" s="9">
        <v>41.16</v>
      </c>
      <c r="K385" s="10" t="s">
        <v>11</v>
      </c>
      <c r="L385" s="6"/>
      <c r="M385" s="11" t="s">
        <v>12</v>
      </c>
      <c r="N385" s="6" t="s">
        <v>2607</v>
      </c>
      <c r="O385" s="6" t="s">
        <v>2608</v>
      </c>
      <c r="P385" s="10" t="s">
        <v>15</v>
      </c>
      <c r="Q385" s="6"/>
      <c r="R385" s="6"/>
      <c r="S385" s="6"/>
      <c r="T385" s="6" t="s">
        <v>16</v>
      </c>
      <c r="U385" s="9" t="s">
        <v>17</v>
      </c>
      <c r="AI385" s="6" t="s">
        <v>18</v>
      </c>
      <c r="AJ385" s="12" t="s">
        <v>2602</v>
      </c>
      <c r="AL385" s="13" t="s">
        <v>20</v>
      </c>
    </row>
    <row r="386">
      <c r="A386" s="5" t="s">
        <v>2609</v>
      </c>
      <c r="B386" s="5" t="s">
        <v>2610</v>
      </c>
      <c r="C386" s="5" t="s">
        <v>2611</v>
      </c>
      <c r="D386" s="5" t="s">
        <v>8</v>
      </c>
      <c r="E386" s="6"/>
      <c r="F386" s="6"/>
      <c r="G386" s="7" t="s">
        <v>2612</v>
      </c>
      <c r="I386" s="8" t="s">
        <v>2613</v>
      </c>
      <c r="J386" s="9">
        <v>9.8</v>
      </c>
      <c r="K386" s="10" t="s">
        <v>11</v>
      </c>
      <c r="L386" s="6"/>
      <c r="M386" s="11" t="s">
        <v>12</v>
      </c>
      <c r="N386" s="6" t="s">
        <v>2614</v>
      </c>
      <c r="O386" s="6" t="s">
        <v>2615</v>
      </c>
      <c r="P386" s="10" t="s">
        <v>15</v>
      </c>
      <c r="Q386" s="6"/>
      <c r="R386" s="6"/>
      <c r="S386" s="6"/>
      <c r="T386" s="6" t="s">
        <v>16</v>
      </c>
      <c r="U386" s="9" t="s">
        <v>17</v>
      </c>
      <c r="AI386" s="6" t="s">
        <v>18</v>
      </c>
      <c r="AJ386" s="12" t="s">
        <v>2616</v>
      </c>
      <c r="AL386" s="13" t="s">
        <v>20</v>
      </c>
    </row>
    <row r="387">
      <c r="A387" s="5" t="s">
        <v>2617</v>
      </c>
      <c r="B387" s="5" t="s">
        <v>2618</v>
      </c>
      <c r="C387" s="5" t="s">
        <v>2611</v>
      </c>
      <c r="D387" s="5" t="s">
        <v>8</v>
      </c>
      <c r="E387" s="6"/>
      <c r="F387" s="6"/>
      <c r="G387" s="7" t="s">
        <v>2619</v>
      </c>
      <c r="I387" s="8" t="s">
        <v>2620</v>
      </c>
      <c r="J387" s="9">
        <v>29.2</v>
      </c>
      <c r="K387" s="10" t="s">
        <v>11</v>
      </c>
      <c r="L387" s="6"/>
      <c r="M387" s="11" t="s">
        <v>12</v>
      </c>
      <c r="N387" s="6" t="s">
        <v>2621</v>
      </c>
      <c r="O387" s="6" t="s">
        <v>2622</v>
      </c>
      <c r="P387" s="10" t="s">
        <v>15</v>
      </c>
      <c r="Q387" s="6"/>
      <c r="R387" s="6"/>
      <c r="S387" s="6"/>
      <c r="T387" s="6" t="s">
        <v>16</v>
      </c>
      <c r="U387" s="9" t="s">
        <v>17</v>
      </c>
      <c r="AI387" s="6" t="s">
        <v>18</v>
      </c>
      <c r="AJ387" s="12" t="s">
        <v>2616</v>
      </c>
      <c r="AL387" s="13" t="s">
        <v>20</v>
      </c>
    </row>
    <row r="388">
      <c r="A388" s="5" t="s">
        <v>2623</v>
      </c>
      <c r="B388" s="5" t="s">
        <v>2624</v>
      </c>
      <c r="C388" s="5" t="s">
        <v>2611</v>
      </c>
      <c r="D388" s="5" t="s">
        <v>8</v>
      </c>
      <c r="E388" s="6"/>
      <c r="F388" s="6"/>
      <c r="G388" s="7" t="s">
        <v>2625</v>
      </c>
      <c r="I388" s="8" t="s">
        <v>2626</v>
      </c>
      <c r="J388" s="9">
        <v>9.8</v>
      </c>
      <c r="K388" s="10" t="s">
        <v>11</v>
      </c>
      <c r="L388" s="6"/>
      <c r="M388" s="11" t="s">
        <v>12</v>
      </c>
      <c r="N388" s="6" t="s">
        <v>2627</v>
      </c>
      <c r="O388" s="6" t="s">
        <v>2628</v>
      </c>
      <c r="P388" s="10" t="s">
        <v>15</v>
      </c>
      <c r="Q388" s="6"/>
      <c r="R388" s="6"/>
      <c r="S388" s="6"/>
      <c r="T388" s="6" t="s">
        <v>16</v>
      </c>
      <c r="U388" s="9" t="s">
        <v>17</v>
      </c>
      <c r="AI388" s="6" t="s">
        <v>18</v>
      </c>
      <c r="AJ388" s="12" t="s">
        <v>2629</v>
      </c>
      <c r="AL388" s="13" t="s">
        <v>20</v>
      </c>
    </row>
    <row r="389">
      <c r="A389" s="5" t="s">
        <v>2630</v>
      </c>
      <c r="B389" s="5" t="s">
        <v>2631</v>
      </c>
      <c r="C389" s="5" t="s">
        <v>2611</v>
      </c>
      <c r="D389" s="5" t="s">
        <v>8</v>
      </c>
      <c r="E389" s="6"/>
      <c r="F389" s="6"/>
      <c r="G389" s="7" t="s">
        <v>2632</v>
      </c>
      <c r="I389" s="8" t="s">
        <v>2633</v>
      </c>
      <c r="J389" s="9">
        <v>29.2</v>
      </c>
      <c r="K389" s="10" t="s">
        <v>11</v>
      </c>
      <c r="L389" s="6"/>
      <c r="M389" s="11" t="s">
        <v>12</v>
      </c>
      <c r="N389" s="6" t="s">
        <v>2634</v>
      </c>
      <c r="O389" s="6" t="s">
        <v>2635</v>
      </c>
      <c r="P389" s="10" t="s">
        <v>15</v>
      </c>
      <c r="Q389" s="6"/>
      <c r="R389" s="6"/>
      <c r="S389" s="6"/>
      <c r="T389" s="6" t="s">
        <v>16</v>
      </c>
      <c r="U389" s="9" t="s">
        <v>17</v>
      </c>
      <c r="AI389" s="6" t="s">
        <v>18</v>
      </c>
      <c r="AJ389" s="12" t="s">
        <v>2629</v>
      </c>
      <c r="AL389" s="13" t="s">
        <v>20</v>
      </c>
    </row>
    <row r="390">
      <c r="A390" s="5" t="s">
        <v>2636</v>
      </c>
      <c r="B390" s="5" t="s">
        <v>2637</v>
      </c>
      <c r="C390" s="5" t="s">
        <v>2611</v>
      </c>
      <c r="D390" s="5" t="s">
        <v>8</v>
      </c>
      <c r="E390" s="6"/>
      <c r="F390" s="6"/>
      <c r="G390" s="7" t="s">
        <v>2638</v>
      </c>
      <c r="I390" s="8" t="s">
        <v>2639</v>
      </c>
      <c r="J390" s="9">
        <v>19.6</v>
      </c>
      <c r="K390" s="10">
        <v>18.62</v>
      </c>
      <c r="L390" s="6"/>
      <c r="M390" s="11" t="s">
        <v>17</v>
      </c>
      <c r="N390" s="6"/>
      <c r="O390" s="6" t="s">
        <v>2640</v>
      </c>
      <c r="P390" s="10" t="s">
        <v>15</v>
      </c>
      <c r="Q390" s="6"/>
      <c r="R390" s="6"/>
      <c r="S390" s="6"/>
      <c r="T390" s="6" t="s">
        <v>16</v>
      </c>
      <c r="U390" s="9" t="s">
        <v>17</v>
      </c>
      <c r="AI390" s="6" t="s">
        <v>18</v>
      </c>
      <c r="AJ390" s="12" t="s">
        <v>2629</v>
      </c>
      <c r="AL390" s="13" t="s">
        <v>20</v>
      </c>
    </row>
    <row r="391">
      <c r="A391" s="5" t="s">
        <v>2641</v>
      </c>
      <c r="B391" s="5" t="s">
        <v>2642</v>
      </c>
      <c r="C391" s="5" t="s">
        <v>2643</v>
      </c>
      <c r="D391" s="5" t="s">
        <v>8</v>
      </c>
      <c r="E391" s="6"/>
      <c r="F391" s="6"/>
      <c r="G391" s="7" t="s">
        <v>2644</v>
      </c>
      <c r="I391" s="8" t="s">
        <v>2645</v>
      </c>
      <c r="J391" s="9">
        <v>7.3</v>
      </c>
      <c r="K391" s="10" t="s">
        <v>11</v>
      </c>
      <c r="L391" s="6"/>
      <c r="M391" s="11" t="s">
        <v>12</v>
      </c>
      <c r="N391" s="6" t="s">
        <v>2646</v>
      </c>
      <c r="O391" s="6" t="s">
        <v>2647</v>
      </c>
      <c r="P391" s="10" t="s">
        <v>15</v>
      </c>
      <c r="Q391" s="6"/>
      <c r="R391" s="6"/>
      <c r="S391" s="6"/>
      <c r="T391" s="6" t="s">
        <v>16</v>
      </c>
      <c r="U391" s="9" t="s">
        <v>17</v>
      </c>
      <c r="AI391" s="6" t="s">
        <v>18</v>
      </c>
      <c r="AJ391" s="12" t="s">
        <v>2648</v>
      </c>
      <c r="AL391" s="13" t="s">
        <v>20</v>
      </c>
    </row>
    <row r="392">
      <c r="A392" s="5" t="s">
        <v>2649</v>
      </c>
      <c r="B392" s="5" t="s">
        <v>2650</v>
      </c>
      <c r="C392" s="5" t="s">
        <v>2651</v>
      </c>
      <c r="D392" s="5" t="s">
        <v>8</v>
      </c>
      <c r="E392" s="6"/>
      <c r="F392" s="6"/>
      <c r="G392" s="7" t="s">
        <v>2652</v>
      </c>
      <c r="I392" s="8" t="s">
        <v>2653</v>
      </c>
      <c r="J392" s="9">
        <v>7.9</v>
      </c>
      <c r="K392" s="10" t="s">
        <v>11</v>
      </c>
      <c r="L392" s="6"/>
      <c r="M392" s="11" t="s">
        <v>12</v>
      </c>
      <c r="N392" s="6" t="s">
        <v>2654</v>
      </c>
      <c r="O392" s="6" t="s">
        <v>2655</v>
      </c>
      <c r="P392" s="10" t="s">
        <v>15</v>
      </c>
      <c r="Q392" s="6"/>
      <c r="R392" s="6"/>
      <c r="S392" s="6"/>
      <c r="T392" s="6" t="s">
        <v>16</v>
      </c>
      <c r="U392" s="9" t="s">
        <v>17</v>
      </c>
      <c r="AI392" s="6" t="s">
        <v>18</v>
      </c>
      <c r="AJ392" s="12" t="s">
        <v>2656</v>
      </c>
      <c r="AL392" s="13" t="s">
        <v>20</v>
      </c>
    </row>
    <row r="393">
      <c r="A393" s="5" t="s">
        <v>2657</v>
      </c>
      <c r="B393" s="5" t="s">
        <v>2658</v>
      </c>
      <c r="C393" s="5" t="s">
        <v>2651</v>
      </c>
      <c r="D393" s="5" t="s">
        <v>8</v>
      </c>
      <c r="E393" s="6"/>
      <c r="F393" s="6"/>
      <c r="G393" s="7" t="s">
        <v>2659</v>
      </c>
      <c r="I393" s="8" t="s">
        <v>2660</v>
      </c>
      <c r="J393" s="9">
        <v>37.9</v>
      </c>
      <c r="K393" s="10" t="s">
        <v>11</v>
      </c>
      <c r="L393" s="6"/>
      <c r="M393" s="11" t="s">
        <v>12</v>
      </c>
      <c r="N393" s="6" t="s">
        <v>2661</v>
      </c>
      <c r="O393" s="6" t="s">
        <v>2662</v>
      </c>
      <c r="P393" s="10" t="s">
        <v>15</v>
      </c>
      <c r="Q393" s="6"/>
      <c r="R393" s="6"/>
      <c r="S393" s="6"/>
      <c r="T393" s="6" t="s">
        <v>16</v>
      </c>
      <c r="U393" s="9" t="s">
        <v>17</v>
      </c>
      <c r="AI393" s="6" t="s">
        <v>18</v>
      </c>
      <c r="AJ393" s="12" t="s">
        <v>2656</v>
      </c>
      <c r="AL393" s="13" t="s">
        <v>20</v>
      </c>
    </row>
    <row r="394">
      <c r="A394" s="5" t="s">
        <v>2663</v>
      </c>
      <c r="B394" s="5" t="s">
        <v>2664</v>
      </c>
      <c r="C394" s="5" t="s">
        <v>2651</v>
      </c>
      <c r="D394" s="5" t="s">
        <v>8</v>
      </c>
      <c r="E394" s="6"/>
      <c r="F394" s="6"/>
      <c r="G394" s="7" t="s">
        <v>2665</v>
      </c>
      <c r="I394" s="8" t="s">
        <v>2666</v>
      </c>
      <c r="J394" s="9">
        <v>26.9</v>
      </c>
      <c r="K394" s="10" t="s">
        <v>11</v>
      </c>
      <c r="L394" s="6"/>
      <c r="M394" s="11" t="s">
        <v>12</v>
      </c>
      <c r="N394" s="6" t="s">
        <v>2667</v>
      </c>
      <c r="O394" s="6" t="s">
        <v>2668</v>
      </c>
      <c r="P394" s="10" t="s">
        <v>15</v>
      </c>
      <c r="Q394" s="6"/>
      <c r="R394" s="6"/>
      <c r="S394" s="6"/>
      <c r="T394" s="6" t="s">
        <v>16</v>
      </c>
      <c r="U394" s="9" t="s">
        <v>17</v>
      </c>
      <c r="AI394" s="6" t="s">
        <v>18</v>
      </c>
      <c r="AJ394" s="12" t="s">
        <v>2656</v>
      </c>
      <c r="AL394" s="13" t="s">
        <v>20</v>
      </c>
    </row>
    <row r="395">
      <c r="A395" s="5" t="s">
        <v>2669</v>
      </c>
      <c r="B395" s="5" t="s">
        <v>2670</v>
      </c>
      <c r="C395" s="5" t="s">
        <v>2651</v>
      </c>
      <c r="D395" s="5" t="s">
        <v>8</v>
      </c>
      <c r="E395" s="6"/>
      <c r="F395" s="6"/>
      <c r="G395" s="7" t="s">
        <v>2671</v>
      </c>
      <c r="I395" s="8" t="s">
        <v>2672</v>
      </c>
      <c r="J395" s="9">
        <v>18.96</v>
      </c>
      <c r="K395" s="10" t="s">
        <v>11</v>
      </c>
      <c r="L395" s="6"/>
      <c r="M395" s="11" t="s">
        <v>12</v>
      </c>
      <c r="N395" s="6" t="s">
        <v>2673</v>
      </c>
      <c r="O395" s="6" t="s">
        <v>2674</v>
      </c>
      <c r="P395" s="10" t="s">
        <v>15</v>
      </c>
      <c r="Q395" s="6"/>
      <c r="R395" s="6"/>
      <c r="S395" s="6"/>
      <c r="T395" s="6" t="s">
        <v>16</v>
      </c>
      <c r="U395" s="9" t="s">
        <v>17</v>
      </c>
      <c r="AI395" s="6" t="s">
        <v>18</v>
      </c>
      <c r="AJ395" s="12" t="s">
        <v>2656</v>
      </c>
      <c r="AL395" s="13" t="s">
        <v>20</v>
      </c>
    </row>
    <row r="396">
      <c r="A396" s="5" t="s">
        <v>2675</v>
      </c>
      <c r="B396" s="5" t="s">
        <v>2676</v>
      </c>
      <c r="C396" s="5" t="s">
        <v>2677</v>
      </c>
      <c r="D396" s="5" t="s">
        <v>8</v>
      </c>
      <c r="E396" s="6"/>
      <c r="F396" s="6"/>
      <c r="G396" s="7" t="s">
        <v>2678</v>
      </c>
      <c r="I396" s="8" t="s">
        <v>2679</v>
      </c>
      <c r="J396" s="9">
        <v>6.9</v>
      </c>
      <c r="K396" s="10" t="s">
        <v>11</v>
      </c>
      <c r="L396" s="6"/>
      <c r="M396" s="11" t="s">
        <v>12</v>
      </c>
      <c r="N396" s="6" t="s">
        <v>2680</v>
      </c>
      <c r="O396" s="6" t="s">
        <v>2681</v>
      </c>
      <c r="P396" s="10" t="s">
        <v>15</v>
      </c>
      <c r="Q396" s="6"/>
      <c r="R396" s="6"/>
      <c r="S396" s="6"/>
      <c r="T396" s="6" t="s">
        <v>16</v>
      </c>
      <c r="U396" s="9" t="s">
        <v>17</v>
      </c>
      <c r="AI396" s="6" t="s">
        <v>18</v>
      </c>
      <c r="AJ396" s="12" t="s">
        <v>2682</v>
      </c>
      <c r="AL396" s="13" t="s">
        <v>20</v>
      </c>
    </row>
    <row r="397">
      <c r="A397" s="5" t="s">
        <v>2683</v>
      </c>
      <c r="B397" s="5" t="s">
        <v>2684</v>
      </c>
      <c r="C397" s="5" t="s">
        <v>2589</v>
      </c>
      <c r="D397" s="5" t="s">
        <v>8</v>
      </c>
      <c r="E397" s="6"/>
      <c r="F397" s="6"/>
      <c r="G397" s="7" t="s">
        <v>2685</v>
      </c>
      <c r="I397" s="8" t="s">
        <v>2686</v>
      </c>
      <c r="J397" s="9">
        <v>17.6</v>
      </c>
      <c r="K397" s="10" t="s">
        <v>11</v>
      </c>
      <c r="L397" s="6"/>
      <c r="M397" s="11" t="s">
        <v>12</v>
      </c>
      <c r="N397" s="6" t="s">
        <v>2687</v>
      </c>
      <c r="O397" s="6" t="s">
        <v>2688</v>
      </c>
      <c r="P397" s="10" t="s">
        <v>15</v>
      </c>
      <c r="Q397" s="6"/>
      <c r="R397" s="6"/>
      <c r="S397" s="6"/>
      <c r="T397" s="6" t="s">
        <v>16</v>
      </c>
      <c r="U397" s="9" t="s">
        <v>17</v>
      </c>
      <c r="AI397" s="6" t="s">
        <v>18</v>
      </c>
      <c r="AJ397" s="12" t="s">
        <v>2594</v>
      </c>
      <c r="AL397" s="13" t="s">
        <v>20</v>
      </c>
    </row>
    <row r="398">
      <c r="A398" s="5" t="s">
        <v>2689</v>
      </c>
      <c r="B398" s="5" t="s">
        <v>2690</v>
      </c>
      <c r="C398" s="5" t="s">
        <v>2677</v>
      </c>
      <c r="D398" s="5" t="s">
        <v>8</v>
      </c>
      <c r="E398" s="6"/>
      <c r="F398" s="6"/>
      <c r="G398" s="7" t="s">
        <v>2691</v>
      </c>
      <c r="I398" s="8" t="s">
        <v>2692</v>
      </c>
      <c r="J398" s="9">
        <v>22.08</v>
      </c>
      <c r="K398" s="10" t="s">
        <v>11</v>
      </c>
      <c r="L398" s="6"/>
      <c r="M398" s="11" t="s">
        <v>12</v>
      </c>
      <c r="N398" s="6" t="s">
        <v>2693</v>
      </c>
      <c r="O398" s="6" t="s">
        <v>2694</v>
      </c>
      <c r="P398" s="10" t="s">
        <v>15</v>
      </c>
      <c r="Q398" s="6"/>
      <c r="R398" s="6"/>
      <c r="S398" s="6"/>
      <c r="T398" s="6" t="s">
        <v>16</v>
      </c>
      <c r="U398" s="9" t="s">
        <v>17</v>
      </c>
      <c r="AI398" s="6" t="s">
        <v>18</v>
      </c>
      <c r="AJ398" s="12" t="s">
        <v>2682</v>
      </c>
      <c r="AL398" s="13" t="s">
        <v>20</v>
      </c>
    </row>
    <row r="399">
      <c r="A399" s="5" t="s">
        <v>2695</v>
      </c>
      <c r="B399" s="5" t="s">
        <v>2696</v>
      </c>
      <c r="C399" s="5" t="s">
        <v>2697</v>
      </c>
      <c r="D399" s="5" t="s">
        <v>8</v>
      </c>
      <c r="E399" s="6"/>
      <c r="F399" s="6"/>
      <c r="G399" s="7" t="s">
        <v>2698</v>
      </c>
      <c r="I399" s="8" t="s">
        <v>2699</v>
      </c>
      <c r="J399" s="9">
        <v>6.8</v>
      </c>
      <c r="K399" s="10" t="s">
        <v>11</v>
      </c>
      <c r="L399" s="6"/>
      <c r="M399" s="11" t="s">
        <v>12</v>
      </c>
      <c r="N399" s="6" t="s">
        <v>2700</v>
      </c>
      <c r="O399" s="6" t="s">
        <v>2701</v>
      </c>
      <c r="P399" s="10" t="s">
        <v>15</v>
      </c>
      <c r="Q399" s="6"/>
      <c r="R399" s="6"/>
      <c r="S399" s="6"/>
      <c r="T399" s="6" t="s">
        <v>16</v>
      </c>
      <c r="U399" s="9" t="s">
        <v>17</v>
      </c>
      <c r="AI399" s="6" t="s">
        <v>18</v>
      </c>
      <c r="AJ399" s="12" t="s">
        <v>2702</v>
      </c>
      <c r="AL399" s="13" t="s">
        <v>20</v>
      </c>
    </row>
    <row r="400">
      <c r="A400" s="5" t="s">
        <v>2703</v>
      </c>
      <c r="B400" s="5" t="s">
        <v>2704</v>
      </c>
      <c r="C400" s="5" t="s">
        <v>2697</v>
      </c>
      <c r="D400" s="5" t="s">
        <v>8</v>
      </c>
      <c r="E400" s="6"/>
      <c r="F400" s="6"/>
      <c r="G400" s="7" t="s">
        <v>2705</v>
      </c>
      <c r="I400" s="8" t="s">
        <v>2706</v>
      </c>
      <c r="J400" s="9">
        <v>37.9</v>
      </c>
      <c r="K400" s="10" t="s">
        <v>11</v>
      </c>
      <c r="L400" s="6"/>
      <c r="M400" s="11" t="s">
        <v>12</v>
      </c>
      <c r="N400" s="6" t="s">
        <v>2707</v>
      </c>
      <c r="O400" s="6" t="s">
        <v>2708</v>
      </c>
      <c r="P400" s="10" t="s">
        <v>15</v>
      </c>
      <c r="Q400" s="6"/>
      <c r="R400" s="6"/>
      <c r="S400" s="6"/>
      <c r="T400" s="6" t="s">
        <v>16</v>
      </c>
      <c r="U400" s="9" t="s">
        <v>17</v>
      </c>
      <c r="AI400" s="6" t="s">
        <v>18</v>
      </c>
      <c r="AJ400" s="12" t="s">
        <v>2702</v>
      </c>
      <c r="AL400" s="13" t="s">
        <v>20</v>
      </c>
    </row>
    <row r="401">
      <c r="A401" s="5" t="s">
        <v>2709</v>
      </c>
      <c r="B401" s="5" t="s">
        <v>2710</v>
      </c>
      <c r="C401" s="5" t="s">
        <v>2697</v>
      </c>
      <c r="D401" s="5" t="s">
        <v>8</v>
      </c>
      <c r="E401" s="6"/>
      <c r="F401" s="6"/>
      <c r="G401" s="7" t="s">
        <v>2711</v>
      </c>
      <c r="I401" s="8" t="s">
        <v>2712</v>
      </c>
      <c r="J401" s="9">
        <v>26.9</v>
      </c>
      <c r="K401" s="10" t="s">
        <v>11</v>
      </c>
      <c r="L401" s="6"/>
      <c r="M401" s="11" t="s">
        <v>12</v>
      </c>
      <c r="N401" s="6" t="s">
        <v>2713</v>
      </c>
      <c r="O401" s="6" t="s">
        <v>2714</v>
      </c>
      <c r="P401" s="10" t="s">
        <v>15</v>
      </c>
      <c r="Q401" s="6"/>
      <c r="R401" s="6"/>
      <c r="S401" s="6"/>
      <c r="T401" s="6" t="s">
        <v>16</v>
      </c>
      <c r="U401" s="9" t="s">
        <v>17</v>
      </c>
      <c r="AI401" s="6" t="s">
        <v>18</v>
      </c>
      <c r="AJ401" s="12" t="s">
        <v>2702</v>
      </c>
      <c r="AL401" s="13" t="s">
        <v>20</v>
      </c>
    </row>
    <row r="402">
      <c r="A402" s="5" t="s">
        <v>2715</v>
      </c>
      <c r="B402" s="5" t="s">
        <v>2716</v>
      </c>
      <c r="C402" s="5" t="s">
        <v>2697</v>
      </c>
      <c r="D402" s="5" t="s">
        <v>8</v>
      </c>
      <c r="E402" s="6"/>
      <c r="F402" s="6"/>
      <c r="G402" s="7" t="s">
        <v>2717</v>
      </c>
      <c r="I402" s="8" t="s">
        <v>2718</v>
      </c>
      <c r="J402" s="9">
        <v>19.58</v>
      </c>
      <c r="K402" s="10" t="s">
        <v>11</v>
      </c>
      <c r="L402" s="6"/>
      <c r="M402" s="11" t="s">
        <v>12</v>
      </c>
      <c r="N402" s="6" t="s">
        <v>2719</v>
      </c>
      <c r="O402" s="6" t="s">
        <v>2720</v>
      </c>
      <c r="P402" s="10" t="s">
        <v>15</v>
      </c>
      <c r="Q402" s="6"/>
      <c r="R402" s="6"/>
      <c r="S402" s="6"/>
      <c r="T402" s="6" t="s">
        <v>16</v>
      </c>
      <c r="U402" s="9" t="s">
        <v>17</v>
      </c>
      <c r="AI402" s="6" t="s">
        <v>18</v>
      </c>
      <c r="AJ402" s="12" t="s">
        <v>2702</v>
      </c>
      <c r="AL402" s="13" t="s">
        <v>20</v>
      </c>
    </row>
    <row r="403">
      <c r="A403" s="5" t="s">
        <v>2721</v>
      </c>
      <c r="B403" s="5" t="s">
        <v>2722</v>
      </c>
      <c r="C403" s="5" t="s">
        <v>2723</v>
      </c>
      <c r="D403" s="5" t="s">
        <v>8</v>
      </c>
      <c r="E403" s="6"/>
      <c r="F403" s="6"/>
      <c r="G403" s="7" t="s">
        <v>2724</v>
      </c>
      <c r="I403" s="8" t="s">
        <v>2725</v>
      </c>
      <c r="J403" s="9">
        <v>8.9</v>
      </c>
      <c r="K403" s="10" t="s">
        <v>11</v>
      </c>
      <c r="L403" s="6"/>
      <c r="M403" s="11" t="s">
        <v>12</v>
      </c>
      <c r="N403" s="6" t="s">
        <v>2726</v>
      </c>
      <c r="O403" s="6" t="s">
        <v>2727</v>
      </c>
      <c r="P403" s="10" t="s">
        <v>15</v>
      </c>
      <c r="Q403" s="6"/>
      <c r="R403" s="6"/>
      <c r="S403" s="6"/>
      <c r="T403" s="6" t="s">
        <v>16</v>
      </c>
      <c r="U403" s="9" t="s">
        <v>17</v>
      </c>
      <c r="AI403" s="6" t="s">
        <v>18</v>
      </c>
      <c r="AJ403" s="12" t="s">
        <v>2728</v>
      </c>
      <c r="AL403" s="13" t="s">
        <v>20</v>
      </c>
    </row>
    <row r="404">
      <c r="A404" s="5" t="s">
        <v>2729</v>
      </c>
      <c r="B404" s="5" t="s">
        <v>2730</v>
      </c>
      <c r="C404" s="5" t="s">
        <v>270</v>
      </c>
      <c r="D404" s="5" t="s">
        <v>8</v>
      </c>
      <c r="E404" s="6"/>
      <c r="F404" s="6"/>
      <c r="G404" s="7" t="s">
        <v>2731</v>
      </c>
      <c r="I404" s="8" t="s">
        <v>2732</v>
      </c>
      <c r="J404" s="9">
        <v>7.9</v>
      </c>
      <c r="K404" s="10" t="s">
        <v>11</v>
      </c>
      <c r="L404" s="6"/>
      <c r="M404" s="11" t="s">
        <v>12</v>
      </c>
      <c r="N404" s="6" t="s">
        <v>2733</v>
      </c>
      <c r="O404" s="6" t="s">
        <v>2734</v>
      </c>
      <c r="P404" s="10" t="s">
        <v>15</v>
      </c>
      <c r="Q404" s="6"/>
      <c r="R404" s="6"/>
      <c r="S404" s="6"/>
      <c r="T404" s="6" t="s">
        <v>16</v>
      </c>
      <c r="U404" s="9" t="s">
        <v>17</v>
      </c>
      <c r="AI404" s="6" t="s">
        <v>18</v>
      </c>
      <c r="AJ404" s="12" t="s">
        <v>2735</v>
      </c>
      <c r="AL404" s="13" t="s">
        <v>20</v>
      </c>
    </row>
    <row r="405">
      <c r="A405" s="5" t="s">
        <v>2736</v>
      </c>
      <c r="B405" s="5" t="s">
        <v>2737</v>
      </c>
      <c r="C405" s="5" t="s">
        <v>270</v>
      </c>
      <c r="D405" s="5" t="s">
        <v>8</v>
      </c>
      <c r="E405" s="6"/>
      <c r="F405" s="6"/>
      <c r="G405" s="7" t="s">
        <v>2738</v>
      </c>
      <c r="I405" s="8" t="s">
        <v>2739</v>
      </c>
      <c r="J405" s="9">
        <v>23.7</v>
      </c>
      <c r="K405" s="10" t="s">
        <v>11</v>
      </c>
      <c r="L405" s="6"/>
      <c r="M405" s="11" t="s">
        <v>12</v>
      </c>
      <c r="N405" s="6" t="s">
        <v>2740</v>
      </c>
      <c r="O405" s="6" t="s">
        <v>2741</v>
      </c>
      <c r="P405" s="10" t="s">
        <v>15</v>
      </c>
      <c r="Q405" s="6"/>
      <c r="R405" s="6"/>
      <c r="S405" s="6"/>
      <c r="T405" s="6" t="s">
        <v>16</v>
      </c>
      <c r="U405" s="9" t="s">
        <v>17</v>
      </c>
      <c r="AI405" s="6" t="s">
        <v>18</v>
      </c>
      <c r="AJ405" s="12" t="s">
        <v>2735</v>
      </c>
      <c r="AL405" s="13" t="s">
        <v>20</v>
      </c>
    </row>
    <row r="406">
      <c r="A406" s="5" t="s">
        <v>2742</v>
      </c>
      <c r="B406" s="5" t="s">
        <v>2743</v>
      </c>
      <c r="C406" s="5" t="s">
        <v>2744</v>
      </c>
      <c r="D406" s="5" t="s">
        <v>8</v>
      </c>
      <c r="E406" s="6"/>
      <c r="F406" s="6"/>
      <c r="G406" s="7" t="s">
        <v>2745</v>
      </c>
      <c r="I406" s="8" t="s">
        <v>2746</v>
      </c>
      <c r="J406" s="9">
        <v>8.9</v>
      </c>
      <c r="K406" s="10" t="s">
        <v>11</v>
      </c>
      <c r="L406" s="6"/>
      <c r="M406" s="11" t="s">
        <v>12</v>
      </c>
      <c r="N406" s="6" t="s">
        <v>2747</v>
      </c>
      <c r="O406" s="6" t="s">
        <v>2748</v>
      </c>
      <c r="P406" s="10" t="s">
        <v>15</v>
      </c>
      <c r="Q406" s="6"/>
      <c r="R406" s="6"/>
      <c r="S406" s="6"/>
      <c r="T406" s="6" t="s">
        <v>16</v>
      </c>
      <c r="U406" s="9" t="s">
        <v>17</v>
      </c>
      <c r="AI406" s="6" t="s">
        <v>18</v>
      </c>
      <c r="AJ406" s="12" t="s">
        <v>2749</v>
      </c>
      <c r="AL406" s="13" t="s">
        <v>20</v>
      </c>
    </row>
    <row r="407">
      <c r="A407" s="5" t="s">
        <v>2750</v>
      </c>
      <c r="B407" s="5" t="s">
        <v>2751</v>
      </c>
      <c r="C407" s="5" t="s">
        <v>2752</v>
      </c>
      <c r="D407" s="5" t="s">
        <v>8</v>
      </c>
      <c r="E407" s="6"/>
      <c r="F407" s="6"/>
      <c r="G407" s="7" t="s">
        <v>2753</v>
      </c>
      <c r="I407" s="8" t="s">
        <v>2754</v>
      </c>
      <c r="J407" s="9">
        <v>9.9</v>
      </c>
      <c r="K407" s="10" t="s">
        <v>11</v>
      </c>
      <c r="L407" s="6"/>
      <c r="M407" s="11" t="s">
        <v>12</v>
      </c>
      <c r="N407" s="6" t="s">
        <v>2755</v>
      </c>
      <c r="O407" s="6" t="s">
        <v>2756</v>
      </c>
      <c r="P407" s="10" t="s">
        <v>15</v>
      </c>
      <c r="Q407" s="6"/>
      <c r="R407" s="6"/>
      <c r="S407" s="6"/>
      <c r="T407" s="6" t="s">
        <v>16</v>
      </c>
      <c r="U407" s="9" t="s">
        <v>17</v>
      </c>
      <c r="AI407" s="6" t="s">
        <v>18</v>
      </c>
      <c r="AJ407" s="12" t="s">
        <v>2757</v>
      </c>
      <c r="AL407" s="13" t="s">
        <v>20</v>
      </c>
    </row>
    <row r="408">
      <c r="A408" s="5" t="s">
        <v>2758</v>
      </c>
      <c r="B408" s="5" t="s">
        <v>2759</v>
      </c>
      <c r="C408" s="5" t="s">
        <v>2752</v>
      </c>
      <c r="D408" s="5" t="s">
        <v>8</v>
      </c>
      <c r="E408" s="6"/>
      <c r="F408" s="6"/>
      <c r="G408" s="7" t="s">
        <v>2760</v>
      </c>
      <c r="I408" s="8" t="s">
        <v>2761</v>
      </c>
      <c r="J408" s="9">
        <v>29.5</v>
      </c>
      <c r="K408" s="10" t="s">
        <v>11</v>
      </c>
      <c r="L408" s="6"/>
      <c r="M408" s="11" t="s">
        <v>12</v>
      </c>
      <c r="N408" s="6" t="s">
        <v>2762</v>
      </c>
      <c r="O408" s="6" t="s">
        <v>2763</v>
      </c>
      <c r="P408" s="10" t="s">
        <v>15</v>
      </c>
      <c r="Q408" s="6"/>
      <c r="R408" s="6"/>
      <c r="S408" s="6"/>
      <c r="T408" s="6" t="s">
        <v>16</v>
      </c>
      <c r="U408" s="9" t="s">
        <v>17</v>
      </c>
      <c r="AI408" s="6" t="s">
        <v>18</v>
      </c>
      <c r="AJ408" s="12" t="s">
        <v>2757</v>
      </c>
      <c r="AL408" s="13" t="s">
        <v>20</v>
      </c>
    </row>
    <row r="409">
      <c r="A409" s="5" t="s">
        <v>2764</v>
      </c>
      <c r="B409" s="5" t="s">
        <v>2765</v>
      </c>
      <c r="C409" s="5" t="s">
        <v>2766</v>
      </c>
      <c r="D409" s="5" t="s">
        <v>8</v>
      </c>
      <c r="E409" s="6"/>
      <c r="F409" s="6"/>
      <c r="G409" s="7" t="s">
        <v>2767</v>
      </c>
      <c r="I409" s="8" t="s">
        <v>2768</v>
      </c>
      <c r="J409" s="9">
        <v>9.5</v>
      </c>
      <c r="K409" s="10" t="s">
        <v>11</v>
      </c>
      <c r="L409" s="6"/>
      <c r="M409" s="11" t="s">
        <v>12</v>
      </c>
      <c r="N409" s="6" t="s">
        <v>2769</v>
      </c>
      <c r="O409" s="6" t="s">
        <v>2770</v>
      </c>
      <c r="P409" s="10" t="s">
        <v>15</v>
      </c>
      <c r="Q409" s="6"/>
      <c r="R409" s="6"/>
      <c r="S409" s="6"/>
      <c r="T409" s="6" t="s">
        <v>16</v>
      </c>
      <c r="U409" s="9" t="s">
        <v>17</v>
      </c>
      <c r="AI409" s="6" t="s">
        <v>18</v>
      </c>
      <c r="AJ409" s="12" t="s">
        <v>2771</v>
      </c>
      <c r="AL409" s="13" t="s">
        <v>20</v>
      </c>
    </row>
    <row r="410">
      <c r="A410" s="5" t="s">
        <v>2772</v>
      </c>
      <c r="B410" s="5" t="s">
        <v>2773</v>
      </c>
      <c r="C410" s="5" t="s">
        <v>2774</v>
      </c>
      <c r="D410" s="5" t="s">
        <v>8</v>
      </c>
      <c r="E410" s="6"/>
      <c r="F410" s="6"/>
      <c r="G410" s="7" t="s">
        <v>2775</v>
      </c>
      <c r="I410" s="8" t="s">
        <v>2776</v>
      </c>
      <c r="J410" s="9">
        <v>9.8</v>
      </c>
      <c r="K410" s="10" t="s">
        <v>11</v>
      </c>
      <c r="L410" s="6"/>
      <c r="M410" s="11" t="s">
        <v>12</v>
      </c>
      <c r="N410" s="6" t="s">
        <v>2777</v>
      </c>
      <c r="O410" s="6" t="s">
        <v>2778</v>
      </c>
      <c r="P410" s="10" t="s">
        <v>15</v>
      </c>
      <c r="Q410" s="6"/>
      <c r="R410" s="6"/>
      <c r="S410" s="6"/>
      <c r="T410" s="6" t="s">
        <v>16</v>
      </c>
      <c r="U410" s="9" t="s">
        <v>17</v>
      </c>
      <c r="AI410" s="6" t="s">
        <v>18</v>
      </c>
      <c r="AJ410" s="12" t="s">
        <v>2779</v>
      </c>
      <c r="AL410" s="13" t="s">
        <v>20</v>
      </c>
    </row>
    <row r="411">
      <c r="A411" s="5" t="s">
        <v>2780</v>
      </c>
      <c r="B411" s="5" t="s">
        <v>2781</v>
      </c>
      <c r="C411" s="5" t="s">
        <v>2774</v>
      </c>
      <c r="D411" s="5" t="s">
        <v>8</v>
      </c>
      <c r="E411" s="6"/>
      <c r="F411" s="6"/>
      <c r="G411" s="7" t="s">
        <v>2782</v>
      </c>
      <c r="I411" s="8" t="s">
        <v>2783</v>
      </c>
      <c r="J411" s="9">
        <v>37.9</v>
      </c>
      <c r="K411" s="10" t="s">
        <v>11</v>
      </c>
      <c r="L411" s="6"/>
      <c r="M411" s="11" t="s">
        <v>12</v>
      </c>
      <c r="N411" s="6" t="s">
        <v>2784</v>
      </c>
      <c r="O411" s="6" t="s">
        <v>2785</v>
      </c>
      <c r="P411" s="10" t="s">
        <v>15</v>
      </c>
      <c r="Q411" s="6"/>
      <c r="R411" s="6"/>
      <c r="S411" s="6"/>
      <c r="T411" s="6" t="s">
        <v>16</v>
      </c>
      <c r="U411" s="9" t="s">
        <v>17</v>
      </c>
      <c r="AI411" s="6" t="s">
        <v>18</v>
      </c>
      <c r="AJ411" s="12" t="s">
        <v>2779</v>
      </c>
      <c r="AL411" s="13" t="s">
        <v>20</v>
      </c>
    </row>
    <row r="412">
      <c r="A412" s="5" t="s">
        <v>2786</v>
      </c>
      <c r="B412" s="5" t="s">
        <v>2787</v>
      </c>
      <c r="C412" s="5" t="s">
        <v>2774</v>
      </c>
      <c r="D412" s="5" t="s">
        <v>8</v>
      </c>
      <c r="E412" s="6"/>
      <c r="F412" s="6"/>
      <c r="G412" s="7" t="s">
        <v>2788</v>
      </c>
      <c r="I412" s="8" t="s">
        <v>2789</v>
      </c>
      <c r="J412" s="9">
        <v>26.9</v>
      </c>
      <c r="K412" s="10" t="s">
        <v>11</v>
      </c>
      <c r="L412" s="6"/>
      <c r="M412" s="11" t="s">
        <v>12</v>
      </c>
      <c r="N412" s="6" t="s">
        <v>2790</v>
      </c>
      <c r="O412" s="6" t="s">
        <v>2791</v>
      </c>
      <c r="P412" s="10" t="s">
        <v>15</v>
      </c>
      <c r="Q412" s="6"/>
      <c r="R412" s="6"/>
      <c r="S412" s="6"/>
      <c r="T412" s="6" t="s">
        <v>16</v>
      </c>
      <c r="U412" s="9" t="s">
        <v>17</v>
      </c>
      <c r="AI412" s="6" t="s">
        <v>18</v>
      </c>
      <c r="AJ412" s="12" t="s">
        <v>2779</v>
      </c>
      <c r="AL412" s="13" t="s">
        <v>20</v>
      </c>
    </row>
    <row r="413">
      <c r="A413" s="5" t="s">
        <v>2792</v>
      </c>
      <c r="B413" s="5" t="s">
        <v>2793</v>
      </c>
      <c r="C413" s="5" t="s">
        <v>2774</v>
      </c>
      <c r="D413" s="5" t="s">
        <v>8</v>
      </c>
      <c r="E413" s="6"/>
      <c r="F413" s="6"/>
      <c r="G413" s="7" t="s">
        <v>2794</v>
      </c>
      <c r="I413" s="8" t="s">
        <v>2795</v>
      </c>
      <c r="J413" s="9">
        <v>29.2</v>
      </c>
      <c r="K413" s="10" t="s">
        <v>11</v>
      </c>
      <c r="L413" s="6"/>
      <c r="M413" s="11" t="s">
        <v>12</v>
      </c>
      <c r="N413" s="6" t="s">
        <v>2796</v>
      </c>
      <c r="O413" s="6" t="s">
        <v>2797</v>
      </c>
      <c r="P413" s="10" t="s">
        <v>15</v>
      </c>
      <c r="Q413" s="6"/>
      <c r="R413" s="6"/>
      <c r="S413" s="6"/>
      <c r="T413" s="6" t="s">
        <v>16</v>
      </c>
      <c r="U413" s="9" t="s">
        <v>17</v>
      </c>
      <c r="AI413" s="6" t="s">
        <v>18</v>
      </c>
      <c r="AJ413" s="12" t="s">
        <v>2779</v>
      </c>
      <c r="AL413" s="13" t="s">
        <v>20</v>
      </c>
    </row>
    <row r="414">
      <c r="A414" s="5" t="s">
        <v>2798</v>
      </c>
      <c r="B414" s="5" t="s">
        <v>2799</v>
      </c>
      <c r="C414" s="5" t="s">
        <v>2800</v>
      </c>
      <c r="D414" s="5" t="s">
        <v>8</v>
      </c>
      <c r="E414" s="6"/>
      <c r="F414" s="6"/>
      <c r="G414" s="7" t="s">
        <v>2801</v>
      </c>
      <c r="I414" s="8" t="s">
        <v>2802</v>
      </c>
      <c r="J414" s="9">
        <v>10.9</v>
      </c>
      <c r="K414" s="10" t="s">
        <v>11</v>
      </c>
      <c r="L414" s="6"/>
      <c r="M414" s="11" t="s">
        <v>12</v>
      </c>
      <c r="N414" s="6" t="s">
        <v>2803</v>
      </c>
      <c r="O414" s="6" t="s">
        <v>2804</v>
      </c>
      <c r="P414" s="10" t="s">
        <v>15</v>
      </c>
      <c r="Q414" s="6"/>
      <c r="R414" s="6"/>
      <c r="S414" s="6"/>
      <c r="T414" s="6" t="s">
        <v>16</v>
      </c>
      <c r="U414" s="9" t="s">
        <v>17</v>
      </c>
      <c r="AI414" s="6" t="s">
        <v>18</v>
      </c>
      <c r="AJ414" s="12" t="s">
        <v>2805</v>
      </c>
      <c r="AL414" s="13" t="s">
        <v>20</v>
      </c>
    </row>
    <row r="415">
      <c r="A415" s="5" t="s">
        <v>2806</v>
      </c>
      <c r="B415" s="5" t="s">
        <v>2807</v>
      </c>
      <c r="C415" s="5" t="s">
        <v>2800</v>
      </c>
      <c r="D415" s="5" t="s">
        <v>8</v>
      </c>
      <c r="E415" s="6"/>
      <c r="F415" s="6"/>
      <c r="G415" s="7" t="s">
        <v>2808</v>
      </c>
      <c r="I415" s="8" t="s">
        <v>2809</v>
      </c>
      <c r="J415" s="9">
        <v>37.9</v>
      </c>
      <c r="K415" s="10" t="s">
        <v>11</v>
      </c>
      <c r="L415" s="6"/>
      <c r="M415" s="11" t="s">
        <v>12</v>
      </c>
      <c r="N415" s="6" t="s">
        <v>2810</v>
      </c>
      <c r="O415" s="6" t="s">
        <v>2811</v>
      </c>
      <c r="P415" s="10" t="s">
        <v>15</v>
      </c>
      <c r="Q415" s="6"/>
      <c r="R415" s="6"/>
      <c r="S415" s="6"/>
      <c r="T415" s="6" t="s">
        <v>16</v>
      </c>
      <c r="U415" s="9" t="s">
        <v>17</v>
      </c>
      <c r="AI415" s="6" t="s">
        <v>18</v>
      </c>
      <c r="AJ415" s="12" t="s">
        <v>2805</v>
      </c>
      <c r="AL415" s="13" t="s">
        <v>20</v>
      </c>
    </row>
    <row r="416">
      <c r="A416" s="5" t="s">
        <v>2812</v>
      </c>
      <c r="B416" s="5" t="s">
        <v>2813</v>
      </c>
      <c r="C416" s="5" t="s">
        <v>2800</v>
      </c>
      <c r="D416" s="5" t="s">
        <v>8</v>
      </c>
      <c r="E416" s="6"/>
      <c r="F416" s="6"/>
      <c r="G416" s="7" t="s">
        <v>2814</v>
      </c>
      <c r="I416" s="8" t="s">
        <v>2815</v>
      </c>
      <c r="J416" s="9">
        <v>26.9</v>
      </c>
      <c r="K416" s="10" t="s">
        <v>11</v>
      </c>
      <c r="L416" s="6"/>
      <c r="M416" s="11" t="s">
        <v>12</v>
      </c>
      <c r="N416" s="6" t="s">
        <v>2816</v>
      </c>
      <c r="O416" s="6" t="s">
        <v>2817</v>
      </c>
      <c r="P416" s="10" t="s">
        <v>15</v>
      </c>
      <c r="Q416" s="6"/>
      <c r="R416" s="6"/>
      <c r="S416" s="6"/>
      <c r="T416" s="6" t="s">
        <v>16</v>
      </c>
      <c r="U416" s="9" t="s">
        <v>17</v>
      </c>
      <c r="AI416" s="6" t="s">
        <v>18</v>
      </c>
      <c r="AJ416" s="12" t="s">
        <v>2805</v>
      </c>
      <c r="AL416" s="13" t="s">
        <v>20</v>
      </c>
    </row>
    <row r="417">
      <c r="A417" s="5" t="s">
        <v>2818</v>
      </c>
      <c r="B417" s="5" t="s">
        <v>2819</v>
      </c>
      <c r="C417" s="5" t="s">
        <v>2800</v>
      </c>
      <c r="D417" s="5" t="s">
        <v>8</v>
      </c>
      <c r="E417" s="6"/>
      <c r="F417" s="6"/>
      <c r="G417" s="7" t="s">
        <v>2820</v>
      </c>
      <c r="I417" s="8" t="s">
        <v>2821</v>
      </c>
      <c r="J417" s="9">
        <v>29.5</v>
      </c>
      <c r="K417" s="10" t="s">
        <v>11</v>
      </c>
      <c r="L417" s="6"/>
      <c r="M417" s="11" t="s">
        <v>12</v>
      </c>
      <c r="N417" s="6" t="s">
        <v>2822</v>
      </c>
      <c r="O417" s="6" t="s">
        <v>2823</v>
      </c>
      <c r="P417" s="10" t="s">
        <v>15</v>
      </c>
      <c r="Q417" s="6"/>
      <c r="R417" s="6"/>
      <c r="S417" s="6"/>
      <c r="T417" s="6" t="s">
        <v>16</v>
      </c>
      <c r="U417" s="9" t="s">
        <v>17</v>
      </c>
      <c r="AI417" s="6" t="s">
        <v>18</v>
      </c>
      <c r="AJ417" s="12" t="s">
        <v>2805</v>
      </c>
      <c r="AL417" s="13" t="s">
        <v>20</v>
      </c>
    </row>
    <row r="418">
      <c r="A418" s="5" t="s">
        <v>2824</v>
      </c>
      <c r="B418" s="5" t="s">
        <v>2825</v>
      </c>
      <c r="C418" s="5" t="s">
        <v>2826</v>
      </c>
      <c r="D418" s="5" t="s">
        <v>8</v>
      </c>
      <c r="E418" s="6"/>
      <c r="F418" s="6"/>
      <c r="G418" s="7" t="s">
        <v>2827</v>
      </c>
      <c r="I418" s="8" t="s">
        <v>2828</v>
      </c>
      <c r="J418" s="9">
        <v>19.8</v>
      </c>
      <c r="K418" s="10" t="s">
        <v>11</v>
      </c>
      <c r="L418" s="6"/>
      <c r="M418" s="11" t="s">
        <v>12</v>
      </c>
      <c r="N418" s="6" t="s">
        <v>2829</v>
      </c>
      <c r="O418" s="6" t="s">
        <v>2830</v>
      </c>
      <c r="P418" s="10" t="s">
        <v>15</v>
      </c>
      <c r="Q418" s="6"/>
      <c r="R418" s="6"/>
      <c r="S418" s="6" t="s">
        <v>2831</v>
      </c>
      <c r="T418" s="6" t="s">
        <v>16</v>
      </c>
      <c r="U418" s="9" t="s">
        <v>17</v>
      </c>
      <c r="AI418" s="6" t="s">
        <v>18</v>
      </c>
      <c r="AJ418" s="12" t="s">
        <v>2832</v>
      </c>
      <c r="AL418" s="13" t="s">
        <v>20</v>
      </c>
    </row>
    <row r="419">
      <c r="A419" s="5" t="s">
        <v>2833</v>
      </c>
      <c r="B419" s="5" t="s">
        <v>2834</v>
      </c>
      <c r="C419" s="5" t="s">
        <v>2826</v>
      </c>
      <c r="D419" s="5" t="s">
        <v>8</v>
      </c>
      <c r="E419" s="6"/>
      <c r="F419" s="6"/>
      <c r="G419" s="7" t="s">
        <v>2835</v>
      </c>
      <c r="I419" s="8" t="s">
        <v>2836</v>
      </c>
      <c r="J419" s="9">
        <v>33.8</v>
      </c>
      <c r="K419" s="10">
        <v>30.42</v>
      </c>
      <c r="L419" s="6"/>
      <c r="M419" s="11" t="s">
        <v>17</v>
      </c>
      <c r="N419" s="6"/>
      <c r="O419" s="6" t="s">
        <v>2837</v>
      </c>
      <c r="P419" s="10" t="s">
        <v>15</v>
      </c>
      <c r="Q419" s="6"/>
      <c r="R419" s="6"/>
      <c r="S419" s="6" t="s">
        <v>2831</v>
      </c>
      <c r="T419" s="6" t="s">
        <v>16</v>
      </c>
      <c r="U419" s="9" t="s">
        <v>17</v>
      </c>
      <c r="AI419" s="6" t="s">
        <v>18</v>
      </c>
      <c r="AJ419" s="12" t="s">
        <v>2832</v>
      </c>
      <c r="AL419" s="13" t="s">
        <v>20</v>
      </c>
    </row>
    <row r="420">
      <c r="A420" s="5" t="s">
        <v>2838</v>
      </c>
      <c r="B420" s="5" t="s">
        <v>2839</v>
      </c>
      <c r="C420" s="5" t="s">
        <v>2840</v>
      </c>
      <c r="D420" s="5" t="s">
        <v>507</v>
      </c>
      <c r="E420" s="6"/>
      <c r="F420" s="6"/>
      <c r="G420" s="7" t="s">
        <v>2841</v>
      </c>
      <c r="I420" s="8" t="s">
        <v>2842</v>
      </c>
      <c r="J420" s="9">
        <v>8.8</v>
      </c>
      <c r="K420" s="10" t="s">
        <v>11</v>
      </c>
      <c r="L420" s="6"/>
      <c r="M420" s="11" t="s">
        <v>12</v>
      </c>
      <c r="N420" s="6" t="s">
        <v>2843</v>
      </c>
      <c r="O420" s="6" t="s">
        <v>2844</v>
      </c>
      <c r="P420" s="10" t="s">
        <v>15</v>
      </c>
      <c r="Q420" s="6"/>
      <c r="R420" s="6"/>
      <c r="S420" s="6"/>
      <c r="T420" s="6" t="s">
        <v>16</v>
      </c>
      <c r="U420" s="9" t="s">
        <v>17</v>
      </c>
      <c r="AI420" s="6" t="s">
        <v>18</v>
      </c>
      <c r="AJ420" s="12" t="s">
        <v>2845</v>
      </c>
      <c r="AL420" s="13" t="s">
        <v>20</v>
      </c>
    </row>
    <row r="421">
      <c r="A421" s="5" t="s">
        <v>2846</v>
      </c>
      <c r="B421" s="5" t="s">
        <v>2847</v>
      </c>
      <c r="C421" s="5" t="s">
        <v>2848</v>
      </c>
      <c r="D421" s="5" t="s">
        <v>8</v>
      </c>
      <c r="E421" s="6"/>
      <c r="F421" s="6"/>
      <c r="G421" s="7" t="s">
        <v>2849</v>
      </c>
      <c r="I421" s="8" t="s">
        <v>2850</v>
      </c>
      <c r="J421" s="9">
        <v>9.9</v>
      </c>
      <c r="K421" s="10" t="s">
        <v>11</v>
      </c>
      <c r="L421" s="6"/>
      <c r="M421" s="11" t="s">
        <v>12</v>
      </c>
      <c r="N421" s="6" t="s">
        <v>2851</v>
      </c>
      <c r="O421" s="6" t="s">
        <v>2852</v>
      </c>
      <c r="P421" s="10" t="s">
        <v>15</v>
      </c>
      <c r="Q421" s="6"/>
      <c r="R421" s="6"/>
      <c r="S421" s="6"/>
      <c r="T421" s="6" t="s">
        <v>16</v>
      </c>
      <c r="U421" s="9" t="s">
        <v>17</v>
      </c>
      <c r="AI421" s="6" t="s">
        <v>18</v>
      </c>
      <c r="AJ421" s="12" t="s">
        <v>2853</v>
      </c>
      <c r="AL421" s="13" t="s">
        <v>20</v>
      </c>
    </row>
    <row r="422">
      <c r="A422" s="5" t="s">
        <v>2854</v>
      </c>
      <c r="B422" s="5" t="s">
        <v>2855</v>
      </c>
      <c r="C422" s="5" t="s">
        <v>2848</v>
      </c>
      <c r="D422" s="5" t="s">
        <v>8</v>
      </c>
      <c r="E422" s="6"/>
      <c r="F422" s="6"/>
      <c r="G422" s="7" t="s">
        <v>2856</v>
      </c>
      <c r="I422" s="8" t="s">
        <v>2857</v>
      </c>
      <c r="J422" s="9">
        <v>37.9</v>
      </c>
      <c r="K422" s="10" t="s">
        <v>11</v>
      </c>
      <c r="L422" s="6"/>
      <c r="M422" s="11" t="s">
        <v>12</v>
      </c>
      <c r="N422" s="6" t="s">
        <v>2858</v>
      </c>
      <c r="O422" s="6" t="s">
        <v>2859</v>
      </c>
      <c r="P422" s="10" t="s">
        <v>15</v>
      </c>
      <c r="Q422" s="6"/>
      <c r="R422" s="6"/>
      <c r="S422" s="6"/>
      <c r="T422" s="6" t="s">
        <v>16</v>
      </c>
      <c r="U422" s="9" t="s">
        <v>17</v>
      </c>
      <c r="AI422" s="6" t="s">
        <v>18</v>
      </c>
      <c r="AJ422" s="12" t="s">
        <v>2853</v>
      </c>
      <c r="AL422" s="13" t="s">
        <v>20</v>
      </c>
    </row>
    <row r="423">
      <c r="A423" s="5" t="s">
        <v>2860</v>
      </c>
      <c r="B423" s="5" t="s">
        <v>2861</v>
      </c>
      <c r="C423" s="5" t="s">
        <v>2848</v>
      </c>
      <c r="D423" s="5" t="s">
        <v>8</v>
      </c>
      <c r="E423" s="6"/>
      <c r="F423" s="6"/>
      <c r="G423" s="7" t="s">
        <v>2862</v>
      </c>
      <c r="I423" s="8" t="s">
        <v>2863</v>
      </c>
      <c r="J423" s="9">
        <v>26.9</v>
      </c>
      <c r="K423" s="10" t="s">
        <v>11</v>
      </c>
      <c r="L423" s="6"/>
      <c r="M423" s="11" t="s">
        <v>12</v>
      </c>
      <c r="N423" s="6" t="s">
        <v>2864</v>
      </c>
      <c r="O423" s="6" t="s">
        <v>2865</v>
      </c>
      <c r="P423" s="10" t="s">
        <v>15</v>
      </c>
      <c r="Q423" s="6"/>
      <c r="R423" s="6"/>
      <c r="S423" s="6"/>
      <c r="T423" s="6" t="s">
        <v>16</v>
      </c>
      <c r="U423" s="9" t="s">
        <v>17</v>
      </c>
      <c r="AI423" s="6" t="s">
        <v>18</v>
      </c>
      <c r="AJ423" s="12" t="s">
        <v>2853</v>
      </c>
      <c r="AL423" s="13" t="s">
        <v>20</v>
      </c>
    </row>
    <row r="424">
      <c r="A424" s="5" t="s">
        <v>2866</v>
      </c>
      <c r="B424" s="5" t="s">
        <v>2867</v>
      </c>
      <c r="C424" s="5" t="s">
        <v>2848</v>
      </c>
      <c r="D424" s="5" t="s">
        <v>8</v>
      </c>
      <c r="E424" s="6"/>
      <c r="F424" s="6"/>
      <c r="G424" s="7" t="s">
        <v>2868</v>
      </c>
      <c r="I424" s="8" t="s">
        <v>2869</v>
      </c>
      <c r="J424" s="9">
        <v>29.5</v>
      </c>
      <c r="K424" s="10" t="s">
        <v>11</v>
      </c>
      <c r="L424" s="6"/>
      <c r="M424" s="11" t="s">
        <v>12</v>
      </c>
      <c r="N424" s="6" t="s">
        <v>2870</v>
      </c>
      <c r="O424" s="6" t="s">
        <v>2871</v>
      </c>
      <c r="P424" s="10" t="s">
        <v>15</v>
      </c>
      <c r="Q424" s="6"/>
      <c r="R424" s="6"/>
      <c r="S424" s="6"/>
      <c r="T424" s="6" t="s">
        <v>16</v>
      </c>
      <c r="U424" s="9" t="s">
        <v>17</v>
      </c>
      <c r="AI424" s="6" t="s">
        <v>18</v>
      </c>
      <c r="AJ424" s="12" t="s">
        <v>2853</v>
      </c>
      <c r="AL424" s="13" t="s">
        <v>20</v>
      </c>
    </row>
    <row r="425">
      <c r="A425" s="5" t="s">
        <v>2872</v>
      </c>
      <c r="B425" s="5" t="s">
        <v>2873</v>
      </c>
      <c r="C425" s="5" t="s">
        <v>2874</v>
      </c>
      <c r="D425" s="5" t="s">
        <v>8</v>
      </c>
      <c r="E425" s="6"/>
      <c r="F425" s="6"/>
      <c r="G425" s="7" t="s">
        <v>2875</v>
      </c>
      <c r="I425" s="8" t="s">
        <v>2876</v>
      </c>
      <c r="J425" s="9">
        <v>9.5</v>
      </c>
      <c r="K425" s="10" t="s">
        <v>11</v>
      </c>
      <c r="L425" s="6"/>
      <c r="M425" s="11" t="s">
        <v>12</v>
      </c>
      <c r="N425" s="6" t="s">
        <v>2877</v>
      </c>
      <c r="O425" s="6" t="s">
        <v>2878</v>
      </c>
      <c r="P425" s="10" t="s">
        <v>15</v>
      </c>
      <c r="Q425" s="6"/>
      <c r="R425" s="6"/>
      <c r="S425" s="6"/>
      <c r="T425" s="6" t="s">
        <v>16</v>
      </c>
      <c r="U425" s="9" t="s">
        <v>17</v>
      </c>
      <c r="AI425" s="6" t="s">
        <v>18</v>
      </c>
      <c r="AJ425" s="12" t="s">
        <v>2879</v>
      </c>
      <c r="AL425" s="13" t="s">
        <v>20</v>
      </c>
    </row>
    <row r="426">
      <c r="A426" s="5" t="s">
        <v>2880</v>
      </c>
      <c r="B426" s="5" t="s">
        <v>2881</v>
      </c>
      <c r="C426" s="5" t="s">
        <v>2882</v>
      </c>
      <c r="D426" s="5" t="s">
        <v>8</v>
      </c>
      <c r="E426" s="6"/>
      <c r="F426" s="6"/>
      <c r="G426" s="7" t="s">
        <v>2883</v>
      </c>
      <c r="I426" s="8" t="s">
        <v>2884</v>
      </c>
      <c r="J426" s="9">
        <v>10.6</v>
      </c>
      <c r="K426" s="10" t="s">
        <v>11</v>
      </c>
      <c r="L426" s="6"/>
      <c r="M426" s="11" t="s">
        <v>12</v>
      </c>
      <c r="N426" s="6" t="s">
        <v>2885</v>
      </c>
      <c r="O426" s="6" t="s">
        <v>2886</v>
      </c>
      <c r="P426" s="10" t="s">
        <v>15</v>
      </c>
      <c r="Q426" s="6"/>
      <c r="R426" s="6"/>
      <c r="S426" s="6"/>
      <c r="T426" s="6" t="s">
        <v>16</v>
      </c>
      <c r="U426" s="9" t="s">
        <v>17</v>
      </c>
      <c r="AI426" s="6" t="s">
        <v>18</v>
      </c>
      <c r="AJ426" s="12" t="s">
        <v>2887</v>
      </c>
      <c r="AL426" s="13" t="s">
        <v>20</v>
      </c>
    </row>
    <row r="427">
      <c r="A427" s="5" t="s">
        <v>2888</v>
      </c>
      <c r="B427" s="5" t="s">
        <v>2889</v>
      </c>
      <c r="C427" s="5" t="s">
        <v>2882</v>
      </c>
      <c r="D427" s="5" t="s">
        <v>8</v>
      </c>
      <c r="E427" s="6"/>
      <c r="F427" s="6"/>
      <c r="G427" s="7" t="s">
        <v>2890</v>
      </c>
      <c r="I427" s="8" t="s">
        <v>2891</v>
      </c>
      <c r="J427" s="9">
        <v>37.9</v>
      </c>
      <c r="K427" s="10" t="s">
        <v>11</v>
      </c>
      <c r="L427" s="6"/>
      <c r="M427" s="11" t="s">
        <v>12</v>
      </c>
      <c r="N427" s="6" t="s">
        <v>2892</v>
      </c>
      <c r="O427" s="6" t="s">
        <v>2893</v>
      </c>
      <c r="P427" s="10" t="s">
        <v>15</v>
      </c>
      <c r="Q427" s="6"/>
      <c r="R427" s="6"/>
      <c r="S427" s="6"/>
      <c r="T427" s="6" t="s">
        <v>16</v>
      </c>
      <c r="U427" s="9" t="s">
        <v>17</v>
      </c>
      <c r="AI427" s="6" t="s">
        <v>18</v>
      </c>
      <c r="AJ427" s="12" t="s">
        <v>2887</v>
      </c>
      <c r="AL427" s="13" t="s">
        <v>20</v>
      </c>
    </row>
    <row r="428">
      <c r="A428" s="5" t="s">
        <v>2894</v>
      </c>
      <c r="B428" s="5" t="s">
        <v>2895</v>
      </c>
      <c r="C428" s="5" t="s">
        <v>2882</v>
      </c>
      <c r="D428" s="5" t="s">
        <v>8</v>
      </c>
      <c r="E428" s="6"/>
      <c r="F428" s="6"/>
      <c r="G428" s="7" t="s">
        <v>2896</v>
      </c>
      <c r="I428" s="8" t="s">
        <v>2897</v>
      </c>
      <c r="J428" s="9">
        <v>26.9</v>
      </c>
      <c r="K428" s="10" t="s">
        <v>11</v>
      </c>
      <c r="L428" s="6"/>
      <c r="M428" s="11" t="s">
        <v>12</v>
      </c>
      <c r="N428" s="6" t="s">
        <v>2898</v>
      </c>
      <c r="O428" s="6" t="s">
        <v>2899</v>
      </c>
      <c r="P428" s="10" t="s">
        <v>15</v>
      </c>
      <c r="Q428" s="6"/>
      <c r="R428" s="6"/>
      <c r="S428" s="6"/>
      <c r="T428" s="6" t="s">
        <v>16</v>
      </c>
      <c r="U428" s="9" t="s">
        <v>17</v>
      </c>
      <c r="AI428" s="6" t="s">
        <v>18</v>
      </c>
      <c r="AJ428" s="12" t="s">
        <v>2887</v>
      </c>
      <c r="AL428" s="13" t="s">
        <v>20</v>
      </c>
    </row>
    <row r="429">
      <c r="A429" s="5" t="s">
        <v>2900</v>
      </c>
      <c r="B429" s="5" t="s">
        <v>2901</v>
      </c>
      <c r="C429" s="5" t="s">
        <v>2882</v>
      </c>
      <c r="D429" s="5" t="s">
        <v>8</v>
      </c>
      <c r="E429" s="6"/>
      <c r="F429" s="6"/>
      <c r="G429" s="7" t="s">
        <v>2902</v>
      </c>
      <c r="I429" s="8" t="s">
        <v>2903</v>
      </c>
      <c r="J429" s="9">
        <v>28.3</v>
      </c>
      <c r="K429" s="10" t="s">
        <v>11</v>
      </c>
      <c r="L429" s="6"/>
      <c r="M429" s="11" t="s">
        <v>12</v>
      </c>
      <c r="N429" s="6" t="s">
        <v>2904</v>
      </c>
      <c r="O429" s="6" t="s">
        <v>2905</v>
      </c>
      <c r="P429" s="10" t="s">
        <v>15</v>
      </c>
      <c r="Q429" s="6"/>
      <c r="R429" s="6"/>
      <c r="S429" s="6"/>
      <c r="T429" s="6" t="s">
        <v>16</v>
      </c>
      <c r="U429" s="9" t="s">
        <v>17</v>
      </c>
      <c r="AI429" s="6" t="s">
        <v>18</v>
      </c>
      <c r="AJ429" s="12" t="s">
        <v>2887</v>
      </c>
      <c r="AL429" s="13" t="s">
        <v>20</v>
      </c>
    </row>
    <row r="430">
      <c r="A430" s="5" t="s">
        <v>2906</v>
      </c>
      <c r="B430" s="5" t="s">
        <v>2907</v>
      </c>
      <c r="C430" s="5" t="s">
        <v>2908</v>
      </c>
      <c r="D430" s="5" t="s">
        <v>8</v>
      </c>
      <c r="E430" s="6"/>
      <c r="F430" s="6"/>
      <c r="G430" s="7" t="s">
        <v>2909</v>
      </c>
      <c r="I430" s="8" t="s">
        <v>2910</v>
      </c>
      <c r="J430" s="9">
        <v>10.9</v>
      </c>
      <c r="K430" s="10" t="s">
        <v>11</v>
      </c>
      <c r="L430" s="6"/>
      <c r="M430" s="11" t="s">
        <v>12</v>
      </c>
      <c r="N430" s="6" t="s">
        <v>2911</v>
      </c>
      <c r="O430" s="6" t="s">
        <v>2912</v>
      </c>
      <c r="P430" s="10" t="s">
        <v>15</v>
      </c>
      <c r="Q430" s="6"/>
      <c r="R430" s="6"/>
      <c r="S430" s="6"/>
      <c r="T430" s="6" t="s">
        <v>16</v>
      </c>
      <c r="U430" s="9" t="s">
        <v>17</v>
      </c>
      <c r="AI430" s="6" t="s">
        <v>18</v>
      </c>
      <c r="AJ430" s="12" t="s">
        <v>2913</v>
      </c>
      <c r="AL430" s="13" t="s">
        <v>20</v>
      </c>
    </row>
    <row r="431">
      <c r="A431" s="5" t="s">
        <v>2914</v>
      </c>
      <c r="B431" s="5" t="s">
        <v>2915</v>
      </c>
      <c r="C431" s="5" t="s">
        <v>2908</v>
      </c>
      <c r="D431" s="5" t="s">
        <v>8</v>
      </c>
      <c r="E431" s="6"/>
      <c r="F431" s="6"/>
      <c r="G431" s="7" t="s">
        <v>2916</v>
      </c>
      <c r="I431" s="8" t="s">
        <v>2917</v>
      </c>
      <c r="J431" s="9">
        <v>37.9</v>
      </c>
      <c r="K431" s="10" t="s">
        <v>11</v>
      </c>
      <c r="L431" s="6"/>
      <c r="M431" s="11" t="s">
        <v>12</v>
      </c>
      <c r="N431" s="6" t="s">
        <v>2918</v>
      </c>
      <c r="O431" s="6" t="s">
        <v>2919</v>
      </c>
      <c r="P431" s="10" t="s">
        <v>15</v>
      </c>
      <c r="Q431" s="6"/>
      <c r="R431" s="6"/>
      <c r="S431" s="6"/>
      <c r="T431" s="6" t="s">
        <v>16</v>
      </c>
      <c r="U431" s="9" t="s">
        <v>17</v>
      </c>
      <c r="AI431" s="6" t="s">
        <v>18</v>
      </c>
      <c r="AJ431" s="12" t="s">
        <v>2913</v>
      </c>
      <c r="AL431" s="13" t="s">
        <v>20</v>
      </c>
    </row>
    <row r="432">
      <c r="A432" s="5" t="s">
        <v>2920</v>
      </c>
      <c r="B432" s="5" t="s">
        <v>2921</v>
      </c>
      <c r="C432" s="5" t="s">
        <v>2908</v>
      </c>
      <c r="D432" s="5" t="s">
        <v>8</v>
      </c>
      <c r="E432" s="6"/>
      <c r="F432" s="6"/>
      <c r="G432" s="7" t="s">
        <v>2922</v>
      </c>
      <c r="I432" s="8" t="s">
        <v>2923</v>
      </c>
      <c r="J432" s="9">
        <v>26.9</v>
      </c>
      <c r="K432" s="10" t="s">
        <v>11</v>
      </c>
      <c r="L432" s="6"/>
      <c r="M432" s="11" t="s">
        <v>12</v>
      </c>
      <c r="N432" s="6" t="s">
        <v>2924</v>
      </c>
      <c r="O432" s="6" t="s">
        <v>2925</v>
      </c>
      <c r="P432" s="10" t="s">
        <v>15</v>
      </c>
      <c r="Q432" s="6"/>
      <c r="R432" s="6"/>
      <c r="S432" s="6"/>
      <c r="T432" s="6" t="s">
        <v>16</v>
      </c>
      <c r="U432" s="9" t="s">
        <v>17</v>
      </c>
      <c r="AI432" s="6" t="s">
        <v>18</v>
      </c>
      <c r="AJ432" s="12" t="s">
        <v>2913</v>
      </c>
      <c r="AL432" s="13" t="s">
        <v>20</v>
      </c>
    </row>
    <row r="433">
      <c r="A433" s="5" t="s">
        <v>2926</v>
      </c>
      <c r="B433" s="5" t="s">
        <v>2927</v>
      </c>
      <c r="C433" s="5" t="s">
        <v>2908</v>
      </c>
      <c r="D433" s="5" t="s">
        <v>8</v>
      </c>
      <c r="E433" s="6"/>
      <c r="F433" s="6"/>
      <c r="G433" s="7" t="s">
        <v>2928</v>
      </c>
      <c r="I433" s="8" t="s">
        <v>2929</v>
      </c>
      <c r="J433" s="9">
        <v>29.5</v>
      </c>
      <c r="K433" s="10" t="s">
        <v>11</v>
      </c>
      <c r="L433" s="6"/>
      <c r="M433" s="11" t="s">
        <v>12</v>
      </c>
      <c r="N433" s="6" t="s">
        <v>2930</v>
      </c>
      <c r="O433" s="6" t="s">
        <v>2931</v>
      </c>
      <c r="P433" s="10" t="s">
        <v>15</v>
      </c>
      <c r="Q433" s="6"/>
      <c r="R433" s="6"/>
      <c r="S433" s="6"/>
      <c r="T433" s="6" t="s">
        <v>16</v>
      </c>
      <c r="U433" s="9" t="s">
        <v>17</v>
      </c>
      <c r="AI433" s="6" t="s">
        <v>18</v>
      </c>
      <c r="AJ433" s="12" t="s">
        <v>2913</v>
      </c>
      <c r="AL433" s="13" t="s">
        <v>20</v>
      </c>
    </row>
    <row r="434">
      <c r="A434" s="5" t="s">
        <v>2932</v>
      </c>
      <c r="B434" s="5" t="s">
        <v>2933</v>
      </c>
      <c r="C434" s="5" t="s">
        <v>2934</v>
      </c>
      <c r="D434" s="5" t="s">
        <v>8</v>
      </c>
      <c r="E434" s="6"/>
      <c r="F434" s="6"/>
      <c r="G434" s="7" t="s">
        <v>2935</v>
      </c>
      <c r="I434" s="8" t="s">
        <v>2936</v>
      </c>
      <c r="J434" s="9">
        <v>12.5</v>
      </c>
      <c r="K434" s="10" t="s">
        <v>11</v>
      </c>
      <c r="L434" s="6"/>
      <c r="M434" s="11" t="s">
        <v>12</v>
      </c>
      <c r="N434" s="6" t="s">
        <v>2937</v>
      </c>
      <c r="O434" s="6" t="s">
        <v>2938</v>
      </c>
      <c r="P434" s="10" t="s">
        <v>15</v>
      </c>
      <c r="Q434" s="6" t="s">
        <v>2939</v>
      </c>
      <c r="R434" s="6"/>
      <c r="S434" s="15" t="s">
        <v>2940</v>
      </c>
      <c r="T434" s="6" t="s">
        <v>16</v>
      </c>
      <c r="U434" s="9" t="s">
        <v>17</v>
      </c>
      <c r="AI434" s="6" t="s">
        <v>2941</v>
      </c>
      <c r="AJ434" s="12" t="s">
        <v>2942</v>
      </c>
      <c r="AL434" s="13" t="s">
        <v>2943</v>
      </c>
    </row>
    <row r="435">
      <c r="A435" s="5" t="s">
        <v>2944</v>
      </c>
      <c r="B435" s="5" t="s">
        <v>2945</v>
      </c>
      <c r="C435" s="5" t="s">
        <v>2946</v>
      </c>
      <c r="D435" s="5" t="s">
        <v>8</v>
      </c>
      <c r="E435" s="6"/>
      <c r="F435" s="6"/>
      <c r="G435" s="7" t="s">
        <v>2947</v>
      </c>
      <c r="I435" s="8" t="s">
        <v>2948</v>
      </c>
      <c r="J435" s="9">
        <v>9.5</v>
      </c>
      <c r="K435" s="10" t="s">
        <v>11</v>
      </c>
      <c r="L435" s="6"/>
      <c r="M435" s="11" t="s">
        <v>12</v>
      </c>
      <c r="N435" s="6" t="s">
        <v>2949</v>
      </c>
      <c r="O435" s="6" t="s">
        <v>2950</v>
      </c>
      <c r="P435" s="10" t="s">
        <v>15</v>
      </c>
      <c r="Q435" s="6" t="s">
        <v>2951</v>
      </c>
      <c r="R435" s="6"/>
      <c r="S435" s="15" t="s">
        <v>2952</v>
      </c>
      <c r="T435" s="6" t="s">
        <v>16</v>
      </c>
      <c r="U435" s="9" t="s">
        <v>17</v>
      </c>
      <c r="AI435" s="6" t="s">
        <v>2941</v>
      </c>
      <c r="AJ435" s="12" t="s">
        <v>2953</v>
      </c>
      <c r="AL435" s="13" t="s">
        <v>2943</v>
      </c>
    </row>
    <row r="436">
      <c r="A436" s="5" t="s">
        <v>2954</v>
      </c>
      <c r="B436" s="5" t="s">
        <v>2955</v>
      </c>
      <c r="C436" s="5" t="s">
        <v>2946</v>
      </c>
      <c r="D436" s="5" t="s">
        <v>8</v>
      </c>
      <c r="E436" s="6"/>
      <c r="F436" s="6"/>
      <c r="G436" s="7" t="s">
        <v>2956</v>
      </c>
      <c r="I436" s="8" t="s">
        <v>2957</v>
      </c>
      <c r="J436" s="9">
        <v>11.5</v>
      </c>
      <c r="K436" s="10" t="s">
        <v>11</v>
      </c>
      <c r="L436" s="6"/>
      <c r="M436" s="11" t="s">
        <v>12</v>
      </c>
      <c r="N436" s="6" t="s">
        <v>2958</v>
      </c>
      <c r="O436" s="6" t="s">
        <v>2959</v>
      </c>
      <c r="P436" s="10" t="s">
        <v>15</v>
      </c>
      <c r="Q436" s="6" t="s">
        <v>2951</v>
      </c>
      <c r="R436" s="6"/>
      <c r="S436" s="15" t="s">
        <v>2952</v>
      </c>
      <c r="T436" s="6" t="s">
        <v>16</v>
      </c>
      <c r="U436" s="9" t="s">
        <v>17</v>
      </c>
      <c r="AI436" s="6" t="s">
        <v>2941</v>
      </c>
      <c r="AJ436" s="12" t="s">
        <v>2953</v>
      </c>
      <c r="AL436" s="13" t="s">
        <v>2943</v>
      </c>
    </row>
    <row r="437">
      <c r="A437" s="5" t="s">
        <v>2960</v>
      </c>
      <c r="B437" s="5" t="s">
        <v>2961</v>
      </c>
      <c r="C437" s="5" t="s">
        <v>2962</v>
      </c>
      <c r="D437" s="5" t="s">
        <v>8</v>
      </c>
      <c r="E437" s="6"/>
      <c r="F437" s="6"/>
      <c r="G437" s="7" t="s">
        <v>2963</v>
      </c>
      <c r="I437" s="8" t="s">
        <v>2964</v>
      </c>
      <c r="J437" s="9">
        <v>10.8</v>
      </c>
      <c r="K437" s="10" t="s">
        <v>11</v>
      </c>
      <c r="L437" s="6"/>
      <c r="M437" s="11" t="s">
        <v>12</v>
      </c>
      <c r="N437" s="6" t="s">
        <v>2965</v>
      </c>
      <c r="O437" s="6" t="s">
        <v>2966</v>
      </c>
      <c r="P437" s="10" t="s">
        <v>15</v>
      </c>
      <c r="Q437" s="6"/>
      <c r="R437" s="6"/>
      <c r="S437" s="6"/>
      <c r="T437" s="6" t="s">
        <v>16</v>
      </c>
      <c r="U437" s="9" t="s">
        <v>17</v>
      </c>
      <c r="AI437" s="6" t="s">
        <v>18</v>
      </c>
      <c r="AJ437" s="12" t="s">
        <v>2967</v>
      </c>
      <c r="AL437" s="13" t="s">
        <v>20</v>
      </c>
    </row>
    <row r="438">
      <c r="A438" s="5" t="s">
        <v>2968</v>
      </c>
      <c r="B438" s="5" t="s">
        <v>2969</v>
      </c>
      <c r="C438" s="5" t="s">
        <v>2962</v>
      </c>
      <c r="D438" s="5" t="s">
        <v>8</v>
      </c>
      <c r="E438" s="6"/>
      <c r="F438" s="6"/>
      <c r="G438" s="7" t="s">
        <v>2970</v>
      </c>
      <c r="I438" s="8" t="s">
        <v>2971</v>
      </c>
      <c r="J438" s="9">
        <v>29.2</v>
      </c>
      <c r="K438" s="10" t="s">
        <v>11</v>
      </c>
      <c r="L438" s="6"/>
      <c r="M438" s="11" t="s">
        <v>12</v>
      </c>
      <c r="N438" s="6" t="s">
        <v>2972</v>
      </c>
      <c r="O438" s="6" t="s">
        <v>2973</v>
      </c>
      <c r="P438" s="10" t="s">
        <v>15</v>
      </c>
      <c r="Q438" s="6"/>
      <c r="R438" s="6"/>
      <c r="S438" s="6"/>
      <c r="T438" s="6" t="s">
        <v>16</v>
      </c>
      <c r="U438" s="9" t="s">
        <v>17</v>
      </c>
      <c r="AI438" s="6" t="s">
        <v>18</v>
      </c>
      <c r="AJ438" s="12" t="s">
        <v>2967</v>
      </c>
      <c r="AL438" s="13" t="s">
        <v>20</v>
      </c>
    </row>
    <row r="439">
      <c r="A439" s="5" t="s">
        <v>2974</v>
      </c>
      <c r="B439" s="5" t="s">
        <v>2975</v>
      </c>
      <c r="C439" s="5" t="s">
        <v>2976</v>
      </c>
      <c r="D439" s="5" t="s">
        <v>8</v>
      </c>
      <c r="E439" s="6"/>
      <c r="F439" s="6"/>
      <c r="G439" s="7" t="s">
        <v>2977</v>
      </c>
      <c r="I439" s="8" t="s">
        <v>2978</v>
      </c>
      <c r="J439" s="9">
        <v>7.9</v>
      </c>
      <c r="K439" s="10" t="s">
        <v>11</v>
      </c>
      <c r="L439" s="6"/>
      <c r="M439" s="11" t="s">
        <v>12</v>
      </c>
      <c r="N439" s="6" t="s">
        <v>2979</v>
      </c>
      <c r="O439" s="6" t="s">
        <v>2980</v>
      </c>
      <c r="P439" s="10" t="s">
        <v>15</v>
      </c>
      <c r="Q439" s="6"/>
      <c r="R439" s="6"/>
      <c r="S439" s="6"/>
      <c r="T439" s="6" t="s">
        <v>16</v>
      </c>
      <c r="U439" s="9" t="s">
        <v>17</v>
      </c>
      <c r="AI439" s="6" t="s">
        <v>18</v>
      </c>
      <c r="AJ439" s="12" t="s">
        <v>2981</v>
      </c>
      <c r="AL439" s="13" t="s">
        <v>20</v>
      </c>
    </row>
    <row r="440">
      <c r="A440" s="5" t="s">
        <v>2982</v>
      </c>
      <c r="B440" s="5" t="s">
        <v>2983</v>
      </c>
      <c r="C440" s="5" t="s">
        <v>2984</v>
      </c>
      <c r="D440" s="5" t="s">
        <v>8</v>
      </c>
      <c r="E440" s="6"/>
      <c r="F440" s="6"/>
      <c r="G440" s="7" t="s">
        <v>2985</v>
      </c>
      <c r="I440" s="8" t="s">
        <v>2986</v>
      </c>
      <c r="J440" s="9">
        <v>9.9</v>
      </c>
      <c r="K440" s="10" t="s">
        <v>11</v>
      </c>
      <c r="L440" s="6"/>
      <c r="M440" s="11" t="s">
        <v>12</v>
      </c>
      <c r="N440" s="6" t="s">
        <v>2987</v>
      </c>
      <c r="O440" s="6" t="s">
        <v>2988</v>
      </c>
      <c r="P440" s="10" t="s">
        <v>15</v>
      </c>
      <c r="Q440" s="6"/>
      <c r="R440" s="6"/>
      <c r="S440" s="6"/>
      <c r="T440" s="6" t="s">
        <v>16</v>
      </c>
      <c r="U440" s="9" t="s">
        <v>17</v>
      </c>
      <c r="AI440" s="6" t="s">
        <v>18</v>
      </c>
      <c r="AJ440" s="12" t="s">
        <v>2989</v>
      </c>
      <c r="AL440" s="13" t="s">
        <v>20</v>
      </c>
    </row>
    <row r="441">
      <c r="A441" s="5" t="s">
        <v>2990</v>
      </c>
      <c r="B441" s="5" t="s">
        <v>2991</v>
      </c>
      <c r="C441" s="5" t="s">
        <v>2992</v>
      </c>
      <c r="D441" s="5" t="s">
        <v>8</v>
      </c>
      <c r="E441" s="6"/>
      <c r="F441" s="6"/>
      <c r="G441" s="7" t="s">
        <v>2993</v>
      </c>
      <c r="I441" s="8" t="s">
        <v>2994</v>
      </c>
      <c r="J441" s="9">
        <v>9.9</v>
      </c>
      <c r="K441" s="10" t="s">
        <v>11</v>
      </c>
      <c r="L441" s="6"/>
      <c r="M441" s="11" t="s">
        <v>12</v>
      </c>
      <c r="N441" s="6" t="s">
        <v>2995</v>
      </c>
      <c r="O441" s="6" t="s">
        <v>2996</v>
      </c>
      <c r="P441" s="10" t="s">
        <v>15</v>
      </c>
      <c r="Q441" s="6"/>
      <c r="R441" s="6"/>
      <c r="S441" s="6"/>
      <c r="T441" s="6" t="s">
        <v>16</v>
      </c>
      <c r="U441" s="9" t="s">
        <v>17</v>
      </c>
      <c r="AI441" s="6" t="s">
        <v>18</v>
      </c>
      <c r="AJ441" s="12" t="s">
        <v>2997</v>
      </c>
      <c r="AL441" s="13" t="s">
        <v>20</v>
      </c>
    </row>
    <row r="442">
      <c r="A442" s="5" t="s">
        <v>2998</v>
      </c>
      <c r="B442" s="5" t="s">
        <v>2999</v>
      </c>
      <c r="C442" s="5" t="s">
        <v>2992</v>
      </c>
      <c r="D442" s="5" t="s">
        <v>8</v>
      </c>
      <c r="E442" s="6"/>
      <c r="F442" s="6"/>
      <c r="G442" s="7" t="s">
        <v>3000</v>
      </c>
      <c r="I442" s="8" t="s">
        <v>3001</v>
      </c>
      <c r="J442" s="9">
        <v>29.5</v>
      </c>
      <c r="K442" s="10" t="s">
        <v>11</v>
      </c>
      <c r="L442" s="6"/>
      <c r="M442" s="11" t="s">
        <v>12</v>
      </c>
      <c r="N442" s="6" t="s">
        <v>3002</v>
      </c>
      <c r="O442" s="6" t="s">
        <v>3003</v>
      </c>
      <c r="P442" s="10" t="s">
        <v>15</v>
      </c>
      <c r="Q442" s="6"/>
      <c r="R442" s="6"/>
      <c r="S442" s="6"/>
      <c r="T442" s="6" t="s">
        <v>16</v>
      </c>
      <c r="U442" s="9" t="s">
        <v>17</v>
      </c>
      <c r="AI442" s="6" t="s">
        <v>18</v>
      </c>
      <c r="AJ442" s="12" t="s">
        <v>2997</v>
      </c>
      <c r="AL442" s="13" t="s">
        <v>20</v>
      </c>
    </row>
    <row r="443">
      <c r="A443" s="5" t="s">
        <v>3004</v>
      </c>
      <c r="B443" s="5" t="s">
        <v>3005</v>
      </c>
      <c r="C443" s="5" t="s">
        <v>2984</v>
      </c>
      <c r="D443" s="5" t="s">
        <v>8</v>
      </c>
      <c r="E443" s="6"/>
      <c r="F443" s="6"/>
      <c r="G443" s="7" t="s">
        <v>3006</v>
      </c>
      <c r="I443" s="8" t="s">
        <v>3007</v>
      </c>
      <c r="J443" s="9">
        <v>29.4</v>
      </c>
      <c r="K443" s="10" t="s">
        <v>11</v>
      </c>
      <c r="L443" s="6"/>
      <c r="M443" s="11" t="s">
        <v>12</v>
      </c>
      <c r="N443" s="6" t="s">
        <v>3008</v>
      </c>
      <c r="O443" s="6" t="s">
        <v>3009</v>
      </c>
      <c r="P443" s="10" t="s">
        <v>15</v>
      </c>
      <c r="Q443" s="6"/>
      <c r="R443" s="6"/>
      <c r="S443" s="6"/>
      <c r="T443" s="6" t="s">
        <v>16</v>
      </c>
      <c r="U443" s="9" t="s">
        <v>17</v>
      </c>
      <c r="AI443" s="6" t="s">
        <v>18</v>
      </c>
      <c r="AJ443" s="12" t="s">
        <v>2989</v>
      </c>
      <c r="AL443" s="13" t="s">
        <v>20</v>
      </c>
    </row>
    <row r="444">
      <c r="A444" s="5" t="s">
        <v>3010</v>
      </c>
      <c r="B444" s="5" t="s">
        <v>3011</v>
      </c>
      <c r="C444" s="5" t="s">
        <v>3012</v>
      </c>
      <c r="D444" s="5" t="s">
        <v>8</v>
      </c>
      <c r="E444" s="6"/>
      <c r="F444" s="6"/>
      <c r="G444" s="7" t="s">
        <v>3013</v>
      </c>
      <c r="I444" s="8" t="s">
        <v>3014</v>
      </c>
      <c r="J444" s="9">
        <v>10.8</v>
      </c>
      <c r="K444" s="10" t="s">
        <v>11</v>
      </c>
      <c r="L444" s="6"/>
      <c r="M444" s="11" t="s">
        <v>12</v>
      </c>
      <c r="N444" s="6" t="s">
        <v>3015</v>
      </c>
      <c r="O444" s="6" t="s">
        <v>3016</v>
      </c>
      <c r="P444" s="10" t="s">
        <v>15</v>
      </c>
      <c r="Q444" s="6"/>
      <c r="R444" s="6"/>
      <c r="S444" s="6"/>
      <c r="T444" s="6" t="s">
        <v>16</v>
      </c>
      <c r="U444" s="9" t="s">
        <v>17</v>
      </c>
      <c r="AI444" s="6" t="s">
        <v>18</v>
      </c>
      <c r="AJ444" s="12" t="s">
        <v>3017</v>
      </c>
      <c r="AL444" s="13" t="s">
        <v>20</v>
      </c>
    </row>
    <row r="445">
      <c r="A445" s="5" t="s">
        <v>3018</v>
      </c>
      <c r="B445" s="5" t="s">
        <v>3019</v>
      </c>
      <c r="C445" s="5" t="s">
        <v>3012</v>
      </c>
      <c r="D445" s="5" t="s">
        <v>8</v>
      </c>
      <c r="E445" s="6"/>
      <c r="F445" s="6"/>
      <c r="G445" s="7" t="s">
        <v>3020</v>
      </c>
      <c r="I445" s="8" t="s">
        <v>3021</v>
      </c>
      <c r="J445" s="9">
        <v>29.2</v>
      </c>
      <c r="K445" s="10" t="s">
        <v>11</v>
      </c>
      <c r="L445" s="6"/>
      <c r="M445" s="11" t="s">
        <v>12</v>
      </c>
      <c r="N445" s="6" t="s">
        <v>3022</v>
      </c>
      <c r="O445" s="6" t="s">
        <v>3023</v>
      </c>
      <c r="P445" s="10" t="s">
        <v>15</v>
      </c>
      <c r="Q445" s="6"/>
      <c r="R445" s="6"/>
      <c r="S445" s="6"/>
      <c r="T445" s="6" t="s">
        <v>16</v>
      </c>
      <c r="U445" s="9" t="s">
        <v>17</v>
      </c>
      <c r="AI445" s="6" t="s">
        <v>18</v>
      </c>
      <c r="AJ445" s="12" t="s">
        <v>3017</v>
      </c>
      <c r="AL445" s="13" t="s">
        <v>20</v>
      </c>
    </row>
    <row r="446">
      <c r="A446" s="5" t="s">
        <v>3024</v>
      </c>
      <c r="B446" s="5" t="s">
        <v>3025</v>
      </c>
      <c r="C446" s="5" t="s">
        <v>3026</v>
      </c>
      <c r="D446" s="5" t="s">
        <v>8</v>
      </c>
      <c r="E446" s="6"/>
      <c r="F446" s="6"/>
      <c r="G446" s="7" t="s">
        <v>3027</v>
      </c>
      <c r="I446" s="8" t="s">
        <v>3028</v>
      </c>
      <c r="J446" s="9">
        <v>9.9</v>
      </c>
      <c r="K446" s="10" t="s">
        <v>11</v>
      </c>
      <c r="L446" s="6"/>
      <c r="M446" s="11" t="s">
        <v>12</v>
      </c>
      <c r="N446" s="6" t="s">
        <v>3029</v>
      </c>
      <c r="O446" s="6" t="s">
        <v>3030</v>
      </c>
      <c r="P446" s="10" t="s">
        <v>15</v>
      </c>
      <c r="Q446" s="6"/>
      <c r="R446" s="6"/>
      <c r="S446" s="6"/>
      <c r="T446" s="6" t="s">
        <v>16</v>
      </c>
      <c r="U446" s="9" t="s">
        <v>17</v>
      </c>
      <c r="AI446" s="6" t="s">
        <v>18</v>
      </c>
      <c r="AJ446" s="12" t="s">
        <v>3031</v>
      </c>
      <c r="AL446" s="13" t="s">
        <v>20</v>
      </c>
    </row>
    <row r="447">
      <c r="A447" s="5" t="s">
        <v>3032</v>
      </c>
      <c r="B447" s="5" t="s">
        <v>3033</v>
      </c>
      <c r="C447" s="5" t="s">
        <v>3026</v>
      </c>
      <c r="D447" s="5" t="s">
        <v>8</v>
      </c>
      <c r="E447" s="6"/>
      <c r="F447" s="6"/>
      <c r="G447" s="7" t="s">
        <v>3034</v>
      </c>
      <c r="I447" s="8" t="s">
        <v>3035</v>
      </c>
      <c r="J447" s="9">
        <v>29.5</v>
      </c>
      <c r="K447" s="10" t="s">
        <v>11</v>
      </c>
      <c r="L447" s="6"/>
      <c r="M447" s="11" t="s">
        <v>12</v>
      </c>
      <c r="N447" s="6" t="s">
        <v>3036</v>
      </c>
      <c r="O447" s="6" t="s">
        <v>3037</v>
      </c>
      <c r="P447" s="10" t="s">
        <v>15</v>
      </c>
      <c r="Q447" s="6"/>
      <c r="R447" s="6"/>
      <c r="S447" s="6"/>
      <c r="T447" s="6" t="s">
        <v>16</v>
      </c>
      <c r="U447" s="9" t="s">
        <v>17</v>
      </c>
      <c r="AI447" s="6" t="s">
        <v>18</v>
      </c>
      <c r="AJ447" s="12" t="s">
        <v>3031</v>
      </c>
      <c r="AL447" s="13" t="s">
        <v>20</v>
      </c>
    </row>
    <row r="448">
      <c r="A448" s="5" t="s">
        <v>3038</v>
      </c>
      <c r="B448" s="5" t="s">
        <v>3039</v>
      </c>
      <c r="C448" s="5" t="s">
        <v>3040</v>
      </c>
      <c r="D448" s="5" t="s">
        <v>8</v>
      </c>
      <c r="E448" s="6"/>
      <c r="F448" s="6"/>
      <c r="G448" s="7" t="s">
        <v>3041</v>
      </c>
      <c r="I448" s="8" t="s">
        <v>3042</v>
      </c>
      <c r="J448" s="9">
        <v>11.9</v>
      </c>
      <c r="K448" s="10" t="s">
        <v>11</v>
      </c>
      <c r="L448" s="6"/>
      <c r="M448" s="11" t="s">
        <v>12</v>
      </c>
      <c r="N448" s="6" t="s">
        <v>3043</v>
      </c>
      <c r="O448" s="6" t="s">
        <v>3044</v>
      </c>
      <c r="P448" s="10" t="s">
        <v>15</v>
      </c>
      <c r="Q448" s="6"/>
      <c r="R448" s="6"/>
      <c r="S448" s="6"/>
      <c r="T448" s="6" t="s">
        <v>16</v>
      </c>
      <c r="U448" s="9" t="s">
        <v>17</v>
      </c>
      <c r="AI448" s="6" t="s">
        <v>18</v>
      </c>
      <c r="AJ448" s="12" t="s">
        <v>3045</v>
      </c>
      <c r="AL448" s="13" t="s">
        <v>20</v>
      </c>
    </row>
    <row r="449">
      <c r="A449" s="5" t="s">
        <v>3046</v>
      </c>
      <c r="B449" s="5" t="s">
        <v>3047</v>
      </c>
      <c r="C449" s="5" t="s">
        <v>3040</v>
      </c>
      <c r="D449" s="5" t="s">
        <v>8</v>
      </c>
      <c r="E449" s="6"/>
      <c r="F449" s="6"/>
      <c r="G449" s="7" t="s">
        <v>3048</v>
      </c>
      <c r="I449" s="8" t="s">
        <v>3049</v>
      </c>
      <c r="J449" s="9">
        <v>38.9</v>
      </c>
      <c r="K449" s="10" t="s">
        <v>11</v>
      </c>
      <c r="L449" s="6"/>
      <c r="M449" s="11" t="s">
        <v>12</v>
      </c>
      <c r="N449" s="6" t="s">
        <v>3050</v>
      </c>
      <c r="O449" s="6" t="s">
        <v>3051</v>
      </c>
      <c r="P449" s="10" t="s">
        <v>15</v>
      </c>
      <c r="Q449" s="6"/>
      <c r="R449" s="6"/>
      <c r="S449" s="6"/>
      <c r="T449" s="6" t="s">
        <v>16</v>
      </c>
      <c r="U449" s="9" t="s">
        <v>17</v>
      </c>
      <c r="AI449" s="6" t="s">
        <v>18</v>
      </c>
      <c r="AJ449" s="12" t="s">
        <v>3045</v>
      </c>
      <c r="AL449" s="13" t="s">
        <v>20</v>
      </c>
    </row>
    <row r="450">
      <c r="A450" s="5" t="s">
        <v>3052</v>
      </c>
      <c r="B450" s="5" t="s">
        <v>3053</v>
      </c>
      <c r="C450" s="5" t="s">
        <v>3040</v>
      </c>
      <c r="D450" s="5" t="s">
        <v>8</v>
      </c>
      <c r="E450" s="6"/>
      <c r="F450" s="6"/>
      <c r="G450" s="7" t="s">
        <v>3054</v>
      </c>
      <c r="I450" s="8" t="s">
        <v>3055</v>
      </c>
      <c r="J450" s="9">
        <v>26.9</v>
      </c>
      <c r="K450" s="10" t="s">
        <v>11</v>
      </c>
      <c r="L450" s="6"/>
      <c r="M450" s="11" t="s">
        <v>12</v>
      </c>
      <c r="N450" s="6" t="s">
        <v>3056</v>
      </c>
      <c r="O450" s="6" t="s">
        <v>3057</v>
      </c>
      <c r="P450" s="10" t="s">
        <v>15</v>
      </c>
      <c r="Q450" s="6"/>
      <c r="R450" s="6"/>
      <c r="S450" s="6"/>
      <c r="T450" s="6" t="s">
        <v>16</v>
      </c>
      <c r="U450" s="9" t="s">
        <v>17</v>
      </c>
      <c r="AI450" s="6" t="s">
        <v>18</v>
      </c>
      <c r="AJ450" s="12" t="s">
        <v>3045</v>
      </c>
      <c r="AL450" s="13" t="s">
        <v>20</v>
      </c>
    </row>
    <row r="451">
      <c r="A451" s="5" t="s">
        <v>3058</v>
      </c>
      <c r="B451" s="5" t="s">
        <v>3059</v>
      </c>
      <c r="C451" s="5" t="s">
        <v>3060</v>
      </c>
      <c r="D451" s="5" t="s">
        <v>8</v>
      </c>
      <c r="E451" s="6"/>
      <c r="F451" s="6"/>
      <c r="G451" s="7" t="s">
        <v>3061</v>
      </c>
      <c r="I451" s="8" t="s">
        <v>3062</v>
      </c>
      <c r="J451" s="9">
        <v>10.6</v>
      </c>
      <c r="K451" s="10" t="s">
        <v>11</v>
      </c>
      <c r="L451" s="6"/>
      <c r="M451" s="11" t="s">
        <v>12</v>
      </c>
      <c r="N451" s="6" t="s">
        <v>3063</v>
      </c>
      <c r="O451" s="6" t="s">
        <v>3064</v>
      </c>
      <c r="P451" s="10" t="s">
        <v>15</v>
      </c>
      <c r="Q451" s="6"/>
      <c r="R451" s="6"/>
      <c r="S451" s="6"/>
      <c r="T451" s="6" t="s">
        <v>16</v>
      </c>
      <c r="U451" s="9" t="s">
        <v>17</v>
      </c>
      <c r="AI451" s="6" t="s">
        <v>18</v>
      </c>
      <c r="AJ451" s="12" t="s">
        <v>3065</v>
      </c>
      <c r="AL451" s="13" t="s">
        <v>20</v>
      </c>
    </row>
    <row r="452">
      <c r="A452" s="5" t="s">
        <v>3066</v>
      </c>
      <c r="B452" s="5" t="s">
        <v>3067</v>
      </c>
      <c r="C452" s="5" t="s">
        <v>3068</v>
      </c>
      <c r="D452" s="5" t="s">
        <v>8</v>
      </c>
      <c r="E452" s="6"/>
      <c r="F452" s="6"/>
      <c r="G452" s="7" t="s">
        <v>3069</v>
      </c>
      <c r="I452" s="8" t="s">
        <v>3070</v>
      </c>
      <c r="J452" s="9">
        <v>8.5</v>
      </c>
      <c r="K452" s="10" t="s">
        <v>11</v>
      </c>
      <c r="L452" s="6"/>
      <c r="M452" s="11" t="s">
        <v>12</v>
      </c>
      <c r="N452" s="6" t="s">
        <v>3071</v>
      </c>
      <c r="O452" s="6" t="s">
        <v>3072</v>
      </c>
      <c r="P452" s="10" t="s">
        <v>15</v>
      </c>
      <c r="Q452" s="6"/>
      <c r="R452" s="6"/>
      <c r="S452" s="6"/>
      <c r="T452" s="6" t="s">
        <v>16</v>
      </c>
      <c r="U452" s="9" t="s">
        <v>17</v>
      </c>
      <c r="AI452" s="6" t="s">
        <v>18</v>
      </c>
      <c r="AJ452" s="12" t="s">
        <v>3073</v>
      </c>
      <c r="AL452" s="13" t="s">
        <v>20</v>
      </c>
    </row>
    <row r="453">
      <c r="A453" s="5" t="s">
        <v>3074</v>
      </c>
      <c r="B453" s="5" t="s">
        <v>3075</v>
      </c>
      <c r="C453" s="5" t="s">
        <v>3076</v>
      </c>
      <c r="D453" s="5" t="s">
        <v>8</v>
      </c>
      <c r="E453" s="6"/>
      <c r="F453" s="6"/>
      <c r="G453" s="7" t="s">
        <v>3077</v>
      </c>
      <c r="I453" s="8" t="s">
        <v>3078</v>
      </c>
      <c r="J453" s="9">
        <v>10.3</v>
      </c>
      <c r="K453" s="10" t="s">
        <v>11</v>
      </c>
      <c r="L453" s="6"/>
      <c r="M453" s="11" t="s">
        <v>12</v>
      </c>
      <c r="N453" s="6" t="s">
        <v>3079</v>
      </c>
      <c r="O453" s="6" t="s">
        <v>3080</v>
      </c>
      <c r="P453" s="10" t="s">
        <v>15</v>
      </c>
      <c r="Q453" s="6"/>
      <c r="R453" s="6"/>
      <c r="S453" s="6" t="s">
        <v>3081</v>
      </c>
      <c r="T453" s="6" t="s">
        <v>16</v>
      </c>
      <c r="U453" s="9" t="s">
        <v>17</v>
      </c>
      <c r="AI453" s="6" t="s">
        <v>18</v>
      </c>
      <c r="AJ453" s="12" t="s">
        <v>3082</v>
      </c>
      <c r="AL453" s="13" t="s">
        <v>20</v>
      </c>
    </row>
    <row r="454">
      <c r="A454" s="5" t="s">
        <v>3083</v>
      </c>
      <c r="B454" s="5" t="s">
        <v>3084</v>
      </c>
      <c r="C454" s="5" t="s">
        <v>3076</v>
      </c>
      <c r="D454" s="5" t="s">
        <v>8</v>
      </c>
      <c r="E454" s="6"/>
      <c r="F454" s="6"/>
      <c r="G454" s="7" t="s">
        <v>3085</v>
      </c>
      <c r="I454" s="8" t="s">
        <v>3086</v>
      </c>
      <c r="J454" s="9">
        <v>37.9</v>
      </c>
      <c r="K454" s="10" t="s">
        <v>11</v>
      </c>
      <c r="L454" s="6"/>
      <c r="M454" s="11" t="s">
        <v>12</v>
      </c>
      <c r="N454" s="6" t="s">
        <v>3087</v>
      </c>
      <c r="O454" s="6" t="s">
        <v>3088</v>
      </c>
      <c r="P454" s="10" t="s">
        <v>15</v>
      </c>
      <c r="Q454" s="6"/>
      <c r="R454" s="6"/>
      <c r="S454" s="6" t="s">
        <v>3081</v>
      </c>
      <c r="T454" s="6" t="s">
        <v>16</v>
      </c>
      <c r="U454" s="9" t="s">
        <v>17</v>
      </c>
      <c r="AI454" s="6" t="s">
        <v>18</v>
      </c>
      <c r="AJ454" s="12" t="s">
        <v>3082</v>
      </c>
      <c r="AL454" s="13" t="s">
        <v>20</v>
      </c>
    </row>
    <row r="455">
      <c r="A455" s="5" t="s">
        <v>3089</v>
      </c>
      <c r="B455" s="5" t="s">
        <v>3090</v>
      </c>
      <c r="C455" s="5" t="s">
        <v>3076</v>
      </c>
      <c r="D455" s="5" t="s">
        <v>8</v>
      </c>
      <c r="E455" s="6"/>
      <c r="F455" s="6"/>
      <c r="G455" s="7" t="s">
        <v>3091</v>
      </c>
      <c r="I455" s="8" t="s">
        <v>3092</v>
      </c>
      <c r="J455" s="9">
        <v>26.9</v>
      </c>
      <c r="K455" s="10" t="s">
        <v>11</v>
      </c>
      <c r="L455" s="6"/>
      <c r="M455" s="11" t="s">
        <v>12</v>
      </c>
      <c r="N455" s="6" t="s">
        <v>3093</v>
      </c>
      <c r="O455" s="6" t="s">
        <v>3094</v>
      </c>
      <c r="P455" s="10" t="s">
        <v>15</v>
      </c>
      <c r="Q455" s="6"/>
      <c r="R455" s="6"/>
      <c r="S455" s="6" t="s">
        <v>3081</v>
      </c>
      <c r="T455" s="6" t="s">
        <v>16</v>
      </c>
      <c r="U455" s="9" t="s">
        <v>17</v>
      </c>
      <c r="AI455" s="6" t="s">
        <v>18</v>
      </c>
      <c r="AJ455" s="12" t="s">
        <v>3082</v>
      </c>
      <c r="AL455" s="13" t="s">
        <v>20</v>
      </c>
    </row>
    <row r="456">
      <c r="A456" s="5" t="s">
        <v>3095</v>
      </c>
      <c r="B456" s="5" t="s">
        <v>3096</v>
      </c>
      <c r="C456" s="5" t="s">
        <v>3076</v>
      </c>
      <c r="D456" s="5" t="s">
        <v>8</v>
      </c>
      <c r="E456" s="6"/>
      <c r="F456" s="6"/>
      <c r="G456" s="7" t="s">
        <v>3097</v>
      </c>
      <c r="I456" s="8" t="s">
        <v>3098</v>
      </c>
      <c r="J456" s="9">
        <v>27.7</v>
      </c>
      <c r="K456" s="10" t="s">
        <v>11</v>
      </c>
      <c r="L456" s="6"/>
      <c r="M456" s="11" t="s">
        <v>12</v>
      </c>
      <c r="N456" s="6" t="s">
        <v>3099</v>
      </c>
      <c r="O456" s="6" t="s">
        <v>3100</v>
      </c>
      <c r="P456" s="10" t="s">
        <v>15</v>
      </c>
      <c r="Q456" s="6"/>
      <c r="R456" s="6"/>
      <c r="S456" s="6" t="s">
        <v>3081</v>
      </c>
      <c r="T456" s="6" t="s">
        <v>16</v>
      </c>
      <c r="U456" s="9" t="s">
        <v>17</v>
      </c>
      <c r="AI456" s="6" t="s">
        <v>18</v>
      </c>
      <c r="AJ456" s="12" t="s">
        <v>3082</v>
      </c>
      <c r="AL456" s="13" t="s">
        <v>20</v>
      </c>
    </row>
    <row r="457">
      <c r="A457" s="5" t="s">
        <v>3101</v>
      </c>
      <c r="B457" s="5" t="s">
        <v>3102</v>
      </c>
      <c r="C457" s="5" t="s">
        <v>3103</v>
      </c>
      <c r="D457" s="5" t="s">
        <v>8</v>
      </c>
      <c r="E457" s="6"/>
      <c r="F457" s="6"/>
      <c r="G457" s="7" t="s">
        <v>3104</v>
      </c>
      <c r="I457" s="8" t="s">
        <v>3105</v>
      </c>
      <c r="J457" s="9">
        <v>10.9</v>
      </c>
      <c r="K457" s="10" t="s">
        <v>11</v>
      </c>
      <c r="L457" s="6"/>
      <c r="M457" s="11" t="s">
        <v>12</v>
      </c>
      <c r="N457" s="6" t="s">
        <v>3106</v>
      </c>
      <c r="O457" s="6" t="s">
        <v>3107</v>
      </c>
      <c r="P457" s="10" t="s">
        <v>15</v>
      </c>
      <c r="Q457" s="6"/>
      <c r="R457" s="6"/>
      <c r="S457" s="6"/>
      <c r="T457" s="6" t="s">
        <v>16</v>
      </c>
      <c r="U457" s="9" t="s">
        <v>17</v>
      </c>
      <c r="AI457" s="6" t="s">
        <v>18</v>
      </c>
      <c r="AJ457" s="12" t="s">
        <v>3108</v>
      </c>
      <c r="AL457" s="13" t="s">
        <v>20</v>
      </c>
    </row>
    <row r="458">
      <c r="A458" s="5" t="s">
        <v>3109</v>
      </c>
      <c r="B458" s="5" t="s">
        <v>3110</v>
      </c>
      <c r="C458" s="5" t="s">
        <v>3103</v>
      </c>
      <c r="D458" s="5" t="s">
        <v>8</v>
      </c>
      <c r="E458" s="6"/>
      <c r="F458" s="6"/>
      <c r="G458" s="7" t="s">
        <v>3111</v>
      </c>
      <c r="I458" s="8" t="s">
        <v>3112</v>
      </c>
      <c r="J458" s="9">
        <v>37.9</v>
      </c>
      <c r="K458" s="10" t="s">
        <v>11</v>
      </c>
      <c r="L458" s="6"/>
      <c r="M458" s="11" t="s">
        <v>12</v>
      </c>
      <c r="N458" s="6" t="s">
        <v>3113</v>
      </c>
      <c r="O458" s="6" t="s">
        <v>3114</v>
      </c>
      <c r="P458" s="10" t="s">
        <v>15</v>
      </c>
      <c r="Q458" s="6"/>
      <c r="R458" s="6"/>
      <c r="S458" s="6"/>
      <c r="T458" s="6" t="s">
        <v>16</v>
      </c>
      <c r="U458" s="9" t="s">
        <v>17</v>
      </c>
      <c r="AI458" s="6" t="s">
        <v>18</v>
      </c>
      <c r="AJ458" s="12" t="s">
        <v>3108</v>
      </c>
      <c r="AL458" s="13" t="s">
        <v>20</v>
      </c>
    </row>
    <row r="459">
      <c r="A459" s="5" t="s">
        <v>3115</v>
      </c>
      <c r="B459" s="5" t="s">
        <v>3116</v>
      </c>
      <c r="C459" s="5" t="s">
        <v>3103</v>
      </c>
      <c r="D459" s="5" t="s">
        <v>8</v>
      </c>
      <c r="E459" s="6"/>
      <c r="F459" s="6"/>
      <c r="G459" s="7" t="s">
        <v>3117</v>
      </c>
      <c r="I459" s="8" t="s">
        <v>3118</v>
      </c>
      <c r="J459" s="9">
        <v>26.9</v>
      </c>
      <c r="K459" s="10" t="s">
        <v>11</v>
      </c>
      <c r="L459" s="6"/>
      <c r="M459" s="11" t="s">
        <v>12</v>
      </c>
      <c r="N459" s="6" t="s">
        <v>3119</v>
      </c>
      <c r="O459" s="6" t="s">
        <v>3120</v>
      </c>
      <c r="P459" s="10" t="s">
        <v>15</v>
      </c>
      <c r="Q459" s="6"/>
      <c r="R459" s="6"/>
      <c r="S459" s="6"/>
      <c r="T459" s="6" t="s">
        <v>16</v>
      </c>
      <c r="U459" s="9" t="s">
        <v>17</v>
      </c>
      <c r="AI459" s="6" t="s">
        <v>18</v>
      </c>
      <c r="AJ459" s="12" t="s">
        <v>3108</v>
      </c>
      <c r="AL459" s="13" t="s">
        <v>20</v>
      </c>
    </row>
    <row r="460">
      <c r="A460" s="5" t="s">
        <v>3121</v>
      </c>
      <c r="B460" s="5" t="s">
        <v>3122</v>
      </c>
      <c r="C460" s="5" t="s">
        <v>3103</v>
      </c>
      <c r="D460" s="5" t="s">
        <v>8</v>
      </c>
      <c r="E460" s="6"/>
      <c r="F460" s="6"/>
      <c r="G460" s="7" t="s">
        <v>3123</v>
      </c>
      <c r="I460" s="8" t="s">
        <v>3124</v>
      </c>
      <c r="J460" s="9">
        <v>29.5</v>
      </c>
      <c r="K460" s="10" t="s">
        <v>11</v>
      </c>
      <c r="L460" s="6"/>
      <c r="M460" s="11" t="s">
        <v>12</v>
      </c>
      <c r="N460" s="6" t="s">
        <v>3125</v>
      </c>
      <c r="O460" s="6" t="s">
        <v>3126</v>
      </c>
      <c r="P460" s="10" t="s">
        <v>15</v>
      </c>
      <c r="Q460" s="6"/>
      <c r="R460" s="6"/>
      <c r="S460" s="6"/>
      <c r="T460" s="6" t="s">
        <v>16</v>
      </c>
      <c r="U460" s="9" t="s">
        <v>17</v>
      </c>
      <c r="AI460" s="6" t="s">
        <v>18</v>
      </c>
      <c r="AJ460" s="12" t="s">
        <v>3108</v>
      </c>
      <c r="AL460" s="13" t="s">
        <v>20</v>
      </c>
    </row>
    <row r="461">
      <c r="A461" s="5" t="s">
        <v>3127</v>
      </c>
      <c r="B461" s="5" t="s">
        <v>3128</v>
      </c>
      <c r="C461" s="5" t="s">
        <v>3129</v>
      </c>
      <c r="D461" s="5" t="s">
        <v>8</v>
      </c>
      <c r="E461" s="6"/>
      <c r="F461" s="6"/>
      <c r="G461" s="7" t="s">
        <v>3130</v>
      </c>
      <c r="I461" s="8" t="s">
        <v>3131</v>
      </c>
      <c r="J461" s="9">
        <v>7.9</v>
      </c>
      <c r="K461" s="10" t="s">
        <v>11</v>
      </c>
      <c r="L461" s="6"/>
      <c r="M461" s="11" t="s">
        <v>12</v>
      </c>
      <c r="N461" s="6" t="s">
        <v>3132</v>
      </c>
      <c r="O461" s="6" t="s">
        <v>3133</v>
      </c>
      <c r="P461" s="10" t="s">
        <v>15</v>
      </c>
      <c r="Q461" s="6"/>
      <c r="R461" s="6"/>
      <c r="S461" s="6"/>
      <c r="T461" s="6" t="s">
        <v>16</v>
      </c>
      <c r="U461" s="9" t="s">
        <v>17</v>
      </c>
      <c r="AI461" s="6" t="s">
        <v>18</v>
      </c>
      <c r="AJ461" s="12" t="s">
        <v>3134</v>
      </c>
      <c r="AL461" s="13" t="s">
        <v>20</v>
      </c>
    </row>
    <row r="462">
      <c r="A462" s="5" t="s">
        <v>3135</v>
      </c>
      <c r="B462" s="5" t="s">
        <v>3136</v>
      </c>
      <c r="C462" s="5" t="s">
        <v>3129</v>
      </c>
      <c r="D462" s="5" t="s">
        <v>8</v>
      </c>
      <c r="E462" s="6"/>
      <c r="F462" s="6"/>
      <c r="G462" s="7" t="s">
        <v>3137</v>
      </c>
      <c r="I462" s="8" t="s">
        <v>3138</v>
      </c>
      <c r="J462" s="9">
        <v>23.7</v>
      </c>
      <c r="K462" s="10" t="s">
        <v>11</v>
      </c>
      <c r="L462" s="6"/>
      <c r="M462" s="11" t="s">
        <v>12</v>
      </c>
      <c r="N462" s="6" t="s">
        <v>3139</v>
      </c>
      <c r="O462" s="6" t="s">
        <v>3140</v>
      </c>
      <c r="P462" s="10" t="s">
        <v>15</v>
      </c>
      <c r="Q462" s="6"/>
      <c r="R462" s="6"/>
      <c r="S462" s="6"/>
      <c r="T462" s="6" t="s">
        <v>16</v>
      </c>
      <c r="U462" s="9" t="s">
        <v>17</v>
      </c>
      <c r="AI462" s="6" t="s">
        <v>18</v>
      </c>
      <c r="AJ462" s="12" t="s">
        <v>3134</v>
      </c>
      <c r="AL462" s="13" t="s">
        <v>20</v>
      </c>
    </row>
    <row r="463">
      <c r="A463" s="5" t="s">
        <v>3141</v>
      </c>
      <c r="B463" s="5" t="s">
        <v>3142</v>
      </c>
      <c r="C463" s="5" t="s">
        <v>3143</v>
      </c>
      <c r="D463" s="5" t="s">
        <v>8</v>
      </c>
      <c r="E463" s="6"/>
      <c r="F463" s="6"/>
      <c r="G463" s="7" t="s">
        <v>3144</v>
      </c>
      <c r="I463" s="8" t="s">
        <v>3145</v>
      </c>
      <c r="J463" s="9">
        <v>10.9</v>
      </c>
      <c r="K463" s="10" t="s">
        <v>11</v>
      </c>
      <c r="L463" s="6"/>
      <c r="M463" s="11" t="s">
        <v>12</v>
      </c>
      <c r="N463" s="6" t="s">
        <v>3146</v>
      </c>
      <c r="O463" s="6" t="s">
        <v>3147</v>
      </c>
      <c r="P463" s="10" t="s">
        <v>15</v>
      </c>
      <c r="Q463" s="6"/>
      <c r="R463" s="6"/>
      <c r="S463" s="6"/>
      <c r="T463" s="6" t="s">
        <v>16</v>
      </c>
      <c r="U463" s="9" t="s">
        <v>17</v>
      </c>
      <c r="AI463" s="6" t="s">
        <v>18</v>
      </c>
      <c r="AJ463" s="12" t="s">
        <v>3148</v>
      </c>
      <c r="AL463" s="13" t="s">
        <v>20</v>
      </c>
    </row>
    <row r="464">
      <c r="A464" s="5" t="s">
        <v>3149</v>
      </c>
      <c r="B464" s="5" t="s">
        <v>3150</v>
      </c>
      <c r="C464" s="5" t="s">
        <v>3151</v>
      </c>
      <c r="D464" s="5" t="s">
        <v>8</v>
      </c>
      <c r="E464" s="6"/>
      <c r="F464" s="6"/>
      <c r="G464" s="7" t="s">
        <v>3152</v>
      </c>
      <c r="I464" s="8" t="s">
        <v>3153</v>
      </c>
      <c r="J464" s="9">
        <v>11.5</v>
      </c>
      <c r="K464" s="10" t="s">
        <v>11</v>
      </c>
      <c r="L464" s="6"/>
      <c r="M464" s="11" t="s">
        <v>12</v>
      </c>
      <c r="N464" s="6" t="s">
        <v>3154</v>
      </c>
      <c r="O464" s="6" t="s">
        <v>3155</v>
      </c>
      <c r="P464" s="10" t="s">
        <v>15</v>
      </c>
      <c r="Q464" s="6"/>
      <c r="R464" s="6"/>
      <c r="S464" s="6"/>
      <c r="T464" s="6" t="s">
        <v>16</v>
      </c>
      <c r="U464" s="9" t="s">
        <v>17</v>
      </c>
      <c r="AI464" s="6" t="s">
        <v>18</v>
      </c>
      <c r="AJ464" s="12" t="s">
        <v>3156</v>
      </c>
      <c r="AL464" s="13" t="s">
        <v>20</v>
      </c>
    </row>
    <row r="465">
      <c r="A465" s="5" t="s">
        <v>3157</v>
      </c>
      <c r="B465" s="5" t="s">
        <v>3158</v>
      </c>
      <c r="C465" s="5" t="s">
        <v>3151</v>
      </c>
      <c r="D465" s="5" t="s">
        <v>8</v>
      </c>
      <c r="E465" s="6"/>
      <c r="F465" s="6"/>
      <c r="G465" s="7" t="s">
        <v>3159</v>
      </c>
      <c r="I465" s="8" t="s">
        <v>3160</v>
      </c>
      <c r="J465" s="9">
        <v>31.3</v>
      </c>
      <c r="K465" s="10" t="s">
        <v>11</v>
      </c>
      <c r="L465" s="6"/>
      <c r="M465" s="11" t="s">
        <v>12</v>
      </c>
      <c r="N465" s="6" t="s">
        <v>3161</v>
      </c>
      <c r="O465" s="6" t="s">
        <v>3162</v>
      </c>
      <c r="P465" s="10" t="s">
        <v>15</v>
      </c>
      <c r="Q465" s="6"/>
      <c r="R465" s="6"/>
      <c r="S465" s="6"/>
      <c r="T465" s="6" t="s">
        <v>16</v>
      </c>
      <c r="U465" s="9" t="s">
        <v>17</v>
      </c>
      <c r="AI465" s="6" t="s">
        <v>18</v>
      </c>
      <c r="AJ465" s="12" t="s">
        <v>3156</v>
      </c>
      <c r="AL465" s="13" t="s">
        <v>20</v>
      </c>
    </row>
    <row r="466">
      <c r="A466" s="5" t="s">
        <v>3163</v>
      </c>
      <c r="B466" s="5" t="s">
        <v>3164</v>
      </c>
      <c r="C466" s="5" t="s">
        <v>3165</v>
      </c>
      <c r="D466" s="5" t="s">
        <v>8</v>
      </c>
      <c r="E466" s="6"/>
      <c r="F466" s="6"/>
      <c r="G466" s="7" t="s">
        <v>3166</v>
      </c>
      <c r="I466" s="8" t="s">
        <v>3167</v>
      </c>
      <c r="J466" s="9">
        <v>37.9</v>
      </c>
      <c r="K466" s="10" t="s">
        <v>11</v>
      </c>
      <c r="L466" s="6"/>
      <c r="M466" s="11" t="s">
        <v>12</v>
      </c>
      <c r="N466" s="6" t="s">
        <v>3168</v>
      </c>
      <c r="O466" s="6" t="s">
        <v>3169</v>
      </c>
      <c r="P466" s="10" t="s">
        <v>15</v>
      </c>
      <c r="Q466" s="6"/>
      <c r="R466" s="6"/>
      <c r="S466" s="6" t="s">
        <v>3170</v>
      </c>
      <c r="T466" s="6" t="s">
        <v>16</v>
      </c>
      <c r="U466" s="9" t="s">
        <v>17</v>
      </c>
      <c r="AI466" s="6" t="s">
        <v>18</v>
      </c>
      <c r="AJ466" s="12" t="s">
        <v>3171</v>
      </c>
      <c r="AL466" s="13" t="s">
        <v>20</v>
      </c>
    </row>
    <row r="467">
      <c r="A467" s="5" t="s">
        <v>3172</v>
      </c>
      <c r="B467" s="5" t="s">
        <v>3173</v>
      </c>
      <c r="C467" s="5" t="s">
        <v>3165</v>
      </c>
      <c r="D467" s="5" t="s">
        <v>8</v>
      </c>
      <c r="E467" s="6"/>
      <c r="F467" s="6"/>
      <c r="G467" s="7" t="s">
        <v>3174</v>
      </c>
      <c r="I467" s="8" t="s">
        <v>3175</v>
      </c>
      <c r="J467" s="9">
        <v>26.9</v>
      </c>
      <c r="K467" s="10" t="s">
        <v>11</v>
      </c>
      <c r="L467" s="6"/>
      <c r="M467" s="11" t="s">
        <v>12</v>
      </c>
      <c r="N467" s="6" t="s">
        <v>3176</v>
      </c>
      <c r="O467" s="6" t="s">
        <v>3177</v>
      </c>
      <c r="P467" s="10" t="s">
        <v>15</v>
      </c>
      <c r="Q467" s="6"/>
      <c r="R467" s="6"/>
      <c r="S467" s="6" t="s">
        <v>3170</v>
      </c>
      <c r="T467" s="6" t="s">
        <v>16</v>
      </c>
      <c r="U467" s="9" t="s">
        <v>17</v>
      </c>
      <c r="AI467" s="6" t="s">
        <v>18</v>
      </c>
      <c r="AJ467" s="12" t="s">
        <v>3171</v>
      </c>
      <c r="AL467" s="13" t="s">
        <v>20</v>
      </c>
    </row>
    <row r="468">
      <c r="A468" s="5" t="s">
        <v>3178</v>
      </c>
      <c r="B468" s="5" t="s">
        <v>3179</v>
      </c>
      <c r="C468" s="5" t="s">
        <v>3143</v>
      </c>
      <c r="D468" s="5" t="s">
        <v>8</v>
      </c>
      <c r="E468" s="6"/>
      <c r="F468" s="6"/>
      <c r="G468" s="7" t="s">
        <v>3180</v>
      </c>
      <c r="I468" s="8" t="s">
        <v>3181</v>
      </c>
      <c r="J468" s="9">
        <v>26.9</v>
      </c>
      <c r="K468" s="10" t="s">
        <v>11</v>
      </c>
      <c r="L468" s="6"/>
      <c r="M468" s="11" t="s">
        <v>12</v>
      </c>
      <c r="N468" s="6" t="s">
        <v>3182</v>
      </c>
      <c r="O468" s="6" t="s">
        <v>3183</v>
      </c>
      <c r="P468" s="10" t="s">
        <v>15</v>
      </c>
      <c r="Q468" s="6"/>
      <c r="R468" s="6"/>
      <c r="S468" s="6"/>
      <c r="T468" s="6" t="s">
        <v>16</v>
      </c>
      <c r="U468" s="9" t="s">
        <v>17</v>
      </c>
      <c r="AI468" s="6" t="s">
        <v>18</v>
      </c>
      <c r="AJ468" s="12" t="s">
        <v>3148</v>
      </c>
      <c r="AL468" s="13" t="s">
        <v>20</v>
      </c>
    </row>
    <row r="469">
      <c r="A469" s="5" t="s">
        <v>3184</v>
      </c>
      <c r="B469" s="5" t="s">
        <v>3185</v>
      </c>
      <c r="C469" s="5" t="s">
        <v>3143</v>
      </c>
      <c r="D469" s="5" t="s">
        <v>8</v>
      </c>
      <c r="E469" s="6"/>
      <c r="F469" s="6"/>
      <c r="G469" s="7" t="s">
        <v>3186</v>
      </c>
      <c r="I469" s="8" t="s">
        <v>3187</v>
      </c>
      <c r="J469" s="9">
        <v>29.5</v>
      </c>
      <c r="K469" s="10" t="s">
        <v>11</v>
      </c>
      <c r="L469" s="6"/>
      <c r="M469" s="11" t="s">
        <v>12</v>
      </c>
      <c r="N469" s="6" t="s">
        <v>3188</v>
      </c>
      <c r="O469" s="6" t="s">
        <v>3189</v>
      </c>
      <c r="P469" s="10" t="s">
        <v>15</v>
      </c>
      <c r="Q469" s="6"/>
      <c r="R469" s="6"/>
      <c r="S469" s="6"/>
      <c r="T469" s="6" t="s">
        <v>16</v>
      </c>
      <c r="U469" s="9" t="s">
        <v>17</v>
      </c>
      <c r="AI469" s="6" t="s">
        <v>18</v>
      </c>
      <c r="AJ469" s="12" t="s">
        <v>3148</v>
      </c>
      <c r="AL469" s="13" t="s">
        <v>20</v>
      </c>
    </row>
    <row r="470">
      <c r="A470" s="5" t="s">
        <v>3190</v>
      </c>
      <c r="B470" s="5" t="s">
        <v>3191</v>
      </c>
      <c r="C470" s="5" t="s">
        <v>3192</v>
      </c>
      <c r="D470" s="5" t="s">
        <v>8</v>
      </c>
      <c r="E470" s="6"/>
      <c r="F470" s="6"/>
      <c r="G470" s="7" t="s">
        <v>3193</v>
      </c>
      <c r="I470" s="8" t="s">
        <v>3194</v>
      </c>
      <c r="J470" s="9">
        <v>11.8</v>
      </c>
      <c r="K470" s="10" t="s">
        <v>11</v>
      </c>
      <c r="L470" s="6"/>
      <c r="M470" s="11" t="s">
        <v>12</v>
      </c>
      <c r="N470" s="6" t="s">
        <v>3195</v>
      </c>
      <c r="O470" s="6" t="s">
        <v>3196</v>
      </c>
      <c r="P470" s="10" t="s">
        <v>15</v>
      </c>
      <c r="Q470" s="6"/>
      <c r="R470" s="6"/>
      <c r="S470" s="6" t="s">
        <v>3197</v>
      </c>
      <c r="T470" s="6" t="s">
        <v>16</v>
      </c>
      <c r="U470" s="9" t="s">
        <v>17</v>
      </c>
      <c r="AI470" s="6" t="s">
        <v>18</v>
      </c>
      <c r="AJ470" s="12" t="s">
        <v>3198</v>
      </c>
      <c r="AL470" s="13" t="s">
        <v>20</v>
      </c>
    </row>
    <row r="471">
      <c r="A471" s="5" t="s">
        <v>3199</v>
      </c>
      <c r="B471" s="5" t="s">
        <v>3200</v>
      </c>
      <c r="C471" s="5" t="s">
        <v>3192</v>
      </c>
      <c r="D471" s="5" t="s">
        <v>8</v>
      </c>
      <c r="E471" s="6"/>
      <c r="F471" s="6"/>
      <c r="G471" s="7" t="s">
        <v>3201</v>
      </c>
      <c r="I471" s="8" t="s">
        <v>3202</v>
      </c>
      <c r="J471" s="9">
        <v>37.9</v>
      </c>
      <c r="K471" s="10" t="s">
        <v>11</v>
      </c>
      <c r="L471" s="6"/>
      <c r="M471" s="11" t="s">
        <v>12</v>
      </c>
      <c r="N471" s="6" t="s">
        <v>3203</v>
      </c>
      <c r="O471" s="6" t="s">
        <v>3204</v>
      </c>
      <c r="P471" s="10" t="s">
        <v>15</v>
      </c>
      <c r="Q471" s="6"/>
      <c r="R471" s="6"/>
      <c r="S471" s="6" t="s">
        <v>3197</v>
      </c>
      <c r="T471" s="6" t="s">
        <v>16</v>
      </c>
      <c r="U471" s="9" t="s">
        <v>17</v>
      </c>
      <c r="AI471" s="6" t="s">
        <v>18</v>
      </c>
      <c r="AJ471" s="12" t="s">
        <v>3198</v>
      </c>
      <c r="AL471" s="13" t="s">
        <v>20</v>
      </c>
    </row>
    <row r="472">
      <c r="A472" s="5" t="s">
        <v>3205</v>
      </c>
      <c r="B472" s="5" t="s">
        <v>3206</v>
      </c>
      <c r="C472" s="5" t="s">
        <v>3192</v>
      </c>
      <c r="D472" s="5" t="s">
        <v>8</v>
      </c>
      <c r="E472" s="6"/>
      <c r="F472" s="6"/>
      <c r="G472" s="7" t="s">
        <v>3207</v>
      </c>
      <c r="I472" s="8" t="s">
        <v>3208</v>
      </c>
      <c r="J472" s="9">
        <v>26.9</v>
      </c>
      <c r="K472" s="10" t="s">
        <v>11</v>
      </c>
      <c r="L472" s="6"/>
      <c r="M472" s="11" t="s">
        <v>12</v>
      </c>
      <c r="N472" s="6" t="s">
        <v>3209</v>
      </c>
      <c r="O472" s="6" t="s">
        <v>3210</v>
      </c>
      <c r="P472" s="10" t="s">
        <v>15</v>
      </c>
      <c r="Q472" s="6"/>
      <c r="R472" s="6"/>
      <c r="S472" s="6" t="s">
        <v>3197</v>
      </c>
      <c r="T472" s="6" t="s">
        <v>16</v>
      </c>
      <c r="U472" s="9" t="s">
        <v>17</v>
      </c>
      <c r="AI472" s="6" t="s">
        <v>18</v>
      </c>
      <c r="AJ472" s="12" t="s">
        <v>3198</v>
      </c>
      <c r="AL472" s="13" t="s">
        <v>20</v>
      </c>
    </row>
    <row r="473">
      <c r="A473" s="5" t="s">
        <v>3211</v>
      </c>
      <c r="B473" s="5" t="s">
        <v>3212</v>
      </c>
      <c r="C473" s="5" t="s">
        <v>3213</v>
      </c>
      <c r="D473" s="5" t="s">
        <v>8</v>
      </c>
      <c r="E473" s="6"/>
      <c r="F473" s="6"/>
      <c r="G473" s="7" t="s">
        <v>3214</v>
      </c>
      <c r="I473" s="8" t="s">
        <v>3215</v>
      </c>
      <c r="J473" s="9">
        <v>9.7</v>
      </c>
      <c r="K473" s="10" t="s">
        <v>11</v>
      </c>
      <c r="L473" s="6"/>
      <c r="M473" s="11" t="s">
        <v>12</v>
      </c>
      <c r="N473" s="6" t="s">
        <v>3216</v>
      </c>
      <c r="O473" s="6" t="s">
        <v>3217</v>
      </c>
      <c r="P473" s="10" t="s">
        <v>15</v>
      </c>
      <c r="Q473" s="6"/>
      <c r="R473" s="6"/>
      <c r="S473" s="6"/>
      <c r="T473" s="6" t="s">
        <v>16</v>
      </c>
      <c r="U473" s="9" t="s">
        <v>17</v>
      </c>
      <c r="AI473" s="6" t="s">
        <v>18</v>
      </c>
      <c r="AJ473" s="12" t="s">
        <v>3218</v>
      </c>
      <c r="AL473" s="13" t="s">
        <v>20</v>
      </c>
    </row>
    <row r="474">
      <c r="A474" s="5" t="s">
        <v>3219</v>
      </c>
      <c r="B474" s="5" t="s">
        <v>3220</v>
      </c>
      <c r="C474" s="5" t="s">
        <v>3213</v>
      </c>
      <c r="D474" s="5" t="s">
        <v>8</v>
      </c>
      <c r="E474" s="6"/>
      <c r="F474" s="6"/>
      <c r="G474" s="7" t="s">
        <v>3221</v>
      </c>
      <c r="I474" s="8" t="s">
        <v>3222</v>
      </c>
      <c r="J474" s="9">
        <v>37.9</v>
      </c>
      <c r="K474" s="10" t="s">
        <v>11</v>
      </c>
      <c r="L474" s="6"/>
      <c r="M474" s="11" t="s">
        <v>17</v>
      </c>
      <c r="N474" s="6"/>
      <c r="O474" s="6" t="s">
        <v>3223</v>
      </c>
      <c r="P474" s="10" t="s">
        <v>15</v>
      </c>
      <c r="Q474" s="6"/>
      <c r="R474" s="6"/>
      <c r="S474" s="6"/>
      <c r="T474" s="6" t="s">
        <v>16</v>
      </c>
      <c r="U474" s="9" t="s">
        <v>17</v>
      </c>
      <c r="AI474" s="6" t="s">
        <v>18</v>
      </c>
      <c r="AJ474" s="12" t="s">
        <v>3218</v>
      </c>
      <c r="AL474" s="13" t="s">
        <v>20</v>
      </c>
    </row>
    <row r="475">
      <c r="A475" s="5" t="s">
        <v>3224</v>
      </c>
      <c r="B475" s="5" t="s">
        <v>3225</v>
      </c>
      <c r="C475" s="5" t="s">
        <v>3213</v>
      </c>
      <c r="D475" s="5" t="s">
        <v>8</v>
      </c>
      <c r="E475" s="6"/>
      <c r="F475" s="6"/>
      <c r="G475" s="7" t="s">
        <v>3226</v>
      </c>
      <c r="I475" s="8" t="s">
        <v>3227</v>
      </c>
      <c r="J475" s="9">
        <v>26.9</v>
      </c>
      <c r="K475" s="10" t="s">
        <v>11</v>
      </c>
      <c r="L475" s="6"/>
      <c r="M475" s="11" t="s">
        <v>17</v>
      </c>
      <c r="N475" s="6"/>
      <c r="O475" s="6" t="s">
        <v>3228</v>
      </c>
      <c r="P475" s="10" t="s">
        <v>15</v>
      </c>
      <c r="Q475" s="6"/>
      <c r="R475" s="6"/>
      <c r="S475" s="6"/>
      <c r="T475" s="6" t="s">
        <v>16</v>
      </c>
      <c r="U475" s="9" t="s">
        <v>17</v>
      </c>
      <c r="AI475" s="6" t="s">
        <v>18</v>
      </c>
      <c r="AJ475" s="12" t="s">
        <v>3218</v>
      </c>
      <c r="AL475" s="13" t="s">
        <v>20</v>
      </c>
    </row>
    <row r="476">
      <c r="A476" s="5" t="s">
        <v>3229</v>
      </c>
      <c r="B476" s="5" t="s">
        <v>3230</v>
      </c>
      <c r="C476" s="5" t="s">
        <v>3213</v>
      </c>
      <c r="D476" s="5" t="s">
        <v>8</v>
      </c>
      <c r="E476" s="6"/>
      <c r="F476" s="6"/>
      <c r="G476" s="7" t="s">
        <v>3231</v>
      </c>
      <c r="I476" s="8" t="s">
        <v>3232</v>
      </c>
      <c r="J476" s="9">
        <v>28.9</v>
      </c>
      <c r="K476" s="10" t="s">
        <v>11</v>
      </c>
      <c r="L476" s="6"/>
      <c r="M476" s="11" t="s">
        <v>12</v>
      </c>
      <c r="N476" s="6" t="s">
        <v>3233</v>
      </c>
      <c r="O476" s="6" t="s">
        <v>3234</v>
      </c>
      <c r="P476" s="10" t="s">
        <v>15</v>
      </c>
      <c r="Q476" s="6"/>
      <c r="R476" s="6"/>
      <c r="S476" s="6"/>
      <c r="T476" s="6" t="s">
        <v>16</v>
      </c>
      <c r="U476" s="9" t="s">
        <v>17</v>
      </c>
      <c r="AI476" s="6" t="s">
        <v>18</v>
      </c>
      <c r="AJ476" s="12" t="s">
        <v>3218</v>
      </c>
      <c r="AL476" s="13" t="s">
        <v>20</v>
      </c>
    </row>
    <row r="477">
      <c r="A477" s="5" t="s">
        <v>3235</v>
      </c>
      <c r="B477" s="5" t="s">
        <v>3236</v>
      </c>
      <c r="C477" s="5" t="s">
        <v>3192</v>
      </c>
      <c r="D477" s="5" t="s">
        <v>8</v>
      </c>
      <c r="E477" s="6"/>
      <c r="F477" s="6"/>
      <c r="G477" s="7" t="s">
        <v>3237</v>
      </c>
      <c r="I477" s="8" t="s">
        <v>3238</v>
      </c>
      <c r="J477" s="9">
        <v>29.2</v>
      </c>
      <c r="K477" s="10" t="s">
        <v>11</v>
      </c>
      <c r="L477" s="6"/>
      <c r="M477" s="11" t="s">
        <v>12</v>
      </c>
      <c r="N477" s="6" t="s">
        <v>3239</v>
      </c>
      <c r="O477" s="6" t="s">
        <v>3240</v>
      </c>
      <c r="P477" s="10" t="s">
        <v>15</v>
      </c>
      <c r="Q477" s="6"/>
      <c r="R477" s="6"/>
      <c r="S477" s="6" t="s">
        <v>3197</v>
      </c>
      <c r="T477" s="6" t="s">
        <v>16</v>
      </c>
      <c r="U477" s="9" t="s">
        <v>17</v>
      </c>
      <c r="AI477" s="6" t="s">
        <v>18</v>
      </c>
      <c r="AJ477" s="12" t="s">
        <v>3198</v>
      </c>
      <c r="AL477" s="13" t="s">
        <v>20</v>
      </c>
    </row>
    <row r="478">
      <c r="A478" s="5" t="s">
        <v>3241</v>
      </c>
      <c r="B478" s="5" t="s">
        <v>3242</v>
      </c>
      <c r="C478" s="5" t="s">
        <v>361</v>
      </c>
      <c r="D478" s="5" t="s">
        <v>8</v>
      </c>
      <c r="E478" s="6"/>
      <c r="F478" s="6"/>
      <c r="G478" s="7" t="s">
        <v>3243</v>
      </c>
      <c r="I478" s="8" t="s">
        <v>3244</v>
      </c>
      <c r="J478" s="9">
        <v>9.9</v>
      </c>
      <c r="K478" s="10" t="s">
        <v>11</v>
      </c>
      <c r="L478" s="6"/>
      <c r="M478" s="11" t="s">
        <v>12</v>
      </c>
      <c r="N478" s="6" t="s">
        <v>3245</v>
      </c>
      <c r="O478" s="6" t="s">
        <v>3246</v>
      </c>
      <c r="P478" s="10" t="s">
        <v>15</v>
      </c>
      <c r="Q478" s="6"/>
      <c r="R478" s="6"/>
      <c r="S478" s="6"/>
      <c r="T478" s="6" t="s">
        <v>16</v>
      </c>
      <c r="U478" s="9" t="s">
        <v>17</v>
      </c>
      <c r="AI478" s="6" t="s">
        <v>18</v>
      </c>
      <c r="AJ478" s="12" t="s">
        <v>3247</v>
      </c>
      <c r="AL478" s="13" t="s">
        <v>20</v>
      </c>
    </row>
    <row r="479">
      <c r="A479" s="5" t="s">
        <v>3248</v>
      </c>
      <c r="B479" s="5" t="s">
        <v>3249</v>
      </c>
      <c r="C479" s="5" t="s">
        <v>3250</v>
      </c>
      <c r="D479" s="5" t="s">
        <v>8</v>
      </c>
      <c r="E479" s="6"/>
      <c r="F479" s="6"/>
      <c r="G479" s="7" t="s">
        <v>3251</v>
      </c>
      <c r="I479" s="8" t="s">
        <v>3252</v>
      </c>
      <c r="J479" s="9">
        <v>10.8</v>
      </c>
      <c r="K479" s="10" t="s">
        <v>11</v>
      </c>
      <c r="L479" s="6"/>
      <c r="M479" s="11" t="s">
        <v>12</v>
      </c>
      <c r="N479" s="6" t="s">
        <v>3253</v>
      </c>
      <c r="O479" s="6" t="s">
        <v>3254</v>
      </c>
      <c r="P479" s="10" t="s">
        <v>15</v>
      </c>
      <c r="Q479" s="6"/>
      <c r="R479" s="6"/>
      <c r="S479" s="6"/>
      <c r="T479" s="6" t="s">
        <v>16</v>
      </c>
      <c r="U479" s="9" t="s">
        <v>17</v>
      </c>
      <c r="AI479" s="6" t="s">
        <v>18</v>
      </c>
      <c r="AJ479" s="12" t="s">
        <v>3255</v>
      </c>
      <c r="AL479" s="13" t="s">
        <v>20</v>
      </c>
    </row>
    <row r="480">
      <c r="A480" s="5" t="s">
        <v>3256</v>
      </c>
      <c r="B480" s="5" t="s">
        <v>3257</v>
      </c>
      <c r="C480" s="5" t="s">
        <v>3250</v>
      </c>
      <c r="D480" s="5" t="s">
        <v>8</v>
      </c>
      <c r="E480" s="6"/>
      <c r="F480" s="6"/>
      <c r="G480" s="7" t="s">
        <v>3258</v>
      </c>
      <c r="I480" s="8" t="s">
        <v>3259</v>
      </c>
      <c r="J480" s="9">
        <v>37.9</v>
      </c>
      <c r="K480" s="10" t="s">
        <v>11</v>
      </c>
      <c r="L480" s="6"/>
      <c r="M480" s="11" t="s">
        <v>12</v>
      </c>
      <c r="N480" s="6" t="s">
        <v>3260</v>
      </c>
      <c r="O480" s="6" t="s">
        <v>3261</v>
      </c>
      <c r="P480" s="10" t="s">
        <v>15</v>
      </c>
      <c r="Q480" s="6"/>
      <c r="R480" s="6"/>
      <c r="S480" s="6"/>
      <c r="T480" s="6" t="s">
        <v>16</v>
      </c>
      <c r="U480" s="9" t="s">
        <v>17</v>
      </c>
      <c r="AI480" s="6" t="s">
        <v>18</v>
      </c>
      <c r="AJ480" s="12" t="s">
        <v>3255</v>
      </c>
      <c r="AL480" s="13" t="s">
        <v>20</v>
      </c>
    </row>
    <row r="481">
      <c r="A481" s="5" t="s">
        <v>3262</v>
      </c>
      <c r="B481" s="5" t="s">
        <v>3263</v>
      </c>
      <c r="C481" s="5" t="s">
        <v>3250</v>
      </c>
      <c r="D481" s="5" t="s">
        <v>8</v>
      </c>
      <c r="E481" s="6"/>
      <c r="F481" s="6"/>
      <c r="G481" s="7" t="s">
        <v>3264</v>
      </c>
      <c r="I481" s="8" t="s">
        <v>3265</v>
      </c>
      <c r="J481" s="9">
        <v>26.9</v>
      </c>
      <c r="K481" s="10" t="s">
        <v>11</v>
      </c>
      <c r="L481" s="6"/>
      <c r="M481" s="11" t="s">
        <v>12</v>
      </c>
      <c r="N481" s="6" t="s">
        <v>3266</v>
      </c>
      <c r="O481" s="6" t="s">
        <v>3267</v>
      </c>
      <c r="P481" s="10" t="s">
        <v>15</v>
      </c>
      <c r="Q481" s="6"/>
      <c r="R481" s="6"/>
      <c r="S481" s="6"/>
      <c r="T481" s="6" t="s">
        <v>16</v>
      </c>
      <c r="U481" s="9" t="s">
        <v>17</v>
      </c>
      <c r="AI481" s="6" t="s">
        <v>18</v>
      </c>
      <c r="AJ481" s="12" t="s">
        <v>3255</v>
      </c>
      <c r="AL481" s="13" t="s">
        <v>20</v>
      </c>
    </row>
    <row r="482">
      <c r="A482" s="5" t="s">
        <v>3268</v>
      </c>
      <c r="B482" s="5" t="s">
        <v>3269</v>
      </c>
      <c r="C482" s="5" t="s">
        <v>3250</v>
      </c>
      <c r="D482" s="5" t="s">
        <v>8</v>
      </c>
      <c r="E482" s="6"/>
      <c r="F482" s="6"/>
      <c r="G482" s="7" t="s">
        <v>3270</v>
      </c>
      <c r="I482" s="8" t="s">
        <v>3271</v>
      </c>
      <c r="J482" s="9">
        <v>29.2</v>
      </c>
      <c r="K482" s="10" t="s">
        <v>11</v>
      </c>
      <c r="L482" s="6"/>
      <c r="M482" s="11" t="s">
        <v>12</v>
      </c>
      <c r="N482" s="6" t="s">
        <v>3272</v>
      </c>
      <c r="O482" s="6" t="s">
        <v>3273</v>
      </c>
      <c r="P482" s="10" t="s">
        <v>15</v>
      </c>
      <c r="Q482" s="6"/>
      <c r="R482" s="6"/>
      <c r="S482" s="6"/>
      <c r="T482" s="6" t="s">
        <v>16</v>
      </c>
      <c r="U482" s="9" t="s">
        <v>17</v>
      </c>
      <c r="AI482" s="6" t="s">
        <v>18</v>
      </c>
      <c r="AJ482" s="12" t="s">
        <v>3255</v>
      </c>
      <c r="AL482" s="13" t="s">
        <v>20</v>
      </c>
    </row>
    <row r="483">
      <c r="A483" s="5" t="s">
        <v>3274</v>
      </c>
      <c r="B483" s="5" t="s">
        <v>3275</v>
      </c>
      <c r="C483" s="5" t="s">
        <v>3276</v>
      </c>
      <c r="D483" s="5" t="s">
        <v>8</v>
      </c>
      <c r="E483" s="6"/>
      <c r="F483" s="6"/>
      <c r="G483" s="7" t="s">
        <v>3277</v>
      </c>
      <c r="I483" s="8" t="s">
        <v>3278</v>
      </c>
      <c r="J483" s="9">
        <v>6.5</v>
      </c>
      <c r="K483" s="10" t="s">
        <v>11</v>
      </c>
      <c r="L483" s="6"/>
      <c r="M483" s="11" t="s">
        <v>12</v>
      </c>
      <c r="N483" s="6" t="s">
        <v>3279</v>
      </c>
      <c r="O483" s="6" t="s">
        <v>3280</v>
      </c>
      <c r="P483" s="10" t="s">
        <v>15</v>
      </c>
      <c r="Q483" s="6"/>
      <c r="R483" s="6"/>
      <c r="S483" s="6"/>
      <c r="T483" s="6" t="s">
        <v>16</v>
      </c>
      <c r="U483" s="9" t="s">
        <v>17</v>
      </c>
      <c r="AI483" s="6" t="s">
        <v>18</v>
      </c>
      <c r="AJ483" s="12" t="s">
        <v>3281</v>
      </c>
      <c r="AL483" s="13" t="s">
        <v>20</v>
      </c>
    </row>
    <row r="484">
      <c r="A484" s="5" t="s">
        <v>3282</v>
      </c>
      <c r="B484" s="5" t="s">
        <v>3283</v>
      </c>
      <c r="C484" s="5" t="s">
        <v>3276</v>
      </c>
      <c r="D484" s="5" t="s">
        <v>8</v>
      </c>
      <c r="E484" s="6"/>
      <c r="F484" s="6"/>
      <c r="G484" s="7" t="s">
        <v>3284</v>
      </c>
      <c r="I484" s="8" t="s">
        <v>3285</v>
      </c>
      <c r="J484" s="9">
        <v>38.8</v>
      </c>
      <c r="K484" s="10" t="s">
        <v>11</v>
      </c>
      <c r="L484" s="6"/>
      <c r="M484" s="11" t="s">
        <v>12</v>
      </c>
      <c r="N484" s="6" t="s">
        <v>3286</v>
      </c>
      <c r="O484" s="6" t="s">
        <v>3287</v>
      </c>
      <c r="P484" s="10" t="s">
        <v>15</v>
      </c>
      <c r="Q484" s="6"/>
      <c r="R484" s="6"/>
      <c r="S484" s="6"/>
      <c r="T484" s="6" t="s">
        <v>16</v>
      </c>
      <c r="U484" s="9" t="s">
        <v>17</v>
      </c>
      <c r="AI484" s="6" t="s">
        <v>18</v>
      </c>
      <c r="AJ484" s="12" t="s">
        <v>3281</v>
      </c>
      <c r="AL484" s="13" t="s">
        <v>20</v>
      </c>
    </row>
    <row r="485">
      <c r="A485" s="5" t="s">
        <v>3288</v>
      </c>
      <c r="B485" s="5" t="s">
        <v>3289</v>
      </c>
      <c r="C485" s="5" t="s">
        <v>3290</v>
      </c>
      <c r="D485" s="5" t="s">
        <v>8</v>
      </c>
      <c r="E485" s="6"/>
      <c r="F485" s="6"/>
      <c r="G485" s="7" t="s">
        <v>3291</v>
      </c>
      <c r="I485" s="8" t="s">
        <v>3292</v>
      </c>
      <c r="J485" s="9">
        <v>8.9</v>
      </c>
      <c r="K485" s="10" t="s">
        <v>11</v>
      </c>
      <c r="L485" s="6"/>
      <c r="M485" s="11" t="s">
        <v>12</v>
      </c>
      <c r="N485" s="6" t="s">
        <v>3293</v>
      </c>
      <c r="O485" s="6" t="s">
        <v>3294</v>
      </c>
      <c r="P485" s="10" t="s">
        <v>15</v>
      </c>
      <c r="Q485" s="6"/>
      <c r="R485" s="6"/>
      <c r="S485" s="6"/>
      <c r="T485" s="6" t="s">
        <v>16</v>
      </c>
      <c r="U485" s="9" t="s">
        <v>17</v>
      </c>
      <c r="AI485" s="6" t="s">
        <v>18</v>
      </c>
      <c r="AJ485" s="12" t="s">
        <v>3295</v>
      </c>
      <c r="AL485" s="13" t="s">
        <v>20</v>
      </c>
    </row>
    <row r="486">
      <c r="A486" s="5" t="s">
        <v>3296</v>
      </c>
      <c r="B486" s="5" t="s">
        <v>3297</v>
      </c>
      <c r="C486" s="5" t="s">
        <v>3298</v>
      </c>
      <c r="D486" s="5" t="s">
        <v>8</v>
      </c>
      <c r="E486" s="6"/>
      <c r="F486" s="6"/>
      <c r="G486" s="7" t="s">
        <v>3299</v>
      </c>
      <c r="I486" s="8" t="s">
        <v>3300</v>
      </c>
      <c r="J486" s="9">
        <v>9.7</v>
      </c>
      <c r="K486" s="10" t="s">
        <v>11</v>
      </c>
      <c r="L486" s="6"/>
      <c r="M486" s="11" t="s">
        <v>12</v>
      </c>
      <c r="N486" s="6" t="s">
        <v>3301</v>
      </c>
      <c r="O486" s="6" t="s">
        <v>3302</v>
      </c>
      <c r="P486" s="10" t="s">
        <v>15</v>
      </c>
      <c r="Q486" s="6"/>
      <c r="R486" s="6"/>
      <c r="S486" s="6"/>
      <c r="T486" s="6" t="s">
        <v>16</v>
      </c>
      <c r="U486" s="9" t="s">
        <v>17</v>
      </c>
      <c r="AI486" s="6" t="s">
        <v>18</v>
      </c>
      <c r="AJ486" s="12" t="s">
        <v>3303</v>
      </c>
      <c r="AL486" s="13" t="s">
        <v>20</v>
      </c>
    </row>
    <row r="487">
      <c r="A487" s="5" t="s">
        <v>3304</v>
      </c>
      <c r="B487" s="5" t="s">
        <v>3305</v>
      </c>
      <c r="C487" s="5" t="s">
        <v>3298</v>
      </c>
      <c r="D487" s="5" t="s">
        <v>8</v>
      </c>
      <c r="E487" s="6"/>
      <c r="F487" s="6"/>
      <c r="G487" s="7" t="s">
        <v>3306</v>
      </c>
      <c r="I487" s="8" t="s">
        <v>3307</v>
      </c>
      <c r="J487" s="9">
        <v>37.9</v>
      </c>
      <c r="K487" s="10" t="s">
        <v>11</v>
      </c>
      <c r="L487" s="6"/>
      <c r="M487" s="11" t="s">
        <v>12</v>
      </c>
      <c r="N487" s="6" t="s">
        <v>3308</v>
      </c>
      <c r="O487" s="6" t="s">
        <v>3309</v>
      </c>
      <c r="P487" s="10" t="s">
        <v>15</v>
      </c>
      <c r="Q487" s="6"/>
      <c r="R487" s="6"/>
      <c r="S487" s="6"/>
      <c r="T487" s="6" t="s">
        <v>16</v>
      </c>
      <c r="U487" s="9" t="s">
        <v>17</v>
      </c>
      <c r="AI487" s="6" t="s">
        <v>18</v>
      </c>
      <c r="AJ487" s="12" t="s">
        <v>3303</v>
      </c>
      <c r="AL487" s="13" t="s">
        <v>20</v>
      </c>
    </row>
    <row r="488">
      <c r="A488" s="5" t="s">
        <v>3310</v>
      </c>
      <c r="B488" s="5" t="s">
        <v>3311</v>
      </c>
      <c r="C488" s="5" t="s">
        <v>3298</v>
      </c>
      <c r="D488" s="5" t="s">
        <v>8</v>
      </c>
      <c r="E488" s="6"/>
      <c r="F488" s="6"/>
      <c r="G488" s="7" t="s">
        <v>3312</v>
      </c>
      <c r="I488" s="8" t="s">
        <v>3313</v>
      </c>
      <c r="J488" s="9">
        <v>26.9</v>
      </c>
      <c r="K488" s="10" t="s">
        <v>11</v>
      </c>
      <c r="L488" s="6"/>
      <c r="M488" s="11" t="s">
        <v>12</v>
      </c>
      <c r="N488" s="6" t="s">
        <v>3314</v>
      </c>
      <c r="O488" s="6" t="s">
        <v>3315</v>
      </c>
      <c r="P488" s="10" t="s">
        <v>15</v>
      </c>
      <c r="Q488" s="6"/>
      <c r="R488" s="6"/>
      <c r="S488" s="6"/>
      <c r="T488" s="6" t="s">
        <v>16</v>
      </c>
      <c r="U488" s="9" t="s">
        <v>17</v>
      </c>
      <c r="AI488" s="6" t="s">
        <v>18</v>
      </c>
      <c r="AJ488" s="12" t="s">
        <v>3303</v>
      </c>
      <c r="AL488" s="13" t="s">
        <v>20</v>
      </c>
    </row>
    <row r="489">
      <c r="A489" s="5" t="s">
        <v>3316</v>
      </c>
      <c r="B489" s="5" t="s">
        <v>3317</v>
      </c>
      <c r="C489" s="5" t="s">
        <v>3298</v>
      </c>
      <c r="D489" s="5" t="s">
        <v>8</v>
      </c>
      <c r="E489" s="6"/>
      <c r="F489" s="6"/>
      <c r="G489" s="7" t="s">
        <v>3318</v>
      </c>
      <c r="I489" s="8" t="s">
        <v>3319</v>
      </c>
      <c r="J489" s="9">
        <v>28.9</v>
      </c>
      <c r="K489" s="10" t="s">
        <v>11</v>
      </c>
      <c r="L489" s="6"/>
      <c r="M489" s="11" t="s">
        <v>12</v>
      </c>
      <c r="N489" s="6" t="s">
        <v>3320</v>
      </c>
      <c r="O489" s="6" t="s">
        <v>3321</v>
      </c>
      <c r="P489" s="10" t="s">
        <v>15</v>
      </c>
      <c r="Q489" s="6"/>
      <c r="R489" s="6"/>
      <c r="S489" s="6"/>
      <c r="T489" s="6" t="s">
        <v>16</v>
      </c>
      <c r="U489" s="9" t="s">
        <v>17</v>
      </c>
      <c r="AI489" s="6" t="s">
        <v>18</v>
      </c>
      <c r="AJ489" s="12" t="s">
        <v>3303</v>
      </c>
      <c r="AL489" s="13" t="s">
        <v>20</v>
      </c>
    </row>
    <row r="490">
      <c r="A490" s="5" t="s">
        <v>3322</v>
      </c>
      <c r="B490" s="5" t="s">
        <v>3323</v>
      </c>
      <c r="C490" s="5" t="s">
        <v>3324</v>
      </c>
      <c r="D490" s="5" t="s">
        <v>8</v>
      </c>
      <c r="E490" s="6"/>
      <c r="F490" s="6"/>
      <c r="G490" s="7" t="s">
        <v>3325</v>
      </c>
      <c r="I490" s="8" t="s">
        <v>3326</v>
      </c>
      <c r="J490" s="9">
        <v>9.3</v>
      </c>
      <c r="K490" s="10" t="s">
        <v>11</v>
      </c>
      <c r="L490" s="6"/>
      <c r="M490" s="11" t="s">
        <v>12</v>
      </c>
      <c r="N490" s="6" t="s">
        <v>3327</v>
      </c>
      <c r="O490" s="6" t="s">
        <v>3328</v>
      </c>
      <c r="P490" s="10" t="s">
        <v>15</v>
      </c>
      <c r="Q490" s="6"/>
      <c r="R490" s="6"/>
      <c r="S490" s="6"/>
      <c r="T490" s="6" t="s">
        <v>16</v>
      </c>
      <c r="U490" s="9" t="s">
        <v>17</v>
      </c>
      <c r="AI490" s="6" t="s">
        <v>18</v>
      </c>
      <c r="AJ490" s="12" t="s">
        <v>3329</v>
      </c>
      <c r="AL490" s="13" t="s">
        <v>20</v>
      </c>
    </row>
    <row r="491">
      <c r="A491" s="5" t="s">
        <v>3330</v>
      </c>
      <c r="B491" s="5" t="s">
        <v>3331</v>
      </c>
      <c r="C491" s="5" t="s">
        <v>3324</v>
      </c>
      <c r="D491" s="5" t="s">
        <v>8</v>
      </c>
      <c r="E491" s="6"/>
      <c r="F491" s="6"/>
      <c r="G491" s="7" t="s">
        <v>3332</v>
      </c>
      <c r="I491" s="8" t="s">
        <v>3333</v>
      </c>
      <c r="J491" s="9">
        <v>27.7</v>
      </c>
      <c r="K491" s="10" t="s">
        <v>11</v>
      </c>
      <c r="L491" s="6"/>
      <c r="M491" s="11" t="s">
        <v>12</v>
      </c>
      <c r="N491" s="6" t="s">
        <v>3334</v>
      </c>
      <c r="O491" s="6" t="s">
        <v>3335</v>
      </c>
      <c r="P491" s="10" t="s">
        <v>15</v>
      </c>
      <c r="Q491" s="6"/>
      <c r="R491" s="6"/>
      <c r="S491" s="6"/>
      <c r="T491" s="6" t="s">
        <v>16</v>
      </c>
      <c r="U491" s="9" t="s">
        <v>17</v>
      </c>
      <c r="AI491" s="6" t="s">
        <v>18</v>
      </c>
      <c r="AJ491" s="12" t="s">
        <v>3329</v>
      </c>
      <c r="AL491" s="13" t="s">
        <v>20</v>
      </c>
    </row>
    <row r="492">
      <c r="A492" s="5" t="s">
        <v>3336</v>
      </c>
      <c r="B492" s="5" t="s">
        <v>3337</v>
      </c>
      <c r="C492" s="5" t="s">
        <v>3338</v>
      </c>
      <c r="D492" s="5" t="s">
        <v>8</v>
      </c>
      <c r="E492" s="6"/>
      <c r="F492" s="6"/>
      <c r="G492" s="7" t="s">
        <v>3339</v>
      </c>
      <c r="I492" s="8" t="s">
        <v>3340</v>
      </c>
      <c r="J492" s="9">
        <v>8.9</v>
      </c>
      <c r="K492" s="10" t="s">
        <v>11</v>
      </c>
      <c r="L492" s="6"/>
      <c r="M492" s="11" t="s">
        <v>12</v>
      </c>
      <c r="N492" s="6" t="s">
        <v>3341</v>
      </c>
      <c r="O492" s="6" t="s">
        <v>3342</v>
      </c>
      <c r="P492" s="10" t="s">
        <v>15</v>
      </c>
      <c r="Q492" s="6"/>
      <c r="R492" s="6"/>
      <c r="S492" s="6"/>
      <c r="T492" s="6" t="s">
        <v>16</v>
      </c>
      <c r="U492" s="9" t="s">
        <v>17</v>
      </c>
      <c r="AI492" s="6" t="s">
        <v>18</v>
      </c>
      <c r="AJ492" s="12" t="s">
        <v>3343</v>
      </c>
      <c r="AL492" s="13" t="s">
        <v>20</v>
      </c>
    </row>
    <row r="493">
      <c r="A493" s="5" t="s">
        <v>3344</v>
      </c>
      <c r="B493" s="5" t="s">
        <v>3345</v>
      </c>
      <c r="C493" s="5" t="s">
        <v>3338</v>
      </c>
      <c r="D493" s="5" t="s">
        <v>8</v>
      </c>
      <c r="E493" s="6"/>
      <c r="F493" s="6"/>
      <c r="G493" s="7" t="s">
        <v>3346</v>
      </c>
      <c r="I493" s="8" t="s">
        <v>3347</v>
      </c>
      <c r="J493" s="9">
        <v>89.0</v>
      </c>
      <c r="K493" s="10">
        <v>78.32</v>
      </c>
      <c r="L493" s="6"/>
      <c r="M493" s="11" t="s">
        <v>17</v>
      </c>
      <c r="N493" s="6"/>
      <c r="O493" s="6" t="s">
        <v>3348</v>
      </c>
      <c r="P493" s="10" t="s">
        <v>15</v>
      </c>
      <c r="Q493" s="6"/>
      <c r="R493" s="6"/>
      <c r="S493" s="6"/>
      <c r="T493" s="6" t="s">
        <v>16</v>
      </c>
      <c r="U493" s="9" t="s">
        <v>17</v>
      </c>
      <c r="AI493" s="6" t="s">
        <v>18</v>
      </c>
      <c r="AJ493" s="12" t="s">
        <v>3343</v>
      </c>
      <c r="AL493" s="13" t="s">
        <v>20</v>
      </c>
    </row>
    <row r="494">
      <c r="A494" s="5" t="s">
        <v>3349</v>
      </c>
      <c r="B494" s="5" t="s">
        <v>3350</v>
      </c>
      <c r="C494" s="5" t="s">
        <v>3351</v>
      </c>
      <c r="D494" s="5" t="s">
        <v>8</v>
      </c>
      <c r="E494" s="6"/>
      <c r="F494" s="6"/>
      <c r="G494" s="7" t="s">
        <v>3352</v>
      </c>
      <c r="I494" s="8" t="s">
        <v>3353</v>
      </c>
      <c r="J494" s="9">
        <v>9.9</v>
      </c>
      <c r="K494" s="10" t="s">
        <v>11</v>
      </c>
      <c r="L494" s="6"/>
      <c r="M494" s="11" t="s">
        <v>12</v>
      </c>
      <c r="N494" s="6" t="s">
        <v>3354</v>
      </c>
      <c r="O494" s="6" t="s">
        <v>3355</v>
      </c>
      <c r="P494" s="10" t="s">
        <v>15</v>
      </c>
      <c r="Q494" s="6"/>
      <c r="R494" s="6"/>
      <c r="S494" s="6"/>
      <c r="T494" s="6" t="s">
        <v>16</v>
      </c>
      <c r="U494" s="9" t="s">
        <v>17</v>
      </c>
      <c r="AI494" s="6" t="s">
        <v>18</v>
      </c>
      <c r="AJ494" s="12" t="s">
        <v>3356</v>
      </c>
      <c r="AL494" s="13" t="s">
        <v>20</v>
      </c>
    </row>
    <row r="495">
      <c r="A495" s="5" t="s">
        <v>3357</v>
      </c>
      <c r="B495" s="5" t="s">
        <v>3358</v>
      </c>
      <c r="C495" s="5" t="s">
        <v>3351</v>
      </c>
      <c r="D495" s="5" t="s">
        <v>8</v>
      </c>
      <c r="E495" s="6"/>
      <c r="F495" s="6"/>
      <c r="G495" s="7" t="s">
        <v>3359</v>
      </c>
      <c r="I495" s="8" t="s">
        <v>3360</v>
      </c>
      <c r="J495" s="9">
        <v>29.5</v>
      </c>
      <c r="K495" s="10" t="s">
        <v>11</v>
      </c>
      <c r="L495" s="6"/>
      <c r="M495" s="11" t="s">
        <v>12</v>
      </c>
      <c r="N495" s="6" t="s">
        <v>3361</v>
      </c>
      <c r="O495" s="6" t="s">
        <v>3362</v>
      </c>
      <c r="P495" s="10" t="s">
        <v>15</v>
      </c>
      <c r="Q495" s="6"/>
      <c r="R495" s="6"/>
      <c r="S495" s="6"/>
      <c r="T495" s="6" t="s">
        <v>16</v>
      </c>
      <c r="U495" s="9" t="s">
        <v>17</v>
      </c>
      <c r="AI495" s="6" t="s">
        <v>18</v>
      </c>
      <c r="AJ495" s="12" t="s">
        <v>3356</v>
      </c>
      <c r="AL495" s="13" t="s">
        <v>20</v>
      </c>
    </row>
    <row r="496">
      <c r="A496" s="5" t="s">
        <v>3363</v>
      </c>
      <c r="B496" s="5" t="s">
        <v>3364</v>
      </c>
      <c r="C496" s="5" t="s">
        <v>3365</v>
      </c>
      <c r="D496" s="5" t="s">
        <v>8</v>
      </c>
      <c r="E496" s="6"/>
      <c r="F496" s="6"/>
      <c r="G496" s="7" t="s">
        <v>3366</v>
      </c>
      <c r="I496" s="8" t="s">
        <v>3367</v>
      </c>
      <c r="J496" s="9">
        <v>9.9</v>
      </c>
      <c r="K496" s="10" t="s">
        <v>11</v>
      </c>
      <c r="L496" s="6"/>
      <c r="M496" s="11" t="s">
        <v>12</v>
      </c>
      <c r="N496" s="6" t="s">
        <v>3368</v>
      </c>
      <c r="O496" s="6" t="s">
        <v>3369</v>
      </c>
      <c r="P496" s="10" t="s">
        <v>15</v>
      </c>
      <c r="Q496" s="6"/>
      <c r="R496" s="6"/>
      <c r="S496" s="6"/>
      <c r="T496" s="6" t="s">
        <v>16</v>
      </c>
      <c r="U496" s="9" t="s">
        <v>17</v>
      </c>
      <c r="AI496" s="6" t="s">
        <v>18</v>
      </c>
      <c r="AJ496" s="12" t="s">
        <v>3370</v>
      </c>
      <c r="AL496" s="13" t="s">
        <v>20</v>
      </c>
    </row>
    <row r="497">
      <c r="A497" s="5" t="s">
        <v>3371</v>
      </c>
      <c r="B497" s="5" t="s">
        <v>3372</v>
      </c>
      <c r="C497" s="5" t="s">
        <v>3365</v>
      </c>
      <c r="D497" s="5" t="s">
        <v>8</v>
      </c>
      <c r="E497" s="6"/>
      <c r="F497" s="6"/>
      <c r="G497" s="7" t="s">
        <v>3373</v>
      </c>
      <c r="I497" s="8" t="s">
        <v>3374</v>
      </c>
      <c r="J497" s="9">
        <v>38.61</v>
      </c>
      <c r="K497" s="10" t="s">
        <v>11</v>
      </c>
      <c r="L497" s="6"/>
      <c r="M497" s="11" t="s">
        <v>12</v>
      </c>
      <c r="N497" s="6" t="s">
        <v>3375</v>
      </c>
      <c r="O497" s="6" t="s">
        <v>3376</v>
      </c>
      <c r="P497" s="10" t="s">
        <v>15</v>
      </c>
      <c r="Q497" s="6"/>
      <c r="R497" s="6"/>
      <c r="S497" s="6"/>
      <c r="T497" s="6" t="s">
        <v>16</v>
      </c>
      <c r="U497" s="9" t="s">
        <v>17</v>
      </c>
      <c r="AI497" s="6" t="s">
        <v>18</v>
      </c>
      <c r="AJ497" s="12" t="s">
        <v>3370</v>
      </c>
      <c r="AL497" s="13" t="s">
        <v>20</v>
      </c>
    </row>
    <row r="498">
      <c r="A498" s="5" t="s">
        <v>3377</v>
      </c>
      <c r="B498" s="5" t="s">
        <v>3378</v>
      </c>
      <c r="C498" s="5" t="s">
        <v>3379</v>
      </c>
      <c r="D498" s="5" t="s">
        <v>8</v>
      </c>
      <c r="E498" s="6"/>
      <c r="F498" s="6"/>
      <c r="G498" s="7" t="s">
        <v>3380</v>
      </c>
      <c r="I498" s="8" t="s">
        <v>3381</v>
      </c>
      <c r="J498" s="9">
        <v>9.8</v>
      </c>
      <c r="K498" s="10" t="s">
        <v>11</v>
      </c>
      <c r="L498" s="6"/>
      <c r="M498" s="11" t="s">
        <v>12</v>
      </c>
      <c r="N498" s="6" t="s">
        <v>3382</v>
      </c>
      <c r="O498" s="6" t="s">
        <v>3383</v>
      </c>
      <c r="P498" s="10" t="s">
        <v>15</v>
      </c>
      <c r="Q498" s="6"/>
      <c r="R498" s="6"/>
      <c r="S498" s="6"/>
      <c r="T498" s="6" t="s">
        <v>16</v>
      </c>
      <c r="U498" s="9" t="s">
        <v>17</v>
      </c>
      <c r="AI498" s="6" t="s">
        <v>18</v>
      </c>
      <c r="AJ498" s="12" t="s">
        <v>3384</v>
      </c>
      <c r="AL498" s="13" t="s">
        <v>20</v>
      </c>
    </row>
    <row r="499">
      <c r="A499" s="5" t="s">
        <v>3385</v>
      </c>
      <c r="B499" s="5" t="s">
        <v>3386</v>
      </c>
      <c r="C499" s="5" t="s">
        <v>3379</v>
      </c>
      <c r="D499" s="5" t="s">
        <v>8</v>
      </c>
      <c r="E499" s="6"/>
      <c r="F499" s="6"/>
      <c r="G499" s="7" t="s">
        <v>3387</v>
      </c>
      <c r="I499" s="8" t="s">
        <v>3388</v>
      </c>
      <c r="J499" s="9">
        <v>23.52</v>
      </c>
      <c r="K499" s="10" t="s">
        <v>11</v>
      </c>
      <c r="L499" s="6"/>
      <c r="M499" s="11" t="s">
        <v>12</v>
      </c>
      <c r="N499" s="6" t="s">
        <v>3389</v>
      </c>
      <c r="O499" s="6" t="s">
        <v>3390</v>
      </c>
      <c r="P499" s="10" t="s">
        <v>15</v>
      </c>
      <c r="Q499" s="6"/>
      <c r="R499" s="6"/>
      <c r="S499" s="6"/>
      <c r="T499" s="6" t="s">
        <v>16</v>
      </c>
      <c r="U499" s="9" t="s">
        <v>17</v>
      </c>
      <c r="AI499" s="6" t="s">
        <v>18</v>
      </c>
      <c r="AJ499" s="12" t="s">
        <v>3384</v>
      </c>
      <c r="AL499" s="13" t="s">
        <v>20</v>
      </c>
    </row>
    <row r="500">
      <c r="A500" s="5" t="s">
        <v>3391</v>
      </c>
      <c r="B500" s="5" t="s">
        <v>3392</v>
      </c>
      <c r="C500" s="5" t="s">
        <v>3393</v>
      </c>
      <c r="D500" s="5" t="s">
        <v>8</v>
      </c>
      <c r="E500" s="6"/>
      <c r="F500" s="6"/>
      <c r="G500" s="7" t="s">
        <v>3394</v>
      </c>
      <c r="I500" s="8" t="s">
        <v>3395</v>
      </c>
      <c r="J500" s="9">
        <v>8.9</v>
      </c>
      <c r="K500" s="10" t="s">
        <v>11</v>
      </c>
      <c r="L500" s="6"/>
      <c r="M500" s="11" t="s">
        <v>12</v>
      </c>
      <c r="N500" s="6" t="s">
        <v>3396</v>
      </c>
      <c r="O500" s="6" t="s">
        <v>3397</v>
      </c>
      <c r="P500" s="10" t="s">
        <v>15</v>
      </c>
      <c r="Q500" s="6"/>
      <c r="R500" s="6"/>
      <c r="S500" s="6"/>
      <c r="T500" s="6" t="s">
        <v>16</v>
      </c>
      <c r="U500" s="9" t="s">
        <v>17</v>
      </c>
      <c r="AI500" s="6" t="s">
        <v>18</v>
      </c>
      <c r="AJ500" s="12" t="s">
        <v>3398</v>
      </c>
      <c r="AL500" s="13" t="s">
        <v>20</v>
      </c>
    </row>
    <row r="501">
      <c r="A501" s="5" t="s">
        <v>3399</v>
      </c>
      <c r="B501" s="5" t="s">
        <v>3400</v>
      </c>
      <c r="C501" s="5" t="s">
        <v>3401</v>
      </c>
      <c r="D501" s="5" t="s">
        <v>8</v>
      </c>
      <c r="E501" s="6"/>
      <c r="F501" s="6"/>
      <c r="G501" s="7" t="s">
        <v>3402</v>
      </c>
      <c r="I501" s="8" t="s">
        <v>3403</v>
      </c>
      <c r="J501" s="9">
        <v>9.9</v>
      </c>
      <c r="K501" s="10" t="s">
        <v>11</v>
      </c>
      <c r="L501" s="6"/>
      <c r="M501" s="11" t="s">
        <v>12</v>
      </c>
      <c r="N501" s="6" t="s">
        <v>3404</v>
      </c>
      <c r="O501" s="6" t="s">
        <v>3405</v>
      </c>
      <c r="P501" s="10" t="s">
        <v>15</v>
      </c>
      <c r="Q501" s="6"/>
      <c r="R501" s="6"/>
      <c r="S501" s="6"/>
      <c r="T501" s="6" t="s">
        <v>16</v>
      </c>
      <c r="U501" s="9" t="s">
        <v>17</v>
      </c>
      <c r="AI501" s="6" t="s">
        <v>3406</v>
      </c>
      <c r="AJ501" s="12" t="s">
        <v>3407</v>
      </c>
      <c r="AL501" s="13" t="s">
        <v>20</v>
      </c>
    </row>
    <row r="502">
      <c r="A502" s="5" t="s">
        <v>3408</v>
      </c>
      <c r="B502" s="5" t="s">
        <v>3409</v>
      </c>
      <c r="C502" s="5" t="s">
        <v>3401</v>
      </c>
      <c r="D502" s="5" t="s">
        <v>8</v>
      </c>
      <c r="E502" s="6"/>
      <c r="F502" s="6"/>
      <c r="G502" s="7" t="s">
        <v>3410</v>
      </c>
      <c r="I502" s="8" t="s">
        <v>3411</v>
      </c>
      <c r="J502" s="9">
        <v>37.9</v>
      </c>
      <c r="K502" s="10" t="s">
        <v>11</v>
      </c>
      <c r="L502" s="6"/>
      <c r="M502" s="11" t="s">
        <v>12</v>
      </c>
      <c r="N502" s="6" t="s">
        <v>3412</v>
      </c>
      <c r="O502" s="6" t="s">
        <v>3413</v>
      </c>
      <c r="P502" s="10" t="s">
        <v>15</v>
      </c>
      <c r="Q502" s="6"/>
      <c r="R502" s="6"/>
      <c r="S502" s="6"/>
      <c r="T502" s="6" t="s">
        <v>16</v>
      </c>
      <c r="U502" s="9" t="s">
        <v>17</v>
      </c>
      <c r="AI502" s="6" t="s">
        <v>3406</v>
      </c>
      <c r="AJ502" s="12" t="s">
        <v>3407</v>
      </c>
      <c r="AL502" s="13" t="s">
        <v>20</v>
      </c>
    </row>
    <row r="503">
      <c r="A503" s="5" t="s">
        <v>3414</v>
      </c>
      <c r="B503" s="5" t="s">
        <v>3415</v>
      </c>
      <c r="C503" s="5" t="s">
        <v>3401</v>
      </c>
      <c r="D503" s="5" t="s">
        <v>8</v>
      </c>
      <c r="E503" s="6"/>
      <c r="F503" s="6"/>
      <c r="G503" s="7" t="s">
        <v>3416</v>
      </c>
      <c r="I503" s="8" t="s">
        <v>3417</v>
      </c>
      <c r="J503" s="9">
        <v>26.9</v>
      </c>
      <c r="K503" s="10" t="s">
        <v>11</v>
      </c>
      <c r="L503" s="6"/>
      <c r="M503" s="11" t="s">
        <v>12</v>
      </c>
      <c r="N503" s="6" t="s">
        <v>3418</v>
      </c>
      <c r="O503" s="6" t="s">
        <v>3419</v>
      </c>
      <c r="P503" s="10" t="s">
        <v>15</v>
      </c>
      <c r="Q503" s="6"/>
      <c r="R503" s="6"/>
      <c r="S503" s="6"/>
      <c r="T503" s="6" t="s">
        <v>16</v>
      </c>
      <c r="U503" s="9" t="s">
        <v>17</v>
      </c>
      <c r="AI503" s="6" t="s">
        <v>3406</v>
      </c>
      <c r="AJ503" s="12" t="s">
        <v>3407</v>
      </c>
      <c r="AL503" s="13" t="s">
        <v>20</v>
      </c>
    </row>
    <row r="504">
      <c r="A504" s="5" t="s">
        <v>3420</v>
      </c>
      <c r="B504" s="5" t="s">
        <v>3421</v>
      </c>
      <c r="C504" s="5" t="s">
        <v>3401</v>
      </c>
      <c r="D504" s="5" t="s">
        <v>8</v>
      </c>
      <c r="E504" s="6"/>
      <c r="F504" s="6"/>
      <c r="G504" s="7" t="s">
        <v>3422</v>
      </c>
      <c r="I504" s="8" t="s">
        <v>3423</v>
      </c>
      <c r="J504" s="9">
        <v>41.58</v>
      </c>
      <c r="K504" s="10" t="s">
        <v>11</v>
      </c>
      <c r="L504" s="6"/>
      <c r="M504" s="11" t="s">
        <v>12</v>
      </c>
      <c r="N504" s="6" t="s">
        <v>3424</v>
      </c>
      <c r="O504" s="6" t="s">
        <v>3425</v>
      </c>
      <c r="P504" s="10" t="s">
        <v>15</v>
      </c>
      <c r="Q504" s="6"/>
      <c r="R504" s="6"/>
      <c r="S504" s="6"/>
      <c r="T504" s="6" t="s">
        <v>16</v>
      </c>
      <c r="U504" s="9" t="s">
        <v>17</v>
      </c>
      <c r="AI504" s="6" t="s">
        <v>3406</v>
      </c>
      <c r="AJ504" s="12" t="s">
        <v>3407</v>
      </c>
      <c r="AL504" s="13" t="s">
        <v>20</v>
      </c>
    </row>
    <row r="505">
      <c r="A505" s="5" t="s">
        <v>3426</v>
      </c>
      <c r="B505" s="5" t="s">
        <v>3427</v>
      </c>
      <c r="C505" s="5" t="s">
        <v>3428</v>
      </c>
      <c r="D505" s="5" t="s">
        <v>8</v>
      </c>
      <c r="E505" s="6"/>
      <c r="F505" s="6"/>
      <c r="G505" s="7" t="s">
        <v>3429</v>
      </c>
      <c r="I505" s="8" t="s">
        <v>3430</v>
      </c>
      <c r="J505" s="9">
        <v>9.8</v>
      </c>
      <c r="K505" s="10" t="s">
        <v>11</v>
      </c>
      <c r="L505" s="6"/>
      <c r="M505" s="11" t="s">
        <v>12</v>
      </c>
      <c r="N505" s="6" t="s">
        <v>3431</v>
      </c>
      <c r="O505" s="6" t="s">
        <v>3432</v>
      </c>
      <c r="P505" s="10" t="s">
        <v>15</v>
      </c>
      <c r="Q505" s="6"/>
      <c r="R505" s="6"/>
      <c r="S505" s="6"/>
      <c r="T505" s="6" t="s">
        <v>16</v>
      </c>
      <c r="U505" s="9" t="s">
        <v>17</v>
      </c>
      <c r="AI505" s="6" t="s">
        <v>18</v>
      </c>
      <c r="AJ505" s="12" t="s">
        <v>3433</v>
      </c>
      <c r="AL505" s="13" t="s">
        <v>20</v>
      </c>
    </row>
    <row r="506">
      <c r="A506" s="5" t="s">
        <v>3434</v>
      </c>
      <c r="B506" s="5" t="s">
        <v>3435</v>
      </c>
      <c r="C506" s="5" t="s">
        <v>3428</v>
      </c>
      <c r="D506" s="5" t="s">
        <v>8</v>
      </c>
      <c r="E506" s="6"/>
      <c r="F506" s="6"/>
      <c r="G506" s="7" t="s">
        <v>3436</v>
      </c>
      <c r="I506" s="8" t="s">
        <v>3437</v>
      </c>
      <c r="J506" s="9">
        <v>37.9</v>
      </c>
      <c r="K506" s="10" t="s">
        <v>11</v>
      </c>
      <c r="L506" s="6"/>
      <c r="M506" s="11" t="s">
        <v>12</v>
      </c>
      <c r="N506" s="6" t="s">
        <v>3438</v>
      </c>
      <c r="O506" s="6" t="s">
        <v>3439</v>
      </c>
      <c r="P506" s="10" t="s">
        <v>15</v>
      </c>
      <c r="Q506" s="6"/>
      <c r="R506" s="6"/>
      <c r="S506" s="6"/>
      <c r="T506" s="6" t="s">
        <v>16</v>
      </c>
      <c r="U506" s="9" t="s">
        <v>17</v>
      </c>
      <c r="AI506" s="6" t="s">
        <v>18</v>
      </c>
      <c r="AJ506" s="12" t="s">
        <v>3433</v>
      </c>
      <c r="AL506" s="13" t="s">
        <v>20</v>
      </c>
    </row>
    <row r="507">
      <c r="A507" s="5" t="s">
        <v>3440</v>
      </c>
      <c r="B507" s="5" t="s">
        <v>3441</v>
      </c>
      <c r="C507" s="5" t="s">
        <v>3428</v>
      </c>
      <c r="D507" s="5" t="s">
        <v>8</v>
      </c>
      <c r="E507" s="6"/>
      <c r="F507" s="6"/>
      <c r="G507" s="7" t="s">
        <v>3442</v>
      </c>
      <c r="I507" s="8" t="s">
        <v>3443</v>
      </c>
      <c r="J507" s="9">
        <v>26.9</v>
      </c>
      <c r="K507" s="10" t="s">
        <v>11</v>
      </c>
      <c r="L507" s="6"/>
      <c r="M507" s="11" t="s">
        <v>12</v>
      </c>
      <c r="N507" s="6" t="s">
        <v>3444</v>
      </c>
      <c r="O507" s="6" t="s">
        <v>3445</v>
      </c>
      <c r="P507" s="10" t="s">
        <v>15</v>
      </c>
      <c r="Q507" s="6"/>
      <c r="R507" s="6"/>
      <c r="S507" s="6"/>
      <c r="T507" s="6" t="s">
        <v>16</v>
      </c>
      <c r="U507" s="9" t="s">
        <v>17</v>
      </c>
      <c r="AI507" s="6" t="s">
        <v>18</v>
      </c>
      <c r="AJ507" s="12" t="s">
        <v>3433</v>
      </c>
      <c r="AL507" s="13" t="s">
        <v>20</v>
      </c>
    </row>
    <row r="508">
      <c r="A508" s="5" t="s">
        <v>3446</v>
      </c>
      <c r="B508" s="5" t="s">
        <v>3447</v>
      </c>
      <c r="C508" s="5" t="s">
        <v>3448</v>
      </c>
      <c r="D508" s="5" t="s">
        <v>507</v>
      </c>
      <c r="E508" s="6"/>
      <c r="F508" s="6"/>
      <c r="G508" s="7" t="s">
        <v>3449</v>
      </c>
      <c r="I508" s="8" t="s">
        <v>3450</v>
      </c>
      <c r="J508" s="9">
        <v>7.9</v>
      </c>
      <c r="K508" s="10" t="s">
        <v>11</v>
      </c>
      <c r="L508" s="6"/>
      <c r="M508" s="11" t="s">
        <v>12</v>
      </c>
      <c r="N508" s="6" t="s">
        <v>3451</v>
      </c>
      <c r="O508" s="6" t="s">
        <v>3452</v>
      </c>
      <c r="P508" s="10" t="s">
        <v>15</v>
      </c>
      <c r="Q508" s="6"/>
      <c r="R508" s="6"/>
      <c r="S508" s="6"/>
      <c r="T508" s="6" t="s">
        <v>16</v>
      </c>
      <c r="U508" s="9" t="s">
        <v>17</v>
      </c>
      <c r="AI508" s="6" t="s">
        <v>18</v>
      </c>
      <c r="AJ508" s="12" t="s">
        <v>3453</v>
      </c>
      <c r="AL508" s="13" t="s">
        <v>20</v>
      </c>
    </row>
    <row r="509">
      <c r="A509" s="5" t="s">
        <v>3454</v>
      </c>
      <c r="B509" s="5" t="s">
        <v>3455</v>
      </c>
      <c r="C509" s="5" t="s">
        <v>3428</v>
      </c>
      <c r="D509" s="5" t="s">
        <v>8</v>
      </c>
      <c r="E509" s="6"/>
      <c r="F509" s="6"/>
      <c r="G509" s="7" t="s">
        <v>3456</v>
      </c>
      <c r="I509" s="8" t="s">
        <v>3457</v>
      </c>
      <c r="J509" s="9">
        <v>29.2</v>
      </c>
      <c r="K509" s="10" t="s">
        <v>11</v>
      </c>
      <c r="L509" s="6"/>
      <c r="M509" s="11" t="s">
        <v>12</v>
      </c>
      <c r="N509" s="6" t="s">
        <v>3458</v>
      </c>
      <c r="O509" s="6" t="s">
        <v>3459</v>
      </c>
      <c r="P509" s="10" t="s">
        <v>15</v>
      </c>
      <c r="Q509" s="6"/>
      <c r="R509" s="6"/>
      <c r="S509" s="6"/>
      <c r="T509" s="6" t="s">
        <v>16</v>
      </c>
      <c r="U509" s="9" t="s">
        <v>17</v>
      </c>
      <c r="AI509" s="6" t="s">
        <v>18</v>
      </c>
      <c r="AJ509" s="12" t="s">
        <v>3433</v>
      </c>
      <c r="AL509" s="13" t="s">
        <v>20</v>
      </c>
    </row>
    <row r="510">
      <c r="A510" s="5" t="s">
        <v>3460</v>
      </c>
      <c r="B510" s="5" t="s">
        <v>3461</v>
      </c>
      <c r="C510" s="5" t="s">
        <v>3462</v>
      </c>
      <c r="D510" s="5" t="s">
        <v>8</v>
      </c>
      <c r="E510" s="6"/>
      <c r="F510" s="6"/>
      <c r="G510" s="7" t="s">
        <v>3463</v>
      </c>
      <c r="I510" s="8" t="s">
        <v>3464</v>
      </c>
      <c r="J510" s="9">
        <v>12.6</v>
      </c>
      <c r="K510" s="10" t="s">
        <v>11</v>
      </c>
      <c r="L510" s="6"/>
      <c r="M510" s="11" t="s">
        <v>12</v>
      </c>
      <c r="N510" s="6" t="s">
        <v>3465</v>
      </c>
      <c r="O510" s="6" t="s">
        <v>3466</v>
      </c>
      <c r="P510" s="10" t="s">
        <v>15</v>
      </c>
      <c r="Q510" s="6"/>
      <c r="R510" s="6"/>
      <c r="S510" s="6"/>
      <c r="T510" s="6" t="s">
        <v>16</v>
      </c>
      <c r="U510" s="9" t="s">
        <v>17</v>
      </c>
      <c r="AI510" s="6" t="s">
        <v>18</v>
      </c>
      <c r="AJ510" s="12" t="s">
        <v>3467</v>
      </c>
      <c r="AL510" s="13" t="s">
        <v>20</v>
      </c>
    </row>
    <row r="511">
      <c r="A511" s="5" t="s">
        <v>3468</v>
      </c>
      <c r="B511" s="5" t="s">
        <v>3469</v>
      </c>
      <c r="C511" s="5" t="s">
        <v>3462</v>
      </c>
      <c r="D511" s="5" t="s">
        <v>8</v>
      </c>
      <c r="E511" s="6"/>
      <c r="F511" s="6"/>
      <c r="G511" s="7" t="s">
        <v>3470</v>
      </c>
      <c r="I511" s="8" t="s">
        <v>3471</v>
      </c>
      <c r="J511" s="9">
        <v>37.5</v>
      </c>
      <c r="K511" s="10" t="s">
        <v>11</v>
      </c>
      <c r="L511" s="6"/>
      <c r="M511" s="11" t="s">
        <v>12</v>
      </c>
      <c r="N511" s="6" t="s">
        <v>3472</v>
      </c>
      <c r="O511" s="6" t="s">
        <v>3473</v>
      </c>
      <c r="P511" s="10" t="s">
        <v>15</v>
      </c>
      <c r="Q511" s="6"/>
      <c r="R511" s="6"/>
      <c r="S511" s="6"/>
      <c r="T511" s="6" t="s">
        <v>16</v>
      </c>
      <c r="U511" s="9" t="s">
        <v>17</v>
      </c>
      <c r="AI511" s="6" t="s">
        <v>18</v>
      </c>
      <c r="AJ511" s="12" t="s">
        <v>3467</v>
      </c>
      <c r="AL511" s="13" t="s">
        <v>20</v>
      </c>
    </row>
    <row r="512">
      <c r="A512" s="5" t="s">
        <v>3474</v>
      </c>
      <c r="B512" s="5" t="s">
        <v>3475</v>
      </c>
      <c r="C512" s="5" t="s">
        <v>3476</v>
      </c>
      <c r="D512" s="5" t="s">
        <v>8</v>
      </c>
      <c r="E512" s="6"/>
      <c r="F512" s="6"/>
      <c r="G512" s="7" t="s">
        <v>3477</v>
      </c>
      <c r="I512" s="8" t="s">
        <v>3478</v>
      </c>
      <c r="J512" s="9">
        <v>10.9</v>
      </c>
      <c r="K512" s="10" t="s">
        <v>11</v>
      </c>
      <c r="L512" s="6"/>
      <c r="M512" s="11" t="s">
        <v>12</v>
      </c>
      <c r="N512" s="6" t="s">
        <v>3479</v>
      </c>
      <c r="O512" s="6" t="s">
        <v>3480</v>
      </c>
      <c r="P512" s="10" t="s">
        <v>15</v>
      </c>
      <c r="Q512" s="6"/>
      <c r="R512" s="6"/>
      <c r="S512" s="6"/>
      <c r="T512" s="6" t="s">
        <v>16</v>
      </c>
      <c r="U512" s="9" t="s">
        <v>17</v>
      </c>
      <c r="AI512" s="6" t="s">
        <v>18</v>
      </c>
      <c r="AJ512" s="12" t="s">
        <v>3481</v>
      </c>
      <c r="AL512" s="13" t="s">
        <v>20</v>
      </c>
    </row>
    <row r="513">
      <c r="A513" s="5" t="s">
        <v>3482</v>
      </c>
      <c r="B513" s="5" t="s">
        <v>3483</v>
      </c>
      <c r="C513" s="5" t="s">
        <v>3476</v>
      </c>
      <c r="D513" s="5" t="s">
        <v>8</v>
      </c>
      <c r="E513" s="6"/>
      <c r="F513" s="6"/>
      <c r="G513" s="7" t="s">
        <v>3484</v>
      </c>
      <c r="I513" s="8" t="s">
        <v>3485</v>
      </c>
      <c r="J513" s="9">
        <v>29.5</v>
      </c>
      <c r="K513" s="10" t="s">
        <v>11</v>
      </c>
      <c r="L513" s="6"/>
      <c r="M513" s="11" t="s">
        <v>12</v>
      </c>
      <c r="N513" s="6" t="s">
        <v>3486</v>
      </c>
      <c r="O513" s="6" t="s">
        <v>3487</v>
      </c>
      <c r="P513" s="10" t="s">
        <v>15</v>
      </c>
      <c r="Q513" s="6"/>
      <c r="R513" s="6"/>
      <c r="S513" s="6"/>
      <c r="T513" s="6" t="s">
        <v>16</v>
      </c>
      <c r="U513" s="9" t="s">
        <v>17</v>
      </c>
      <c r="AI513" s="6" t="s">
        <v>18</v>
      </c>
      <c r="AJ513" s="12" t="s">
        <v>3481</v>
      </c>
      <c r="AL513" s="13" t="s">
        <v>20</v>
      </c>
    </row>
    <row r="514">
      <c r="A514" s="5" t="s">
        <v>3488</v>
      </c>
      <c r="B514" s="5" t="s">
        <v>3489</v>
      </c>
      <c r="C514" s="5" t="s">
        <v>3490</v>
      </c>
      <c r="D514" s="5" t="s">
        <v>8</v>
      </c>
      <c r="E514" s="6"/>
      <c r="F514" s="6"/>
      <c r="G514" s="7" t="s">
        <v>3491</v>
      </c>
      <c r="I514" s="8" t="s">
        <v>3492</v>
      </c>
      <c r="J514" s="9">
        <v>11.9</v>
      </c>
      <c r="K514" s="10" t="s">
        <v>11</v>
      </c>
      <c r="L514" s="6"/>
      <c r="M514" s="11" t="s">
        <v>12</v>
      </c>
      <c r="N514" s="6" t="s">
        <v>3493</v>
      </c>
      <c r="O514" s="6" t="s">
        <v>3494</v>
      </c>
      <c r="P514" s="10" t="s">
        <v>15</v>
      </c>
      <c r="Q514" s="6"/>
      <c r="R514" s="6"/>
      <c r="S514" s="6"/>
      <c r="T514" s="6" t="s">
        <v>16</v>
      </c>
      <c r="U514" s="9" t="s">
        <v>17</v>
      </c>
      <c r="AI514" s="6" t="s">
        <v>18</v>
      </c>
      <c r="AJ514" s="12" t="s">
        <v>3495</v>
      </c>
      <c r="AL514" s="13" t="s">
        <v>20</v>
      </c>
    </row>
    <row r="515">
      <c r="A515" s="5" t="s">
        <v>3496</v>
      </c>
      <c r="B515" s="5" t="s">
        <v>3497</v>
      </c>
      <c r="C515" s="5" t="s">
        <v>3490</v>
      </c>
      <c r="D515" s="5" t="s">
        <v>8</v>
      </c>
      <c r="E515" s="6"/>
      <c r="F515" s="6"/>
      <c r="G515" s="7" t="s">
        <v>3498</v>
      </c>
      <c r="I515" s="8" t="s">
        <v>3499</v>
      </c>
      <c r="J515" s="9">
        <v>37.9</v>
      </c>
      <c r="K515" s="10" t="s">
        <v>11</v>
      </c>
      <c r="L515" s="6"/>
      <c r="M515" s="11" t="s">
        <v>12</v>
      </c>
      <c r="N515" s="6" t="s">
        <v>3500</v>
      </c>
      <c r="O515" s="6" t="s">
        <v>3501</v>
      </c>
      <c r="P515" s="10" t="s">
        <v>15</v>
      </c>
      <c r="Q515" s="6"/>
      <c r="R515" s="6"/>
      <c r="S515" s="6"/>
      <c r="T515" s="6" t="s">
        <v>16</v>
      </c>
      <c r="U515" s="9" t="s">
        <v>17</v>
      </c>
      <c r="AI515" s="6" t="s">
        <v>18</v>
      </c>
      <c r="AJ515" s="12" t="s">
        <v>3495</v>
      </c>
      <c r="AL515" s="13" t="s">
        <v>20</v>
      </c>
    </row>
    <row r="516">
      <c r="A516" s="5" t="s">
        <v>3502</v>
      </c>
      <c r="B516" s="5" t="s">
        <v>3503</v>
      </c>
      <c r="C516" s="5" t="s">
        <v>3490</v>
      </c>
      <c r="D516" s="5" t="s">
        <v>8</v>
      </c>
      <c r="E516" s="6"/>
      <c r="F516" s="6"/>
      <c r="G516" s="7" t="s">
        <v>3504</v>
      </c>
      <c r="I516" s="8" t="s">
        <v>3505</v>
      </c>
      <c r="J516" s="9">
        <v>26.9</v>
      </c>
      <c r="K516" s="10" t="s">
        <v>11</v>
      </c>
      <c r="L516" s="6"/>
      <c r="M516" s="11" t="s">
        <v>12</v>
      </c>
      <c r="N516" s="6" t="s">
        <v>3506</v>
      </c>
      <c r="O516" s="6" t="s">
        <v>3507</v>
      </c>
      <c r="P516" s="10" t="s">
        <v>15</v>
      </c>
      <c r="Q516" s="6"/>
      <c r="R516" s="6"/>
      <c r="S516" s="6"/>
      <c r="T516" s="6" t="s">
        <v>16</v>
      </c>
      <c r="U516" s="9" t="s">
        <v>17</v>
      </c>
      <c r="AI516" s="6" t="s">
        <v>18</v>
      </c>
      <c r="AJ516" s="12" t="s">
        <v>3495</v>
      </c>
      <c r="AL516" s="13" t="s">
        <v>20</v>
      </c>
    </row>
    <row r="517">
      <c r="A517" s="5" t="s">
        <v>3508</v>
      </c>
      <c r="B517" s="5" t="s">
        <v>3509</v>
      </c>
      <c r="C517" s="5" t="s">
        <v>3490</v>
      </c>
      <c r="D517" s="5" t="s">
        <v>8</v>
      </c>
      <c r="E517" s="6"/>
      <c r="F517" s="6"/>
      <c r="G517" s="7" t="s">
        <v>3510</v>
      </c>
      <c r="I517" s="8" t="s">
        <v>3511</v>
      </c>
      <c r="J517" s="9">
        <v>29.5</v>
      </c>
      <c r="K517" s="10" t="s">
        <v>11</v>
      </c>
      <c r="L517" s="6"/>
      <c r="M517" s="11" t="s">
        <v>12</v>
      </c>
      <c r="N517" s="6" t="s">
        <v>3512</v>
      </c>
      <c r="O517" s="6" t="s">
        <v>3513</v>
      </c>
      <c r="P517" s="10" t="s">
        <v>15</v>
      </c>
      <c r="Q517" s="6"/>
      <c r="R517" s="6"/>
      <c r="S517" s="6"/>
      <c r="T517" s="6" t="s">
        <v>16</v>
      </c>
      <c r="U517" s="9" t="s">
        <v>17</v>
      </c>
      <c r="AI517" s="6" t="s">
        <v>18</v>
      </c>
      <c r="AJ517" s="12" t="s">
        <v>3495</v>
      </c>
      <c r="AL517" s="13" t="s">
        <v>20</v>
      </c>
    </row>
    <row r="518">
      <c r="A518" s="5" t="s">
        <v>3514</v>
      </c>
      <c r="B518" s="5" t="s">
        <v>3515</v>
      </c>
      <c r="C518" s="5" t="s">
        <v>3516</v>
      </c>
      <c r="D518" s="5" t="s">
        <v>8</v>
      </c>
      <c r="E518" s="6"/>
      <c r="F518" s="6"/>
      <c r="G518" s="7" t="s">
        <v>3517</v>
      </c>
      <c r="I518" s="8" t="s">
        <v>3518</v>
      </c>
      <c r="J518" s="9">
        <v>9.9</v>
      </c>
      <c r="K518" s="10" t="s">
        <v>11</v>
      </c>
      <c r="L518" s="6"/>
      <c r="M518" s="11" t="s">
        <v>12</v>
      </c>
      <c r="N518" s="6" t="s">
        <v>3519</v>
      </c>
      <c r="O518" s="6" t="s">
        <v>3520</v>
      </c>
      <c r="P518" s="10" t="s">
        <v>15</v>
      </c>
      <c r="Q518" s="6"/>
      <c r="R518" s="6"/>
      <c r="S518" s="6"/>
      <c r="T518" s="6" t="s">
        <v>16</v>
      </c>
      <c r="U518" s="9" t="s">
        <v>17</v>
      </c>
      <c r="AI518" s="6" t="s">
        <v>18</v>
      </c>
      <c r="AJ518" s="12" t="s">
        <v>3521</v>
      </c>
      <c r="AL518" s="13" t="s">
        <v>20</v>
      </c>
    </row>
    <row r="519">
      <c r="A519" s="5" t="s">
        <v>3522</v>
      </c>
      <c r="B519" s="5" t="s">
        <v>3523</v>
      </c>
      <c r="C519" s="5" t="s">
        <v>3516</v>
      </c>
      <c r="D519" s="5" t="s">
        <v>8</v>
      </c>
      <c r="E519" s="6"/>
      <c r="F519" s="6"/>
      <c r="G519" s="7" t="s">
        <v>3524</v>
      </c>
      <c r="I519" s="8" t="s">
        <v>3525</v>
      </c>
      <c r="J519" s="9">
        <v>37.9</v>
      </c>
      <c r="K519" s="10" t="s">
        <v>11</v>
      </c>
      <c r="L519" s="6"/>
      <c r="M519" s="11" t="s">
        <v>12</v>
      </c>
      <c r="N519" s="6" t="s">
        <v>3526</v>
      </c>
      <c r="O519" s="6" t="s">
        <v>3527</v>
      </c>
      <c r="P519" s="10" t="s">
        <v>15</v>
      </c>
      <c r="Q519" s="6"/>
      <c r="R519" s="6"/>
      <c r="S519" s="6"/>
      <c r="T519" s="6" t="s">
        <v>16</v>
      </c>
      <c r="U519" s="9" t="s">
        <v>17</v>
      </c>
      <c r="AI519" s="6" t="s">
        <v>18</v>
      </c>
      <c r="AJ519" s="12" t="s">
        <v>3521</v>
      </c>
      <c r="AL519" s="13" t="s">
        <v>20</v>
      </c>
    </row>
    <row r="520">
      <c r="A520" s="5" t="s">
        <v>3528</v>
      </c>
      <c r="B520" s="5" t="s">
        <v>3529</v>
      </c>
      <c r="C520" s="5" t="s">
        <v>3516</v>
      </c>
      <c r="D520" s="5" t="s">
        <v>8</v>
      </c>
      <c r="E520" s="6"/>
      <c r="F520" s="6"/>
      <c r="G520" s="7" t="s">
        <v>3530</v>
      </c>
      <c r="I520" s="8" t="s">
        <v>3531</v>
      </c>
      <c r="J520" s="9">
        <v>26.9</v>
      </c>
      <c r="K520" s="10" t="s">
        <v>11</v>
      </c>
      <c r="L520" s="6"/>
      <c r="M520" s="11" t="s">
        <v>12</v>
      </c>
      <c r="N520" s="6" t="s">
        <v>3532</v>
      </c>
      <c r="O520" s="6" t="s">
        <v>3533</v>
      </c>
      <c r="P520" s="10" t="s">
        <v>15</v>
      </c>
      <c r="Q520" s="6"/>
      <c r="R520" s="6"/>
      <c r="S520" s="6"/>
      <c r="T520" s="6" t="s">
        <v>16</v>
      </c>
      <c r="U520" s="9" t="s">
        <v>17</v>
      </c>
      <c r="AI520" s="6" t="s">
        <v>18</v>
      </c>
      <c r="AJ520" s="12" t="s">
        <v>3521</v>
      </c>
      <c r="AL520" s="13" t="s">
        <v>20</v>
      </c>
    </row>
    <row r="521">
      <c r="A521" s="5" t="s">
        <v>3534</v>
      </c>
      <c r="B521" s="5" t="s">
        <v>3535</v>
      </c>
      <c r="C521" s="5" t="s">
        <v>3516</v>
      </c>
      <c r="D521" s="5" t="s">
        <v>8</v>
      </c>
      <c r="E521" s="6"/>
      <c r="F521" s="6"/>
      <c r="G521" s="7" t="s">
        <v>3536</v>
      </c>
      <c r="I521" s="8" t="s">
        <v>3537</v>
      </c>
      <c r="J521" s="9">
        <v>29.5</v>
      </c>
      <c r="K521" s="10" t="s">
        <v>11</v>
      </c>
      <c r="L521" s="6"/>
      <c r="M521" s="11" t="s">
        <v>12</v>
      </c>
      <c r="N521" s="6" t="s">
        <v>3538</v>
      </c>
      <c r="O521" s="6" t="s">
        <v>3539</v>
      </c>
      <c r="P521" s="10" t="s">
        <v>15</v>
      </c>
      <c r="Q521" s="6"/>
      <c r="R521" s="6"/>
      <c r="S521" s="6"/>
      <c r="T521" s="6" t="s">
        <v>16</v>
      </c>
      <c r="U521" s="9" t="s">
        <v>17</v>
      </c>
      <c r="AI521" s="6" t="s">
        <v>18</v>
      </c>
      <c r="AJ521" s="12" t="s">
        <v>3521</v>
      </c>
      <c r="AL521" s="13" t="s">
        <v>20</v>
      </c>
    </row>
    <row r="522">
      <c r="A522" s="5" t="s">
        <v>3540</v>
      </c>
      <c r="B522" s="5" t="s">
        <v>3541</v>
      </c>
      <c r="C522" s="5" t="s">
        <v>3542</v>
      </c>
      <c r="D522" s="5" t="s">
        <v>8</v>
      </c>
      <c r="E522" s="6"/>
      <c r="F522" s="6"/>
      <c r="G522" s="7" t="s">
        <v>3543</v>
      </c>
      <c r="I522" s="8" t="s">
        <v>3544</v>
      </c>
      <c r="J522" s="9">
        <v>9.9</v>
      </c>
      <c r="K522" s="10" t="s">
        <v>11</v>
      </c>
      <c r="L522" s="6"/>
      <c r="M522" s="11" t="s">
        <v>12</v>
      </c>
      <c r="N522" s="6" t="s">
        <v>3545</v>
      </c>
      <c r="O522" s="6" t="s">
        <v>3546</v>
      </c>
      <c r="P522" s="10" t="s">
        <v>15</v>
      </c>
      <c r="Q522" s="6"/>
      <c r="R522" s="6"/>
      <c r="S522" s="6"/>
      <c r="T522" s="6" t="s">
        <v>16</v>
      </c>
      <c r="U522" s="9" t="s">
        <v>17</v>
      </c>
      <c r="AI522" s="6" t="s">
        <v>18</v>
      </c>
      <c r="AJ522" s="12" t="s">
        <v>3547</v>
      </c>
      <c r="AL522" s="13" t="s">
        <v>20</v>
      </c>
    </row>
    <row r="523">
      <c r="A523" s="5" t="s">
        <v>3548</v>
      </c>
      <c r="B523" s="5" t="s">
        <v>3549</v>
      </c>
      <c r="C523" s="5" t="s">
        <v>3542</v>
      </c>
      <c r="D523" s="5" t="s">
        <v>8</v>
      </c>
      <c r="E523" s="6"/>
      <c r="F523" s="6"/>
      <c r="G523" s="7" t="s">
        <v>3550</v>
      </c>
      <c r="I523" s="8" t="s">
        <v>3551</v>
      </c>
      <c r="J523" s="9">
        <v>29.7</v>
      </c>
      <c r="K523" s="10">
        <v>26.73</v>
      </c>
      <c r="L523" s="6"/>
      <c r="M523" s="11" t="s">
        <v>17</v>
      </c>
      <c r="N523" s="6"/>
      <c r="O523" s="6" t="s">
        <v>3552</v>
      </c>
      <c r="P523" s="10" t="s">
        <v>15</v>
      </c>
      <c r="Q523" s="6"/>
      <c r="R523" s="6"/>
      <c r="S523" s="6"/>
      <c r="T523" s="6" t="s">
        <v>16</v>
      </c>
      <c r="U523" s="9" t="s">
        <v>17</v>
      </c>
      <c r="AI523" s="6" t="s">
        <v>18</v>
      </c>
      <c r="AJ523" s="12" t="s">
        <v>3547</v>
      </c>
      <c r="AL523" s="13" t="s">
        <v>20</v>
      </c>
    </row>
    <row r="524">
      <c r="A524" s="5" t="s">
        <v>3553</v>
      </c>
      <c r="B524" s="5" t="s">
        <v>3554</v>
      </c>
      <c r="C524" s="5" t="s">
        <v>3555</v>
      </c>
      <c r="D524" s="5" t="s">
        <v>8</v>
      </c>
      <c r="E524" s="6"/>
      <c r="F524" s="6"/>
      <c r="G524" s="7" t="s">
        <v>3556</v>
      </c>
      <c r="I524" s="8" t="s">
        <v>3557</v>
      </c>
      <c r="J524" s="9">
        <v>6.9</v>
      </c>
      <c r="K524" s="10" t="s">
        <v>11</v>
      </c>
      <c r="L524" s="6"/>
      <c r="M524" s="11" t="s">
        <v>12</v>
      </c>
      <c r="N524" s="6" t="s">
        <v>3558</v>
      </c>
      <c r="O524" s="6" t="s">
        <v>3559</v>
      </c>
      <c r="P524" s="10" t="s">
        <v>15</v>
      </c>
      <c r="Q524" s="6"/>
      <c r="R524" s="6"/>
      <c r="S524" s="6"/>
      <c r="T524" s="6" t="s">
        <v>16</v>
      </c>
      <c r="U524" s="9" t="s">
        <v>17</v>
      </c>
      <c r="AI524" s="6" t="s">
        <v>18</v>
      </c>
      <c r="AJ524" s="12" t="s">
        <v>3560</v>
      </c>
      <c r="AL524" s="13" t="s">
        <v>20</v>
      </c>
    </row>
    <row r="525">
      <c r="A525" s="5" t="s">
        <v>3561</v>
      </c>
      <c r="B525" s="5" t="s">
        <v>3562</v>
      </c>
      <c r="C525" s="5" t="s">
        <v>3555</v>
      </c>
      <c r="D525" s="5" t="s">
        <v>8</v>
      </c>
      <c r="E525" s="6"/>
      <c r="F525" s="6"/>
      <c r="G525" s="7" t="s">
        <v>3563</v>
      </c>
      <c r="I525" s="8" t="s">
        <v>3564</v>
      </c>
      <c r="J525" s="9">
        <v>37.9</v>
      </c>
      <c r="K525" s="10" t="s">
        <v>11</v>
      </c>
      <c r="L525" s="6"/>
      <c r="M525" s="11" t="s">
        <v>12</v>
      </c>
      <c r="N525" s="6" t="s">
        <v>3565</v>
      </c>
      <c r="O525" s="6" t="s">
        <v>3566</v>
      </c>
      <c r="P525" s="10" t="s">
        <v>15</v>
      </c>
      <c r="Q525" s="6"/>
      <c r="R525" s="6"/>
      <c r="S525" s="6"/>
      <c r="T525" s="6" t="s">
        <v>16</v>
      </c>
      <c r="U525" s="9" t="s">
        <v>17</v>
      </c>
      <c r="AI525" s="6" t="s">
        <v>18</v>
      </c>
      <c r="AJ525" s="12" t="s">
        <v>3560</v>
      </c>
      <c r="AL525" s="13" t="s">
        <v>20</v>
      </c>
    </row>
    <row r="526">
      <c r="A526" s="5" t="s">
        <v>3567</v>
      </c>
      <c r="B526" s="5" t="s">
        <v>3568</v>
      </c>
      <c r="C526" s="5" t="s">
        <v>3555</v>
      </c>
      <c r="D526" s="5" t="s">
        <v>8</v>
      </c>
      <c r="E526" s="6"/>
      <c r="F526" s="6"/>
      <c r="G526" s="7" t="s">
        <v>3569</v>
      </c>
      <c r="I526" s="8" t="s">
        <v>3570</v>
      </c>
      <c r="J526" s="9">
        <v>26.9</v>
      </c>
      <c r="K526" s="10" t="s">
        <v>11</v>
      </c>
      <c r="L526" s="6"/>
      <c r="M526" s="11" t="s">
        <v>12</v>
      </c>
      <c r="N526" s="6" t="s">
        <v>3571</v>
      </c>
      <c r="O526" s="6" t="s">
        <v>3572</v>
      </c>
      <c r="P526" s="10" t="s">
        <v>15</v>
      </c>
      <c r="Q526" s="6"/>
      <c r="R526" s="6"/>
      <c r="S526" s="6"/>
      <c r="T526" s="6" t="s">
        <v>16</v>
      </c>
      <c r="U526" s="9" t="s">
        <v>17</v>
      </c>
      <c r="AI526" s="6" t="s">
        <v>18</v>
      </c>
      <c r="AJ526" s="12" t="s">
        <v>3560</v>
      </c>
      <c r="AL526" s="13" t="s">
        <v>20</v>
      </c>
    </row>
    <row r="527">
      <c r="A527" s="5" t="s">
        <v>3573</v>
      </c>
      <c r="B527" s="5" t="s">
        <v>3574</v>
      </c>
      <c r="C527" s="5" t="s">
        <v>3555</v>
      </c>
      <c r="D527" s="5" t="s">
        <v>8</v>
      </c>
      <c r="E527" s="6"/>
      <c r="F527" s="6"/>
      <c r="G527" s="7" t="s">
        <v>3575</v>
      </c>
      <c r="I527" s="8" t="s">
        <v>3576</v>
      </c>
      <c r="J527" s="9">
        <v>22.08</v>
      </c>
      <c r="K527" s="10" t="s">
        <v>11</v>
      </c>
      <c r="L527" s="6"/>
      <c r="M527" s="11" t="s">
        <v>12</v>
      </c>
      <c r="N527" s="6" t="s">
        <v>3577</v>
      </c>
      <c r="O527" s="6" t="s">
        <v>3578</v>
      </c>
      <c r="P527" s="10" t="s">
        <v>15</v>
      </c>
      <c r="Q527" s="6"/>
      <c r="R527" s="6"/>
      <c r="S527" s="6"/>
      <c r="T527" s="6" t="s">
        <v>16</v>
      </c>
      <c r="U527" s="9" t="s">
        <v>17</v>
      </c>
      <c r="AI527" s="6" t="s">
        <v>18</v>
      </c>
      <c r="AJ527" s="12" t="s">
        <v>3560</v>
      </c>
      <c r="AL527" s="13" t="s">
        <v>20</v>
      </c>
    </row>
    <row r="528">
      <c r="A528" s="5" t="s">
        <v>3579</v>
      </c>
      <c r="B528" s="5" t="s">
        <v>3580</v>
      </c>
      <c r="C528" s="5" t="s">
        <v>3581</v>
      </c>
      <c r="D528" s="5" t="s">
        <v>8</v>
      </c>
      <c r="E528" s="6"/>
      <c r="F528" s="6"/>
      <c r="G528" s="7" t="s">
        <v>3582</v>
      </c>
      <c r="I528" s="8" t="s">
        <v>3583</v>
      </c>
      <c r="J528" s="9">
        <v>9.6</v>
      </c>
      <c r="K528" s="10" t="s">
        <v>11</v>
      </c>
      <c r="L528" s="6"/>
      <c r="M528" s="11" t="s">
        <v>12</v>
      </c>
      <c r="N528" s="6" t="s">
        <v>3584</v>
      </c>
      <c r="O528" s="6" t="s">
        <v>3585</v>
      </c>
      <c r="P528" s="10" t="s">
        <v>15</v>
      </c>
      <c r="Q528" s="6"/>
      <c r="R528" s="6"/>
      <c r="S528" s="6"/>
      <c r="T528" s="6" t="s">
        <v>16</v>
      </c>
      <c r="U528" s="9" t="s">
        <v>17</v>
      </c>
      <c r="AI528" s="6" t="s">
        <v>18</v>
      </c>
      <c r="AJ528" s="12" t="s">
        <v>3586</v>
      </c>
      <c r="AL528" s="13" t="s">
        <v>20</v>
      </c>
    </row>
    <row r="529">
      <c r="A529" s="5" t="s">
        <v>3587</v>
      </c>
      <c r="B529" s="5" t="s">
        <v>3588</v>
      </c>
      <c r="C529" s="5" t="s">
        <v>3581</v>
      </c>
      <c r="D529" s="17" t="s">
        <v>507</v>
      </c>
      <c r="E529" s="6"/>
      <c r="F529" s="6"/>
      <c r="G529" s="7" t="s">
        <v>3589</v>
      </c>
      <c r="I529" s="8" t="s">
        <v>3590</v>
      </c>
      <c r="J529" s="9">
        <v>37.9</v>
      </c>
      <c r="K529" s="10" t="s">
        <v>11</v>
      </c>
      <c r="L529" s="6"/>
      <c r="M529" s="11" t="s">
        <v>12</v>
      </c>
      <c r="N529" s="6" t="s">
        <v>3591</v>
      </c>
      <c r="O529" s="6" t="s">
        <v>3592</v>
      </c>
      <c r="P529" s="10" t="s">
        <v>15</v>
      </c>
      <c r="Q529" s="6"/>
      <c r="R529" s="6"/>
      <c r="S529" s="6"/>
      <c r="T529" s="6" t="s">
        <v>16</v>
      </c>
      <c r="U529" s="9" t="s">
        <v>17</v>
      </c>
      <c r="AI529" s="6" t="s">
        <v>18</v>
      </c>
      <c r="AJ529" s="12" t="s">
        <v>3586</v>
      </c>
      <c r="AL529" s="13" t="s">
        <v>20</v>
      </c>
    </row>
    <row r="530">
      <c r="A530" s="5" t="s">
        <v>3593</v>
      </c>
      <c r="B530" s="5" t="s">
        <v>3594</v>
      </c>
      <c r="C530" s="5" t="s">
        <v>3581</v>
      </c>
      <c r="D530" s="5" t="s">
        <v>8</v>
      </c>
      <c r="E530" s="6"/>
      <c r="F530" s="6"/>
      <c r="G530" s="7" t="s">
        <v>3595</v>
      </c>
      <c r="I530" s="8" t="s">
        <v>3596</v>
      </c>
      <c r="J530" s="9">
        <v>26.9</v>
      </c>
      <c r="K530" s="10" t="s">
        <v>11</v>
      </c>
      <c r="L530" s="6"/>
      <c r="M530" s="11" t="s">
        <v>12</v>
      </c>
      <c r="N530" s="6" t="s">
        <v>3597</v>
      </c>
      <c r="O530" s="6" t="s">
        <v>3598</v>
      </c>
      <c r="P530" s="10" t="s">
        <v>15</v>
      </c>
      <c r="Q530" s="6"/>
      <c r="R530" s="6"/>
      <c r="S530" s="6"/>
      <c r="T530" s="6" t="s">
        <v>16</v>
      </c>
      <c r="U530" s="9" t="s">
        <v>17</v>
      </c>
      <c r="AI530" s="6" t="s">
        <v>18</v>
      </c>
      <c r="AJ530" s="12" t="s">
        <v>3586</v>
      </c>
      <c r="AL530" s="13" t="s">
        <v>20</v>
      </c>
    </row>
    <row r="531">
      <c r="A531" s="5" t="s">
        <v>3599</v>
      </c>
      <c r="B531" s="5" t="s">
        <v>3600</v>
      </c>
      <c r="C531" s="5" t="s">
        <v>3581</v>
      </c>
      <c r="D531" s="5" t="s">
        <v>8</v>
      </c>
      <c r="E531" s="6"/>
      <c r="F531" s="6"/>
      <c r="G531" s="7" t="s">
        <v>3601</v>
      </c>
      <c r="I531" s="8" t="s">
        <v>3602</v>
      </c>
      <c r="J531" s="9">
        <v>28.6</v>
      </c>
      <c r="K531" s="10" t="s">
        <v>11</v>
      </c>
      <c r="L531" s="6"/>
      <c r="M531" s="11" t="s">
        <v>12</v>
      </c>
      <c r="N531" s="6" t="s">
        <v>3603</v>
      </c>
      <c r="O531" s="6" t="s">
        <v>3604</v>
      </c>
      <c r="P531" s="10" t="s">
        <v>15</v>
      </c>
      <c r="Q531" s="6"/>
      <c r="R531" s="6"/>
      <c r="S531" s="6"/>
      <c r="T531" s="6" t="s">
        <v>16</v>
      </c>
      <c r="U531" s="9" t="s">
        <v>17</v>
      </c>
      <c r="AI531" s="6" t="s">
        <v>18</v>
      </c>
      <c r="AJ531" s="12" t="s">
        <v>3586</v>
      </c>
      <c r="AL531" s="13" t="s">
        <v>20</v>
      </c>
    </row>
    <row r="532">
      <c r="A532" s="5" t="s">
        <v>3605</v>
      </c>
      <c r="B532" s="5" t="s">
        <v>3606</v>
      </c>
      <c r="C532" s="5" t="s">
        <v>3607</v>
      </c>
      <c r="D532" s="5" t="s">
        <v>8</v>
      </c>
      <c r="E532" s="6"/>
      <c r="F532" s="6"/>
      <c r="G532" s="7" t="s">
        <v>3608</v>
      </c>
      <c r="I532" s="8" t="s">
        <v>3609</v>
      </c>
      <c r="J532" s="9">
        <v>7.9</v>
      </c>
      <c r="K532" s="10" t="s">
        <v>11</v>
      </c>
      <c r="L532" s="6"/>
      <c r="M532" s="11" t="s">
        <v>12</v>
      </c>
      <c r="N532" s="6" t="s">
        <v>3610</v>
      </c>
      <c r="O532" s="6" t="s">
        <v>3611</v>
      </c>
      <c r="P532" s="10" t="s">
        <v>15</v>
      </c>
      <c r="Q532" s="6"/>
      <c r="R532" s="6"/>
      <c r="S532" s="6"/>
      <c r="T532" s="6" t="s">
        <v>16</v>
      </c>
      <c r="U532" s="9" t="s">
        <v>17</v>
      </c>
      <c r="AI532" s="6" t="s">
        <v>18</v>
      </c>
      <c r="AJ532" s="12" t="s">
        <v>3612</v>
      </c>
      <c r="AL532" s="13" t="s">
        <v>20</v>
      </c>
    </row>
    <row r="533">
      <c r="A533" s="5" t="s">
        <v>3613</v>
      </c>
      <c r="B533" s="5" t="s">
        <v>3614</v>
      </c>
      <c r="C533" s="5" t="s">
        <v>3607</v>
      </c>
      <c r="D533" s="5" t="s">
        <v>8</v>
      </c>
      <c r="E533" s="6"/>
      <c r="F533" s="6"/>
      <c r="G533" s="7" t="s">
        <v>3615</v>
      </c>
      <c r="I533" s="8" t="s">
        <v>3616</v>
      </c>
      <c r="J533" s="9">
        <v>37.9</v>
      </c>
      <c r="K533" s="10" t="s">
        <v>11</v>
      </c>
      <c r="L533" s="6"/>
      <c r="M533" s="11" t="s">
        <v>12</v>
      </c>
      <c r="N533" s="6" t="s">
        <v>3617</v>
      </c>
      <c r="O533" s="6" t="s">
        <v>3618</v>
      </c>
      <c r="P533" s="10" t="s">
        <v>15</v>
      </c>
      <c r="Q533" s="6"/>
      <c r="R533" s="6"/>
      <c r="S533" s="6"/>
      <c r="T533" s="6" t="s">
        <v>16</v>
      </c>
      <c r="U533" s="9" t="s">
        <v>17</v>
      </c>
      <c r="AI533" s="6" t="s">
        <v>18</v>
      </c>
      <c r="AJ533" s="12" t="s">
        <v>3612</v>
      </c>
      <c r="AL533" s="13" t="s">
        <v>20</v>
      </c>
    </row>
    <row r="534">
      <c r="A534" s="5" t="s">
        <v>3619</v>
      </c>
      <c r="B534" s="5" t="s">
        <v>3620</v>
      </c>
      <c r="C534" s="5" t="s">
        <v>3607</v>
      </c>
      <c r="D534" s="5" t="s">
        <v>8</v>
      </c>
      <c r="E534" s="6"/>
      <c r="F534" s="6"/>
      <c r="G534" s="7" t="s">
        <v>3621</v>
      </c>
      <c r="I534" s="8" t="s">
        <v>3622</v>
      </c>
      <c r="J534" s="9">
        <v>26.9</v>
      </c>
      <c r="K534" s="10" t="s">
        <v>11</v>
      </c>
      <c r="L534" s="6"/>
      <c r="M534" s="11" t="s">
        <v>12</v>
      </c>
      <c r="N534" s="6" t="s">
        <v>3623</v>
      </c>
      <c r="O534" s="6" t="s">
        <v>3624</v>
      </c>
      <c r="P534" s="10" t="s">
        <v>15</v>
      </c>
      <c r="Q534" s="6"/>
      <c r="R534" s="6"/>
      <c r="S534" s="6"/>
      <c r="T534" s="6" t="s">
        <v>16</v>
      </c>
      <c r="U534" s="9" t="s">
        <v>17</v>
      </c>
      <c r="AI534" s="6" t="s">
        <v>18</v>
      </c>
      <c r="AJ534" s="12" t="s">
        <v>3612</v>
      </c>
      <c r="AL534" s="13" t="s">
        <v>20</v>
      </c>
    </row>
    <row r="535">
      <c r="A535" s="5" t="s">
        <v>3625</v>
      </c>
      <c r="B535" s="5" t="s">
        <v>3626</v>
      </c>
      <c r="C535" s="5" t="s">
        <v>3607</v>
      </c>
      <c r="D535" s="5" t="s">
        <v>8</v>
      </c>
      <c r="E535" s="6"/>
      <c r="F535" s="6"/>
      <c r="G535" s="7" t="s">
        <v>3627</v>
      </c>
      <c r="I535" s="8" t="s">
        <v>3628</v>
      </c>
      <c r="J535" s="9">
        <v>12.64</v>
      </c>
      <c r="K535" s="10" t="s">
        <v>11</v>
      </c>
      <c r="L535" s="6"/>
      <c r="M535" s="11" t="s">
        <v>12</v>
      </c>
      <c r="N535" s="6" t="s">
        <v>3629</v>
      </c>
      <c r="O535" s="6" t="s">
        <v>3630</v>
      </c>
      <c r="P535" s="10" t="s">
        <v>15</v>
      </c>
      <c r="Q535" s="6"/>
      <c r="R535" s="6"/>
      <c r="S535" s="6"/>
      <c r="T535" s="6" t="s">
        <v>16</v>
      </c>
      <c r="U535" s="9" t="s">
        <v>17</v>
      </c>
      <c r="AI535" s="6" t="s">
        <v>18</v>
      </c>
      <c r="AJ535" s="12" t="s">
        <v>3612</v>
      </c>
      <c r="AL535" s="13" t="s">
        <v>20</v>
      </c>
    </row>
    <row r="536">
      <c r="A536" s="5" t="s">
        <v>3631</v>
      </c>
      <c r="B536" s="5" t="s">
        <v>3632</v>
      </c>
      <c r="C536" s="5" t="s">
        <v>3633</v>
      </c>
      <c r="D536" s="5" t="s">
        <v>8</v>
      </c>
      <c r="E536" s="6"/>
      <c r="F536" s="6"/>
      <c r="G536" s="7" t="s">
        <v>3634</v>
      </c>
      <c r="I536" s="8" t="s">
        <v>3635</v>
      </c>
      <c r="J536" s="9">
        <v>9.9</v>
      </c>
      <c r="K536" s="10" t="s">
        <v>11</v>
      </c>
      <c r="L536" s="6"/>
      <c r="M536" s="11" t="s">
        <v>12</v>
      </c>
      <c r="N536" s="6" t="s">
        <v>3636</v>
      </c>
      <c r="O536" s="6" t="s">
        <v>3637</v>
      </c>
      <c r="P536" s="10" t="s">
        <v>15</v>
      </c>
      <c r="Q536" s="6"/>
      <c r="R536" s="6"/>
      <c r="S536" s="6"/>
      <c r="T536" s="6" t="s">
        <v>16</v>
      </c>
      <c r="U536" s="9" t="s">
        <v>17</v>
      </c>
      <c r="AI536" s="6" t="s">
        <v>18</v>
      </c>
      <c r="AJ536" s="12" t="s">
        <v>3638</v>
      </c>
      <c r="AL536" s="13" t="s">
        <v>20</v>
      </c>
    </row>
    <row r="537">
      <c r="A537" s="5" t="s">
        <v>3639</v>
      </c>
      <c r="B537" s="5" t="s">
        <v>3640</v>
      </c>
      <c r="C537" s="5" t="s">
        <v>3633</v>
      </c>
      <c r="D537" s="5" t="s">
        <v>8</v>
      </c>
      <c r="E537" s="6"/>
      <c r="F537" s="6"/>
      <c r="G537" s="7" t="s">
        <v>3641</v>
      </c>
      <c r="I537" s="8" t="s">
        <v>3642</v>
      </c>
      <c r="J537" s="9">
        <v>19.6</v>
      </c>
      <c r="K537" s="10" t="s">
        <v>11</v>
      </c>
      <c r="L537" s="6"/>
      <c r="M537" s="11" t="s">
        <v>12</v>
      </c>
      <c r="N537" s="6" t="s">
        <v>3643</v>
      </c>
      <c r="O537" s="6" t="s">
        <v>3644</v>
      </c>
      <c r="P537" s="10" t="s">
        <v>15</v>
      </c>
      <c r="Q537" s="6"/>
      <c r="R537" s="6"/>
      <c r="S537" s="6"/>
      <c r="T537" s="6" t="s">
        <v>16</v>
      </c>
      <c r="U537" s="9" t="s">
        <v>17</v>
      </c>
      <c r="AI537" s="6" t="s">
        <v>18</v>
      </c>
      <c r="AJ537" s="12" t="s">
        <v>3638</v>
      </c>
      <c r="AL537" s="13" t="s">
        <v>20</v>
      </c>
    </row>
    <row r="538">
      <c r="A538" s="5" t="s">
        <v>3645</v>
      </c>
      <c r="B538" s="5" t="s">
        <v>3646</v>
      </c>
      <c r="C538" s="5" t="s">
        <v>3647</v>
      </c>
      <c r="D538" s="5" t="s">
        <v>8</v>
      </c>
      <c r="E538" s="6"/>
      <c r="F538" s="6"/>
      <c r="G538" s="7" t="s">
        <v>3648</v>
      </c>
      <c r="I538" s="8" t="s">
        <v>3649</v>
      </c>
      <c r="J538" s="9">
        <v>37.9</v>
      </c>
      <c r="K538" s="10" t="s">
        <v>11</v>
      </c>
      <c r="L538" s="6"/>
      <c r="M538" s="11" t="s">
        <v>12</v>
      </c>
      <c r="N538" s="6" t="s">
        <v>3650</v>
      </c>
      <c r="O538" s="6" t="s">
        <v>3651</v>
      </c>
      <c r="P538" s="10" t="s">
        <v>15</v>
      </c>
      <c r="Q538" s="6"/>
      <c r="R538" s="6"/>
      <c r="S538" s="6"/>
      <c r="T538" s="6" t="s">
        <v>16</v>
      </c>
      <c r="U538" s="9" t="s">
        <v>17</v>
      </c>
      <c r="AI538" s="6" t="s">
        <v>18</v>
      </c>
      <c r="AJ538" s="12" t="s">
        <v>3652</v>
      </c>
      <c r="AL538" s="13" t="s">
        <v>20</v>
      </c>
    </row>
    <row r="539">
      <c r="A539" s="5" t="s">
        <v>3653</v>
      </c>
      <c r="B539" s="5" t="s">
        <v>3654</v>
      </c>
      <c r="C539" s="5" t="s">
        <v>3647</v>
      </c>
      <c r="D539" s="5" t="s">
        <v>8</v>
      </c>
      <c r="E539" s="6"/>
      <c r="F539" s="6"/>
      <c r="G539" s="7" t="s">
        <v>3655</v>
      </c>
      <c r="I539" s="8" t="s">
        <v>3656</v>
      </c>
      <c r="J539" s="9">
        <v>26.9</v>
      </c>
      <c r="K539" s="10" t="s">
        <v>11</v>
      </c>
      <c r="L539" s="6"/>
      <c r="M539" s="11" t="s">
        <v>12</v>
      </c>
      <c r="N539" s="6" t="s">
        <v>3657</v>
      </c>
      <c r="O539" s="6" t="s">
        <v>3658</v>
      </c>
      <c r="P539" s="10" t="s">
        <v>15</v>
      </c>
      <c r="Q539" s="6"/>
      <c r="R539" s="6"/>
      <c r="S539" s="6"/>
      <c r="T539" s="6" t="s">
        <v>16</v>
      </c>
      <c r="U539" s="9" t="s">
        <v>17</v>
      </c>
      <c r="AI539" s="6" t="s">
        <v>18</v>
      </c>
      <c r="AJ539" s="12" t="s">
        <v>3652</v>
      </c>
      <c r="AL539" s="13" t="s">
        <v>20</v>
      </c>
    </row>
    <row r="540">
      <c r="A540" s="5" t="s">
        <v>3659</v>
      </c>
      <c r="B540" s="5" t="s">
        <v>3660</v>
      </c>
      <c r="C540" s="5" t="s">
        <v>3661</v>
      </c>
      <c r="D540" s="5" t="s">
        <v>8</v>
      </c>
      <c r="E540" s="6"/>
      <c r="F540" s="6"/>
      <c r="G540" s="7" t="s">
        <v>3662</v>
      </c>
      <c r="I540" s="8" t="s">
        <v>3663</v>
      </c>
      <c r="J540" s="9">
        <v>7.5</v>
      </c>
      <c r="K540" s="10" t="s">
        <v>11</v>
      </c>
      <c r="L540" s="6"/>
      <c r="M540" s="11" t="s">
        <v>12</v>
      </c>
      <c r="N540" s="6" t="s">
        <v>3664</v>
      </c>
      <c r="O540" s="6" t="s">
        <v>3665</v>
      </c>
      <c r="P540" s="10" t="s">
        <v>15</v>
      </c>
      <c r="Q540" s="6"/>
      <c r="R540" s="6"/>
      <c r="S540" s="6"/>
      <c r="T540" s="6" t="s">
        <v>16</v>
      </c>
      <c r="U540" s="9" t="s">
        <v>17</v>
      </c>
      <c r="AI540" s="6" t="s">
        <v>18</v>
      </c>
      <c r="AJ540" s="12" t="s">
        <v>3666</v>
      </c>
      <c r="AL540" s="13" t="s">
        <v>20</v>
      </c>
    </row>
    <row r="541">
      <c r="A541" s="5" t="s">
        <v>3667</v>
      </c>
      <c r="B541" s="5" t="s">
        <v>3668</v>
      </c>
      <c r="C541" s="5" t="s">
        <v>3661</v>
      </c>
      <c r="D541" s="5" t="s">
        <v>8</v>
      </c>
      <c r="E541" s="6"/>
      <c r="F541" s="6"/>
      <c r="G541" s="7" t="s">
        <v>3669</v>
      </c>
      <c r="I541" s="8" t="s">
        <v>3670</v>
      </c>
      <c r="J541" s="9">
        <v>24.0</v>
      </c>
      <c r="K541" s="10" t="s">
        <v>11</v>
      </c>
      <c r="L541" s="6"/>
      <c r="M541" s="11" t="s">
        <v>12</v>
      </c>
      <c r="N541" s="6" t="s">
        <v>3577</v>
      </c>
      <c r="O541" s="6" t="s">
        <v>3671</v>
      </c>
      <c r="P541" s="10" t="s">
        <v>15</v>
      </c>
      <c r="Q541" s="6"/>
      <c r="R541" s="6"/>
      <c r="S541" s="6"/>
      <c r="T541" s="6" t="s">
        <v>16</v>
      </c>
      <c r="U541" s="9" t="s">
        <v>17</v>
      </c>
      <c r="AI541" s="6" t="s">
        <v>18</v>
      </c>
      <c r="AJ541" s="12" t="s">
        <v>3666</v>
      </c>
      <c r="AL541" s="13" t="s">
        <v>20</v>
      </c>
    </row>
    <row r="542">
      <c r="A542" s="5" t="s">
        <v>3672</v>
      </c>
      <c r="B542" s="5" t="s">
        <v>3673</v>
      </c>
      <c r="C542" s="5" t="s">
        <v>3674</v>
      </c>
      <c r="D542" s="5" t="s">
        <v>8</v>
      </c>
      <c r="E542" s="6"/>
      <c r="F542" s="6"/>
      <c r="G542" s="7" t="s">
        <v>3675</v>
      </c>
      <c r="I542" s="8" t="s">
        <v>3676</v>
      </c>
      <c r="J542" s="9">
        <v>7.9</v>
      </c>
      <c r="K542" s="10" t="s">
        <v>11</v>
      </c>
      <c r="L542" s="6"/>
      <c r="M542" s="11" t="s">
        <v>12</v>
      </c>
      <c r="N542" s="6" t="s">
        <v>3677</v>
      </c>
      <c r="O542" s="6" t="s">
        <v>3678</v>
      </c>
      <c r="P542" s="10" t="s">
        <v>15</v>
      </c>
      <c r="Q542" s="6"/>
      <c r="R542" s="6"/>
      <c r="S542" s="6"/>
      <c r="T542" s="6" t="s">
        <v>16</v>
      </c>
      <c r="U542" s="9" t="s">
        <v>17</v>
      </c>
      <c r="AI542" s="6" t="s">
        <v>18</v>
      </c>
      <c r="AJ542" s="12" t="s">
        <v>3679</v>
      </c>
      <c r="AL542" s="13" t="s">
        <v>20</v>
      </c>
    </row>
    <row r="543">
      <c r="A543" s="5" t="s">
        <v>3680</v>
      </c>
      <c r="B543" s="5" t="s">
        <v>3681</v>
      </c>
      <c r="C543" s="5" t="s">
        <v>3682</v>
      </c>
      <c r="D543" s="5" t="s">
        <v>8</v>
      </c>
      <c r="E543" s="6"/>
      <c r="F543" s="6"/>
      <c r="G543" s="7" t="s">
        <v>3683</v>
      </c>
      <c r="I543" s="8" t="s">
        <v>3684</v>
      </c>
      <c r="J543" s="9">
        <v>9.9</v>
      </c>
      <c r="K543" s="10" t="s">
        <v>11</v>
      </c>
      <c r="L543" s="6"/>
      <c r="M543" s="11" t="s">
        <v>12</v>
      </c>
      <c r="N543" s="6" t="s">
        <v>3685</v>
      </c>
      <c r="O543" s="6" t="s">
        <v>3686</v>
      </c>
      <c r="P543" s="10" t="s">
        <v>15</v>
      </c>
      <c r="Q543" s="6"/>
      <c r="R543" s="6"/>
      <c r="S543" s="6"/>
      <c r="T543" s="6" t="s">
        <v>16</v>
      </c>
      <c r="U543" s="9" t="s">
        <v>17</v>
      </c>
      <c r="AI543" s="6" t="s">
        <v>18</v>
      </c>
      <c r="AJ543" s="12" t="s">
        <v>3687</v>
      </c>
      <c r="AL543" s="13" t="s">
        <v>20</v>
      </c>
    </row>
    <row r="544">
      <c r="A544" s="5" t="s">
        <v>3688</v>
      </c>
      <c r="B544" s="5" t="s">
        <v>3689</v>
      </c>
      <c r="C544" s="5" t="s">
        <v>3682</v>
      </c>
      <c r="D544" s="5" t="s">
        <v>8</v>
      </c>
      <c r="E544" s="6"/>
      <c r="F544" s="6"/>
      <c r="G544" s="7" t="s">
        <v>3690</v>
      </c>
      <c r="I544" s="8" t="s">
        <v>3691</v>
      </c>
      <c r="J544" s="9">
        <v>21.9</v>
      </c>
      <c r="K544" s="10" t="s">
        <v>11</v>
      </c>
      <c r="L544" s="6"/>
      <c r="M544" s="11" t="s">
        <v>12</v>
      </c>
      <c r="N544" s="6" t="s">
        <v>3692</v>
      </c>
      <c r="O544" s="6" t="s">
        <v>3693</v>
      </c>
      <c r="P544" s="10" t="s">
        <v>15</v>
      </c>
      <c r="Q544" s="6"/>
      <c r="R544" s="6"/>
      <c r="S544" s="6"/>
      <c r="T544" s="6" t="s">
        <v>16</v>
      </c>
      <c r="U544" s="9" t="s">
        <v>17</v>
      </c>
      <c r="AI544" s="6" t="s">
        <v>18</v>
      </c>
      <c r="AJ544" s="12" t="s">
        <v>3687</v>
      </c>
      <c r="AL544" s="13" t="s">
        <v>20</v>
      </c>
    </row>
    <row r="545">
      <c r="A545" s="5" t="s">
        <v>3694</v>
      </c>
      <c r="B545" s="5" t="s">
        <v>3695</v>
      </c>
      <c r="C545" s="5" t="s">
        <v>3696</v>
      </c>
      <c r="D545" s="5" t="s">
        <v>8</v>
      </c>
      <c r="E545" s="6"/>
      <c r="F545" s="6"/>
      <c r="G545" s="7" t="s">
        <v>3697</v>
      </c>
      <c r="I545" s="8" t="s">
        <v>3698</v>
      </c>
      <c r="J545" s="9">
        <v>11.7</v>
      </c>
      <c r="K545" s="10" t="s">
        <v>11</v>
      </c>
      <c r="L545" s="6"/>
      <c r="M545" s="11" t="s">
        <v>12</v>
      </c>
      <c r="N545" s="6" t="s">
        <v>3699</v>
      </c>
      <c r="O545" s="6" t="s">
        <v>3700</v>
      </c>
      <c r="P545" s="10" t="s">
        <v>15</v>
      </c>
      <c r="Q545" s="6"/>
      <c r="R545" s="6"/>
      <c r="S545" s="6"/>
      <c r="T545" s="6" t="s">
        <v>16</v>
      </c>
      <c r="U545" s="9" t="s">
        <v>17</v>
      </c>
      <c r="AI545" s="6" t="s">
        <v>18</v>
      </c>
      <c r="AJ545" s="12" t="s">
        <v>3701</v>
      </c>
      <c r="AL545" s="13" t="s">
        <v>20</v>
      </c>
    </row>
    <row r="546">
      <c r="A546" s="5" t="s">
        <v>3702</v>
      </c>
      <c r="B546" s="5" t="s">
        <v>3703</v>
      </c>
      <c r="C546" s="5" t="s">
        <v>3696</v>
      </c>
      <c r="D546" s="5" t="s">
        <v>8</v>
      </c>
      <c r="E546" s="6"/>
      <c r="F546" s="6"/>
      <c r="G546" s="18" t="s">
        <v>3704</v>
      </c>
      <c r="I546" s="8" t="s">
        <v>3705</v>
      </c>
      <c r="J546" s="9">
        <v>28.9</v>
      </c>
      <c r="K546" s="10" t="s">
        <v>11</v>
      </c>
      <c r="L546" s="6"/>
      <c r="M546" s="11" t="s">
        <v>12</v>
      </c>
      <c r="N546" s="6" t="s">
        <v>3706</v>
      </c>
      <c r="O546" s="6" t="s">
        <v>3707</v>
      </c>
      <c r="P546" s="10" t="s">
        <v>15</v>
      </c>
      <c r="Q546" s="6"/>
      <c r="R546" s="6"/>
      <c r="S546" s="6"/>
      <c r="T546" s="6" t="s">
        <v>16</v>
      </c>
      <c r="U546" s="9" t="s">
        <v>17</v>
      </c>
      <c r="AI546" s="6" t="s">
        <v>18</v>
      </c>
      <c r="AJ546" s="12" t="s">
        <v>3701</v>
      </c>
      <c r="AL546" s="13" t="s">
        <v>20</v>
      </c>
    </row>
    <row r="547">
      <c r="A547" s="5" t="s">
        <v>3708</v>
      </c>
      <c r="B547" s="5" t="s">
        <v>3709</v>
      </c>
      <c r="C547" s="5" t="s">
        <v>3674</v>
      </c>
      <c r="D547" s="5" t="s">
        <v>8</v>
      </c>
      <c r="E547" s="6"/>
      <c r="F547" s="6"/>
      <c r="G547" s="7" t="s">
        <v>3710</v>
      </c>
      <c r="I547" s="8" t="s">
        <v>3711</v>
      </c>
      <c r="J547" s="9">
        <v>23.7</v>
      </c>
      <c r="K547" s="10" t="s">
        <v>11</v>
      </c>
      <c r="L547" s="6"/>
      <c r="M547" s="11" t="s">
        <v>12</v>
      </c>
      <c r="N547" s="6" t="s">
        <v>3712</v>
      </c>
      <c r="O547" s="6" t="s">
        <v>3713</v>
      </c>
      <c r="P547" s="10" t="s">
        <v>15</v>
      </c>
      <c r="Q547" s="6"/>
      <c r="R547" s="6"/>
      <c r="S547" s="6"/>
      <c r="T547" s="6" t="s">
        <v>16</v>
      </c>
      <c r="U547" s="9" t="s">
        <v>17</v>
      </c>
      <c r="AI547" s="6" t="s">
        <v>18</v>
      </c>
      <c r="AJ547" s="12" t="s">
        <v>3679</v>
      </c>
      <c r="AL547" s="13" t="s">
        <v>20</v>
      </c>
    </row>
    <row r="548">
      <c r="A548" s="5" t="s">
        <v>3714</v>
      </c>
      <c r="B548" s="5" t="s">
        <v>3715</v>
      </c>
      <c r="C548" s="5" t="s">
        <v>3716</v>
      </c>
      <c r="D548" s="5" t="s">
        <v>8</v>
      </c>
      <c r="E548" s="6"/>
      <c r="F548" s="6"/>
      <c r="G548" s="7" t="s">
        <v>3717</v>
      </c>
      <c r="I548" s="8" t="s">
        <v>3718</v>
      </c>
      <c r="J548" s="9">
        <v>7.9</v>
      </c>
      <c r="K548" s="10" t="s">
        <v>11</v>
      </c>
      <c r="L548" s="6"/>
      <c r="M548" s="11" t="s">
        <v>12</v>
      </c>
      <c r="N548" s="6" t="s">
        <v>3719</v>
      </c>
      <c r="O548" s="6" t="s">
        <v>3720</v>
      </c>
      <c r="P548" s="10" t="s">
        <v>15</v>
      </c>
      <c r="Q548" s="6"/>
      <c r="R548" s="6"/>
      <c r="S548" s="6"/>
      <c r="T548" s="6" t="s">
        <v>16</v>
      </c>
      <c r="U548" s="9" t="s">
        <v>17</v>
      </c>
      <c r="AI548" s="6" t="s">
        <v>18</v>
      </c>
      <c r="AJ548" s="12" t="s">
        <v>3721</v>
      </c>
      <c r="AL548" s="13" t="s">
        <v>20</v>
      </c>
    </row>
    <row r="549">
      <c r="A549" s="5" t="s">
        <v>3722</v>
      </c>
      <c r="B549" s="5" t="s">
        <v>3723</v>
      </c>
      <c r="C549" s="5" t="s">
        <v>3716</v>
      </c>
      <c r="D549" s="5" t="s">
        <v>8</v>
      </c>
      <c r="E549" s="6"/>
      <c r="F549" s="6"/>
      <c r="G549" s="7" t="s">
        <v>3724</v>
      </c>
      <c r="I549" s="8" t="s">
        <v>3725</v>
      </c>
      <c r="J549" s="9">
        <v>26.9</v>
      </c>
      <c r="K549" s="10" t="s">
        <v>11</v>
      </c>
      <c r="L549" s="6"/>
      <c r="M549" s="11" t="s">
        <v>12</v>
      </c>
      <c r="N549" s="6" t="s">
        <v>3726</v>
      </c>
      <c r="O549" s="6" t="s">
        <v>3727</v>
      </c>
      <c r="P549" s="10" t="s">
        <v>15</v>
      </c>
      <c r="Q549" s="6"/>
      <c r="R549" s="6"/>
      <c r="S549" s="6"/>
      <c r="T549" s="6" t="s">
        <v>16</v>
      </c>
      <c r="U549" s="9" t="s">
        <v>17</v>
      </c>
      <c r="AI549" s="6" t="s">
        <v>18</v>
      </c>
      <c r="AJ549" s="12" t="s">
        <v>3721</v>
      </c>
      <c r="AL549" s="13" t="s">
        <v>20</v>
      </c>
    </row>
    <row r="550">
      <c r="A550" s="5" t="s">
        <v>3728</v>
      </c>
      <c r="B550" s="5" t="s">
        <v>3729</v>
      </c>
      <c r="C550" s="5" t="s">
        <v>3716</v>
      </c>
      <c r="D550" s="5" t="s">
        <v>8</v>
      </c>
      <c r="E550" s="6"/>
      <c r="F550" s="6"/>
      <c r="G550" s="7" t="s">
        <v>3730</v>
      </c>
      <c r="I550" s="8" t="s">
        <v>3731</v>
      </c>
      <c r="J550" s="9">
        <v>18.96</v>
      </c>
      <c r="K550" s="10" t="s">
        <v>11</v>
      </c>
      <c r="L550" s="6"/>
      <c r="M550" s="11" t="s">
        <v>12</v>
      </c>
      <c r="N550" s="6" t="s">
        <v>3732</v>
      </c>
      <c r="O550" s="6" t="s">
        <v>3733</v>
      </c>
      <c r="P550" s="10" t="s">
        <v>15</v>
      </c>
      <c r="Q550" s="6"/>
      <c r="R550" s="6"/>
      <c r="S550" s="6"/>
      <c r="T550" s="6" t="s">
        <v>16</v>
      </c>
      <c r="U550" s="9" t="s">
        <v>17</v>
      </c>
      <c r="AI550" s="6" t="s">
        <v>18</v>
      </c>
      <c r="AJ550" s="12" t="s">
        <v>3721</v>
      </c>
      <c r="AL550" s="13" t="s">
        <v>20</v>
      </c>
    </row>
    <row r="551">
      <c r="A551" s="5" t="s">
        <v>3734</v>
      </c>
      <c r="B551" s="5" t="s">
        <v>3735</v>
      </c>
      <c r="C551" s="5" t="s">
        <v>3736</v>
      </c>
      <c r="D551" s="5" t="s">
        <v>8</v>
      </c>
      <c r="E551" s="6"/>
      <c r="F551" s="6"/>
      <c r="G551" s="7" t="s">
        <v>3737</v>
      </c>
      <c r="I551" s="8" t="s">
        <v>3738</v>
      </c>
      <c r="J551" s="9">
        <v>7.5</v>
      </c>
      <c r="K551" s="10" t="s">
        <v>11</v>
      </c>
      <c r="L551" s="6"/>
      <c r="M551" s="11" t="s">
        <v>12</v>
      </c>
      <c r="N551" s="6" t="s">
        <v>3739</v>
      </c>
      <c r="O551" s="6" t="s">
        <v>3740</v>
      </c>
      <c r="P551" s="10" t="s">
        <v>15</v>
      </c>
      <c r="Q551" s="6"/>
      <c r="R551" s="6"/>
      <c r="S551" s="6"/>
      <c r="T551" s="6" t="s">
        <v>16</v>
      </c>
      <c r="U551" s="9" t="s">
        <v>17</v>
      </c>
      <c r="AI551" s="6" t="s">
        <v>18</v>
      </c>
      <c r="AJ551" s="12" t="s">
        <v>3741</v>
      </c>
      <c r="AL551" s="13" t="s">
        <v>20</v>
      </c>
    </row>
    <row r="552">
      <c r="A552" s="5" t="s">
        <v>3742</v>
      </c>
      <c r="B552" s="5" t="s">
        <v>3743</v>
      </c>
      <c r="C552" s="5" t="s">
        <v>3744</v>
      </c>
      <c r="D552" s="5" t="s">
        <v>507</v>
      </c>
      <c r="E552" s="6"/>
      <c r="F552" s="6"/>
      <c r="G552" s="7" t="s">
        <v>3745</v>
      </c>
      <c r="I552" s="8" t="s">
        <v>3746</v>
      </c>
      <c r="J552" s="9">
        <v>7.4</v>
      </c>
      <c r="K552" s="10" t="s">
        <v>11</v>
      </c>
      <c r="L552" s="6"/>
      <c r="M552" s="11" t="s">
        <v>17</v>
      </c>
      <c r="N552" s="6"/>
      <c r="O552" s="6" t="s">
        <v>3747</v>
      </c>
      <c r="P552" s="10" t="s">
        <v>15</v>
      </c>
      <c r="Q552" s="6"/>
      <c r="R552" s="6"/>
      <c r="S552" s="6"/>
      <c r="T552" s="6" t="s">
        <v>16</v>
      </c>
      <c r="U552" s="9" t="s">
        <v>17</v>
      </c>
      <c r="AI552" s="6" t="s">
        <v>18</v>
      </c>
      <c r="AJ552" s="12" t="s">
        <v>3748</v>
      </c>
      <c r="AL552" s="13" t="s">
        <v>20</v>
      </c>
    </row>
    <row r="553">
      <c r="A553" s="5" t="s">
        <v>3749</v>
      </c>
      <c r="B553" s="5" t="s">
        <v>3750</v>
      </c>
      <c r="C553" s="5" t="s">
        <v>3744</v>
      </c>
      <c r="D553" s="5" t="s">
        <v>507</v>
      </c>
      <c r="E553" s="6"/>
      <c r="F553" s="6"/>
      <c r="G553" s="7" t="s">
        <v>3751</v>
      </c>
      <c r="I553" s="8" t="s">
        <v>3752</v>
      </c>
      <c r="J553" s="9">
        <v>22.8</v>
      </c>
      <c r="K553" s="10" t="s">
        <v>11</v>
      </c>
      <c r="L553" s="6"/>
      <c r="M553" s="11" t="s">
        <v>17</v>
      </c>
      <c r="N553" s="6"/>
      <c r="O553" s="6" t="s">
        <v>3753</v>
      </c>
      <c r="P553" s="10" t="s">
        <v>15</v>
      </c>
      <c r="Q553" s="6"/>
      <c r="R553" s="6"/>
      <c r="S553" s="6"/>
      <c r="T553" s="6" t="s">
        <v>16</v>
      </c>
      <c r="U553" s="9" t="s">
        <v>17</v>
      </c>
      <c r="AI553" s="6" t="s">
        <v>18</v>
      </c>
      <c r="AJ553" s="12" t="s">
        <v>3748</v>
      </c>
      <c r="AL553" s="13" t="s">
        <v>20</v>
      </c>
    </row>
    <row r="554">
      <c r="A554" s="5" t="s">
        <v>3754</v>
      </c>
      <c r="B554" s="5" t="s">
        <v>3755</v>
      </c>
      <c r="C554" s="5" t="s">
        <v>3744</v>
      </c>
      <c r="D554" s="5" t="s">
        <v>507</v>
      </c>
      <c r="E554" s="6"/>
      <c r="F554" s="6"/>
      <c r="G554" s="7" t="s">
        <v>3756</v>
      </c>
      <c r="I554" s="8" t="s">
        <v>3757</v>
      </c>
      <c r="J554" s="9">
        <v>14.8</v>
      </c>
      <c r="K554" s="10" t="s">
        <v>11</v>
      </c>
      <c r="L554" s="6"/>
      <c r="M554" s="11" t="s">
        <v>17</v>
      </c>
      <c r="N554" s="6"/>
      <c r="O554" s="6" t="s">
        <v>3758</v>
      </c>
      <c r="P554" s="10" t="s">
        <v>15</v>
      </c>
      <c r="Q554" s="6"/>
      <c r="R554" s="6"/>
      <c r="S554" s="6"/>
      <c r="T554" s="6" t="s">
        <v>16</v>
      </c>
      <c r="U554" s="9" t="s">
        <v>17</v>
      </c>
      <c r="AI554" s="6" t="s">
        <v>18</v>
      </c>
      <c r="AJ554" s="12" t="s">
        <v>3748</v>
      </c>
      <c r="AL554" s="13" t="s">
        <v>20</v>
      </c>
    </row>
    <row r="555">
      <c r="A555" s="5" t="s">
        <v>3759</v>
      </c>
      <c r="B555" s="5" t="s">
        <v>3760</v>
      </c>
      <c r="C555" s="5" t="s">
        <v>3761</v>
      </c>
      <c r="D555" s="5" t="s">
        <v>8</v>
      </c>
      <c r="E555" s="6"/>
      <c r="F555" s="6"/>
      <c r="G555" s="7" t="s">
        <v>3762</v>
      </c>
      <c r="I555" s="8" t="s">
        <v>3763</v>
      </c>
      <c r="J555" s="9">
        <v>10.9</v>
      </c>
      <c r="K555" s="10" t="s">
        <v>11</v>
      </c>
      <c r="L555" s="6"/>
      <c r="M555" s="11" t="s">
        <v>12</v>
      </c>
      <c r="N555" s="6" t="s">
        <v>3764</v>
      </c>
      <c r="O555" s="6" t="s">
        <v>3765</v>
      </c>
      <c r="P555" s="10" t="s">
        <v>15</v>
      </c>
      <c r="Q555" s="6"/>
      <c r="R555" s="6"/>
      <c r="S555" s="6"/>
      <c r="T555" s="6" t="s">
        <v>16</v>
      </c>
      <c r="U555" s="9" t="s">
        <v>17</v>
      </c>
      <c r="AI555" s="6" t="s">
        <v>18</v>
      </c>
      <c r="AJ555" s="12" t="s">
        <v>3766</v>
      </c>
      <c r="AL555" s="13" t="s">
        <v>20</v>
      </c>
    </row>
    <row r="556">
      <c r="A556" s="5" t="s">
        <v>3767</v>
      </c>
      <c r="B556" s="5" t="s">
        <v>3768</v>
      </c>
      <c r="C556" s="5" t="s">
        <v>3761</v>
      </c>
      <c r="D556" s="5" t="s">
        <v>8</v>
      </c>
      <c r="E556" s="6"/>
      <c r="F556" s="6"/>
      <c r="G556" s="7" t="s">
        <v>3769</v>
      </c>
      <c r="I556" s="8" t="s">
        <v>3770</v>
      </c>
      <c r="J556" s="9">
        <v>29.7</v>
      </c>
      <c r="K556" s="10" t="s">
        <v>11</v>
      </c>
      <c r="L556" s="6"/>
      <c r="M556" s="11" t="s">
        <v>12</v>
      </c>
      <c r="N556" s="6" t="s">
        <v>3771</v>
      </c>
      <c r="O556" s="6" t="s">
        <v>3772</v>
      </c>
      <c r="P556" s="10" t="s">
        <v>15</v>
      </c>
      <c r="Q556" s="6"/>
      <c r="R556" s="6"/>
      <c r="S556" s="6"/>
      <c r="T556" s="6" t="s">
        <v>16</v>
      </c>
      <c r="U556" s="9" t="s">
        <v>17</v>
      </c>
      <c r="AI556" s="6" t="s">
        <v>18</v>
      </c>
      <c r="AJ556" s="12" t="s">
        <v>3766</v>
      </c>
      <c r="AL556" s="13" t="s">
        <v>20</v>
      </c>
    </row>
    <row r="557">
      <c r="A557" s="5" t="s">
        <v>3773</v>
      </c>
      <c r="B557" s="5" t="s">
        <v>3774</v>
      </c>
      <c r="C557" s="5" t="s">
        <v>3775</v>
      </c>
      <c r="D557" s="5" t="s">
        <v>8</v>
      </c>
      <c r="E557" s="6"/>
      <c r="F557" s="6"/>
      <c r="G557" s="7" t="s">
        <v>3776</v>
      </c>
      <c r="I557" s="8" t="s">
        <v>3777</v>
      </c>
      <c r="J557" s="9">
        <v>9.9</v>
      </c>
      <c r="K557" s="10" t="s">
        <v>11</v>
      </c>
      <c r="L557" s="6"/>
      <c r="M557" s="11" t="s">
        <v>12</v>
      </c>
      <c r="N557" s="6" t="s">
        <v>3778</v>
      </c>
      <c r="O557" s="6" t="s">
        <v>3779</v>
      </c>
      <c r="P557" s="10" t="s">
        <v>15</v>
      </c>
      <c r="Q557" s="6"/>
      <c r="R557" s="6"/>
      <c r="S557" s="6"/>
      <c r="T557" s="6" t="s">
        <v>16</v>
      </c>
      <c r="U557" s="9" t="s">
        <v>17</v>
      </c>
      <c r="AI557" s="6" t="s">
        <v>18</v>
      </c>
      <c r="AJ557" s="12" t="s">
        <v>3780</v>
      </c>
      <c r="AL557" s="13" t="s">
        <v>20</v>
      </c>
    </row>
    <row r="558">
      <c r="A558" s="5" t="s">
        <v>3781</v>
      </c>
      <c r="B558" s="5" t="s">
        <v>3782</v>
      </c>
      <c r="C558" s="5" t="s">
        <v>3775</v>
      </c>
      <c r="D558" s="5" t="s">
        <v>8</v>
      </c>
      <c r="E558" s="6"/>
      <c r="F558" s="6"/>
      <c r="G558" s="7" t="s">
        <v>3783</v>
      </c>
      <c r="I558" s="8" t="s">
        <v>3784</v>
      </c>
      <c r="J558" s="9">
        <v>29.5</v>
      </c>
      <c r="K558" s="10" t="s">
        <v>11</v>
      </c>
      <c r="L558" s="6"/>
      <c r="M558" s="11" t="s">
        <v>12</v>
      </c>
      <c r="N558" s="6" t="s">
        <v>3785</v>
      </c>
      <c r="O558" s="6" t="s">
        <v>3786</v>
      </c>
      <c r="P558" s="10" t="s">
        <v>15</v>
      </c>
      <c r="Q558" s="6"/>
      <c r="R558" s="6"/>
      <c r="S558" s="6"/>
      <c r="T558" s="6" t="s">
        <v>16</v>
      </c>
      <c r="U558" s="9" t="s">
        <v>17</v>
      </c>
      <c r="AI558" s="6" t="s">
        <v>18</v>
      </c>
      <c r="AJ558" s="12" t="s">
        <v>3780</v>
      </c>
      <c r="AL558" s="13" t="s">
        <v>20</v>
      </c>
    </row>
    <row r="559">
      <c r="A559" s="5" t="s">
        <v>3787</v>
      </c>
      <c r="B559" s="5" t="s">
        <v>3788</v>
      </c>
      <c r="C559" s="5" t="s">
        <v>3789</v>
      </c>
      <c r="D559" s="5" t="s">
        <v>8</v>
      </c>
      <c r="E559" s="6"/>
      <c r="F559" s="6"/>
      <c r="G559" s="7" t="s">
        <v>3790</v>
      </c>
      <c r="I559" s="8" t="s">
        <v>3791</v>
      </c>
      <c r="J559" s="9">
        <v>10.9</v>
      </c>
      <c r="K559" s="10" t="s">
        <v>11</v>
      </c>
      <c r="L559" s="6"/>
      <c r="M559" s="11" t="s">
        <v>12</v>
      </c>
      <c r="N559" s="6" t="s">
        <v>3792</v>
      </c>
      <c r="O559" s="6" t="s">
        <v>3793</v>
      </c>
      <c r="P559" s="10" t="s">
        <v>15</v>
      </c>
      <c r="Q559" s="6"/>
      <c r="R559" s="6"/>
      <c r="S559" s="6"/>
      <c r="T559" s="6" t="s">
        <v>16</v>
      </c>
      <c r="U559" s="9" t="s">
        <v>17</v>
      </c>
      <c r="AI559" s="6" t="s">
        <v>18</v>
      </c>
      <c r="AJ559" s="12" t="s">
        <v>3794</v>
      </c>
      <c r="AL559" s="13" t="s">
        <v>20</v>
      </c>
    </row>
    <row r="560">
      <c r="A560" s="5" t="s">
        <v>3795</v>
      </c>
      <c r="B560" s="5" t="s">
        <v>3796</v>
      </c>
      <c r="C560" s="5" t="s">
        <v>3797</v>
      </c>
      <c r="D560" s="5" t="s">
        <v>8</v>
      </c>
      <c r="E560" s="6"/>
      <c r="F560" s="6"/>
      <c r="G560" s="7" t="s">
        <v>3798</v>
      </c>
      <c r="I560" s="8" t="s">
        <v>3799</v>
      </c>
      <c r="J560" s="9">
        <v>7.9</v>
      </c>
      <c r="K560" s="10" t="s">
        <v>11</v>
      </c>
      <c r="L560" s="6"/>
      <c r="M560" s="11" t="s">
        <v>12</v>
      </c>
      <c r="N560" s="6" t="s">
        <v>3800</v>
      </c>
      <c r="O560" s="6" t="s">
        <v>3801</v>
      </c>
      <c r="P560" s="10" t="s">
        <v>15</v>
      </c>
      <c r="Q560" s="6"/>
      <c r="R560" s="6"/>
      <c r="S560" s="6"/>
      <c r="T560" s="6" t="s">
        <v>16</v>
      </c>
      <c r="U560" s="9" t="s">
        <v>17</v>
      </c>
      <c r="AI560" s="6" t="s">
        <v>18</v>
      </c>
      <c r="AJ560" s="12" t="s">
        <v>3802</v>
      </c>
      <c r="AL560" s="13" t="s">
        <v>20</v>
      </c>
    </row>
    <row r="561">
      <c r="A561" s="5" t="s">
        <v>3803</v>
      </c>
      <c r="B561" s="5" t="s">
        <v>3804</v>
      </c>
      <c r="C561" s="5" t="s">
        <v>3797</v>
      </c>
      <c r="D561" s="5" t="s">
        <v>8</v>
      </c>
      <c r="E561" s="6"/>
      <c r="F561" s="6"/>
      <c r="G561" s="7" t="s">
        <v>3805</v>
      </c>
      <c r="I561" s="8" t="s">
        <v>3806</v>
      </c>
      <c r="J561" s="9">
        <v>23.7</v>
      </c>
      <c r="K561" s="10" t="s">
        <v>11</v>
      </c>
      <c r="L561" s="6"/>
      <c r="M561" s="11" t="s">
        <v>12</v>
      </c>
      <c r="N561" s="6" t="s">
        <v>3807</v>
      </c>
      <c r="O561" s="6" t="s">
        <v>3808</v>
      </c>
      <c r="P561" s="10" t="s">
        <v>15</v>
      </c>
      <c r="Q561" s="6"/>
      <c r="R561" s="6"/>
      <c r="S561" s="6"/>
      <c r="T561" s="6" t="s">
        <v>16</v>
      </c>
      <c r="U561" s="9" t="s">
        <v>17</v>
      </c>
      <c r="AI561" s="6" t="s">
        <v>18</v>
      </c>
      <c r="AJ561" s="12" t="s">
        <v>3802</v>
      </c>
      <c r="AL561" s="13" t="s">
        <v>20</v>
      </c>
    </row>
    <row r="562">
      <c r="A562" s="5" t="s">
        <v>3809</v>
      </c>
      <c r="B562" s="5" t="s">
        <v>3810</v>
      </c>
      <c r="C562" s="5" t="s">
        <v>3811</v>
      </c>
      <c r="D562" s="5" t="s">
        <v>8</v>
      </c>
      <c r="E562" s="6"/>
      <c r="F562" s="6"/>
      <c r="G562" s="7" t="s">
        <v>3812</v>
      </c>
      <c r="I562" s="8" t="s">
        <v>3813</v>
      </c>
      <c r="J562" s="9">
        <v>9.7</v>
      </c>
      <c r="K562" s="10" t="s">
        <v>11</v>
      </c>
      <c r="L562" s="6"/>
      <c r="M562" s="11" t="s">
        <v>12</v>
      </c>
      <c r="N562" s="6" t="s">
        <v>3814</v>
      </c>
      <c r="O562" s="6" t="s">
        <v>3815</v>
      </c>
      <c r="P562" s="10" t="s">
        <v>15</v>
      </c>
      <c r="Q562" s="6"/>
      <c r="R562" s="6"/>
      <c r="S562" s="6"/>
      <c r="T562" s="6" t="s">
        <v>16</v>
      </c>
      <c r="U562" s="9" t="s">
        <v>17</v>
      </c>
      <c r="AI562" s="6" t="s">
        <v>18</v>
      </c>
      <c r="AJ562" s="12" t="s">
        <v>3816</v>
      </c>
      <c r="AL562" s="13" t="s">
        <v>20</v>
      </c>
    </row>
    <row r="563">
      <c r="A563" s="5" t="s">
        <v>3817</v>
      </c>
      <c r="B563" s="5" t="s">
        <v>3818</v>
      </c>
      <c r="C563" s="5" t="s">
        <v>3811</v>
      </c>
      <c r="D563" s="5" t="s">
        <v>8</v>
      </c>
      <c r="E563" s="6"/>
      <c r="F563" s="6"/>
      <c r="G563" s="7" t="s">
        <v>3819</v>
      </c>
      <c r="I563" s="8" t="s">
        <v>3820</v>
      </c>
      <c r="J563" s="9">
        <v>25.9</v>
      </c>
      <c r="K563" s="10" t="s">
        <v>11</v>
      </c>
      <c r="L563" s="6"/>
      <c r="M563" s="11" t="s">
        <v>12</v>
      </c>
      <c r="N563" s="6" t="s">
        <v>3821</v>
      </c>
      <c r="O563" s="6" t="s">
        <v>3822</v>
      </c>
      <c r="P563" s="10" t="s">
        <v>15</v>
      </c>
      <c r="Q563" s="6"/>
      <c r="R563" s="6"/>
      <c r="S563" s="6"/>
      <c r="T563" s="6" t="s">
        <v>16</v>
      </c>
      <c r="U563" s="9" t="s">
        <v>17</v>
      </c>
      <c r="AI563" s="6" t="s">
        <v>18</v>
      </c>
      <c r="AJ563" s="12" t="s">
        <v>3816</v>
      </c>
      <c r="AL563" s="13" t="s">
        <v>20</v>
      </c>
    </row>
    <row r="564">
      <c r="A564" s="5" t="s">
        <v>3823</v>
      </c>
      <c r="B564" s="5" t="s">
        <v>3824</v>
      </c>
      <c r="C564" s="5" t="s">
        <v>3825</v>
      </c>
      <c r="D564" s="5" t="s">
        <v>8</v>
      </c>
      <c r="E564" s="6"/>
      <c r="F564" s="6"/>
      <c r="G564" s="7" t="s">
        <v>3826</v>
      </c>
      <c r="I564" s="8" t="s">
        <v>3827</v>
      </c>
      <c r="J564" s="9">
        <v>11.9</v>
      </c>
      <c r="K564" s="10" t="s">
        <v>11</v>
      </c>
      <c r="L564" s="6"/>
      <c r="M564" s="11" t="s">
        <v>12</v>
      </c>
      <c r="N564" s="6" t="s">
        <v>3828</v>
      </c>
      <c r="O564" s="6" t="s">
        <v>3829</v>
      </c>
      <c r="P564" s="10" t="s">
        <v>15</v>
      </c>
      <c r="Q564" s="6"/>
      <c r="R564" s="6"/>
      <c r="S564" s="6"/>
      <c r="T564" s="6" t="s">
        <v>16</v>
      </c>
      <c r="U564" s="9" t="s">
        <v>17</v>
      </c>
      <c r="AI564" s="6" t="s">
        <v>18</v>
      </c>
      <c r="AJ564" s="12" t="s">
        <v>3830</v>
      </c>
      <c r="AL564" s="13" t="s">
        <v>20</v>
      </c>
    </row>
    <row r="565">
      <c r="A565" s="5" t="s">
        <v>3831</v>
      </c>
      <c r="B565" s="5" t="s">
        <v>3832</v>
      </c>
      <c r="C565" s="5" t="s">
        <v>3825</v>
      </c>
      <c r="D565" s="5" t="s">
        <v>8</v>
      </c>
      <c r="E565" s="6"/>
      <c r="F565" s="6"/>
      <c r="G565" s="7" t="s">
        <v>3833</v>
      </c>
      <c r="I565" s="8" t="s">
        <v>3834</v>
      </c>
      <c r="J565" s="9">
        <v>29.5</v>
      </c>
      <c r="K565" s="10" t="s">
        <v>11</v>
      </c>
      <c r="L565" s="6"/>
      <c r="M565" s="11" t="s">
        <v>12</v>
      </c>
      <c r="N565" s="6" t="s">
        <v>3835</v>
      </c>
      <c r="O565" s="6" t="s">
        <v>3836</v>
      </c>
      <c r="P565" s="10" t="s">
        <v>15</v>
      </c>
      <c r="Q565" s="6"/>
      <c r="R565" s="6"/>
      <c r="S565" s="6"/>
      <c r="T565" s="6" t="s">
        <v>16</v>
      </c>
      <c r="U565" s="9" t="s">
        <v>17</v>
      </c>
      <c r="AI565" s="6" t="s">
        <v>18</v>
      </c>
      <c r="AJ565" s="12" t="s">
        <v>3830</v>
      </c>
      <c r="AL565" s="13" t="s">
        <v>20</v>
      </c>
    </row>
    <row r="566">
      <c r="A566" s="5" t="s">
        <v>3837</v>
      </c>
      <c r="B566" s="5" t="s">
        <v>3838</v>
      </c>
      <c r="C566" s="5" t="s">
        <v>3789</v>
      </c>
      <c r="D566" s="5" t="s">
        <v>8</v>
      </c>
      <c r="E566" s="6"/>
      <c r="F566" s="6"/>
      <c r="G566" s="7" t="s">
        <v>3839</v>
      </c>
      <c r="I566" s="8" t="s">
        <v>3840</v>
      </c>
      <c r="J566" s="9">
        <v>29.5</v>
      </c>
      <c r="K566" s="10" t="s">
        <v>11</v>
      </c>
      <c r="L566" s="6"/>
      <c r="M566" s="11" t="s">
        <v>12</v>
      </c>
      <c r="N566" s="6" t="s">
        <v>1675</v>
      </c>
      <c r="O566" s="6" t="s">
        <v>3841</v>
      </c>
      <c r="P566" s="10" t="s">
        <v>15</v>
      </c>
      <c r="Q566" s="6"/>
      <c r="R566" s="6"/>
      <c r="S566" s="6"/>
      <c r="T566" s="6" t="s">
        <v>16</v>
      </c>
      <c r="U566" s="9" t="s">
        <v>17</v>
      </c>
      <c r="AI566" s="6" t="s">
        <v>18</v>
      </c>
      <c r="AJ566" s="12" t="s">
        <v>3794</v>
      </c>
      <c r="AL566" s="13" t="s">
        <v>20</v>
      </c>
    </row>
    <row r="567">
      <c r="A567" s="5" t="s">
        <v>3842</v>
      </c>
      <c r="B567" s="5" t="s">
        <v>3843</v>
      </c>
      <c r="C567" s="5" t="s">
        <v>3844</v>
      </c>
      <c r="D567" s="5" t="s">
        <v>8</v>
      </c>
      <c r="E567" s="6"/>
      <c r="F567" s="6"/>
      <c r="G567" s="7" t="s">
        <v>3845</v>
      </c>
      <c r="I567" s="8" t="s">
        <v>3846</v>
      </c>
      <c r="J567" s="9">
        <v>9.5</v>
      </c>
      <c r="K567" s="10" t="s">
        <v>11</v>
      </c>
      <c r="L567" s="6"/>
      <c r="M567" s="11" t="s">
        <v>12</v>
      </c>
      <c r="N567" s="6" t="s">
        <v>3847</v>
      </c>
      <c r="O567" s="6" t="s">
        <v>3848</v>
      </c>
      <c r="P567" s="10" t="s">
        <v>15</v>
      </c>
      <c r="Q567" s="6"/>
      <c r="R567" s="6"/>
      <c r="S567" s="6"/>
      <c r="T567" s="6" t="s">
        <v>16</v>
      </c>
      <c r="U567" s="9" t="s">
        <v>17</v>
      </c>
      <c r="AI567" s="6" t="s">
        <v>18</v>
      </c>
      <c r="AJ567" s="12" t="s">
        <v>3849</v>
      </c>
      <c r="AL567" s="13" t="s">
        <v>20</v>
      </c>
    </row>
    <row r="568">
      <c r="A568" s="5" t="s">
        <v>3850</v>
      </c>
      <c r="B568" s="5" t="s">
        <v>3851</v>
      </c>
      <c r="C568" s="5" t="s">
        <v>3844</v>
      </c>
      <c r="D568" s="5" t="s">
        <v>8</v>
      </c>
      <c r="E568" s="6"/>
      <c r="F568" s="6"/>
      <c r="G568" s="7" t="s">
        <v>3852</v>
      </c>
      <c r="I568" s="8" t="s">
        <v>3853</v>
      </c>
      <c r="J568" s="9">
        <v>37.9</v>
      </c>
      <c r="K568" s="10" t="s">
        <v>11</v>
      </c>
      <c r="L568" s="6"/>
      <c r="M568" s="11" t="s">
        <v>12</v>
      </c>
      <c r="N568" s="6" t="s">
        <v>3854</v>
      </c>
      <c r="O568" s="6" t="s">
        <v>3855</v>
      </c>
      <c r="P568" s="10" t="s">
        <v>15</v>
      </c>
      <c r="Q568" s="6"/>
      <c r="R568" s="6"/>
      <c r="S568" s="6"/>
      <c r="T568" s="6" t="s">
        <v>16</v>
      </c>
      <c r="U568" s="9" t="s">
        <v>17</v>
      </c>
      <c r="AI568" s="6" t="s">
        <v>18</v>
      </c>
      <c r="AJ568" s="12" t="s">
        <v>3849</v>
      </c>
      <c r="AL568" s="13" t="s">
        <v>20</v>
      </c>
    </row>
    <row r="569">
      <c r="A569" s="5" t="s">
        <v>3856</v>
      </c>
      <c r="B569" s="5" t="s">
        <v>3857</v>
      </c>
      <c r="C569" s="5" t="s">
        <v>3844</v>
      </c>
      <c r="D569" s="5" t="s">
        <v>8</v>
      </c>
      <c r="E569" s="6"/>
      <c r="F569" s="6"/>
      <c r="G569" s="7" t="s">
        <v>3858</v>
      </c>
      <c r="I569" s="8" t="s">
        <v>3859</v>
      </c>
      <c r="J569" s="9">
        <v>26.9</v>
      </c>
      <c r="K569" s="10" t="s">
        <v>11</v>
      </c>
      <c r="L569" s="6"/>
      <c r="M569" s="11" t="s">
        <v>12</v>
      </c>
      <c r="N569" s="6" t="s">
        <v>3860</v>
      </c>
      <c r="O569" s="6" t="s">
        <v>3861</v>
      </c>
      <c r="P569" s="10" t="s">
        <v>15</v>
      </c>
      <c r="Q569" s="6"/>
      <c r="R569" s="6"/>
      <c r="S569" s="6"/>
      <c r="T569" s="6" t="s">
        <v>16</v>
      </c>
      <c r="U569" s="9" t="s">
        <v>17</v>
      </c>
      <c r="AI569" s="6" t="s">
        <v>18</v>
      </c>
      <c r="AJ569" s="12" t="s">
        <v>3849</v>
      </c>
      <c r="AL569" s="13" t="s">
        <v>20</v>
      </c>
    </row>
    <row r="570">
      <c r="A570" s="5" t="s">
        <v>3862</v>
      </c>
      <c r="B570" s="5" t="s">
        <v>3863</v>
      </c>
      <c r="C570" s="5" t="s">
        <v>3844</v>
      </c>
      <c r="D570" s="5" t="s">
        <v>8</v>
      </c>
      <c r="E570" s="6"/>
      <c r="F570" s="6"/>
      <c r="G570" s="7" t="s">
        <v>3864</v>
      </c>
      <c r="I570" s="8" t="s">
        <v>3865</v>
      </c>
      <c r="J570" s="9">
        <v>28.3</v>
      </c>
      <c r="K570" s="10" t="s">
        <v>11</v>
      </c>
      <c r="L570" s="6"/>
      <c r="M570" s="11" t="s">
        <v>12</v>
      </c>
      <c r="N570" s="6" t="s">
        <v>3866</v>
      </c>
      <c r="O570" s="6" t="s">
        <v>3867</v>
      </c>
      <c r="P570" s="10" t="s">
        <v>15</v>
      </c>
      <c r="Q570" s="6"/>
      <c r="R570" s="6"/>
      <c r="S570" s="6"/>
      <c r="T570" s="6" t="s">
        <v>16</v>
      </c>
      <c r="U570" s="9" t="s">
        <v>17</v>
      </c>
      <c r="AI570" s="6" t="s">
        <v>18</v>
      </c>
      <c r="AJ570" s="12" t="s">
        <v>3849</v>
      </c>
      <c r="AL570" s="13" t="s">
        <v>20</v>
      </c>
    </row>
    <row r="571">
      <c r="A571" s="5" t="s">
        <v>3868</v>
      </c>
      <c r="B571" s="5" t="s">
        <v>3869</v>
      </c>
      <c r="C571" s="5" t="s">
        <v>3870</v>
      </c>
      <c r="D571" s="5" t="s">
        <v>8</v>
      </c>
      <c r="E571" s="6"/>
      <c r="F571" s="6"/>
      <c r="G571" s="7" t="s">
        <v>3871</v>
      </c>
      <c r="I571" s="8" t="s">
        <v>3872</v>
      </c>
      <c r="J571" s="9">
        <v>9.8</v>
      </c>
      <c r="K571" s="10" t="s">
        <v>11</v>
      </c>
      <c r="L571" s="6"/>
      <c r="M571" s="11" t="s">
        <v>12</v>
      </c>
      <c r="N571" s="6" t="s">
        <v>3873</v>
      </c>
      <c r="O571" s="6" t="s">
        <v>3874</v>
      </c>
      <c r="P571" s="10" t="s">
        <v>15</v>
      </c>
      <c r="Q571" s="6"/>
      <c r="R571" s="6"/>
      <c r="S571" s="6"/>
      <c r="T571" s="6" t="s">
        <v>16</v>
      </c>
      <c r="U571" s="9" t="s">
        <v>17</v>
      </c>
      <c r="AI571" s="6" t="s">
        <v>18</v>
      </c>
      <c r="AJ571" s="12" t="s">
        <v>3875</v>
      </c>
      <c r="AL571" s="13" t="s">
        <v>20</v>
      </c>
    </row>
    <row r="572">
      <c r="A572" s="5" t="s">
        <v>3876</v>
      </c>
      <c r="B572" s="5" t="s">
        <v>3877</v>
      </c>
      <c r="C572" s="5" t="s">
        <v>3870</v>
      </c>
      <c r="D572" s="5" t="s">
        <v>8</v>
      </c>
      <c r="E572" s="6"/>
      <c r="F572" s="6"/>
      <c r="G572" s="7" t="s">
        <v>3878</v>
      </c>
      <c r="I572" s="8" t="s">
        <v>3879</v>
      </c>
      <c r="J572" s="9">
        <v>26.9</v>
      </c>
      <c r="K572" s="10" t="s">
        <v>11</v>
      </c>
      <c r="L572" s="6"/>
      <c r="M572" s="11" t="s">
        <v>12</v>
      </c>
      <c r="N572" s="6" t="s">
        <v>3880</v>
      </c>
      <c r="O572" s="6" t="s">
        <v>3881</v>
      </c>
      <c r="P572" s="10" t="s">
        <v>15</v>
      </c>
      <c r="Q572" s="6"/>
      <c r="R572" s="6"/>
      <c r="S572" s="6"/>
      <c r="T572" s="6" t="s">
        <v>16</v>
      </c>
      <c r="U572" s="9" t="s">
        <v>17</v>
      </c>
      <c r="AI572" s="6" t="s">
        <v>18</v>
      </c>
      <c r="AJ572" s="12" t="s">
        <v>3875</v>
      </c>
      <c r="AL572" s="13" t="s">
        <v>20</v>
      </c>
    </row>
    <row r="573">
      <c r="A573" s="5" t="s">
        <v>3882</v>
      </c>
      <c r="B573" s="5" t="s">
        <v>3883</v>
      </c>
      <c r="C573" s="5" t="s">
        <v>3870</v>
      </c>
      <c r="D573" s="5" t="s">
        <v>8</v>
      </c>
      <c r="E573" s="6"/>
      <c r="F573" s="6"/>
      <c r="G573" s="7" t="s">
        <v>3884</v>
      </c>
      <c r="I573" s="8" t="s">
        <v>3885</v>
      </c>
      <c r="J573" s="9">
        <v>22.3</v>
      </c>
      <c r="K573" s="10" t="s">
        <v>11</v>
      </c>
      <c r="L573" s="6"/>
      <c r="M573" s="11" t="s">
        <v>12</v>
      </c>
      <c r="N573" s="6" t="s">
        <v>3886</v>
      </c>
      <c r="O573" s="6" t="s">
        <v>3887</v>
      </c>
      <c r="P573" s="10" t="s">
        <v>15</v>
      </c>
      <c r="Q573" s="6"/>
      <c r="R573" s="6"/>
      <c r="S573" s="6"/>
      <c r="T573" s="6" t="s">
        <v>16</v>
      </c>
      <c r="U573" s="9" t="s">
        <v>17</v>
      </c>
      <c r="AI573" s="6" t="s">
        <v>18</v>
      </c>
      <c r="AJ573" s="12" t="s">
        <v>3875</v>
      </c>
      <c r="AL573" s="13" t="s">
        <v>20</v>
      </c>
    </row>
    <row r="574">
      <c r="A574" s="5" t="s">
        <v>3888</v>
      </c>
      <c r="B574" s="5" t="s">
        <v>3889</v>
      </c>
      <c r="C574" s="5" t="s">
        <v>3890</v>
      </c>
      <c r="D574" s="5" t="s">
        <v>8</v>
      </c>
      <c r="E574" s="6"/>
      <c r="F574" s="6"/>
      <c r="G574" s="7" t="s">
        <v>3891</v>
      </c>
      <c r="I574" s="8" t="s">
        <v>3892</v>
      </c>
      <c r="J574" s="9">
        <v>6.9</v>
      </c>
      <c r="K574" s="10" t="s">
        <v>11</v>
      </c>
      <c r="L574" s="6"/>
      <c r="M574" s="11" t="s">
        <v>12</v>
      </c>
      <c r="N574" s="6" t="s">
        <v>3893</v>
      </c>
      <c r="O574" s="6" t="s">
        <v>3894</v>
      </c>
      <c r="P574" s="10" t="s">
        <v>15</v>
      </c>
      <c r="Q574" s="6"/>
      <c r="R574" s="6"/>
      <c r="S574" s="6"/>
      <c r="T574" s="6" t="s">
        <v>16</v>
      </c>
      <c r="U574" s="9" t="s">
        <v>17</v>
      </c>
      <c r="AI574" s="6" t="s">
        <v>18</v>
      </c>
      <c r="AJ574" s="12" t="s">
        <v>3895</v>
      </c>
      <c r="AL574" s="13" t="s">
        <v>20</v>
      </c>
    </row>
    <row r="575">
      <c r="A575" s="5" t="s">
        <v>3896</v>
      </c>
      <c r="B575" s="5" t="s">
        <v>3897</v>
      </c>
      <c r="C575" s="5" t="s">
        <v>3890</v>
      </c>
      <c r="D575" s="5" t="s">
        <v>8</v>
      </c>
      <c r="E575" s="6"/>
      <c r="F575" s="6"/>
      <c r="G575" s="7" t="s">
        <v>3898</v>
      </c>
      <c r="I575" s="8" t="s">
        <v>3899</v>
      </c>
      <c r="J575" s="9">
        <v>37.9</v>
      </c>
      <c r="K575" s="10" t="s">
        <v>11</v>
      </c>
      <c r="L575" s="6"/>
      <c r="M575" s="11" t="s">
        <v>12</v>
      </c>
      <c r="N575" s="6" t="s">
        <v>3900</v>
      </c>
      <c r="O575" s="6" t="s">
        <v>3901</v>
      </c>
      <c r="P575" s="10" t="s">
        <v>15</v>
      </c>
      <c r="Q575" s="6"/>
      <c r="R575" s="6"/>
      <c r="S575" s="6"/>
      <c r="T575" s="6" t="s">
        <v>16</v>
      </c>
      <c r="U575" s="9" t="s">
        <v>17</v>
      </c>
      <c r="AI575" s="6" t="s">
        <v>18</v>
      </c>
      <c r="AJ575" s="12" t="s">
        <v>3895</v>
      </c>
      <c r="AL575" s="13" t="s">
        <v>20</v>
      </c>
    </row>
    <row r="576">
      <c r="A576" s="5" t="s">
        <v>3902</v>
      </c>
      <c r="B576" s="5" t="s">
        <v>3903</v>
      </c>
      <c r="C576" s="5" t="s">
        <v>3890</v>
      </c>
      <c r="D576" s="5" t="s">
        <v>8</v>
      </c>
      <c r="E576" s="6"/>
      <c r="F576" s="6"/>
      <c r="G576" s="7" t="s">
        <v>3904</v>
      </c>
      <c r="I576" s="8" t="s">
        <v>3905</v>
      </c>
      <c r="J576" s="9">
        <v>26.9</v>
      </c>
      <c r="K576" s="10" t="s">
        <v>11</v>
      </c>
      <c r="L576" s="6"/>
      <c r="M576" s="11" t="s">
        <v>12</v>
      </c>
      <c r="N576" s="6" t="s">
        <v>3906</v>
      </c>
      <c r="O576" s="6" t="s">
        <v>3907</v>
      </c>
      <c r="P576" s="10" t="s">
        <v>15</v>
      </c>
      <c r="Q576" s="6"/>
      <c r="R576" s="6"/>
      <c r="S576" s="6"/>
      <c r="T576" s="6" t="s">
        <v>16</v>
      </c>
      <c r="U576" s="9" t="s">
        <v>17</v>
      </c>
      <c r="AI576" s="6" t="s">
        <v>18</v>
      </c>
      <c r="AJ576" s="12" t="s">
        <v>3895</v>
      </c>
      <c r="AL576" s="13" t="s">
        <v>20</v>
      </c>
    </row>
    <row r="577">
      <c r="A577" s="5" t="s">
        <v>3908</v>
      </c>
      <c r="B577" s="5" t="s">
        <v>3909</v>
      </c>
      <c r="C577" s="5" t="s">
        <v>3890</v>
      </c>
      <c r="D577" s="5" t="s">
        <v>8</v>
      </c>
      <c r="E577" s="6"/>
      <c r="F577" s="6"/>
      <c r="G577" s="7" t="s">
        <v>3910</v>
      </c>
      <c r="I577" s="8" t="s">
        <v>3911</v>
      </c>
      <c r="J577" s="9">
        <v>17.66</v>
      </c>
      <c r="K577" s="10" t="s">
        <v>11</v>
      </c>
      <c r="L577" s="6"/>
      <c r="M577" s="11" t="s">
        <v>12</v>
      </c>
      <c r="N577" s="6" t="s">
        <v>3912</v>
      </c>
      <c r="O577" s="6" t="s">
        <v>3913</v>
      </c>
      <c r="P577" s="10" t="s">
        <v>15</v>
      </c>
      <c r="Q577" s="6"/>
      <c r="R577" s="6"/>
      <c r="S577" s="6"/>
      <c r="T577" s="6" t="s">
        <v>16</v>
      </c>
      <c r="U577" s="9" t="s">
        <v>17</v>
      </c>
      <c r="AI577" s="6" t="s">
        <v>18</v>
      </c>
      <c r="AJ577" s="12" t="s">
        <v>3895</v>
      </c>
      <c r="AL577" s="13" t="s">
        <v>20</v>
      </c>
    </row>
    <row r="578">
      <c r="A578" s="5" t="s">
        <v>3914</v>
      </c>
      <c r="B578" s="5" t="s">
        <v>3915</v>
      </c>
      <c r="C578" s="5" t="s">
        <v>3916</v>
      </c>
      <c r="D578" s="5" t="s">
        <v>8</v>
      </c>
      <c r="E578" s="6"/>
      <c r="F578" s="6"/>
      <c r="G578" s="7" t="s">
        <v>3917</v>
      </c>
      <c r="I578" s="8" t="s">
        <v>3918</v>
      </c>
      <c r="J578" s="9">
        <v>7.9</v>
      </c>
      <c r="K578" s="10" t="s">
        <v>11</v>
      </c>
      <c r="L578" s="6"/>
      <c r="M578" s="11" t="s">
        <v>12</v>
      </c>
      <c r="N578" s="6" t="s">
        <v>3919</v>
      </c>
      <c r="O578" s="6" t="s">
        <v>3920</v>
      </c>
      <c r="P578" s="10" t="s">
        <v>15</v>
      </c>
      <c r="Q578" s="6"/>
      <c r="R578" s="6"/>
      <c r="S578" s="6"/>
      <c r="T578" s="6" t="s">
        <v>16</v>
      </c>
      <c r="U578" s="9" t="s">
        <v>17</v>
      </c>
      <c r="AI578" s="6" t="s">
        <v>18</v>
      </c>
      <c r="AJ578" s="12" t="s">
        <v>3921</v>
      </c>
      <c r="AL578" s="13" t="s">
        <v>20</v>
      </c>
    </row>
    <row r="579">
      <c r="A579" s="5" t="s">
        <v>3922</v>
      </c>
      <c r="B579" s="5" t="s">
        <v>3923</v>
      </c>
      <c r="C579" s="5" t="s">
        <v>3916</v>
      </c>
      <c r="D579" s="5" t="s">
        <v>8</v>
      </c>
      <c r="E579" s="6"/>
      <c r="F579" s="6"/>
      <c r="G579" s="7" t="s">
        <v>3924</v>
      </c>
      <c r="I579" s="8" t="s">
        <v>3925</v>
      </c>
      <c r="J579" s="9">
        <v>37.9</v>
      </c>
      <c r="K579" s="10" t="s">
        <v>11</v>
      </c>
      <c r="L579" s="6"/>
      <c r="M579" s="11" t="s">
        <v>12</v>
      </c>
      <c r="N579" s="6" t="s">
        <v>3926</v>
      </c>
      <c r="O579" s="6" t="s">
        <v>3927</v>
      </c>
      <c r="P579" s="10" t="s">
        <v>15</v>
      </c>
      <c r="Q579" s="6"/>
      <c r="R579" s="6"/>
      <c r="S579" s="6"/>
      <c r="T579" s="6" t="s">
        <v>16</v>
      </c>
      <c r="U579" s="9" t="s">
        <v>17</v>
      </c>
      <c r="AI579" s="6" t="s">
        <v>18</v>
      </c>
      <c r="AJ579" s="12" t="s">
        <v>3921</v>
      </c>
      <c r="AL579" s="13" t="s">
        <v>20</v>
      </c>
    </row>
    <row r="580">
      <c r="A580" s="5" t="s">
        <v>3928</v>
      </c>
      <c r="B580" s="5" t="s">
        <v>3929</v>
      </c>
      <c r="C580" s="5" t="s">
        <v>3916</v>
      </c>
      <c r="D580" s="5" t="s">
        <v>8</v>
      </c>
      <c r="E580" s="6"/>
      <c r="F580" s="6"/>
      <c r="G580" s="7" t="s">
        <v>3930</v>
      </c>
      <c r="I580" s="8" t="s">
        <v>3931</v>
      </c>
      <c r="J580" s="9">
        <v>26.9</v>
      </c>
      <c r="K580" s="10" t="s">
        <v>11</v>
      </c>
      <c r="L580" s="6"/>
      <c r="M580" s="11" t="s">
        <v>12</v>
      </c>
      <c r="N580" s="6" t="s">
        <v>3932</v>
      </c>
      <c r="O580" s="6" t="s">
        <v>3933</v>
      </c>
      <c r="P580" s="10" t="s">
        <v>15</v>
      </c>
      <c r="Q580" s="6"/>
      <c r="R580" s="6"/>
      <c r="S580" s="6"/>
      <c r="T580" s="6" t="s">
        <v>16</v>
      </c>
      <c r="U580" s="9" t="s">
        <v>17</v>
      </c>
      <c r="AI580" s="6" t="s">
        <v>18</v>
      </c>
      <c r="AJ580" s="12" t="s">
        <v>3921</v>
      </c>
      <c r="AL580" s="13" t="s">
        <v>20</v>
      </c>
    </row>
    <row r="581">
      <c r="A581" s="5" t="s">
        <v>3934</v>
      </c>
      <c r="B581" s="5" t="s">
        <v>3935</v>
      </c>
      <c r="C581" s="5" t="s">
        <v>3916</v>
      </c>
      <c r="D581" s="5" t="s">
        <v>8</v>
      </c>
      <c r="E581" s="6"/>
      <c r="F581" s="6"/>
      <c r="G581" s="7" t="s">
        <v>3936</v>
      </c>
      <c r="I581" s="8" t="s">
        <v>3937</v>
      </c>
      <c r="J581" s="9">
        <v>29.99</v>
      </c>
      <c r="K581" s="10" t="s">
        <v>11</v>
      </c>
      <c r="L581" s="6"/>
      <c r="M581" s="11" t="s">
        <v>12</v>
      </c>
      <c r="N581" s="6" t="s">
        <v>3938</v>
      </c>
      <c r="O581" s="6" t="s">
        <v>3939</v>
      </c>
      <c r="P581" s="10" t="s">
        <v>15</v>
      </c>
      <c r="Q581" s="6"/>
      <c r="R581" s="6"/>
      <c r="S581" s="6"/>
      <c r="T581" s="6" t="s">
        <v>16</v>
      </c>
      <c r="U581" s="9" t="s">
        <v>17</v>
      </c>
      <c r="AI581" s="6" t="s">
        <v>18</v>
      </c>
      <c r="AJ581" s="12" t="s">
        <v>3921</v>
      </c>
      <c r="AL581" s="13" t="s">
        <v>20</v>
      </c>
    </row>
    <row r="582">
      <c r="A582" s="5" t="s">
        <v>3940</v>
      </c>
      <c r="B582" s="5" t="s">
        <v>3941</v>
      </c>
      <c r="C582" s="5" t="s">
        <v>3942</v>
      </c>
      <c r="D582" s="5" t="s">
        <v>8</v>
      </c>
      <c r="E582" s="6"/>
      <c r="F582" s="6"/>
      <c r="G582" s="7" t="s">
        <v>3943</v>
      </c>
      <c r="I582" s="8" t="s">
        <v>3944</v>
      </c>
      <c r="J582" s="9">
        <v>9.9</v>
      </c>
      <c r="K582" s="10" t="s">
        <v>11</v>
      </c>
      <c r="L582" s="6"/>
      <c r="M582" s="11" t="s">
        <v>12</v>
      </c>
      <c r="N582" s="6" t="s">
        <v>3945</v>
      </c>
      <c r="O582" s="6" t="s">
        <v>3946</v>
      </c>
      <c r="P582" s="10" t="s">
        <v>15</v>
      </c>
      <c r="Q582" s="6"/>
      <c r="R582" s="6"/>
      <c r="S582" s="6" t="s">
        <v>3947</v>
      </c>
      <c r="T582" s="6" t="s">
        <v>16</v>
      </c>
      <c r="U582" s="9" t="s">
        <v>17</v>
      </c>
      <c r="AI582" s="6" t="s">
        <v>18</v>
      </c>
      <c r="AJ582" s="12" t="s">
        <v>3948</v>
      </c>
      <c r="AL582" s="13" t="s">
        <v>20</v>
      </c>
    </row>
    <row r="583">
      <c r="A583" s="5" t="s">
        <v>3949</v>
      </c>
      <c r="B583" s="5" t="s">
        <v>3950</v>
      </c>
      <c r="C583" s="5" t="s">
        <v>3951</v>
      </c>
      <c r="D583" s="5" t="s">
        <v>8</v>
      </c>
      <c r="E583" s="6"/>
      <c r="F583" s="6"/>
      <c r="G583" s="7" t="s">
        <v>3952</v>
      </c>
      <c r="I583" s="8" t="s">
        <v>3953</v>
      </c>
      <c r="J583" s="9">
        <v>37.9</v>
      </c>
      <c r="K583" s="10" t="s">
        <v>11</v>
      </c>
      <c r="L583" s="6"/>
      <c r="M583" s="11" t="s">
        <v>12</v>
      </c>
      <c r="N583" s="6" t="s">
        <v>3954</v>
      </c>
      <c r="O583" s="6" t="s">
        <v>3955</v>
      </c>
      <c r="P583" s="10" t="s">
        <v>15</v>
      </c>
      <c r="Q583" s="6"/>
      <c r="R583" s="6"/>
      <c r="S583" s="6"/>
      <c r="T583" s="6" t="s">
        <v>16</v>
      </c>
      <c r="U583" s="9" t="s">
        <v>17</v>
      </c>
      <c r="AI583" s="6" t="s">
        <v>18</v>
      </c>
      <c r="AJ583" s="12" t="s">
        <v>3956</v>
      </c>
      <c r="AL583" s="13" t="s">
        <v>20</v>
      </c>
    </row>
    <row r="584">
      <c r="A584" s="5" t="s">
        <v>3957</v>
      </c>
      <c r="B584" s="5" t="s">
        <v>3958</v>
      </c>
      <c r="C584" s="5" t="s">
        <v>3942</v>
      </c>
      <c r="D584" s="5" t="s">
        <v>8</v>
      </c>
      <c r="E584" s="6"/>
      <c r="F584" s="6"/>
      <c r="G584" s="7" t="s">
        <v>3959</v>
      </c>
      <c r="I584" s="8" t="s">
        <v>3960</v>
      </c>
      <c r="J584" s="9">
        <v>26.9</v>
      </c>
      <c r="K584" s="10" t="s">
        <v>11</v>
      </c>
      <c r="L584" s="6"/>
      <c r="M584" s="11" t="s">
        <v>12</v>
      </c>
      <c r="N584" s="6" t="s">
        <v>3961</v>
      </c>
      <c r="O584" s="6" t="s">
        <v>3962</v>
      </c>
      <c r="P584" s="10" t="s">
        <v>15</v>
      </c>
      <c r="Q584" s="6"/>
      <c r="R584" s="6"/>
      <c r="S584" s="6" t="s">
        <v>3947</v>
      </c>
      <c r="T584" s="6" t="s">
        <v>16</v>
      </c>
      <c r="U584" s="9" t="s">
        <v>17</v>
      </c>
      <c r="AI584" s="6" t="s">
        <v>18</v>
      </c>
      <c r="AJ584" s="12" t="s">
        <v>3948</v>
      </c>
      <c r="AL584" s="13" t="s">
        <v>20</v>
      </c>
    </row>
    <row r="585">
      <c r="A585" s="5" t="s">
        <v>3963</v>
      </c>
      <c r="B585" s="5" t="s">
        <v>3964</v>
      </c>
      <c r="C585" s="5" t="s">
        <v>3942</v>
      </c>
      <c r="D585" s="5" t="s">
        <v>8</v>
      </c>
      <c r="E585" s="6"/>
      <c r="F585" s="6"/>
      <c r="G585" s="7" t="s">
        <v>3965</v>
      </c>
      <c r="I585" s="8" t="s">
        <v>3966</v>
      </c>
      <c r="J585" s="9">
        <v>26.0</v>
      </c>
      <c r="K585" s="10">
        <v>24.7</v>
      </c>
      <c r="L585" s="6"/>
      <c r="M585" s="11" t="s">
        <v>12</v>
      </c>
      <c r="N585" s="6" t="s">
        <v>3967</v>
      </c>
      <c r="O585" s="6" t="s">
        <v>3968</v>
      </c>
      <c r="P585" s="10" t="s">
        <v>15</v>
      </c>
      <c r="Q585" s="6"/>
      <c r="R585" s="6"/>
      <c r="S585" s="6" t="s">
        <v>3947</v>
      </c>
      <c r="T585" s="6" t="s">
        <v>16</v>
      </c>
      <c r="U585" s="9" t="s">
        <v>17</v>
      </c>
      <c r="AI585" s="6" t="s">
        <v>18</v>
      </c>
      <c r="AJ585" s="12" t="s">
        <v>3948</v>
      </c>
      <c r="AL585" s="13" t="s">
        <v>20</v>
      </c>
    </row>
    <row r="586">
      <c r="A586" s="5" t="s">
        <v>3969</v>
      </c>
      <c r="B586" s="5" t="s">
        <v>3970</v>
      </c>
      <c r="C586" s="5" t="s">
        <v>3951</v>
      </c>
      <c r="D586" s="5" t="s">
        <v>8</v>
      </c>
      <c r="E586" s="6"/>
      <c r="F586" s="6"/>
      <c r="G586" s="7" t="s">
        <v>3971</v>
      </c>
      <c r="I586" s="8" t="s">
        <v>3972</v>
      </c>
      <c r="J586" s="9">
        <v>37.9</v>
      </c>
      <c r="K586" s="10" t="s">
        <v>11</v>
      </c>
      <c r="L586" s="6"/>
      <c r="M586" s="11" t="s">
        <v>12</v>
      </c>
      <c r="N586" s="6" t="s">
        <v>3973</v>
      </c>
      <c r="O586" s="6" t="s">
        <v>3974</v>
      </c>
      <c r="P586" s="10" t="s">
        <v>15</v>
      </c>
      <c r="Q586" s="6" t="s">
        <v>3975</v>
      </c>
      <c r="R586" s="6"/>
      <c r="S586" s="6"/>
      <c r="T586" s="6" t="s">
        <v>16</v>
      </c>
      <c r="U586" s="9" t="s">
        <v>17</v>
      </c>
      <c r="AI586" s="6" t="s">
        <v>18</v>
      </c>
      <c r="AJ586" s="12" t="s">
        <v>3956</v>
      </c>
      <c r="AL586" s="13" t="s">
        <v>20</v>
      </c>
    </row>
    <row r="587">
      <c r="A587" s="5" t="s">
        <v>3976</v>
      </c>
      <c r="B587" s="5" t="s">
        <v>3977</v>
      </c>
      <c r="C587" s="5" t="s">
        <v>3978</v>
      </c>
      <c r="D587" s="5" t="s">
        <v>8</v>
      </c>
      <c r="E587" s="6"/>
      <c r="F587" s="6"/>
      <c r="G587" s="7" t="s">
        <v>3979</v>
      </c>
      <c r="I587" s="8" t="s">
        <v>3980</v>
      </c>
      <c r="J587" s="9">
        <v>10.9</v>
      </c>
      <c r="K587" s="10" t="s">
        <v>11</v>
      </c>
      <c r="L587" s="6"/>
      <c r="M587" s="11" t="s">
        <v>12</v>
      </c>
      <c r="N587" s="6" t="s">
        <v>3981</v>
      </c>
      <c r="O587" s="6" t="s">
        <v>3982</v>
      </c>
      <c r="P587" s="10" t="s">
        <v>15</v>
      </c>
      <c r="Q587" s="6"/>
      <c r="R587" s="6"/>
      <c r="S587" s="6"/>
      <c r="T587" s="6" t="s">
        <v>16</v>
      </c>
      <c r="U587" s="9" t="s">
        <v>17</v>
      </c>
      <c r="AI587" s="6" t="s">
        <v>18</v>
      </c>
      <c r="AJ587" s="12" t="s">
        <v>3983</v>
      </c>
      <c r="AL587" s="13" t="s">
        <v>20</v>
      </c>
    </row>
    <row r="588">
      <c r="A588" s="5" t="s">
        <v>3984</v>
      </c>
      <c r="B588" s="5" t="s">
        <v>3985</v>
      </c>
      <c r="C588" s="5" t="s">
        <v>3986</v>
      </c>
      <c r="D588" s="5" t="s">
        <v>8</v>
      </c>
      <c r="E588" s="6"/>
      <c r="F588" s="6"/>
      <c r="G588" s="7" t="s">
        <v>3987</v>
      </c>
      <c r="I588" s="8" t="s">
        <v>3988</v>
      </c>
      <c r="J588" s="9">
        <v>12.9</v>
      </c>
      <c r="K588" s="10" t="s">
        <v>11</v>
      </c>
      <c r="L588" s="6"/>
      <c r="M588" s="11" t="s">
        <v>12</v>
      </c>
      <c r="N588" s="6" t="s">
        <v>3989</v>
      </c>
      <c r="O588" s="6" t="s">
        <v>3990</v>
      </c>
      <c r="P588" s="10" t="s">
        <v>15</v>
      </c>
      <c r="Q588" s="6"/>
      <c r="R588" s="6"/>
      <c r="S588" s="6"/>
      <c r="T588" s="6" t="s">
        <v>16</v>
      </c>
      <c r="U588" s="9" t="s">
        <v>17</v>
      </c>
      <c r="AI588" s="6" t="s">
        <v>18</v>
      </c>
      <c r="AJ588" s="12" t="s">
        <v>3991</v>
      </c>
      <c r="AL588" s="13" t="s">
        <v>20</v>
      </c>
    </row>
    <row r="589">
      <c r="A589" s="5" t="s">
        <v>3992</v>
      </c>
      <c r="B589" s="5" t="s">
        <v>3993</v>
      </c>
      <c r="C589" s="5" t="s">
        <v>3986</v>
      </c>
      <c r="D589" s="5" t="s">
        <v>8</v>
      </c>
      <c r="E589" s="6"/>
      <c r="F589" s="6"/>
      <c r="G589" s="7" t="s">
        <v>3994</v>
      </c>
      <c r="I589" s="8" t="s">
        <v>3995</v>
      </c>
      <c r="J589" s="9">
        <v>38.7</v>
      </c>
      <c r="K589" s="10" t="s">
        <v>11</v>
      </c>
      <c r="L589" s="6"/>
      <c r="M589" s="11" t="s">
        <v>12</v>
      </c>
      <c r="N589" s="6" t="s">
        <v>3996</v>
      </c>
      <c r="O589" s="6" t="s">
        <v>3997</v>
      </c>
      <c r="P589" s="10" t="s">
        <v>15</v>
      </c>
      <c r="Q589" s="6"/>
      <c r="R589" s="6"/>
      <c r="S589" s="6"/>
      <c r="T589" s="6" t="s">
        <v>16</v>
      </c>
      <c r="U589" s="9" t="s">
        <v>17</v>
      </c>
      <c r="AI589" s="6" t="s">
        <v>18</v>
      </c>
      <c r="AJ589" s="12" t="s">
        <v>3991</v>
      </c>
      <c r="AL589" s="13" t="s">
        <v>20</v>
      </c>
    </row>
    <row r="590">
      <c r="A590" s="5" t="s">
        <v>3998</v>
      </c>
      <c r="B590" s="5" t="s">
        <v>3999</v>
      </c>
      <c r="C590" s="5" t="s">
        <v>4000</v>
      </c>
      <c r="D590" s="5" t="s">
        <v>8</v>
      </c>
      <c r="E590" s="6"/>
      <c r="F590" s="6"/>
      <c r="G590" s="7" t="s">
        <v>4001</v>
      </c>
      <c r="I590" s="8" t="s">
        <v>4002</v>
      </c>
      <c r="J590" s="9">
        <v>11.6</v>
      </c>
      <c r="K590" s="10" t="s">
        <v>11</v>
      </c>
      <c r="L590" s="6"/>
      <c r="M590" s="11" t="s">
        <v>12</v>
      </c>
      <c r="N590" s="6" t="s">
        <v>4003</v>
      </c>
      <c r="O590" s="6" t="s">
        <v>4004</v>
      </c>
      <c r="P590" s="10" t="s">
        <v>15</v>
      </c>
      <c r="Q590" s="6"/>
      <c r="R590" s="6"/>
      <c r="S590" s="6"/>
      <c r="T590" s="6" t="s">
        <v>16</v>
      </c>
      <c r="U590" s="9" t="s">
        <v>17</v>
      </c>
      <c r="AI590" s="6" t="s">
        <v>18</v>
      </c>
      <c r="AJ590" s="12" t="s">
        <v>4005</v>
      </c>
      <c r="AL590" s="13" t="s">
        <v>20</v>
      </c>
    </row>
    <row r="591">
      <c r="A591" s="5" t="s">
        <v>4006</v>
      </c>
      <c r="B591" s="5" t="s">
        <v>4007</v>
      </c>
      <c r="C591" s="5" t="s">
        <v>4000</v>
      </c>
      <c r="D591" s="5" t="s">
        <v>8</v>
      </c>
      <c r="E591" s="6"/>
      <c r="F591" s="6"/>
      <c r="G591" s="7" t="s">
        <v>4008</v>
      </c>
      <c r="I591" s="8" t="s">
        <v>4009</v>
      </c>
      <c r="J591" s="9">
        <v>37.9</v>
      </c>
      <c r="K591" s="10" t="s">
        <v>11</v>
      </c>
      <c r="L591" s="6"/>
      <c r="M591" s="11" t="s">
        <v>12</v>
      </c>
      <c r="N591" s="6" t="s">
        <v>4010</v>
      </c>
      <c r="O591" s="6" t="s">
        <v>4011</v>
      </c>
      <c r="P591" s="10" t="s">
        <v>15</v>
      </c>
      <c r="Q591" s="6"/>
      <c r="R591" s="6"/>
      <c r="S591" s="6"/>
      <c r="T591" s="6" t="s">
        <v>16</v>
      </c>
      <c r="U591" s="9" t="s">
        <v>17</v>
      </c>
      <c r="AI591" s="6" t="s">
        <v>18</v>
      </c>
      <c r="AJ591" s="12" t="s">
        <v>4005</v>
      </c>
      <c r="AL591" s="13" t="s">
        <v>20</v>
      </c>
    </row>
    <row r="592">
      <c r="A592" s="5" t="s">
        <v>4012</v>
      </c>
      <c r="B592" s="5" t="s">
        <v>4013</v>
      </c>
      <c r="C592" s="5" t="s">
        <v>4000</v>
      </c>
      <c r="D592" s="5" t="s">
        <v>8</v>
      </c>
      <c r="E592" s="6"/>
      <c r="F592" s="6"/>
      <c r="G592" s="7" t="s">
        <v>4014</v>
      </c>
      <c r="I592" s="8" t="s">
        <v>4015</v>
      </c>
      <c r="J592" s="9">
        <v>26.9</v>
      </c>
      <c r="K592" s="10" t="s">
        <v>11</v>
      </c>
      <c r="L592" s="6"/>
      <c r="M592" s="11" t="s">
        <v>12</v>
      </c>
      <c r="N592" s="6" t="s">
        <v>4016</v>
      </c>
      <c r="O592" s="6" t="s">
        <v>4017</v>
      </c>
      <c r="P592" s="10" t="s">
        <v>15</v>
      </c>
      <c r="Q592" s="6"/>
      <c r="R592" s="6"/>
      <c r="S592" s="6"/>
      <c r="T592" s="6" t="s">
        <v>16</v>
      </c>
      <c r="U592" s="9" t="s">
        <v>17</v>
      </c>
      <c r="AI592" s="6" t="s">
        <v>18</v>
      </c>
      <c r="AJ592" s="12" t="s">
        <v>4005</v>
      </c>
      <c r="AL592" s="13" t="s">
        <v>20</v>
      </c>
    </row>
    <row r="593">
      <c r="A593" s="5" t="s">
        <v>4018</v>
      </c>
      <c r="B593" s="5" t="s">
        <v>4019</v>
      </c>
      <c r="C593" s="5" t="s">
        <v>4000</v>
      </c>
      <c r="D593" s="5" t="s">
        <v>8</v>
      </c>
      <c r="E593" s="6"/>
      <c r="F593" s="6"/>
      <c r="G593" s="7" t="s">
        <v>4020</v>
      </c>
      <c r="I593" s="8" t="s">
        <v>4021</v>
      </c>
      <c r="J593" s="9">
        <v>29.4</v>
      </c>
      <c r="K593" s="10" t="s">
        <v>11</v>
      </c>
      <c r="L593" s="6"/>
      <c r="M593" s="11" t="s">
        <v>12</v>
      </c>
      <c r="N593" s="6" t="s">
        <v>4022</v>
      </c>
      <c r="O593" s="6" t="s">
        <v>4023</v>
      </c>
      <c r="P593" s="10" t="s">
        <v>15</v>
      </c>
      <c r="Q593" s="6"/>
      <c r="R593" s="6"/>
      <c r="S593" s="6"/>
      <c r="T593" s="6" t="s">
        <v>16</v>
      </c>
      <c r="U593" s="9" t="s">
        <v>17</v>
      </c>
      <c r="AI593" s="6" t="s">
        <v>18</v>
      </c>
      <c r="AJ593" s="12" t="s">
        <v>4005</v>
      </c>
      <c r="AL593" s="13" t="s">
        <v>20</v>
      </c>
    </row>
    <row r="594">
      <c r="A594" s="5" t="s">
        <v>4024</v>
      </c>
      <c r="B594" s="5" t="s">
        <v>4025</v>
      </c>
      <c r="C594" s="5" t="s">
        <v>4026</v>
      </c>
      <c r="D594" s="5" t="s">
        <v>8</v>
      </c>
      <c r="E594" s="6"/>
      <c r="F594" s="6"/>
      <c r="G594" s="7" t="s">
        <v>4027</v>
      </c>
      <c r="I594" s="8" t="s">
        <v>4028</v>
      </c>
      <c r="J594" s="9">
        <v>9.7</v>
      </c>
      <c r="K594" s="10" t="s">
        <v>11</v>
      </c>
      <c r="L594" s="6"/>
      <c r="M594" s="11" t="s">
        <v>12</v>
      </c>
      <c r="N594" s="6" t="s">
        <v>4029</v>
      </c>
      <c r="O594" s="6" t="s">
        <v>4030</v>
      </c>
      <c r="P594" s="10" t="s">
        <v>15</v>
      </c>
      <c r="Q594" s="6"/>
      <c r="R594" s="6"/>
      <c r="S594" s="6"/>
      <c r="T594" s="6" t="s">
        <v>16</v>
      </c>
      <c r="U594" s="9" t="s">
        <v>17</v>
      </c>
      <c r="AI594" s="6" t="s">
        <v>18</v>
      </c>
      <c r="AJ594" s="12" t="s">
        <v>4031</v>
      </c>
      <c r="AL594" s="13" t="s">
        <v>20</v>
      </c>
    </row>
    <row r="595">
      <c r="A595" s="5" t="s">
        <v>4032</v>
      </c>
      <c r="B595" s="5" t="s">
        <v>4033</v>
      </c>
      <c r="C595" s="5" t="s">
        <v>4026</v>
      </c>
      <c r="D595" s="5" t="s">
        <v>8</v>
      </c>
      <c r="E595" s="6"/>
      <c r="F595" s="6"/>
      <c r="G595" s="7" t="s">
        <v>4034</v>
      </c>
      <c r="I595" s="8" t="s">
        <v>4035</v>
      </c>
      <c r="J595" s="9">
        <v>23.28</v>
      </c>
      <c r="K595" s="10" t="s">
        <v>11</v>
      </c>
      <c r="L595" s="6"/>
      <c r="M595" s="11" t="s">
        <v>12</v>
      </c>
      <c r="N595" s="6" t="s">
        <v>4036</v>
      </c>
      <c r="O595" s="6" t="s">
        <v>4037</v>
      </c>
      <c r="P595" s="10" t="s">
        <v>15</v>
      </c>
      <c r="Q595" s="6"/>
      <c r="R595" s="6"/>
      <c r="S595" s="6"/>
      <c r="T595" s="6" t="s">
        <v>16</v>
      </c>
      <c r="U595" s="9" t="s">
        <v>17</v>
      </c>
      <c r="AI595" s="6" t="s">
        <v>18</v>
      </c>
      <c r="AJ595" s="12" t="s">
        <v>4031</v>
      </c>
      <c r="AL595" s="13" t="s">
        <v>20</v>
      </c>
    </row>
    <row r="596">
      <c r="A596" s="5" t="s">
        <v>4038</v>
      </c>
      <c r="B596" s="5" t="s">
        <v>4039</v>
      </c>
      <c r="C596" s="5" t="s">
        <v>4040</v>
      </c>
      <c r="D596" s="5" t="s">
        <v>8</v>
      </c>
      <c r="E596" s="6"/>
      <c r="F596" s="6"/>
      <c r="G596" s="7" t="s">
        <v>4041</v>
      </c>
      <c r="I596" s="8" t="s">
        <v>4042</v>
      </c>
      <c r="J596" s="9">
        <v>7.9</v>
      </c>
      <c r="K596" s="10" t="s">
        <v>11</v>
      </c>
      <c r="L596" s="6"/>
      <c r="M596" s="11" t="s">
        <v>12</v>
      </c>
      <c r="N596" s="6" t="s">
        <v>4043</v>
      </c>
      <c r="O596" s="6" t="s">
        <v>4044</v>
      </c>
      <c r="P596" s="10" t="s">
        <v>15</v>
      </c>
      <c r="Q596" s="6"/>
      <c r="R596" s="6"/>
      <c r="S596" s="6"/>
      <c r="T596" s="6" t="s">
        <v>16</v>
      </c>
      <c r="U596" s="9" t="s">
        <v>17</v>
      </c>
      <c r="AI596" s="6" t="s">
        <v>18</v>
      </c>
      <c r="AJ596" s="12" t="s">
        <v>4045</v>
      </c>
      <c r="AL596" s="13" t="s">
        <v>20</v>
      </c>
    </row>
    <row r="597">
      <c r="A597" s="5" t="s">
        <v>4046</v>
      </c>
      <c r="B597" s="5" t="s">
        <v>4047</v>
      </c>
      <c r="C597" s="5" t="s">
        <v>4040</v>
      </c>
      <c r="D597" s="5" t="s">
        <v>8</v>
      </c>
      <c r="E597" s="6"/>
      <c r="F597" s="6"/>
      <c r="G597" s="7" t="s">
        <v>4048</v>
      </c>
      <c r="I597" s="8" t="s">
        <v>4049</v>
      </c>
      <c r="J597" s="9">
        <v>37.9</v>
      </c>
      <c r="K597" s="10" t="s">
        <v>11</v>
      </c>
      <c r="L597" s="6"/>
      <c r="M597" s="11" t="s">
        <v>12</v>
      </c>
      <c r="N597" s="6" t="s">
        <v>4050</v>
      </c>
      <c r="O597" s="6" t="s">
        <v>4051</v>
      </c>
      <c r="P597" s="10" t="s">
        <v>15</v>
      </c>
      <c r="Q597" s="6"/>
      <c r="R597" s="6"/>
      <c r="S597" s="6"/>
      <c r="T597" s="6" t="s">
        <v>16</v>
      </c>
      <c r="U597" s="9" t="s">
        <v>17</v>
      </c>
      <c r="AI597" s="6" t="s">
        <v>18</v>
      </c>
      <c r="AJ597" s="12" t="s">
        <v>4045</v>
      </c>
      <c r="AL597" s="13" t="s">
        <v>20</v>
      </c>
    </row>
    <row r="598">
      <c r="A598" s="5" t="s">
        <v>4052</v>
      </c>
      <c r="B598" s="5" t="s">
        <v>4053</v>
      </c>
      <c r="C598" s="5" t="s">
        <v>4040</v>
      </c>
      <c r="D598" s="5" t="s">
        <v>8</v>
      </c>
      <c r="E598" s="6"/>
      <c r="F598" s="6"/>
      <c r="G598" s="7" t="s">
        <v>4054</v>
      </c>
      <c r="I598" s="8" t="s">
        <v>4055</v>
      </c>
      <c r="J598" s="9">
        <v>26.9</v>
      </c>
      <c r="K598" s="10" t="s">
        <v>11</v>
      </c>
      <c r="L598" s="6"/>
      <c r="M598" s="11" t="s">
        <v>12</v>
      </c>
      <c r="N598" s="6" t="s">
        <v>4056</v>
      </c>
      <c r="O598" s="6" t="s">
        <v>4057</v>
      </c>
      <c r="P598" s="10" t="s">
        <v>15</v>
      </c>
      <c r="Q598" s="6"/>
      <c r="R598" s="6"/>
      <c r="S598" s="6"/>
      <c r="T598" s="6" t="s">
        <v>16</v>
      </c>
      <c r="U598" s="9" t="s">
        <v>17</v>
      </c>
      <c r="AI598" s="6" t="s">
        <v>18</v>
      </c>
      <c r="AJ598" s="12" t="s">
        <v>4045</v>
      </c>
      <c r="AL598" s="13" t="s">
        <v>20</v>
      </c>
    </row>
    <row r="599">
      <c r="A599" s="5" t="s">
        <v>4058</v>
      </c>
      <c r="B599" s="5" t="s">
        <v>4059</v>
      </c>
      <c r="C599" s="5" t="s">
        <v>4040</v>
      </c>
      <c r="D599" s="5" t="s">
        <v>8</v>
      </c>
      <c r="E599" s="6"/>
      <c r="F599" s="6"/>
      <c r="G599" s="7" t="s">
        <v>4060</v>
      </c>
      <c r="I599" s="8" t="s">
        <v>4061</v>
      </c>
      <c r="J599" s="9">
        <v>17.7</v>
      </c>
      <c r="K599" s="10" t="s">
        <v>11</v>
      </c>
      <c r="L599" s="6"/>
      <c r="M599" s="11" t="s">
        <v>12</v>
      </c>
      <c r="N599" s="6" t="s">
        <v>4062</v>
      </c>
      <c r="O599" s="6" t="s">
        <v>4063</v>
      </c>
      <c r="P599" s="10" t="s">
        <v>15</v>
      </c>
      <c r="Q599" s="6"/>
      <c r="R599" s="6"/>
      <c r="S599" s="6"/>
      <c r="T599" s="6" t="s">
        <v>16</v>
      </c>
      <c r="U599" s="9" t="s">
        <v>17</v>
      </c>
      <c r="AI599" s="6" t="s">
        <v>18</v>
      </c>
      <c r="AJ599" s="12" t="s">
        <v>4045</v>
      </c>
      <c r="AL599" s="13" t="s">
        <v>20</v>
      </c>
    </row>
    <row r="600">
      <c r="A600" s="5" t="s">
        <v>4064</v>
      </c>
      <c r="B600" s="5" t="s">
        <v>4065</v>
      </c>
      <c r="C600" s="5" t="s">
        <v>4066</v>
      </c>
      <c r="D600" s="5" t="s">
        <v>8</v>
      </c>
      <c r="E600" s="6"/>
      <c r="F600" s="6"/>
      <c r="G600" s="7" t="s">
        <v>4067</v>
      </c>
      <c r="I600" s="8" t="s">
        <v>4068</v>
      </c>
      <c r="J600" s="9">
        <v>4.9</v>
      </c>
      <c r="K600" s="10" t="s">
        <v>11</v>
      </c>
      <c r="L600" s="6"/>
      <c r="M600" s="11" t="s">
        <v>12</v>
      </c>
      <c r="N600" s="6" t="s">
        <v>4069</v>
      </c>
      <c r="O600" s="6" t="s">
        <v>4070</v>
      </c>
      <c r="P600" s="10" t="s">
        <v>15</v>
      </c>
      <c r="Q600" s="6"/>
      <c r="R600" s="6"/>
      <c r="S600" s="6"/>
      <c r="T600" s="6" t="s">
        <v>16</v>
      </c>
      <c r="U600" s="9" t="s">
        <v>17</v>
      </c>
      <c r="AI600" s="6" t="s">
        <v>18</v>
      </c>
      <c r="AJ600" s="12" t="s">
        <v>4071</v>
      </c>
      <c r="AL600" s="13" t="s">
        <v>20</v>
      </c>
    </row>
    <row r="601">
      <c r="A601" s="5" t="s">
        <v>4072</v>
      </c>
      <c r="B601" s="5" t="s">
        <v>4073</v>
      </c>
      <c r="C601" s="5" t="s">
        <v>4074</v>
      </c>
      <c r="D601" s="5" t="s">
        <v>8</v>
      </c>
      <c r="E601" s="6"/>
      <c r="F601" s="6"/>
      <c r="G601" s="7" t="s">
        <v>4075</v>
      </c>
      <c r="I601" s="8" t="s">
        <v>4076</v>
      </c>
      <c r="J601" s="9">
        <v>9.3</v>
      </c>
      <c r="K601" s="10" t="s">
        <v>11</v>
      </c>
      <c r="L601" s="6"/>
      <c r="M601" s="11" t="s">
        <v>12</v>
      </c>
      <c r="N601" s="6" t="s">
        <v>4077</v>
      </c>
      <c r="O601" s="6" t="s">
        <v>4078</v>
      </c>
      <c r="P601" s="10" t="s">
        <v>15</v>
      </c>
      <c r="Q601" s="6"/>
      <c r="R601" s="6"/>
      <c r="S601" s="6"/>
      <c r="T601" s="6" t="s">
        <v>16</v>
      </c>
      <c r="U601" s="9" t="s">
        <v>17</v>
      </c>
      <c r="AI601" s="6" t="s">
        <v>18</v>
      </c>
      <c r="AJ601" s="12" t="s">
        <v>4079</v>
      </c>
      <c r="AL601" s="13" t="s">
        <v>20</v>
      </c>
    </row>
    <row r="602">
      <c r="A602" s="5" t="s">
        <v>4080</v>
      </c>
      <c r="B602" s="5" t="s">
        <v>4081</v>
      </c>
      <c r="C602" s="5" t="s">
        <v>4082</v>
      </c>
      <c r="D602" s="5" t="s">
        <v>8</v>
      </c>
      <c r="E602" s="6"/>
      <c r="F602" s="6"/>
      <c r="G602" s="7" t="s">
        <v>4083</v>
      </c>
      <c r="I602" s="8" t="s">
        <v>4084</v>
      </c>
      <c r="J602" s="9">
        <v>8.9</v>
      </c>
      <c r="K602" s="10" t="s">
        <v>11</v>
      </c>
      <c r="L602" s="6"/>
      <c r="M602" s="11" t="s">
        <v>12</v>
      </c>
      <c r="N602" s="6" t="s">
        <v>4085</v>
      </c>
      <c r="O602" s="6" t="s">
        <v>4086</v>
      </c>
      <c r="P602" s="10" t="s">
        <v>15</v>
      </c>
      <c r="Q602" s="6"/>
      <c r="R602" s="6"/>
      <c r="S602" s="6"/>
      <c r="T602" s="6" t="s">
        <v>16</v>
      </c>
      <c r="U602" s="9" t="s">
        <v>17</v>
      </c>
      <c r="AI602" s="6" t="s">
        <v>18</v>
      </c>
      <c r="AJ602" s="12" t="s">
        <v>4087</v>
      </c>
      <c r="AL602" s="13" t="s">
        <v>20</v>
      </c>
    </row>
    <row r="603">
      <c r="A603" s="5" t="s">
        <v>4088</v>
      </c>
      <c r="B603" s="5" t="s">
        <v>4089</v>
      </c>
      <c r="C603" s="5" t="s">
        <v>4090</v>
      </c>
      <c r="D603" s="5" t="s">
        <v>8</v>
      </c>
      <c r="E603" s="6"/>
      <c r="F603" s="6"/>
      <c r="G603" s="7" t="s">
        <v>4091</v>
      </c>
      <c r="I603" s="8" t="s">
        <v>4092</v>
      </c>
      <c r="J603" s="9">
        <v>11.7</v>
      </c>
      <c r="K603" s="10" t="s">
        <v>11</v>
      </c>
      <c r="L603" s="6"/>
      <c r="M603" s="11" t="s">
        <v>12</v>
      </c>
      <c r="N603" s="6" t="s">
        <v>4093</v>
      </c>
      <c r="O603" s="6" t="s">
        <v>4094</v>
      </c>
      <c r="P603" s="10" t="s">
        <v>15</v>
      </c>
      <c r="Q603" s="6"/>
      <c r="R603" s="6"/>
      <c r="S603" s="6"/>
      <c r="T603" s="6" t="s">
        <v>16</v>
      </c>
      <c r="U603" s="9" t="s">
        <v>17</v>
      </c>
      <c r="AI603" s="6" t="s">
        <v>18</v>
      </c>
      <c r="AJ603" s="12" t="s">
        <v>4095</v>
      </c>
      <c r="AL603" s="13" t="s">
        <v>20</v>
      </c>
    </row>
    <row r="604">
      <c r="A604" s="5" t="s">
        <v>4096</v>
      </c>
      <c r="B604" s="5" t="s">
        <v>4097</v>
      </c>
      <c r="C604" s="5" t="s">
        <v>4090</v>
      </c>
      <c r="D604" s="5" t="s">
        <v>8</v>
      </c>
      <c r="E604" s="6"/>
      <c r="F604" s="6"/>
      <c r="G604" s="7" t="s">
        <v>4098</v>
      </c>
      <c r="I604" s="8" t="s">
        <v>4099</v>
      </c>
      <c r="J604" s="9">
        <v>28.8</v>
      </c>
      <c r="K604" s="10" t="s">
        <v>11</v>
      </c>
      <c r="L604" s="6"/>
      <c r="M604" s="11" t="s">
        <v>12</v>
      </c>
      <c r="N604" s="6" t="s">
        <v>4100</v>
      </c>
      <c r="O604" s="6" t="s">
        <v>4101</v>
      </c>
      <c r="P604" s="10" t="s">
        <v>15</v>
      </c>
      <c r="Q604" s="6"/>
      <c r="R604" s="6"/>
      <c r="S604" s="6"/>
      <c r="T604" s="6" t="s">
        <v>16</v>
      </c>
      <c r="U604" s="9" t="s">
        <v>17</v>
      </c>
      <c r="AI604" s="6" t="s">
        <v>18</v>
      </c>
      <c r="AJ604" s="12" t="s">
        <v>4095</v>
      </c>
      <c r="AL604" s="13" t="s">
        <v>20</v>
      </c>
    </row>
    <row r="605">
      <c r="A605" s="5" t="s">
        <v>4102</v>
      </c>
      <c r="B605" s="5" t="s">
        <v>4103</v>
      </c>
      <c r="C605" s="5" t="s">
        <v>4104</v>
      </c>
      <c r="D605" s="5" t="s">
        <v>8</v>
      </c>
      <c r="E605" s="6"/>
      <c r="F605" s="6"/>
      <c r="G605" s="7" t="s">
        <v>4105</v>
      </c>
      <c r="I605" s="8" t="s">
        <v>4106</v>
      </c>
      <c r="J605" s="9">
        <v>9.9</v>
      </c>
      <c r="K605" s="10" t="s">
        <v>11</v>
      </c>
      <c r="L605" s="6"/>
      <c r="M605" s="11" t="s">
        <v>12</v>
      </c>
      <c r="N605" s="6" t="s">
        <v>4107</v>
      </c>
      <c r="O605" s="6" t="s">
        <v>4108</v>
      </c>
      <c r="P605" s="10" t="s">
        <v>15</v>
      </c>
      <c r="Q605" s="6"/>
      <c r="R605" s="6"/>
      <c r="S605" s="6"/>
      <c r="T605" s="6" t="s">
        <v>16</v>
      </c>
      <c r="U605" s="9" t="s">
        <v>17</v>
      </c>
      <c r="AI605" s="6" t="s">
        <v>18</v>
      </c>
      <c r="AJ605" s="12" t="s">
        <v>4109</v>
      </c>
      <c r="AL605" s="13" t="s">
        <v>20</v>
      </c>
    </row>
    <row r="606">
      <c r="A606" s="5" t="s">
        <v>4110</v>
      </c>
      <c r="B606" s="5" t="s">
        <v>4111</v>
      </c>
      <c r="C606" s="5" t="s">
        <v>4104</v>
      </c>
      <c r="D606" s="5" t="s">
        <v>8</v>
      </c>
      <c r="E606" s="6"/>
      <c r="F606" s="6"/>
      <c r="G606" s="7" t="s">
        <v>4112</v>
      </c>
      <c r="I606" s="8" t="s">
        <v>4113</v>
      </c>
      <c r="J606" s="9">
        <v>37.9</v>
      </c>
      <c r="K606" s="10" t="s">
        <v>11</v>
      </c>
      <c r="L606" s="6"/>
      <c r="M606" s="11" t="s">
        <v>12</v>
      </c>
      <c r="N606" s="6" t="s">
        <v>4114</v>
      </c>
      <c r="O606" s="6" t="s">
        <v>4115</v>
      </c>
      <c r="P606" s="10" t="s">
        <v>15</v>
      </c>
      <c r="Q606" s="6"/>
      <c r="R606" s="6"/>
      <c r="S606" s="6"/>
      <c r="T606" s="6" t="s">
        <v>16</v>
      </c>
      <c r="U606" s="9" t="s">
        <v>17</v>
      </c>
      <c r="AI606" s="6" t="s">
        <v>18</v>
      </c>
      <c r="AJ606" s="12" t="s">
        <v>4109</v>
      </c>
      <c r="AL606" s="13" t="s">
        <v>20</v>
      </c>
    </row>
    <row r="607">
      <c r="A607" s="5" t="s">
        <v>4116</v>
      </c>
      <c r="B607" s="5" t="s">
        <v>4117</v>
      </c>
      <c r="C607" s="5" t="s">
        <v>4104</v>
      </c>
      <c r="D607" s="5" t="s">
        <v>8</v>
      </c>
      <c r="E607" s="6"/>
      <c r="F607" s="6"/>
      <c r="G607" s="7" t="s">
        <v>4118</v>
      </c>
      <c r="I607" s="8" t="s">
        <v>4119</v>
      </c>
      <c r="J607" s="9">
        <v>26.9</v>
      </c>
      <c r="K607" s="10" t="s">
        <v>11</v>
      </c>
      <c r="L607" s="6"/>
      <c r="M607" s="11" t="s">
        <v>12</v>
      </c>
      <c r="N607" s="6" t="s">
        <v>4120</v>
      </c>
      <c r="O607" s="6" t="s">
        <v>4121</v>
      </c>
      <c r="P607" s="10" t="s">
        <v>15</v>
      </c>
      <c r="Q607" s="6"/>
      <c r="R607" s="6"/>
      <c r="S607" s="6"/>
      <c r="T607" s="6" t="s">
        <v>16</v>
      </c>
      <c r="U607" s="9" t="s">
        <v>17</v>
      </c>
      <c r="AI607" s="6" t="s">
        <v>18</v>
      </c>
      <c r="AJ607" s="12" t="s">
        <v>4109</v>
      </c>
      <c r="AL607" s="13" t="s">
        <v>20</v>
      </c>
    </row>
    <row r="608">
      <c r="A608" s="5" t="s">
        <v>4122</v>
      </c>
      <c r="B608" s="5" t="s">
        <v>4123</v>
      </c>
      <c r="C608" s="5" t="s">
        <v>4104</v>
      </c>
      <c r="D608" s="5" t="s">
        <v>8</v>
      </c>
      <c r="E608" s="6"/>
      <c r="F608" s="6"/>
      <c r="G608" s="7" t="s">
        <v>4124</v>
      </c>
      <c r="I608" s="8" t="s">
        <v>4125</v>
      </c>
      <c r="J608" s="9">
        <v>29.5</v>
      </c>
      <c r="K608" s="10" t="s">
        <v>11</v>
      </c>
      <c r="L608" s="6"/>
      <c r="M608" s="11" t="s">
        <v>12</v>
      </c>
      <c r="N608" s="6" t="s">
        <v>4126</v>
      </c>
      <c r="O608" s="6" t="s">
        <v>4127</v>
      </c>
      <c r="P608" s="10" t="s">
        <v>15</v>
      </c>
      <c r="Q608" s="6"/>
      <c r="R608" s="6"/>
      <c r="S608" s="6"/>
      <c r="T608" s="6" t="s">
        <v>16</v>
      </c>
      <c r="U608" s="9" t="s">
        <v>17</v>
      </c>
      <c r="AI608" s="6" t="s">
        <v>18</v>
      </c>
      <c r="AJ608" s="12" t="s">
        <v>4109</v>
      </c>
      <c r="AL608" s="13" t="s">
        <v>20</v>
      </c>
    </row>
    <row r="609">
      <c r="A609" s="5" t="s">
        <v>4128</v>
      </c>
      <c r="B609" s="5" t="s">
        <v>4129</v>
      </c>
      <c r="C609" s="5" t="s">
        <v>4130</v>
      </c>
      <c r="D609" s="5" t="s">
        <v>8</v>
      </c>
      <c r="E609" s="6"/>
      <c r="F609" s="6"/>
      <c r="G609" s="7" t="s">
        <v>4131</v>
      </c>
      <c r="I609" s="8" t="s">
        <v>4132</v>
      </c>
      <c r="J609" s="9">
        <v>7.9</v>
      </c>
      <c r="K609" s="10" t="s">
        <v>11</v>
      </c>
      <c r="L609" s="6"/>
      <c r="M609" s="11" t="s">
        <v>12</v>
      </c>
      <c r="N609" s="6" t="s">
        <v>4133</v>
      </c>
      <c r="O609" s="6" t="s">
        <v>4134</v>
      </c>
      <c r="P609" s="10" t="s">
        <v>15</v>
      </c>
      <c r="Q609" s="6"/>
      <c r="R609" s="6"/>
      <c r="S609" s="6"/>
      <c r="T609" s="6" t="s">
        <v>16</v>
      </c>
      <c r="U609" s="9" t="s">
        <v>17</v>
      </c>
      <c r="AI609" s="6" t="s">
        <v>18</v>
      </c>
      <c r="AJ609" s="12" t="s">
        <v>4135</v>
      </c>
      <c r="AL609" s="13" t="s">
        <v>20</v>
      </c>
    </row>
    <row r="610">
      <c r="A610" s="5" t="s">
        <v>4136</v>
      </c>
      <c r="B610" s="5" t="s">
        <v>4137</v>
      </c>
      <c r="C610" s="5" t="s">
        <v>4130</v>
      </c>
      <c r="D610" s="5" t="s">
        <v>8</v>
      </c>
      <c r="E610" s="6"/>
      <c r="F610" s="6"/>
      <c r="G610" s="7" t="s">
        <v>4138</v>
      </c>
      <c r="I610" s="8" t="s">
        <v>4139</v>
      </c>
      <c r="J610" s="9">
        <v>16.43</v>
      </c>
      <c r="K610" s="10" t="s">
        <v>11</v>
      </c>
      <c r="L610" s="6"/>
      <c r="M610" s="11" t="s">
        <v>12</v>
      </c>
      <c r="N610" s="6" t="s">
        <v>4140</v>
      </c>
      <c r="O610" s="6" t="s">
        <v>4141</v>
      </c>
      <c r="P610" s="10" t="s">
        <v>15</v>
      </c>
      <c r="Q610" s="6"/>
      <c r="R610" s="6"/>
      <c r="S610" s="6"/>
      <c r="T610" s="6" t="s">
        <v>16</v>
      </c>
      <c r="U610" s="9" t="s">
        <v>17</v>
      </c>
      <c r="AI610" s="6" t="s">
        <v>18</v>
      </c>
      <c r="AJ610" s="12" t="s">
        <v>4135</v>
      </c>
      <c r="AL610" s="13" t="s">
        <v>20</v>
      </c>
    </row>
    <row r="611">
      <c r="A611" s="5" t="s">
        <v>4142</v>
      </c>
      <c r="B611" s="5" t="s">
        <v>4143</v>
      </c>
      <c r="C611" s="5" t="s">
        <v>4144</v>
      </c>
      <c r="D611" s="5" t="s">
        <v>8</v>
      </c>
      <c r="E611" s="6"/>
      <c r="F611" s="6"/>
      <c r="G611" s="7" t="s">
        <v>4145</v>
      </c>
      <c r="I611" s="8" t="s">
        <v>4146</v>
      </c>
      <c r="J611" s="9">
        <v>10.9</v>
      </c>
      <c r="K611" s="10" t="s">
        <v>11</v>
      </c>
      <c r="L611" s="6"/>
      <c r="M611" s="11" t="s">
        <v>12</v>
      </c>
      <c r="N611" s="6" t="s">
        <v>4147</v>
      </c>
      <c r="O611" s="6" t="s">
        <v>4148</v>
      </c>
      <c r="P611" s="10" t="s">
        <v>15</v>
      </c>
      <c r="Q611" s="6"/>
      <c r="R611" s="6"/>
      <c r="S611" s="6"/>
      <c r="T611" s="6" t="s">
        <v>16</v>
      </c>
      <c r="U611" s="9" t="s">
        <v>17</v>
      </c>
      <c r="AI611" s="6" t="s">
        <v>18</v>
      </c>
      <c r="AJ611" s="12" t="s">
        <v>4149</v>
      </c>
      <c r="AL611" s="13" t="s">
        <v>20</v>
      </c>
    </row>
    <row r="612">
      <c r="A612" s="5" t="s">
        <v>4150</v>
      </c>
      <c r="B612" s="5" t="s">
        <v>4151</v>
      </c>
      <c r="C612" s="5" t="s">
        <v>4144</v>
      </c>
      <c r="D612" s="5" t="s">
        <v>8</v>
      </c>
      <c r="E612" s="6"/>
      <c r="F612" s="6"/>
      <c r="G612" s="7" t="s">
        <v>4152</v>
      </c>
      <c r="I612" s="8" t="s">
        <v>4153</v>
      </c>
      <c r="J612" s="9">
        <v>29.5</v>
      </c>
      <c r="K612" s="10" t="s">
        <v>11</v>
      </c>
      <c r="L612" s="6"/>
      <c r="M612" s="11" t="s">
        <v>12</v>
      </c>
      <c r="N612" s="6" t="s">
        <v>4154</v>
      </c>
      <c r="O612" s="6" t="s">
        <v>4155</v>
      </c>
      <c r="P612" s="10" t="s">
        <v>15</v>
      </c>
      <c r="Q612" s="6"/>
      <c r="R612" s="6"/>
      <c r="S612" s="6"/>
      <c r="T612" s="6" t="s">
        <v>16</v>
      </c>
      <c r="U612" s="9" t="s">
        <v>17</v>
      </c>
      <c r="AI612" s="6" t="s">
        <v>18</v>
      </c>
      <c r="AJ612" s="12" t="s">
        <v>4149</v>
      </c>
      <c r="AL612" s="13" t="s">
        <v>20</v>
      </c>
    </row>
    <row r="613">
      <c r="A613" s="5" t="s">
        <v>4156</v>
      </c>
      <c r="B613" s="5" t="s">
        <v>4157</v>
      </c>
      <c r="C613" s="5" t="s">
        <v>4158</v>
      </c>
      <c r="D613" s="5" t="s">
        <v>8</v>
      </c>
      <c r="E613" s="6"/>
      <c r="F613" s="6"/>
      <c r="G613" s="7" t="s">
        <v>4159</v>
      </c>
      <c r="I613" s="8" t="s">
        <v>4160</v>
      </c>
      <c r="J613" s="9">
        <v>7.9</v>
      </c>
      <c r="K613" s="10" t="s">
        <v>11</v>
      </c>
      <c r="L613" s="6"/>
      <c r="M613" s="11" t="s">
        <v>12</v>
      </c>
      <c r="N613" s="6" t="s">
        <v>4161</v>
      </c>
      <c r="O613" s="6" t="s">
        <v>4162</v>
      </c>
      <c r="P613" s="10" t="s">
        <v>15</v>
      </c>
      <c r="Q613" s="6"/>
      <c r="R613" s="6"/>
      <c r="S613" s="6"/>
      <c r="T613" s="6" t="s">
        <v>16</v>
      </c>
      <c r="U613" s="9" t="s">
        <v>17</v>
      </c>
      <c r="AI613" s="6" t="s">
        <v>18</v>
      </c>
      <c r="AJ613" s="12" t="s">
        <v>4163</v>
      </c>
      <c r="AL613" s="13" t="s">
        <v>20</v>
      </c>
    </row>
    <row r="614">
      <c r="A614" s="5" t="s">
        <v>4164</v>
      </c>
      <c r="B614" s="5" t="s">
        <v>4165</v>
      </c>
      <c r="C614" s="5" t="s">
        <v>4158</v>
      </c>
      <c r="D614" s="5" t="s">
        <v>8</v>
      </c>
      <c r="E614" s="6"/>
      <c r="F614" s="6"/>
      <c r="G614" s="7" t="s">
        <v>4166</v>
      </c>
      <c r="I614" s="8" t="s">
        <v>4167</v>
      </c>
      <c r="J614" s="9">
        <v>37.9</v>
      </c>
      <c r="K614" s="10" t="s">
        <v>11</v>
      </c>
      <c r="L614" s="6"/>
      <c r="M614" s="11" t="s">
        <v>12</v>
      </c>
      <c r="N614" s="6" t="s">
        <v>4168</v>
      </c>
      <c r="O614" s="6" t="s">
        <v>4169</v>
      </c>
      <c r="P614" s="10" t="s">
        <v>15</v>
      </c>
      <c r="Q614" s="6"/>
      <c r="R614" s="6"/>
      <c r="S614" s="6"/>
      <c r="T614" s="6" t="s">
        <v>16</v>
      </c>
      <c r="U614" s="9" t="s">
        <v>17</v>
      </c>
      <c r="AI614" s="6" t="s">
        <v>18</v>
      </c>
      <c r="AJ614" s="12" t="s">
        <v>4163</v>
      </c>
      <c r="AL614" s="13" t="s">
        <v>20</v>
      </c>
    </row>
    <row r="615">
      <c r="A615" s="5" t="s">
        <v>4170</v>
      </c>
      <c r="B615" s="5" t="s">
        <v>4171</v>
      </c>
      <c r="C615" s="5" t="s">
        <v>4158</v>
      </c>
      <c r="D615" s="5" t="s">
        <v>8</v>
      </c>
      <c r="E615" s="6"/>
      <c r="F615" s="6"/>
      <c r="G615" s="7" t="s">
        <v>4172</v>
      </c>
      <c r="I615" s="8" t="s">
        <v>4173</v>
      </c>
      <c r="J615" s="9">
        <v>26.9</v>
      </c>
      <c r="K615" s="10" t="s">
        <v>11</v>
      </c>
      <c r="L615" s="6"/>
      <c r="M615" s="11" t="s">
        <v>12</v>
      </c>
      <c r="N615" s="6" t="s">
        <v>4174</v>
      </c>
      <c r="O615" s="6" t="s">
        <v>4175</v>
      </c>
      <c r="P615" s="10" t="s">
        <v>15</v>
      </c>
      <c r="Q615" s="6"/>
      <c r="R615" s="6"/>
      <c r="S615" s="6"/>
      <c r="T615" s="6" t="s">
        <v>16</v>
      </c>
      <c r="U615" s="9" t="s">
        <v>17</v>
      </c>
      <c r="AI615" s="6" t="s">
        <v>18</v>
      </c>
      <c r="AJ615" s="12" t="s">
        <v>4163</v>
      </c>
      <c r="AL615" s="13" t="s">
        <v>20</v>
      </c>
    </row>
    <row r="616">
      <c r="A616" s="5" t="s">
        <v>4176</v>
      </c>
      <c r="B616" s="5" t="s">
        <v>4177</v>
      </c>
      <c r="C616" s="5" t="s">
        <v>4158</v>
      </c>
      <c r="D616" s="5" t="s">
        <v>8</v>
      </c>
      <c r="E616" s="6"/>
      <c r="F616" s="6"/>
      <c r="G616" s="7" t="s">
        <v>4178</v>
      </c>
      <c r="I616" s="8" t="s">
        <v>4179</v>
      </c>
      <c r="J616" s="9">
        <v>17.7</v>
      </c>
      <c r="K616" s="10" t="s">
        <v>11</v>
      </c>
      <c r="L616" s="6"/>
      <c r="M616" s="11" t="s">
        <v>12</v>
      </c>
      <c r="N616" s="6" t="s">
        <v>4161</v>
      </c>
      <c r="O616" s="6" t="s">
        <v>4180</v>
      </c>
      <c r="P616" s="10" t="s">
        <v>15</v>
      </c>
      <c r="Q616" s="6"/>
      <c r="R616" s="6"/>
      <c r="S616" s="6"/>
      <c r="T616" s="6" t="s">
        <v>16</v>
      </c>
      <c r="U616" s="9" t="s">
        <v>17</v>
      </c>
      <c r="AI616" s="6" t="s">
        <v>18</v>
      </c>
      <c r="AJ616" s="12" t="s">
        <v>4163</v>
      </c>
      <c r="AL616" s="13" t="s">
        <v>20</v>
      </c>
    </row>
    <row r="617">
      <c r="A617" s="5" t="s">
        <v>4181</v>
      </c>
      <c r="B617" s="5" t="s">
        <v>4182</v>
      </c>
      <c r="C617" s="5" t="s">
        <v>4183</v>
      </c>
      <c r="D617" s="5" t="s">
        <v>8</v>
      </c>
      <c r="E617" s="6"/>
      <c r="F617" s="6"/>
      <c r="G617" s="7" t="s">
        <v>4184</v>
      </c>
      <c r="I617" s="8" t="s">
        <v>4185</v>
      </c>
      <c r="J617" s="9">
        <v>10.9</v>
      </c>
      <c r="K617" s="10" t="s">
        <v>11</v>
      </c>
      <c r="L617" s="6"/>
      <c r="M617" s="11" t="s">
        <v>12</v>
      </c>
      <c r="N617" s="6" t="s">
        <v>4186</v>
      </c>
      <c r="O617" s="6" t="s">
        <v>4187</v>
      </c>
      <c r="P617" s="10" t="s">
        <v>15</v>
      </c>
      <c r="Q617" s="6"/>
      <c r="R617" s="6"/>
      <c r="S617" s="6"/>
      <c r="T617" s="6" t="s">
        <v>16</v>
      </c>
      <c r="U617" s="9" t="s">
        <v>17</v>
      </c>
      <c r="AI617" s="6" t="s">
        <v>18</v>
      </c>
      <c r="AJ617" s="12" t="s">
        <v>4188</v>
      </c>
      <c r="AL617" s="13" t="s">
        <v>20</v>
      </c>
    </row>
    <row r="618">
      <c r="A618" s="5" t="s">
        <v>4189</v>
      </c>
      <c r="B618" s="5" t="s">
        <v>4190</v>
      </c>
      <c r="C618" s="5" t="s">
        <v>4183</v>
      </c>
      <c r="D618" s="5" t="s">
        <v>8</v>
      </c>
      <c r="E618" s="6"/>
      <c r="F618" s="6"/>
      <c r="G618" s="7" t="s">
        <v>4191</v>
      </c>
      <c r="I618" s="8" t="s">
        <v>4192</v>
      </c>
      <c r="J618" s="9">
        <v>37.9</v>
      </c>
      <c r="K618" s="10" t="s">
        <v>11</v>
      </c>
      <c r="L618" s="6"/>
      <c r="M618" s="11" t="s">
        <v>12</v>
      </c>
      <c r="N618" s="6" t="s">
        <v>4193</v>
      </c>
      <c r="O618" s="6" t="s">
        <v>4194</v>
      </c>
      <c r="P618" s="10" t="s">
        <v>15</v>
      </c>
      <c r="Q618" s="6"/>
      <c r="R618" s="6"/>
      <c r="S618" s="6"/>
      <c r="T618" s="6" t="s">
        <v>16</v>
      </c>
      <c r="U618" s="9" t="s">
        <v>17</v>
      </c>
      <c r="AI618" s="6" t="s">
        <v>18</v>
      </c>
      <c r="AJ618" s="12" t="s">
        <v>4188</v>
      </c>
      <c r="AL618" s="13" t="s">
        <v>20</v>
      </c>
    </row>
    <row r="619">
      <c r="A619" s="5" t="s">
        <v>4195</v>
      </c>
      <c r="B619" s="5" t="s">
        <v>4196</v>
      </c>
      <c r="C619" s="5" t="s">
        <v>4183</v>
      </c>
      <c r="D619" s="5" t="s">
        <v>8</v>
      </c>
      <c r="E619" s="6"/>
      <c r="F619" s="6"/>
      <c r="G619" s="7" t="s">
        <v>4197</v>
      </c>
      <c r="I619" s="8" t="s">
        <v>4198</v>
      </c>
      <c r="J619" s="9">
        <v>26.9</v>
      </c>
      <c r="K619" s="10" t="s">
        <v>11</v>
      </c>
      <c r="L619" s="6"/>
      <c r="M619" s="11" t="s">
        <v>12</v>
      </c>
      <c r="N619" s="6" t="s">
        <v>4199</v>
      </c>
      <c r="O619" s="6" t="s">
        <v>4200</v>
      </c>
      <c r="P619" s="10" t="s">
        <v>15</v>
      </c>
      <c r="Q619" s="6"/>
      <c r="R619" s="6"/>
      <c r="S619" s="6"/>
      <c r="T619" s="6" t="s">
        <v>16</v>
      </c>
      <c r="U619" s="9" t="s">
        <v>17</v>
      </c>
      <c r="AI619" s="6" t="s">
        <v>18</v>
      </c>
      <c r="AJ619" s="12" t="s">
        <v>4188</v>
      </c>
      <c r="AL619" s="13" t="s">
        <v>20</v>
      </c>
    </row>
    <row r="620">
      <c r="A620" s="5" t="s">
        <v>4201</v>
      </c>
      <c r="B620" s="5" t="s">
        <v>4202</v>
      </c>
      <c r="C620" s="5" t="s">
        <v>4183</v>
      </c>
      <c r="D620" s="5" t="s">
        <v>8</v>
      </c>
      <c r="E620" s="6"/>
      <c r="F620" s="6"/>
      <c r="G620" s="7" t="s">
        <v>4203</v>
      </c>
      <c r="I620" s="8" t="s">
        <v>4204</v>
      </c>
      <c r="J620" s="9">
        <v>29.5</v>
      </c>
      <c r="K620" s="10" t="s">
        <v>11</v>
      </c>
      <c r="L620" s="6"/>
      <c r="M620" s="11" t="s">
        <v>12</v>
      </c>
      <c r="N620" s="6" t="s">
        <v>4205</v>
      </c>
      <c r="O620" s="6" t="s">
        <v>4206</v>
      </c>
      <c r="P620" s="10" t="s">
        <v>15</v>
      </c>
      <c r="Q620" s="6"/>
      <c r="R620" s="6"/>
      <c r="S620" s="6"/>
      <c r="T620" s="6" t="s">
        <v>16</v>
      </c>
      <c r="U620" s="9" t="s">
        <v>17</v>
      </c>
      <c r="AI620" s="6" t="s">
        <v>18</v>
      </c>
      <c r="AJ620" s="12" t="s">
        <v>4188</v>
      </c>
      <c r="AL620" s="13" t="s">
        <v>20</v>
      </c>
    </row>
    <row r="621">
      <c r="A621" s="5" t="s">
        <v>4207</v>
      </c>
      <c r="B621" s="5" t="s">
        <v>4208</v>
      </c>
      <c r="C621" s="5" t="s">
        <v>4209</v>
      </c>
      <c r="D621" s="5" t="s">
        <v>8</v>
      </c>
      <c r="E621" s="6"/>
      <c r="F621" s="6"/>
      <c r="G621" s="7" t="s">
        <v>4210</v>
      </c>
      <c r="I621" s="8" t="s">
        <v>4211</v>
      </c>
      <c r="J621" s="9">
        <v>10.9</v>
      </c>
      <c r="K621" s="10" t="s">
        <v>11</v>
      </c>
      <c r="L621" s="6"/>
      <c r="M621" s="11" t="s">
        <v>12</v>
      </c>
      <c r="N621" s="6" t="s">
        <v>4212</v>
      </c>
      <c r="O621" s="6" t="s">
        <v>4213</v>
      </c>
      <c r="P621" s="10" t="s">
        <v>15</v>
      </c>
      <c r="Q621" s="6"/>
      <c r="R621" s="6"/>
      <c r="S621" s="6"/>
      <c r="T621" s="6" t="s">
        <v>16</v>
      </c>
      <c r="U621" s="9" t="s">
        <v>17</v>
      </c>
      <c r="AI621" s="6" t="s">
        <v>18</v>
      </c>
      <c r="AJ621" s="12" t="s">
        <v>4214</v>
      </c>
      <c r="AL621" s="13" t="s">
        <v>20</v>
      </c>
    </row>
    <row r="622">
      <c r="A622" s="5" t="s">
        <v>4215</v>
      </c>
      <c r="B622" s="5" t="s">
        <v>4216</v>
      </c>
      <c r="C622" s="5" t="s">
        <v>4209</v>
      </c>
      <c r="D622" s="5" t="s">
        <v>8</v>
      </c>
      <c r="E622" s="6"/>
      <c r="F622" s="6"/>
      <c r="G622" s="7" t="s">
        <v>4217</v>
      </c>
      <c r="I622" s="8" t="s">
        <v>4218</v>
      </c>
      <c r="J622" s="9">
        <v>37.9</v>
      </c>
      <c r="K622" s="10" t="s">
        <v>11</v>
      </c>
      <c r="L622" s="6"/>
      <c r="M622" s="11" t="s">
        <v>12</v>
      </c>
      <c r="N622" s="6" t="s">
        <v>4219</v>
      </c>
      <c r="O622" s="6" t="s">
        <v>4220</v>
      </c>
      <c r="P622" s="10" t="s">
        <v>15</v>
      </c>
      <c r="Q622" s="6"/>
      <c r="R622" s="6"/>
      <c r="S622" s="6"/>
      <c r="T622" s="6" t="s">
        <v>16</v>
      </c>
      <c r="U622" s="9" t="s">
        <v>17</v>
      </c>
      <c r="AI622" s="6" t="s">
        <v>18</v>
      </c>
      <c r="AJ622" s="12" t="s">
        <v>4214</v>
      </c>
      <c r="AL622" s="13" t="s">
        <v>20</v>
      </c>
    </row>
    <row r="623">
      <c r="A623" s="5" t="s">
        <v>4221</v>
      </c>
      <c r="B623" s="5" t="s">
        <v>4222</v>
      </c>
      <c r="C623" s="5" t="s">
        <v>4209</v>
      </c>
      <c r="D623" s="5" t="s">
        <v>8</v>
      </c>
      <c r="E623" s="6"/>
      <c r="F623" s="6"/>
      <c r="G623" s="7" t="s">
        <v>4223</v>
      </c>
      <c r="I623" s="8" t="s">
        <v>4224</v>
      </c>
      <c r="J623" s="9">
        <v>26.9</v>
      </c>
      <c r="K623" s="10" t="s">
        <v>11</v>
      </c>
      <c r="L623" s="6"/>
      <c r="M623" s="11" t="s">
        <v>12</v>
      </c>
      <c r="N623" s="6" t="s">
        <v>4225</v>
      </c>
      <c r="O623" s="6" t="s">
        <v>4226</v>
      </c>
      <c r="P623" s="10" t="s">
        <v>15</v>
      </c>
      <c r="Q623" s="6"/>
      <c r="R623" s="6"/>
      <c r="S623" s="6"/>
      <c r="T623" s="6" t="s">
        <v>16</v>
      </c>
      <c r="U623" s="9" t="s">
        <v>17</v>
      </c>
      <c r="AI623" s="6" t="s">
        <v>18</v>
      </c>
      <c r="AJ623" s="12" t="s">
        <v>4214</v>
      </c>
      <c r="AL623" s="13" t="s">
        <v>20</v>
      </c>
    </row>
    <row r="624">
      <c r="A624" s="5" t="s">
        <v>4227</v>
      </c>
      <c r="B624" s="5" t="s">
        <v>4228</v>
      </c>
      <c r="C624" s="5" t="s">
        <v>4209</v>
      </c>
      <c r="D624" s="5" t="s">
        <v>8</v>
      </c>
      <c r="E624" s="6"/>
      <c r="F624" s="6"/>
      <c r="G624" s="7" t="s">
        <v>4229</v>
      </c>
      <c r="I624" s="8" t="s">
        <v>4230</v>
      </c>
      <c r="J624" s="9">
        <v>29.5</v>
      </c>
      <c r="K624" s="10" t="s">
        <v>11</v>
      </c>
      <c r="L624" s="6"/>
      <c r="M624" s="11" t="s">
        <v>12</v>
      </c>
      <c r="N624" s="6" t="s">
        <v>4231</v>
      </c>
      <c r="O624" s="6" t="s">
        <v>4232</v>
      </c>
      <c r="P624" s="10" t="s">
        <v>15</v>
      </c>
      <c r="Q624" s="6"/>
      <c r="R624" s="6"/>
      <c r="S624" s="6"/>
      <c r="T624" s="6" t="s">
        <v>16</v>
      </c>
      <c r="U624" s="9" t="s">
        <v>17</v>
      </c>
      <c r="AI624" s="6" t="s">
        <v>18</v>
      </c>
      <c r="AJ624" s="12" t="s">
        <v>4214</v>
      </c>
      <c r="AL624" s="13" t="s">
        <v>20</v>
      </c>
    </row>
    <row r="625">
      <c r="A625" s="5" t="s">
        <v>4233</v>
      </c>
      <c r="B625" s="5" t="s">
        <v>4234</v>
      </c>
      <c r="C625" s="5" t="s">
        <v>2180</v>
      </c>
      <c r="D625" s="5" t="s">
        <v>8</v>
      </c>
      <c r="E625" s="6"/>
      <c r="F625" s="6"/>
      <c r="G625" s="7" t="s">
        <v>4235</v>
      </c>
      <c r="I625" s="8" t="s">
        <v>4236</v>
      </c>
      <c r="J625" s="9">
        <v>12.5</v>
      </c>
      <c r="K625" s="10" t="s">
        <v>11</v>
      </c>
      <c r="L625" s="6"/>
      <c r="M625" s="11" t="s">
        <v>12</v>
      </c>
      <c r="N625" s="6" t="s">
        <v>4237</v>
      </c>
      <c r="O625" s="6" t="s">
        <v>4238</v>
      </c>
      <c r="P625" s="10" t="s">
        <v>15</v>
      </c>
      <c r="Q625" s="6"/>
      <c r="R625" s="6"/>
      <c r="S625" s="6"/>
      <c r="T625" s="6" t="s">
        <v>16</v>
      </c>
      <c r="U625" s="9" t="s">
        <v>17</v>
      </c>
      <c r="AI625" s="6" t="s">
        <v>18</v>
      </c>
      <c r="AJ625" s="12" t="s">
        <v>4239</v>
      </c>
      <c r="AL625" s="13" t="s">
        <v>1921</v>
      </c>
    </row>
    <row r="626">
      <c r="A626" s="5" t="s">
        <v>4240</v>
      </c>
      <c r="B626" s="5" t="s">
        <v>4241</v>
      </c>
      <c r="C626" s="5" t="s">
        <v>2180</v>
      </c>
      <c r="D626" s="5" t="s">
        <v>8</v>
      </c>
      <c r="E626" s="6"/>
      <c r="F626" s="6"/>
      <c r="G626" s="18" t="s">
        <v>4242</v>
      </c>
      <c r="I626" s="8" t="s">
        <v>4243</v>
      </c>
      <c r="J626" s="9">
        <v>37.5</v>
      </c>
      <c r="K626" s="10">
        <v>33.75</v>
      </c>
      <c r="L626" s="6"/>
      <c r="M626" s="11" t="s">
        <v>17</v>
      </c>
      <c r="N626" s="6"/>
      <c r="O626" s="6" t="s">
        <v>4244</v>
      </c>
      <c r="P626" s="10" t="s">
        <v>15</v>
      </c>
      <c r="Q626" s="6"/>
      <c r="R626" s="6"/>
      <c r="S626" s="6"/>
      <c r="T626" s="6" t="s">
        <v>16</v>
      </c>
      <c r="U626" s="9" t="s">
        <v>17</v>
      </c>
      <c r="AI626" s="6" t="s">
        <v>18</v>
      </c>
      <c r="AJ626" s="12" t="s">
        <v>4239</v>
      </c>
      <c r="AL626" s="13" t="s">
        <v>1921</v>
      </c>
    </row>
    <row r="627">
      <c r="A627" s="5" t="s">
        <v>4245</v>
      </c>
      <c r="B627" s="5" t="s">
        <v>4246</v>
      </c>
      <c r="C627" s="5" t="s">
        <v>4247</v>
      </c>
      <c r="D627" s="5" t="s">
        <v>8</v>
      </c>
      <c r="E627" s="6"/>
      <c r="F627" s="6"/>
      <c r="G627" s="7" t="s">
        <v>4248</v>
      </c>
      <c r="I627" s="8" t="s">
        <v>4249</v>
      </c>
      <c r="J627" s="9">
        <v>9.9</v>
      </c>
      <c r="K627" s="10" t="s">
        <v>11</v>
      </c>
      <c r="L627" s="6"/>
      <c r="M627" s="11" t="s">
        <v>12</v>
      </c>
      <c r="N627" s="6" t="s">
        <v>4250</v>
      </c>
      <c r="O627" s="6" t="s">
        <v>4251</v>
      </c>
      <c r="P627" s="10" t="s">
        <v>15</v>
      </c>
      <c r="Q627" s="6"/>
      <c r="R627" s="6"/>
      <c r="S627" s="6" t="s">
        <v>4252</v>
      </c>
      <c r="T627" s="6" t="s">
        <v>16</v>
      </c>
      <c r="U627" s="9" t="s">
        <v>17</v>
      </c>
      <c r="AI627" s="6" t="s">
        <v>18</v>
      </c>
      <c r="AJ627" s="12" t="s">
        <v>4253</v>
      </c>
      <c r="AL627" s="13" t="s">
        <v>1921</v>
      </c>
    </row>
    <row r="628">
      <c r="A628" s="5" t="s">
        <v>4254</v>
      </c>
      <c r="B628" s="5" t="s">
        <v>4255</v>
      </c>
      <c r="C628" s="5" t="s">
        <v>4247</v>
      </c>
      <c r="D628" s="5" t="s">
        <v>8</v>
      </c>
      <c r="E628" s="6"/>
      <c r="F628" s="6"/>
      <c r="G628" s="7" t="s">
        <v>4256</v>
      </c>
      <c r="I628" s="8" t="s">
        <v>4257</v>
      </c>
      <c r="J628" s="9">
        <v>19.8</v>
      </c>
      <c r="K628" s="10">
        <v>18.81</v>
      </c>
      <c r="L628" s="6"/>
      <c r="M628" s="11" t="s">
        <v>17</v>
      </c>
      <c r="N628" s="6"/>
      <c r="O628" s="6" t="s">
        <v>4258</v>
      </c>
      <c r="P628" s="10" t="s">
        <v>15</v>
      </c>
      <c r="Q628" s="6"/>
      <c r="R628" s="6"/>
      <c r="S628" s="6" t="s">
        <v>4252</v>
      </c>
      <c r="T628" s="6" t="s">
        <v>16</v>
      </c>
      <c r="U628" s="9" t="s">
        <v>17</v>
      </c>
      <c r="AI628" s="6" t="s">
        <v>18</v>
      </c>
      <c r="AJ628" s="12" t="s">
        <v>4253</v>
      </c>
      <c r="AL628" s="13" t="s">
        <v>1921</v>
      </c>
    </row>
    <row r="629">
      <c r="A629" s="5" t="s">
        <v>4259</v>
      </c>
      <c r="B629" s="5" t="s">
        <v>4260</v>
      </c>
      <c r="C629" s="5" t="s">
        <v>4261</v>
      </c>
      <c r="D629" s="5" t="s">
        <v>8</v>
      </c>
      <c r="E629" s="6"/>
      <c r="F629" s="6"/>
      <c r="G629" s="7" t="s">
        <v>4262</v>
      </c>
      <c r="I629" s="8" t="s">
        <v>4263</v>
      </c>
      <c r="J629" s="9">
        <v>11.9</v>
      </c>
      <c r="K629" s="10" t="s">
        <v>11</v>
      </c>
      <c r="L629" s="6"/>
      <c r="M629" s="11" t="s">
        <v>17</v>
      </c>
      <c r="N629" s="6"/>
      <c r="O629" s="6" t="s">
        <v>4264</v>
      </c>
      <c r="P629" s="10" t="s">
        <v>15</v>
      </c>
      <c r="Q629" s="6"/>
      <c r="R629" s="6"/>
      <c r="S629" s="6"/>
      <c r="T629" s="6" t="s">
        <v>16</v>
      </c>
      <c r="U629" s="9" t="s">
        <v>17</v>
      </c>
      <c r="AI629" s="6" t="s">
        <v>4265</v>
      </c>
      <c r="AJ629" s="12" t="s">
        <v>4266</v>
      </c>
      <c r="AL629" s="13" t="s">
        <v>4267</v>
      </c>
    </row>
    <row r="630">
      <c r="A630" s="5" t="s">
        <v>4268</v>
      </c>
      <c r="B630" s="5" t="s">
        <v>4269</v>
      </c>
      <c r="C630" s="5" t="s">
        <v>4261</v>
      </c>
      <c r="D630" s="5" t="s">
        <v>8</v>
      </c>
      <c r="E630" s="6"/>
      <c r="F630" s="6"/>
      <c r="G630" s="7" t="s">
        <v>4270</v>
      </c>
      <c r="I630" s="8" t="s">
        <v>4271</v>
      </c>
      <c r="J630" s="9">
        <v>31.7</v>
      </c>
      <c r="K630" s="10" t="s">
        <v>11</v>
      </c>
      <c r="L630" s="6"/>
      <c r="M630" s="11" t="s">
        <v>17</v>
      </c>
      <c r="N630" s="6"/>
      <c r="O630" s="6" t="s">
        <v>4272</v>
      </c>
      <c r="P630" s="10" t="s">
        <v>15</v>
      </c>
      <c r="Q630" s="6"/>
      <c r="R630" s="6"/>
      <c r="S630" s="6"/>
      <c r="T630" s="6" t="s">
        <v>16</v>
      </c>
      <c r="U630" s="9" t="s">
        <v>17</v>
      </c>
      <c r="AI630" s="6" t="s">
        <v>4265</v>
      </c>
      <c r="AJ630" s="12" t="s">
        <v>4266</v>
      </c>
      <c r="AL630" s="13" t="s">
        <v>4267</v>
      </c>
    </row>
    <row r="631">
      <c r="A631" s="5" t="s">
        <v>4273</v>
      </c>
      <c r="B631" s="5" t="s">
        <v>4274</v>
      </c>
      <c r="C631" s="5" t="s">
        <v>4275</v>
      </c>
      <c r="D631" s="5" t="s">
        <v>8</v>
      </c>
      <c r="E631" s="6"/>
      <c r="F631" s="6"/>
      <c r="G631" s="7" t="s">
        <v>4276</v>
      </c>
      <c r="I631" s="8" t="s">
        <v>4277</v>
      </c>
      <c r="J631" s="9">
        <v>11.9</v>
      </c>
      <c r="K631" s="10" t="s">
        <v>11</v>
      </c>
      <c r="L631" s="6"/>
      <c r="M631" s="11" t="s">
        <v>12</v>
      </c>
      <c r="N631" s="6" t="s">
        <v>4278</v>
      </c>
      <c r="O631" s="6" t="s">
        <v>4279</v>
      </c>
      <c r="P631" s="10" t="s">
        <v>15</v>
      </c>
      <c r="Q631" s="6"/>
      <c r="R631" s="6"/>
      <c r="S631" s="6"/>
      <c r="T631" s="6" t="s">
        <v>16</v>
      </c>
      <c r="U631" s="9" t="s">
        <v>17</v>
      </c>
      <c r="AI631" s="6" t="s">
        <v>18</v>
      </c>
      <c r="AJ631" s="12" t="s">
        <v>4280</v>
      </c>
      <c r="AL631" s="13" t="s">
        <v>1921</v>
      </c>
    </row>
    <row r="632">
      <c r="A632" s="5" t="s">
        <v>4281</v>
      </c>
      <c r="B632" s="5" t="s">
        <v>4282</v>
      </c>
      <c r="C632" s="5" t="s">
        <v>4275</v>
      </c>
      <c r="D632" s="5" t="s">
        <v>8</v>
      </c>
      <c r="E632" s="6"/>
      <c r="F632" s="6"/>
      <c r="G632" s="7" t="s">
        <v>4283</v>
      </c>
      <c r="I632" s="8" t="s">
        <v>4284</v>
      </c>
      <c r="J632" s="9">
        <v>19.8</v>
      </c>
      <c r="K632" s="10">
        <v>18.81</v>
      </c>
      <c r="L632" s="6"/>
      <c r="M632" s="11" t="s">
        <v>17</v>
      </c>
      <c r="N632" s="6"/>
      <c r="O632" s="6" t="s">
        <v>4285</v>
      </c>
      <c r="P632" s="10" t="s">
        <v>15</v>
      </c>
      <c r="Q632" s="6"/>
      <c r="R632" s="6"/>
      <c r="S632" s="6"/>
      <c r="T632" s="6" t="s">
        <v>16</v>
      </c>
      <c r="U632" s="9" t="s">
        <v>17</v>
      </c>
      <c r="AI632" s="6" t="s">
        <v>18</v>
      </c>
      <c r="AJ632" s="12" t="s">
        <v>4280</v>
      </c>
      <c r="AL632" s="13" t="s">
        <v>1921</v>
      </c>
    </row>
    <row r="633">
      <c r="A633" s="5" t="s">
        <v>4286</v>
      </c>
      <c r="B633" s="5" t="s">
        <v>4287</v>
      </c>
      <c r="C633" s="5" t="s">
        <v>4288</v>
      </c>
      <c r="D633" s="5" t="s">
        <v>8</v>
      </c>
      <c r="E633" s="6"/>
      <c r="F633" s="6"/>
      <c r="G633" s="7" t="s">
        <v>4289</v>
      </c>
      <c r="I633" s="8" t="s">
        <v>4290</v>
      </c>
      <c r="J633" s="9">
        <v>11.9</v>
      </c>
      <c r="K633" s="10" t="s">
        <v>11</v>
      </c>
      <c r="L633" s="6"/>
      <c r="M633" s="11" t="s">
        <v>17</v>
      </c>
      <c r="N633" s="6"/>
      <c r="O633" s="6" t="s">
        <v>4291</v>
      </c>
      <c r="P633" s="10" t="s">
        <v>15</v>
      </c>
      <c r="Q633" s="6"/>
      <c r="R633" s="6"/>
      <c r="S633" s="6"/>
      <c r="T633" s="6" t="s">
        <v>16</v>
      </c>
      <c r="U633" s="9" t="s">
        <v>17</v>
      </c>
      <c r="AI633" s="6" t="s">
        <v>4265</v>
      </c>
      <c r="AJ633" s="12" t="s">
        <v>4292</v>
      </c>
      <c r="AL633" s="13" t="s">
        <v>4267</v>
      </c>
    </row>
    <row r="634">
      <c r="A634" s="5" t="s">
        <v>4293</v>
      </c>
      <c r="B634" s="5" t="s">
        <v>4294</v>
      </c>
      <c r="C634" s="5" t="s">
        <v>4288</v>
      </c>
      <c r="D634" s="5" t="s">
        <v>8</v>
      </c>
      <c r="E634" s="6"/>
      <c r="F634" s="6"/>
      <c r="G634" s="7" t="s">
        <v>4295</v>
      </c>
      <c r="I634" s="8" t="s">
        <v>4296</v>
      </c>
      <c r="J634" s="9">
        <v>31.7</v>
      </c>
      <c r="K634" s="10" t="s">
        <v>11</v>
      </c>
      <c r="L634" s="6"/>
      <c r="M634" s="11" t="s">
        <v>17</v>
      </c>
      <c r="N634" s="6"/>
      <c r="O634" s="6" t="s">
        <v>4297</v>
      </c>
      <c r="P634" s="10" t="s">
        <v>15</v>
      </c>
      <c r="Q634" s="6"/>
      <c r="R634" s="6"/>
      <c r="S634" s="6"/>
      <c r="T634" s="6" t="s">
        <v>16</v>
      </c>
      <c r="U634" s="9" t="s">
        <v>17</v>
      </c>
      <c r="AI634" s="6" t="s">
        <v>4265</v>
      </c>
      <c r="AJ634" s="12" t="s">
        <v>4292</v>
      </c>
      <c r="AL634" s="13" t="s">
        <v>4267</v>
      </c>
    </row>
    <row r="635">
      <c r="A635" s="5" t="s">
        <v>4298</v>
      </c>
      <c r="B635" s="5" t="s">
        <v>4299</v>
      </c>
      <c r="C635" s="5" t="s">
        <v>4300</v>
      </c>
      <c r="D635" s="5" t="s">
        <v>8</v>
      </c>
      <c r="E635" s="6"/>
      <c r="F635" s="6"/>
      <c r="G635" s="7" t="s">
        <v>4301</v>
      </c>
      <c r="I635" s="8" t="s">
        <v>4302</v>
      </c>
      <c r="J635" s="9">
        <v>9.9</v>
      </c>
      <c r="K635" s="10" t="s">
        <v>11</v>
      </c>
      <c r="L635" s="6"/>
      <c r="M635" s="11" t="s">
        <v>12</v>
      </c>
      <c r="N635" s="6" t="s">
        <v>4303</v>
      </c>
      <c r="O635" s="6" t="s">
        <v>4304</v>
      </c>
      <c r="P635" s="10" t="s">
        <v>15</v>
      </c>
      <c r="Q635" s="6"/>
      <c r="R635" s="6"/>
      <c r="S635" s="6"/>
      <c r="T635" s="6" t="s">
        <v>16</v>
      </c>
      <c r="U635" s="9" t="s">
        <v>17</v>
      </c>
      <c r="AI635" s="6" t="s">
        <v>18</v>
      </c>
      <c r="AJ635" s="12" t="s">
        <v>4305</v>
      </c>
      <c r="AL635" s="13" t="s">
        <v>1921</v>
      </c>
    </row>
    <row r="636">
      <c r="A636" s="5" t="s">
        <v>4306</v>
      </c>
      <c r="B636" s="5" t="s">
        <v>4307</v>
      </c>
      <c r="C636" s="5" t="s">
        <v>4308</v>
      </c>
      <c r="D636" s="5" t="s">
        <v>8</v>
      </c>
      <c r="E636" s="6"/>
      <c r="F636" s="6"/>
      <c r="G636" s="7" t="s">
        <v>4309</v>
      </c>
      <c r="I636" s="8" t="s">
        <v>4310</v>
      </c>
      <c r="J636" s="9">
        <v>9.9</v>
      </c>
      <c r="K636" s="10" t="s">
        <v>11</v>
      </c>
      <c r="L636" s="6"/>
      <c r="M636" s="11" t="s">
        <v>12</v>
      </c>
      <c r="N636" s="6" t="s">
        <v>4311</v>
      </c>
      <c r="O636" s="6" t="s">
        <v>4312</v>
      </c>
      <c r="P636" s="10" t="s">
        <v>15</v>
      </c>
      <c r="Q636" s="6"/>
      <c r="R636" s="6"/>
      <c r="S636" s="6"/>
      <c r="T636" s="6" t="s">
        <v>16</v>
      </c>
      <c r="U636" s="9" t="s">
        <v>17</v>
      </c>
      <c r="AI636" s="6" t="s">
        <v>18</v>
      </c>
      <c r="AJ636" s="12" t="s">
        <v>4313</v>
      </c>
      <c r="AL636" s="13" t="s">
        <v>1921</v>
      </c>
    </row>
    <row r="637">
      <c r="A637" s="5" t="s">
        <v>4314</v>
      </c>
      <c r="B637" s="5" t="s">
        <v>4315</v>
      </c>
      <c r="C637" s="5" t="s">
        <v>4316</v>
      </c>
      <c r="D637" s="5" t="s">
        <v>8</v>
      </c>
      <c r="E637" s="6"/>
      <c r="F637" s="6"/>
      <c r="G637" s="7" t="s">
        <v>4317</v>
      </c>
      <c r="I637" s="8" t="s">
        <v>4318</v>
      </c>
      <c r="J637" s="9">
        <v>31.9</v>
      </c>
      <c r="K637" s="10" t="s">
        <v>11</v>
      </c>
      <c r="L637" s="6"/>
      <c r="M637" s="11" t="s">
        <v>17</v>
      </c>
      <c r="N637" s="6"/>
      <c r="O637" s="6" t="s">
        <v>4319</v>
      </c>
      <c r="P637" s="10" t="s">
        <v>15</v>
      </c>
      <c r="Q637" s="6"/>
      <c r="R637" s="6"/>
      <c r="S637" s="6"/>
      <c r="T637" s="6" t="s">
        <v>16</v>
      </c>
      <c r="U637" s="9" t="s">
        <v>17</v>
      </c>
      <c r="AI637" s="6" t="s">
        <v>4265</v>
      </c>
      <c r="AJ637" s="12" t="s">
        <v>4320</v>
      </c>
      <c r="AL637" s="13" t="s">
        <v>4267</v>
      </c>
    </row>
    <row r="638">
      <c r="A638" s="5" t="s">
        <v>4321</v>
      </c>
      <c r="B638" s="5" t="s">
        <v>4322</v>
      </c>
      <c r="C638" s="5" t="s">
        <v>4323</v>
      </c>
      <c r="D638" s="5" t="s">
        <v>8</v>
      </c>
      <c r="E638" s="6"/>
      <c r="F638" s="6"/>
      <c r="G638" s="7" t="s">
        <v>4324</v>
      </c>
      <c r="I638" s="8" t="s">
        <v>4325</v>
      </c>
      <c r="J638" s="9">
        <v>12.8</v>
      </c>
      <c r="K638" s="10" t="s">
        <v>11</v>
      </c>
      <c r="L638" s="6"/>
      <c r="M638" s="11" t="s">
        <v>12</v>
      </c>
      <c r="N638" s="6" t="s">
        <v>4326</v>
      </c>
      <c r="O638" s="6" t="s">
        <v>4327</v>
      </c>
      <c r="P638" s="10" t="s">
        <v>15</v>
      </c>
      <c r="Q638" s="6"/>
      <c r="R638" s="6"/>
      <c r="S638" s="6"/>
      <c r="T638" s="6" t="s">
        <v>16</v>
      </c>
      <c r="U638" s="9" t="s">
        <v>17</v>
      </c>
      <c r="AI638" s="6" t="s">
        <v>18</v>
      </c>
      <c r="AJ638" s="12" t="s">
        <v>4328</v>
      </c>
      <c r="AL638" s="13" t="s">
        <v>1921</v>
      </c>
    </row>
    <row r="639">
      <c r="A639" s="5" t="s">
        <v>4329</v>
      </c>
      <c r="B639" s="5" t="s">
        <v>4330</v>
      </c>
      <c r="C639" s="5" t="s">
        <v>4331</v>
      </c>
      <c r="D639" s="5" t="s">
        <v>8</v>
      </c>
      <c r="E639" s="6"/>
      <c r="F639" s="6"/>
      <c r="G639" s="7" t="s">
        <v>4332</v>
      </c>
      <c r="I639" s="8" t="s">
        <v>4333</v>
      </c>
      <c r="J639" s="9">
        <v>14.99</v>
      </c>
      <c r="K639" s="10" t="s">
        <v>11</v>
      </c>
      <c r="L639" s="6"/>
      <c r="M639" s="11" t="s">
        <v>12</v>
      </c>
      <c r="N639" s="6" t="s">
        <v>4334</v>
      </c>
      <c r="O639" s="6" t="s">
        <v>4335</v>
      </c>
      <c r="P639" s="10" t="s">
        <v>15</v>
      </c>
      <c r="Q639" s="6"/>
      <c r="R639" s="6"/>
      <c r="S639" s="6"/>
      <c r="T639" s="6" t="s">
        <v>16</v>
      </c>
      <c r="U639" s="9" t="s">
        <v>17</v>
      </c>
      <c r="AI639" s="6" t="s">
        <v>18</v>
      </c>
      <c r="AJ639" s="12" t="s">
        <v>4336</v>
      </c>
      <c r="AL639" s="13" t="s">
        <v>1921</v>
      </c>
    </row>
    <row r="640">
      <c r="A640" s="5" t="s">
        <v>4337</v>
      </c>
      <c r="B640" s="5" t="s">
        <v>4338</v>
      </c>
      <c r="C640" s="5" t="s">
        <v>4339</v>
      </c>
      <c r="D640" s="5" t="s">
        <v>8</v>
      </c>
      <c r="E640" s="6"/>
      <c r="F640" s="6"/>
      <c r="G640" s="7" t="s">
        <v>4340</v>
      </c>
      <c r="I640" s="8" t="s">
        <v>4341</v>
      </c>
      <c r="J640" s="9">
        <v>10.9</v>
      </c>
      <c r="K640" s="10" t="s">
        <v>11</v>
      </c>
      <c r="L640" s="6"/>
      <c r="M640" s="11" t="s">
        <v>12</v>
      </c>
      <c r="N640" s="6" t="s">
        <v>4342</v>
      </c>
      <c r="O640" s="6" t="s">
        <v>4343</v>
      </c>
      <c r="P640" s="10" t="s">
        <v>15</v>
      </c>
      <c r="Q640" s="6"/>
      <c r="R640" s="6"/>
      <c r="S640" s="6"/>
      <c r="T640" s="6" t="s">
        <v>16</v>
      </c>
      <c r="U640" s="9" t="s">
        <v>17</v>
      </c>
      <c r="AI640" s="6" t="s">
        <v>18</v>
      </c>
      <c r="AJ640" s="12" t="s">
        <v>4344</v>
      </c>
      <c r="AL640" s="13" t="s">
        <v>1921</v>
      </c>
    </row>
    <row r="641">
      <c r="A641" s="5" t="s">
        <v>4345</v>
      </c>
      <c r="B641" s="5" t="s">
        <v>4346</v>
      </c>
      <c r="C641" s="5" t="s">
        <v>4339</v>
      </c>
      <c r="D641" s="5" t="s">
        <v>8</v>
      </c>
      <c r="E641" s="6"/>
      <c r="F641" s="6"/>
      <c r="G641" s="7" t="s">
        <v>4347</v>
      </c>
      <c r="I641" s="8" t="s">
        <v>4348</v>
      </c>
      <c r="J641" s="9">
        <v>29.7</v>
      </c>
      <c r="K641" s="10">
        <v>26.73</v>
      </c>
      <c r="L641" s="6"/>
      <c r="M641" s="11" t="s">
        <v>17</v>
      </c>
      <c r="N641" s="6"/>
      <c r="O641" s="6" t="s">
        <v>4349</v>
      </c>
      <c r="P641" s="10" t="s">
        <v>15</v>
      </c>
      <c r="Q641" s="6"/>
      <c r="R641" s="6"/>
      <c r="S641" s="6"/>
      <c r="T641" s="6" t="s">
        <v>16</v>
      </c>
      <c r="U641" s="9" t="s">
        <v>17</v>
      </c>
      <c r="AI641" s="6" t="s">
        <v>18</v>
      </c>
      <c r="AJ641" s="12" t="s">
        <v>4344</v>
      </c>
      <c r="AL641" s="13" t="s">
        <v>1921</v>
      </c>
    </row>
    <row r="642">
      <c r="A642" s="5" t="s">
        <v>4350</v>
      </c>
      <c r="B642" s="5" t="s">
        <v>4351</v>
      </c>
      <c r="C642" s="5" t="s">
        <v>4352</v>
      </c>
      <c r="D642" s="5" t="s">
        <v>8</v>
      </c>
      <c r="E642" s="6"/>
      <c r="F642" s="6"/>
      <c r="G642" s="7" t="s">
        <v>4353</v>
      </c>
      <c r="I642" s="8" t="s">
        <v>4354</v>
      </c>
      <c r="J642" s="9">
        <v>12.9</v>
      </c>
      <c r="K642" s="10" t="s">
        <v>11</v>
      </c>
      <c r="L642" s="6"/>
      <c r="M642" s="11" t="s">
        <v>12</v>
      </c>
      <c r="N642" s="6" t="s">
        <v>4355</v>
      </c>
      <c r="O642" s="6" t="s">
        <v>4356</v>
      </c>
      <c r="P642" s="10" t="s">
        <v>15</v>
      </c>
      <c r="Q642" s="6"/>
      <c r="R642" s="6"/>
      <c r="S642" s="15" t="s">
        <v>4357</v>
      </c>
      <c r="T642" s="6" t="s">
        <v>16</v>
      </c>
      <c r="U642" s="9" t="s">
        <v>17</v>
      </c>
      <c r="AI642" s="6" t="s">
        <v>18</v>
      </c>
      <c r="AJ642" s="12" t="s">
        <v>4358</v>
      </c>
      <c r="AL642" s="13" t="s">
        <v>1921</v>
      </c>
    </row>
    <row r="643">
      <c r="A643" s="5" t="s">
        <v>4359</v>
      </c>
      <c r="B643" s="5" t="s">
        <v>4360</v>
      </c>
      <c r="C643" s="5" t="s">
        <v>4352</v>
      </c>
      <c r="D643" s="5" t="s">
        <v>8</v>
      </c>
      <c r="E643" s="6"/>
      <c r="F643" s="6"/>
      <c r="G643" s="7" t="s">
        <v>4361</v>
      </c>
      <c r="I643" s="8" t="s">
        <v>4362</v>
      </c>
      <c r="J643" s="9">
        <v>19.8</v>
      </c>
      <c r="K643" s="10">
        <v>18.81</v>
      </c>
      <c r="L643" s="6"/>
      <c r="M643" s="11" t="s">
        <v>17</v>
      </c>
      <c r="N643" s="6"/>
      <c r="O643" s="6" t="s">
        <v>4363</v>
      </c>
      <c r="P643" s="10" t="s">
        <v>15</v>
      </c>
      <c r="Q643" s="6"/>
      <c r="R643" s="6"/>
      <c r="S643" s="15" t="s">
        <v>4357</v>
      </c>
      <c r="T643" s="6" t="s">
        <v>16</v>
      </c>
      <c r="U643" s="9" t="s">
        <v>17</v>
      </c>
      <c r="AI643" s="6" t="s">
        <v>18</v>
      </c>
      <c r="AJ643" s="12" t="s">
        <v>4358</v>
      </c>
      <c r="AL643" s="13" t="s">
        <v>1921</v>
      </c>
    </row>
    <row r="644">
      <c r="A644" s="5" t="s">
        <v>4364</v>
      </c>
      <c r="B644" s="5" t="s">
        <v>4365</v>
      </c>
      <c r="C644" s="5" t="s">
        <v>4366</v>
      </c>
      <c r="D644" s="5" t="s">
        <v>8</v>
      </c>
      <c r="E644" s="6"/>
      <c r="F644" s="6"/>
      <c r="G644" s="7" t="s">
        <v>4367</v>
      </c>
      <c r="I644" s="8" t="s">
        <v>4368</v>
      </c>
      <c r="J644" s="9">
        <v>18.3</v>
      </c>
      <c r="K644" s="10" t="s">
        <v>11</v>
      </c>
      <c r="L644" s="6"/>
      <c r="M644" s="11" t="s">
        <v>12</v>
      </c>
      <c r="N644" s="6" t="s">
        <v>4369</v>
      </c>
      <c r="O644" s="6" t="s">
        <v>4370</v>
      </c>
      <c r="P644" s="10" t="s">
        <v>15</v>
      </c>
      <c r="Q644" s="6"/>
      <c r="R644" s="6"/>
      <c r="S644" s="6"/>
      <c r="T644" s="6" t="s">
        <v>16</v>
      </c>
      <c r="U644" s="9" t="s">
        <v>17</v>
      </c>
      <c r="AI644" s="6" t="s">
        <v>18</v>
      </c>
      <c r="AJ644" s="12" t="s">
        <v>4371</v>
      </c>
      <c r="AL644" s="13" t="s">
        <v>1921</v>
      </c>
    </row>
    <row r="645">
      <c r="A645" s="5" t="s">
        <v>4372</v>
      </c>
      <c r="B645" s="5" t="s">
        <v>4373</v>
      </c>
      <c r="C645" s="5" t="s">
        <v>4374</v>
      </c>
      <c r="D645" s="5" t="s">
        <v>8</v>
      </c>
      <c r="E645" s="6"/>
      <c r="F645" s="6"/>
      <c r="G645" s="7" t="s">
        <v>4375</v>
      </c>
      <c r="I645" s="8" t="s">
        <v>4376</v>
      </c>
      <c r="J645" s="9">
        <v>9.9</v>
      </c>
      <c r="K645" s="10" t="s">
        <v>11</v>
      </c>
      <c r="L645" s="6"/>
      <c r="M645" s="11" t="s">
        <v>12</v>
      </c>
      <c r="N645" s="6" t="s">
        <v>4377</v>
      </c>
      <c r="O645" s="6" t="s">
        <v>4378</v>
      </c>
      <c r="P645" s="10" t="s">
        <v>15</v>
      </c>
      <c r="Q645" s="6"/>
      <c r="R645" s="6"/>
      <c r="S645" s="6"/>
      <c r="T645" s="6" t="s">
        <v>16</v>
      </c>
      <c r="U645" s="9" t="s">
        <v>17</v>
      </c>
      <c r="AI645" s="6" t="s">
        <v>18</v>
      </c>
      <c r="AJ645" s="12" t="s">
        <v>4379</v>
      </c>
      <c r="AL645" s="13" t="s">
        <v>1921</v>
      </c>
    </row>
    <row r="646">
      <c r="A646" s="5" t="s">
        <v>4380</v>
      </c>
      <c r="B646" s="5" t="s">
        <v>4381</v>
      </c>
      <c r="C646" s="5" t="s">
        <v>4382</v>
      </c>
      <c r="D646" s="5" t="s">
        <v>8</v>
      </c>
      <c r="E646" s="6"/>
      <c r="F646" s="6"/>
      <c r="G646" s="7" t="s">
        <v>4383</v>
      </c>
      <c r="I646" s="8" t="s">
        <v>4384</v>
      </c>
      <c r="J646" s="9">
        <v>10.9</v>
      </c>
      <c r="K646" s="10" t="s">
        <v>11</v>
      </c>
      <c r="L646" s="6"/>
      <c r="M646" s="11" t="s">
        <v>12</v>
      </c>
      <c r="N646" s="6" t="s">
        <v>4385</v>
      </c>
      <c r="O646" s="6" t="s">
        <v>4386</v>
      </c>
      <c r="P646" s="10" t="s">
        <v>15</v>
      </c>
      <c r="Q646" s="6"/>
      <c r="R646" s="6"/>
      <c r="S646" s="6"/>
      <c r="T646" s="6" t="s">
        <v>16</v>
      </c>
      <c r="U646" s="9" t="s">
        <v>17</v>
      </c>
      <c r="AI646" s="6" t="s">
        <v>18</v>
      </c>
      <c r="AJ646" s="12" t="s">
        <v>4387</v>
      </c>
      <c r="AL646" s="13" t="s">
        <v>1921</v>
      </c>
    </row>
    <row r="647">
      <c r="A647" s="5" t="s">
        <v>4388</v>
      </c>
      <c r="B647" s="5" t="s">
        <v>4389</v>
      </c>
      <c r="C647" s="5"/>
      <c r="D647" s="5" t="s">
        <v>8</v>
      </c>
      <c r="E647" s="6"/>
      <c r="F647" s="6"/>
      <c r="G647" s="7" t="s">
        <v>4390</v>
      </c>
      <c r="I647" s="8" t="s">
        <v>4391</v>
      </c>
      <c r="J647" s="9">
        <v>60.0</v>
      </c>
      <c r="K647" s="10" t="s">
        <v>11</v>
      </c>
      <c r="L647" s="6"/>
      <c r="M647" s="11" t="s">
        <v>17</v>
      </c>
      <c r="N647" s="6"/>
      <c r="O647" s="6" t="s">
        <v>4392</v>
      </c>
      <c r="P647" s="10" t="s">
        <v>15</v>
      </c>
      <c r="Q647" s="6"/>
      <c r="R647" s="6"/>
      <c r="S647" s="6"/>
      <c r="T647" s="6" t="s">
        <v>16</v>
      </c>
      <c r="U647" s="9" t="s">
        <v>17</v>
      </c>
      <c r="AI647" s="6" t="s">
        <v>4393</v>
      </c>
      <c r="AJ647" s="12" t="s">
        <v>4394</v>
      </c>
      <c r="AL647" s="13" t="s">
        <v>4395</v>
      </c>
    </row>
    <row r="648">
      <c r="A648" s="5" t="s">
        <v>4396</v>
      </c>
      <c r="B648" s="5" t="s">
        <v>4397</v>
      </c>
      <c r="C648" s="5"/>
      <c r="D648" s="5" t="s">
        <v>8</v>
      </c>
      <c r="E648" s="6"/>
      <c r="F648" s="6"/>
      <c r="G648" s="7" t="s">
        <v>4398</v>
      </c>
      <c r="I648" s="8" t="s">
        <v>4399</v>
      </c>
      <c r="J648" s="9">
        <v>60.0</v>
      </c>
      <c r="K648" s="10" t="s">
        <v>11</v>
      </c>
      <c r="L648" s="6"/>
      <c r="M648" s="11" t="s">
        <v>17</v>
      </c>
      <c r="N648" s="6"/>
      <c r="O648" s="6" t="s">
        <v>4400</v>
      </c>
      <c r="P648" s="10" t="s">
        <v>15</v>
      </c>
      <c r="Q648" s="6"/>
      <c r="R648" s="6"/>
      <c r="S648" s="6"/>
      <c r="T648" s="6" t="s">
        <v>16</v>
      </c>
      <c r="U648" s="9" t="s">
        <v>17</v>
      </c>
      <c r="AI648" s="6" t="s">
        <v>4393</v>
      </c>
      <c r="AJ648" s="12" t="s">
        <v>4401</v>
      </c>
      <c r="AL648" s="13" t="s">
        <v>4395</v>
      </c>
    </row>
    <row r="649">
      <c r="A649" s="5" t="s">
        <v>4402</v>
      </c>
      <c r="B649" s="5" t="s">
        <v>4403</v>
      </c>
      <c r="C649" s="5"/>
      <c r="D649" s="5" t="s">
        <v>8</v>
      </c>
      <c r="E649" s="6"/>
      <c r="F649" s="6"/>
      <c r="G649" s="7" t="s">
        <v>4404</v>
      </c>
      <c r="I649" s="8" t="s">
        <v>4405</v>
      </c>
      <c r="J649" s="9">
        <v>120.0</v>
      </c>
      <c r="K649" s="10">
        <v>108.0</v>
      </c>
      <c r="L649" s="6"/>
      <c r="M649" s="11" t="s">
        <v>17</v>
      </c>
      <c r="N649" s="6"/>
      <c r="O649" s="6" t="s">
        <v>4406</v>
      </c>
      <c r="P649" s="10" t="s">
        <v>15</v>
      </c>
      <c r="Q649" s="6"/>
      <c r="R649" s="6"/>
      <c r="S649" s="6"/>
      <c r="T649" s="6" t="s">
        <v>16</v>
      </c>
      <c r="U649" s="9" t="s">
        <v>17</v>
      </c>
      <c r="AI649" s="6" t="s">
        <v>4393</v>
      </c>
      <c r="AJ649" s="12" t="s">
        <v>4401</v>
      </c>
      <c r="AL649" s="13" t="s">
        <v>4395</v>
      </c>
    </row>
    <row r="650">
      <c r="A650" s="5" t="s">
        <v>4407</v>
      </c>
      <c r="B650" s="5" t="s">
        <v>4408</v>
      </c>
      <c r="C650" s="5"/>
      <c r="D650" s="5" t="s">
        <v>8</v>
      </c>
      <c r="E650" s="6"/>
      <c r="F650" s="6"/>
      <c r="G650" s="7" t="s">
        <v>4409</v>
      </c>
      <c r="I650" s="8" t="s">
        <v>4410</v>
      </c>
      <c r="J650" s="9">
        <v>60.0</v>
      </c>
      <c r="K650" s="10" t="s">
        <v>11</v>
      </c>
      <c r="L650" s="6"/>
      <c r="M650" s="11" t="s">
        <v>17</v>
      </c>
      <c r="N650" s="6"/>
      <c r="O650" s="6" t="s">
        <v>4411</v>
      </c>
      <c r="P650" s="10" t="s">
        <v>15</v>
      </c>
      <c r="Q650" s="6"/>
      <c r="R650" s="6"/>
      <c r="S650" s="6"/>
      <c r="T650" s="6" t="s">
        <v>16</v>
      </c>
      <c r="U650" s="9" t="s">
        <v>17</v>
      </c>
      <c r="AI650" s="6" t="s">
        <v>4393</v>
      </c>
      <c r="AJ650" s="12" t="s">
        <v>4401</v>
      </c>
      <c r="AL650" s="13" t="s">
        <v>4395</v>
      </c>
    </row>
    <row r="651">
      <c r="A651" s="5" t="s">
        <v>4412</v>
      </c>
      <c r="B651" s="5" t="s">
        <v>4413</v>
      </c>
      <c r="C651" s="5"/>
      <c r="D651" s="5" t="s">
        <v>8</v>
      </c>
      <c r="E651" s="6"/>
      <c r="F651" s="6"/>
      <c r="G651" s="7" t="s">
        <v>4414</v>
      </c>
      <c r="I651" s="8" t="s">
        <v>4415</v>
      </c>
      <c r="J651" s="9">
        <v>60.0</v>
      </c>
      <c r="K651" s="10" t="s">
        <v>11</v>
      </c>
      <c r="L651" s="6"/>
      <c r="M651" s="11" t="s">
        <v>17</v>
      </c>
      <c r="N651" s="6"/>
      <c r="O651" s="6" t="s">
        <v>4416</v>
      </c>
      <c r="P651" s="10" t="s">
        <v>15</v>
      </c>
      <c r="Q651" s="6"/>
      <c r="R651" s="6"/>
      <c r="S651" s="6"/>
      <c r="T651" s="6" t="s">
        <v>16</v>
      </c>
      <c r="U651" s="9" t="s">
        <v>17</v>
      </c>
      <c r="AI651" s="6" t="s">
        <v>4393</v>
      </c>
      <c r="AJ651" s="12" t="s">
        <v>4417</v>
      </c>
      <c r="AL651" s="13" t="s">
        <v>4395</v>
      </c>
    </row>
    <row r="652">
      <c r="A652" s="5" t="s">
        <v>4418</v>
      </c>
      <c r="B652" s="5" t="s">
        <v>4419</v>
      </c>
      <c r="C652" s="5"/>
      <c r="D652" s="5" t="s">
        <v>8</v>
      </c>
      <c r="E652" s="6"/>
      <c r="F652" s="6"/>
      <c r="G652" s="7" t="s">
        <v>4420</v>
      </c>
      <c r="I652" s="8" t="s">
        <v>4421</v>
      </c>
      <c r="J652" s="9">
        <v>60.0</v>
      </c>
      <c r="K652" s="10" t="s">
        <v>11</v>
      </c>
      <c r="L652" s="6"/>
      <c r="M652" s="11" t="s">
        <v>17</v>
      </c>
      <c r="N652" s="6"/>
      <c r="O652" s="6" t="s">
        <v>4422</v>
      </c>
      <c r="P652" s="10" t="s">
        <v>15</v>
      </c>
      <c r="Q652" s="6"/>
      <c r="R652" s="6"/>
      <c r="S652" s="6"/>
      <c r="T652" s="6" t="s">
        <v>16</v>
      </c>
      <c r="U652" s="9" t="s">
        <v>17</v>
      </c>
      <c r="AI652" s="6" t="s">
        <v>4393</v>
      </c>
      <c r="AJ652" s="12" t="s">
        <v>4423</v>
      </c>
      <c r="AL652" s="13" t="s">
        <v>4395</v>
      </c>
    </row>
    <row r="653">
      <c r="A653" s="5" t="s">
        <v>4424</v>
      </c>
      <c r="B653" s="5" t="s">
        <v>4425</v>
      </c>
      <c r="C653" s="5"/>
      <c r="D653" s="5" t="s">
        <v>8</v>
      </c>
      <c r="E653" s="6"/>
      <c r="F653" s="6"/>
      <c r="G653" s="7" t="s">
        <v>4426</v>
      </c>
      <c r="I653" s="8" t="s">
        <v>4427</v>
      </c>
      <c r="J653" s="9">
        <v>60.0</v>
      </c>
      <c r="K653" s="10" t="s">
        <v>11</v>
      </c>
      <c r="L653" s="6"/>
      <c r="M653" s="11" t="s">
        <v>17</v>
      </c>
      <c r="N653" s="6"/>
      <c r="O653" s="6" t="s">
        <v>4428</v>
      </c>
      <c r="P653" s="10" t="s">
        <v>15</v>
      </c>
      <c r="Q653" s="6"/>
      <c r="R653" s="6"/>
      <c r="S653" s="6"/>
      <c r="T653" s="6" t="s">
        <v>16</v>
      </c>
      <c r="U653" s="9" t="s">
        <v>17</v>
      </c>
      <c r="AI653" s="6" t="s">
        <v>4393</v>
      </c>
      <c r="AJ653" s="12" t="s">
        <v>4429</v>
      </c>
      <c r="AL653" s="13" t="s">
        <v>4395</v>
      </c>
    </row>
    <row r="654">
      <c r="A654" s="5" t="s">
        <v>4430</v>
      </c>
      <c r="B654" s="5" t="s">
        <v>4431</v>
      </c>
      <c r="C654" s="5"/>
      <c r="D654" s="5" t="s">
        <v>8</v>
      </c>
      <c r="E654" s="6"/>
      <c r="F654" s="6"/>
      <c r="G654" s="7" t="s">
        <v>4432</v>
      </c>
      <c r="I654" s="8" t="s">
        <v>4433</v>
      </c>
      <c r="J654" s="9">
        <v>60.0</v>
      </c>
      <c r="K654" s="10" t="s">
        <v>11</v>
      </c>
      <c r="L654" s="6"/>
      <c r="M654" s="11" t="s">
        <v>17</v>
      </c>
      <c r="N654" s="6"/>
      <c r="O654" s="6" t="s">
        <v>4434</v>
      </c>
      <c r="P654" s="10" t="s">
        <v>15</v>
      </c>
      <c r="Q654" s="6"/>
      <c r="R654" s="6"/>
      <c r="S654" s="6"/>
      <c r="T654" s="6" t="s">
        <v>16</v>
      </c>
      <c r="U654" s="9" t="s">
        <v>17</v>
      </c>
      <c r="AI654" s="6" t="s">
        <v>4393</v>
      </c>
      <c r="AJ654" s="12" t="s">
        <v>4435</v>
      </c>
      <c r="AL654" s="13" t="s">
        <v>4395</v>
      </c>
    </row>
    <row r="655">
      <c r="A655" s="5" t="s">
        <v>4436</v>
      </c>
      <c r="B655" s="5" t="s">
        <v>4437</v>
      </c>
      <c r="C655" s="5"/>
      <c r="D655" s="5" t="s">
        <v>8</v>
      </c>
      <c r="E655" s="6"/>
      <c r="F655" s="6"/>
      <c r="G655" s="7" t="s">
        <v>4438</v>
      </c>
      <c r="I655" s="8" t="s">
        <v>4439</v>
      </c>
      <c r="J655" s="9">
        <v>60.0</v>
      </c>
      <c r="K655" s="10" t="s">
        <v>11</v>
      </c>
      <c r="L655" s="6"/>
      <c r="M655" s="11" t="s">
        <v>17</v>
      </c>
      <c r="N655" s="6"/>
      <c r="O655" s="6" t="s">
        <v>4440</v>
      </c>
      <c r="P655" s="10" t="s">
        <v>15</v>
      </c>
      <c r="Q655" s="6"/>
      <c r="R655" s="6"/>
      <c r="S655" s="6"/>
      <c r="T655" s="6" t="s">
        <v>16</v>
      </c>
      <c r="U655" s="9" t="s">
        <v>17</v>
      </c>
      <c r="AI655" s="6" t="s">
        <v>4393</v>
      </c>
      <c r="AJ655" s="12" t="s">
        <v>4441</v>
      </c>
      <c r="AL655" s="13" t="s">
        <v>4395</v>
      </c>
    </row>
    <row r="656">
      <c r="A656" s="5" t="s">
        <v>4442</v>
      </c>
      <c r="B656" s="5" t="s">
        <v>4443</v>
      </c>
      <c r="C656" s="5" t="s">
        <v>4444</v>
      </c>
      <c r="D656" s="5" t="s">
        <v>8</v>
      </c>
      <c r="E656" s="6"/>
      <c r="F656" s="6"/>
      <c r="G656" s="7" t="s">
        <v>4445</v>
      </c>
      <c r="I656" s="8" t="s">
        <v>4446</v>
      </c>
      <c r="J656" s="9">
        <v>9.9</v>
      </c>
      <c r="K656" s="10" t="s">
        <v>11</v>
      </c>
      <c r="L656" s="6"/>
      <c r="M656" s="11" t="s">
        <v>12</v>
      </c>
      <c r="N656" s="6" t="s">
        <v>4447</v>
      </c>
      <c r="O656" s="6" t="s">
        <v>4448</v>
      </c>
      <c r="P656" s="10" t="s">
        <v>15</v>
      </c>
      <c r="Q656" s="6"/>
      <c r="R656" s="6"/>
      <c r="S656" s="6"/>
      <c r="T656" s="6" t="s">
        <v>16</v>
      </c>
      <c r="U656" s="9" t="s">
        <v>17</v>
      </c>
      <c r="AI656" s="6" t="s">
        <v>18</v>
      </c>
      <c r="AJ656" s="12" t="s">
        <v>4449</v>
      </c>
      <c r="AL656" s="13" t="s">
        <v>1921</v>
      </c>
    </row>
    <row r="657">
      <c r="A657" s="5" t="s">
        <v>4450</v>
      </c>
      <c r="B657" s="5" t="s">
        <v>4451</v>
      </c>
      <c r="C657" s="5" t="s">
        <v>4452</v>
      </c>
      <c r="D657" s="5" t="s">
        <v>8</v>
      </c>
      <c r="E657" s="6"/>
      <c r="F657" s="6"/>
      <c r="G657" s="7" t="s">
        <v>4453</v>
      </c>
      <c r="I657" s="8" t="s">
        <v>4454</v>
      </c>
      <c r="J657" s="9">
        <v>11.9</v>
      </c>
      <c r="K657" s="10" t="s">
        <v>11</v>
      </c>
      <c r="L657" s="6"/>
      <c r="M657" s="11" t="s">
        <v>12</v>
      </c>
      <c r="N657" s="6" t="s">
        <v>4455</v>
      </c>
      <c r="O657" s="6" t="s">
        <v>4456</v>
      </c>
      <c r="P657" s="10" t="s">
        <v>15</v>
      </c>
      <c r="Q657" s="6"/>
      <c r="R657" s="6"/>
      <c r="S657" s="6"/>
      <c r="T657" s="6" t="s">
        <v>16</v>
      </c>
      <c r="U657" s="9" t="s">
        <v>17</v>
      </c>
      <c r="AI657" s="6" t="s">
        <v>18</v>
      </c>
      <c r="AJ657" s="12" t="s">
        <v>4457</v>
      </c>
      <c r="AL657" s="13" t="s">
        <v>1921</v>
      </c>
    </row>
    <row r="658">
      <c r="A658" s="5" t="s">
        <v>4458</v>
      </c>
      <c r="B658" s="5" t="s">
        <v>4459</v>
      </c>
      <c r="C658" s="5" t="s">
        <v>4460</v>
      </c>
      <c r="D658" s="5" t="s">
        <v>8</v>
      </c>
      <c r="E658" s="6"/>
      <c r="F658" s="6"/>
      <c r="G658" s="7" t="s">
        <v>4461</v>
      </c>
      <c r="I658" s="8" t="s">
        <v>4462</v>
      </c>
      <c r="J658" s="9">
        <v>4.9</v>
      </c>
      <c r="K658" s="10" t="s">
        <v>11</v>
      </c>
      <c r="L658" s="6"/>
      <c r="M658" s="11" t="s">
        <v>12</v>
      </c>
      <c r="N658" s="6" t="s">
        <v>4463</v>
      </c>
      <c r="O658" s="6" t="s">
        <v>4464</v>
      </c>
      <c r="P658" s="10" t="s">
        <v>15</v>
      </c>
      <c r="Q658" s="6"/>
      <c r="R658" s="6"/>
      <c r="S658" s="6"/>
      <c r="T658" s="6" t="s">
        <v>16</v>
      </c>
      <c r="U658" s="9" t="s">
        <v>17</v>
      </c>
      <c r="AI658" s="6" t="s">
        <v>18</v>
      </c>
      <c r="AJ658" s="12" t="s">
        <v>4465</v>
      </c>
      <c r="AL658" s="13" t="s">
        <v>1921</v>
      </c>
    </row>
    <row r="659">
      <c r="A659" s="5" t="s">
        <v>4466</v>
      </c>
      <c r="B659" s="5" t="s">
        <v>4467</v>
      </c>
      <c r="C659" s="5" t="s">
        <v>4460</v>
      </c>
      <c r="D659" s="5" t="s">
        <v>8</v>
      </c>
      <c r="E659" s="6"/>
      <c r="F659" s="6"/>
      <c r="G659" s="7" t="s">
        <v>4468</v>
      </c>
      <c r="I659" s="8" t="s">
        <v>4469</v>
      </c>
      <c r="J659" s="9">
        <v>9.8</v>
      </c>
      <c r="K659" s="10">
        <v>8.82</v>
      </c>
      <c r="L659" s="6"/>
      <c r="M659" s="11" t="s">
        <v>17</v>
      </c>
      <c r="N659" s="6"/>
      <c r="O659" s="6" t="s">
        <v>4470</v>
      </c>
      <c r="P659" s="10" t="s">
        <v>15</v>
      </c>
      <c r="Q659" s="6"/>
      <c r="R659" s="6"/>
      <c r="S659" s="6"/>
      <c r="T659" s="6" t="s">
        <v>16</v>
      </c>
      <c r="U659" s="9" t="s">
        <v>17</v>
      </c>
      <c r="AI659" s="6" t="s">
        <v>18</v>
      </c>
      <c r="AJ659" s="12" t="s">
        <v>4465</v>
      </c>
      <c r="AL659" s="13" t="s">
        <v>1921</v>
      </c>
    </row>
    <row r="660">
      <c r="A660" s="5" t="s">
        <v>4471</v>
      </c>
      <c r="B660" s="5" t="s">
        <v>4472</v>
      </c>
      <c r="C660" s="5" t="s">
        <v>4473</v>
      </c>
      <c r="D660" s="5" t="s">
        <v>8</v>
      </c>
      <c r="E660" s="6"/>
      <c r="F660" s="6"/>
      <c r="G660" s="7" t="s">
        <v>4474</v>
      </c>
      <c r="I660" s="8" t="s">
        <v>4475</v>
      </c>
      <c r="J660" s="9">
        <v>11.9</v>
      </c>
      <c r="K660" s="10" t="s">
        <v>11</v>
      </c>
      <c r="L660" s="6"/>
      <c r="M660" s="11" t="s">
        <v>17</v>
      </c>
      <c r="N660" s="6"/>
      <c r="O660" s="6" t="s">
        <v>4476</v>
      </c>
      <c r="P660" s="10" t="s">
        <v>15</v>
      </c>
      <c r="Q660" s="6"/>
      <c r="R660" s="6"/>
      <c r="S660" s="6"/>
      <c r="T660" s="6" t="s">
        <v>16</v>
      </c>
      <c r="U660" s="9" t="s">
        <v>17</v>
      </c>
      <c r="AI660" s="6" t="s">
        <v>4265</v>
      </c>
      <c r="AJ660" s="12" t="s">
        <v>4477</v>
      </c>
      <c r="AL660" s="13" t="s">
        <v>4267</v>
      </c>
    </row>
    <row r="661">
      <c r="A661" s="5" t="s">
        <v>4478</v>
      </c>
      <c r="B661" s="5" t="s">
        <v>4479</v>
      </c>
      <c r="C661" s="5" t="s">
        <v>4473</v>
      </c>
      <c r="D661" s="5" t="s">
        <v>8</v>
      </c>
      <c r="E661" s="6"/>
      <c r="F661" s="6"/>
      <c r="G661" s="7" t="s">
        <v>4480</v>
      </c>
      <c r="I661" s="8" t="s">
        <v>4481</v>
      </c>
      <c r="J661" s="9">
        <v>31.7</v>
      </c>
      <c r="K661" s="10" t="s">
        <v>11</v>
      </c>
      <c r="L661" s="6"/>
      <c r="M661" s="11" t="s">
        <v>17</v>
      </c>
      <c r="N661" s="6"/>
      <c r="O661" s="6" t="s">
        <v>4482</v>
      </c>
      <c r="P661" s="10" t="s">
        <v>15</v>
      </c>
      <c r="Q661" s="6"/>
      <c r="R661" s="6"/>
      <c r="S661" s="6"/>
      <c r="T661" s="6" t="s">
        <v>16</v>
      </c>
      <c r="U661" s="9" t="s">
        <v>17</v>
      </c>
      <c r="AI661" s="6" t="s">
        <v>4265</v>
      </c>
      <c r="AJ661" s="12" t="s">
        <v>4477</v>
      </c>
      <c r="AL661" s="13" t="s">
        <v>4267</v>
      </c>
    </row>
    <row r="662">
      <c r="A662" s="5" t="s">
        <v>4483</v>
      </c>
      <c r="B662" s="5" t="s">
        <v>4484</v>
      </c>
      <c r="C662" s="5" t="s">
        <v>4485</v>
      </c>
      <c r="D662" s="5" t="s">
        <v>8</v>
      </c>
      <c r="E662" s="6"/>
      <c r="F662" s="6"/>
      <c r="G662" s="7" t="s">
        <v>4486</v>
      </c>
      <c r="I662" s="8" t="s">
        <v>4487</v>
      </c>
      <c r="J662" s="9">
        <v>11.9</v>
      </c>
      <c r="K662" s="10" t="s">
        <v>11</v>
      </c>
      <c r="L662" s="6"/>
      <c r="M662" s="11" t="s">
        <v>17</v>
      </c>
      <c r="N662" s="6"/>
      <c r="O662" s="6" t="s">
        <v>4488</v>
      </c>
      <c r="P662" s="10" t="s">
        <v>15</v>
      </c>
      <c r="Q662" s="6"/>
      <c r="R662" s="6"/>
      <c r="S662" s="6"/>
      <c r="T662" s="6" t="s">
        <v>16</v>
      </c>
      <c r="U662" s="9" t="s">
        <v>17</v>
      </c>
      <c r="AI662" s="6" t="s">
        <v>4265</v>
      </c>
      <c r="AJ662" s="12" t="s">
        <v>4489</v>
      </c>
      <c r="AL662" s="13" t="s">
        <v>4267</v>
      </c>
    </row>
    <row r="663">
      <c r="A663" s="5" t="s">
        <v>4490</v>
      </c>
      <c r="B663" s="5" t="s">
        <v>4491</v>
      </c>
      <c r="C663" s="5" t="s">
        <v>4485</v>
      </c>
      <c r="D663" s="5" t="s">
        <v>8</v>
      </c>
      <c r="E663" s="6"/>
      <c r="F663" s="6"/>
      <c r="G663" s="7" t="s">
        <v>4492</v>
      </c>
      <c r="I663" s="8" t="s">
        <v>4493</v>
      </c>
      <c r="J663" s="9">
        <v>31.7</v>
      </c>
      <c r="K663" s="10" t="s">
        <v>11</v>
      </c>
      <c r="L663" s="6"/>
      <c r="M663" s="11" t="s">
        <v>17</v>
      </c>
      <c r="N663" s="6"/>
      <c r="O663" s="6" t="s">
        <v>4494</v>
      </c>
      <c r="P663" s="10" t="s">
        <v>15</v>
      </c>
      <c r="Q663" s="6"/>
      <c r="R663" s="6"/>
      <c r="S663" s="6"/>
      <c r="T663" s="6" t="s">
        <v>16</v>
      </c>
      <c r="U663" s="9" t="s">
        <v>17</v>
      </c>
      <c r="AI663" s="6" t="s">
        <v>4265</v>
      </c>
      <c r="AJ663" s="12" t="s">
        <v>4489</v>
      </c>
      <c r="AL663" s="13" t="s">
        <v>4267</v>
      </c>
    </row>
    <row r="664">
      <c r="A664" s="5" t="s">
        <v>4495</v>
      </c>
      <c r="B664" s="5" t="s">
        <v>4496</v>
      </c>
      <c r="C664" s="5" t="s">
        <v>4497</v>
      </c>
      <c r="D664" s="5" t="s">
        <v>8</v>
      </c>
      <c r="E664" s="6"/>
      <c r="F664" s="6"/>
      <c r="G664" s="7" t="s">
        <v>4498</v>
      </c>
      <c r="I664" s="8" t="s">
        <v>4499</v>
      </c>
      <c r="J664" s="9">
        <v>9.9</v>
      </c>
      <c r="K664" s="10" t="s">
        <v>11</v>
      </c>
      <c r="L664" s="6"/>
      <c r="M664" s="11" t="s">
        <v>12</v>
      </c>
      <c r="N664" s="6" t="s">
        <v>4500</v>
      </c>
      <c r="O664" s="6" t="s">
        <v>4501</v>
      </c>
      <c r="P664" s="10" t="s">
        <v>15</v>
      </c>
      <c r="Q664" s="6"/>
      <c r="R664" s="6"/>
      <c r="S664" s="6"/>
      <c r="T664" s="6" t="s">
        <v>16</v>
      </c>
      <c r="U664" s="9" t="s">
        <v>17</v>
      </c>
      <c r="AI664" s="6" t="s">
        <v>18</v>
      </c>
      <c r="AJ664" s="12" t="s">
        <v>4502</v>
      </c>
      <c r="AL664" s="13" t="s">
        <v>1921</v>
      </c>
    </row>
    <row r="665">
      <c r="A665" s="5" t="s">
        <v>4503</v>
      </c>
      <c r="B665" s="5" t="s">
        <v>4504</v>
      </c>
      <c r="C665" s="5" t="s">
        <v>4505</v>
      </c>
      <c r="D665" s="5" t="s">
        <v>8</v>
      </c>
      <c r="E665" s="6"/>
      <c r="F665" s="6"/>
      <c r="G665" s="7" t="s">
        <v>4506</v>
      </c>
      <c r="I665" s="8" t="s">
        <v>4507</v>
      </c>
      <c r="J665" s="9">
        <v>19.9</v>
      </c>
      <c r="K665" s="10" t="s">
        <v>11</v>
      </c>
      <c r="L665" s="6"/>
      <c r="M665" s="11" t="s">
        <v>12</v>
      </c>
      <c r="N665" s="6" t="s">
        <v>4508</v>
      </c>
      <c r="O665" s="6" t="s">
        <v>4509</v>
      </c>
      <c r="P665" s="10" t="s">
        <v>15</v>
      </c>
      <c r="Q665" s="6"/>
      <c r="R665" s="6"/>
      <c r="S665" s="6"/>
      <c r="T665" s="6" t="s">
        <v>16</v>
      </c>
      <c r="U665" s="9" t="s">
        <v>17</v>
      </c>
      <c r="AI665" s="6" t="s">
        <v>3406</v>
      </c>
      <c r="AJ665" s="12" t="s">
        <v>4510</v>
      </c>
      <c r="AL665" s="13" t="s">
        <v>1921</v>
      </c>
    </row>
    <row r="666">
      <c r="A666" s="5" t="s">
        <v>4511</v>
      </c>
      <c r="B666" s="5" t="s">
        <v>4512</v>
      </c>
      <c r="C666" s="5" t="s">
        <v>4513</v>
      </c>
      <c r="D666" s="5" t="s">
        <v>8</v>
      </c>
      <c r="E666" s="6"/>
      <c r="F666" s="6"/>
      <c r="G666" s="7" t="s">
        <v>4514</v>
      </c>
      <c r="I666" s="8" t="s">
        <v>4515</v>
      </c>
      <c r="J666" s="9">
        <v>8.9</v>
      </c>
      <c r="K666" s="10">
        <v>8.01</v>
      </c>
      <c r="L666" s="6"/>
      <c r="M666" s="11" t="s">
        <v>12</v>
      </c>
      <c r="N666" s="6" t="s">
        <v>4516</v>
      </c>
      <c r="O666" s="6" t="s">
        <v>4517</v>
      </c>
      <c r="P666" s="10" t="s">
        <v>15</v>
      </c>
      <c r="Q666" s="6"/>
      <c r="R666" s="6"/>
      <c r="S666" s="6"/>
      <c r="T666" s="6" t="s">
        <v>16</v>
      </c>
      <c r="U666" s="9" t="s">
        <v>17</v>
      </c>
      <c r="AI666" s="6" t="s">
        <v>18</v>
      </c>
      <c r="AJ666" s="12" t="s">
        <v>4518</v>
      </c>
      <c r="AL666" s="13" t="s">
        <v>1921</v>
      </c>
    </row>
    <row r="667">
      <c r="A667" s="5" t="s">
        <v>4519</v>
      </c>
      <c r="B667" s="5" t="s">
        <v>4520</v>
      </c>
      <c r="C667" s="5" t="s">
        <v>4513</v>
      </c>
      <c r="D667" s="5" t="s">
        <v>8</v>
      </c>
      <c r="E667" s="6"/>
      <c r="F667" s="6"/>
      <c r="G667" s="7" t="s">
        <v>4521</v>
      </c>
      <c r="I667" s="8" t="s">
        <v>4522</v>
      </c>
      <c r="J667" s="9">
        <v>26.7</v>
      </c>
      <c r="K667" s="10">
        <v>20.02</v>
      </c>
      <c r="L667" s="6"/>
      <c r="M667" s="11" t="s">
        <v>17</v>
      </c>
      <c r="N667" s="6"/>
      <c r="O667" s="6" t="s">
        <v>4523</v>
      </c>
      <c r="P667" s="10" t="s">
        <v>15</v>
      </c>
      <c r="Q667" s="6"/>
      <c r="R667" s="6"/>
      <c r="S667" s="6"/>
      <c r="T667" s="6" t="s">
        <v>16</v>
      </c>
      <c r="U667" s="9" t="s">
        <v>17</v>
      </c>
      <c r="AI667" s="6" t="s">
        <v>18</v>
      </c>
      <c r="AJ667" s="12" t="s">
        <v>4518</v>
      </c>
      <c r="AL667" s="13" t="s">
        <v>1921</v>
      </c>
    </row>
    <row r="668">
      <c r="A668" s="5" t="s">
        <v>4524</v>
      </c>
      <c r="B668" s="5" t="s">
        <v>4525</v>
      </c>
      <c r="C668" s="5" t="s">
        <v>4526</v>
      </c>
      <c r="D668" s="5" t="s">
        <v>8</v>
      </c>
      <c r="E668" s="6"/>
      <c r="F668" s="6"/>
      <c r="G668" s="7" t="s">
        <v>4527</v>
      </c>
      <c r="I668" s="8" t="s">
        <v>4528</v>
      </c>
      <c r="J668" s="9">
        <v>10.9</v>
      </c>
      <c r="K668" s="10" t="s">
        <v>11</v>
      </c>
      <c r="L668" s="6"/>
      <c r="M668" s="11" t="s">
        <v>12</v>
      </c>
      <c r="N668" s="6" t="s">
        <v>4529</v>
      </c>
      <c r="O668" s="6" t="s">
        <v>4530</v>
      </c>
      <c r="P668" s="10" t="s">
        <v>15</v>
      </c>
      <c r="Q668" s="6"/>
      <c r="R668" s="6"/>
      <c r="S668" s="6"/>
      <c r="T668" s="6" t="s">
        <v>16</v>
      </c>
      <c r="U668" s="9" t="s">
        <v>17</v>
      </c>
      <c r="AI668" s="6" t="s">
        <v>18</v>
      </c>
      <c r="AJ668" s="12" t="s">
        <v>4531</v>
      </c>
      <c r="AL668" s="13" t="s">
        <v>1921</v>
      </c>
    </row>
    <row r="669">
      <c r="A669" s="5" t="s">
        <v>4532</v>
      </c>
      <c r="B669" s="5" t="s">
        <v>4533</v>
      </c>
      <c r="C669" s="5" t="s">
        <v>4534</v>
      </c>
      <c r="D669" s="5" t="s">
        <v>8</v>
      </c>
      <c r="E669" s="6"/>
      <c r="F669" s="6"/>
      <c r="G669" s="7" t="s">
        <v>4535</v>
      </c>
      <c r="I669" s="8" t="s">
        <v>4536</v>
      </c>
      <c r="J669" s="9">
        <v>9.9</v>
      </c>
      <c r="K669" s="10" t="s">
        <v>11</v>
      </c>
      <c r="L669" s="6"/>
      <c r="M669" s="11" t="s">
        <v>12</v>
      </c>
      <c r="N669" s="6" t="s">
        <v>4537</v>
      </c>
      <c r="O669" s="6" t="s">
        <v>4538</v>
      </c>
      <c r="P669" s="10" t="s">
        <v>15</v>
      </c>
      <c r="Q669" s="6"/>
      <c r="R669" s="6"/>
      <c r="S669" s="6"/>
      <c r="T669" s="6" t="s">
        <v>16</v>
      </c>
      <c r="U669" s="9" t="s">
        <v>17</v>
      </c>
      <c r="AI669" s="6" t="s">
        <v>18</v>
      </c>
      <c r="AJ669" s="12" t="s">
        <v>4539</v>
      </c>
      <c r="AL669" s="13" t="s">
        <v>1921</v>
      </c>
    </row>
    <row r="670">
      <c r="A670" s="5" t="s">
        <v>4540</v>
      </c>
      <c r="B670" s="5" t="s">
        <v>4541</v>
      </c>
      <c r="C670" s="5" t="s">
        <v>4542</v>
      </c>
      <c r="D670" s="5" t="s">
        <v>8</v>
      </c>
      <c r="E670" s="6"/>
      <c r="F670" s="6"/>
      <c r="G670" s="7" t="s">
        <v>4543</v>
      </c>
      <c r="I670" s="8" t="s">
        <v>4544</v>
      </c>
      <c r="J670" s="9">
        <v>11.9</v>
      </c>
      <c r="K670" s="10" t="s">
        <v>11</v>
      </c>
      <c r="L670" s="6"/>
      <c r="M670" s="11" t="s">
        <v>17</v>
      </c>
      <c r="N670" s="6"/>
      <c r="O670" s="6" t="s">
        <v>4545</v>
      </c>
      <c r="P670" s="10" t="s">
        <v>15</v>
      </c>
      <c r="Q670" s="6"/>
      <c r="R670" s="6"/>
      <c r="S670" s="6"/>
      <c r="T670" s="6" t="s">
        <v>16</v>
      </c>
      <c r="U670" s="9" t="s">
        <v>17</v>
      </c>
      <c r="AI670" s="6" t="s">
        <v>4265</v>
      </c>
      <c r="AJ670" s="12" t="s">
        <v>4546</v>
      </c>
      <c r="AL670" s="13" t="s">
        <v>4267</v>
      </c>
    </row>
    <row r="671">
      <c r="A671" s="5" t="s">
        <v>4547</v>
      </c>
      <c r="B671" s="5" t="s">
        <v>4548</v>
      </c>
      <c r="C671" s="5" t="s">
        <v>4542</v>
      </c>
      <c r="D671" s="5" t="s">
        <v>8</v>
      </c>
      <c r="E671" s="6"/>
      <c r="F671" s="6"/>
      <c r="G671" s="7" t="s">
        <v>4549</v>
      </c>
      <c r="I671" s="8" t="s">
        <v>4550</v>
      </c>
      <c r="J671" s="9">
        <v>31.7</v>
      </c>
      <c r="K671" s="10" t="s">
        <v>11</v>
      </c>
      <c r="L671" s="6"/>
      <c r="M671" s="11" t="s">
        <v>17</v>
      </c>
      <c r="N671" s="6"/>
      <c r="O671" s="6" t="s">
        <v>4551</v>
      </c>
      <c r="P671" s="10" t="s">
        <v>15</v>
      </c>
      <c r="Q671" s="6"/>
      <c r="R671" s="6"/>
      <c r="S671" s="6"/>
      <c r="T671" s="6" t="s">
        <v>16</v>
      </c>
      <c r="U671" s="9" t="s">
        <v>17</v>
      </c>
      <c r="AI671" s="6" t="s">
        <v>4265</v>
      </c>
      <c r="AJ671" s="12" t="s">
        <v>4546</v>
      </c>
      <c r="AL671" s="13" t="s">
        <v>4267</v>
      </c>
    </row>
    <row r="672">
      <c r="A672" s="5" t="s">
        <v>4552</v>
      </c>
      <c r="B672" s="5" t="s">
        <v>4553</v>
      </c>
      <c r="C672" s="5" t="s">
        <v>4554</v>
      </c>
      <c r="D672" s="5" t="s">
        <v>8</v>
      </c>
      <c r="E672" s="6"/>
      <c r="F672" s="6"/>
      <c r="G672" s="7" t="s">
        <v>4555</v>
      </c>
      <c r="I672" s="8" t="s">
        <v>4556</v>
      </c>
      <c r="J672" s="9">
        <v>14.3</v>
      </c>
      <c r="K672" s="10" t="s">
        <v>11</v>
      </c>
      <c r="L672" s="6"/>
      <c r="M672" s="11" t="s">
        <v>12</v>
      </c>
      <c r="N672" s="6" t="s">
        <v>4557</v>
      </c>
      <c r="O672" s="6" t="s">
        <v>4558</v>
      </c>
      <c r="P672" s="10" t="s">
        <v>15</v>
      </c>
      <c r="Q672" s="6"/>
      <c r="R672" s="6"/>
      <c r="S672" s="6"/>
      <c r="T672" s="6" t="s">
        <v>16</v>
      </c>
      <c r="U672" s="9" t="s">
        <v>17</v>
      </c>
      <c r="AI672" s="6" t="s">
        <v>18</v>
      </c>
      <c r="AJ672" s="12" t="s">
        <v>4559</v>
      </c>
      <c r="AL672" s="13" t="s">
        <v>1921</v>
      </c>
    </row>
    <row r="673">
      <c r="A673" s="5" t="s">
        <v>4560</v>
      </c>
      <c r="B673" s="5" t="s">
        <v>4561</v>
      </c>
      <c r="C673" s="5" t="s">
        <v>4562</v>
      </c>
      <c r="D673" s="5" t="s">
        <v>8</v>
      </c>
      <c r="E673" s="6"/>
      <c r="F673" s="6"/>
      <c r="G673" s="7" t="s">
        <v>4563</v>
      </c>
      <c r="I673" s="8" t="s">
        <v>4564</v>
      </c>
      <c r="J673" s="9">
        <v>10.9</v>
      </c>
      <c r="K673" s="10" t="s">
        <v>11</v>
      </c>
      <c r="L673" s="6"/>
      <c r="M673" s="11" t="s">
        <v>12</v>
      </c>
      <c r="N673" s="6" t="s">
        <v>4565</v>
      </c>
      <c r="O673" s="6" t="s">
        <v>4566</v>
      </c>
      <c r="P673" s="10" t="s">
        <v>15</v>
      </c>
      <c r="Q673" s="6"/>
      <c r="R673" s="6"/>
      <c r="S673" s="6"/>
      <c r="T673" s="6" t="s">
        <v>16</v>
      </c>
      <c r="U673" s="9" t="s">
        <v>17</v>
      </c>
      <c r="AI673" s="6" t="s">
        <v>18</v>
      </c>
      <c r="AJ673" s="12" t="s">
        <v>4567</v>
      </c>
      <c r="AL673" s="13" t="s">
        <v>1921</v>
      </c>
    </row>
    <row r="674">
      <c r="A674" s="5" t="s">
        <v>4568</v>
      </c>
      <c r="B674" s="5" t="s">
        <v>4569</v>
      </c>
      <c r="C674" s="5" t="s">
        <v>4562</v>
      </c>
      <c r="D674" s="5" t="s">
        <v>8</v>
      </c>
      <c r="E674" s="6"/>
      <c r="F674" s="6"/>
      <c r="G674" s="7" t="s">
        <v>4570</v>
      </c>
      <c r="I674" s="8" t="s">
        <v>4571</v>
      </c>
      <c r="J674" s="9">
        <v>19.2</v>
      </c>
      <c r="K674" s="10">
        <v>18.24</v>
      </c>
      <c r="L674" s="6"/>
      <c r="M674" s="11" t="s">
        <v>17</v>
      </c>
      <c r="N674" s="6"/>
      <c r="O674" s="6" t="s">
        <v>4572</v>
      </c>
      <c r="P674" s="10" t="s">
        <v>15</v>
      </c>
      <c r="Q674" s="6"/>
      <c r="R674" s="6"/>
      <c r="S674" s="6"/>
      <c r="T674" s="6" t="s">
        <v>16</v>
      </c>
      <c r="U674" s="9" t="s">
        <v>17</v>
      </c>
      <c r="AI674" s="6" t="s">
        <v>18</v>
      </c>
      <c r="AJ674" s="12" t="s">
        <v>4567</v>
      </c>
      <c r="AL674" s="13" t="s">
        <v>1921</v>
      </c>
    </row>
    <row r="675">
      <c r="A675" s="5" t="s">
        <v>4573</v>
      </c>
      <c r="B675" s="5" t="s">
        <v>4574</v>
      </c>
      <c r="C675" s="5" t="s">
        <v>4575</v>
      </c>
      <c r="D675" s="5" t="s">
        <v>8</v>
      </c>
      <c r="E675" s="6"/>
      <c r="F675" s="6"/>
      <c r="G675" s="7" t="s">
        <v>4576</v>
      </c>
      <c r="I675" s="8" t="s">
        <v>4577</v>
      </c>
      <c r="J675" s="9">
        <v>12.9</v>
      </c>
      <c r="K675" s="10" t="s">
        <v>11</v>
      </c>
      <c r="L675" s="6"/>
      <c r="M675" s="11" t="s">
        <v>12</v>
      </c>
      <c r="N675" s="6" t="s">
        <v>4578</v>
      </c>
      <c r="O675" s="6" t="s">
        <v>4579</v>
      </c>
      <c r="P675" s="10" t="s">
        <v>15</v>
      </c>
      <c r="Q675" s="6" t="s">
        <v>4580</v>
      </c>
      <c r="R675" s="6"/>
      <c r="S675" s="15" t="s">
        <v>4581</v>
      </c>
      <c r="T675" s="6" t="s">
        <v>16</v>
      </c>
      <c r="U675" s="9" t="s">
        <v>17</v>
      </c>
      <c r="AI675" s="6" t="s">
        <v>2941</v>
      </c>
      <c r="AJ675" s="12" t="s">
        <v>4582</v>
      </c>
      <c r="AL675" s="13" t="s">
        <v>2943</v>
      </c>
    </row>
    <row r="676">
      <c r="A676" s="5" t="s">
        <v>4583</v>
      </c>
      <c r="B676" s="5" t="s">
        <v>4584</v>
      </c>
      <c r="C676" s="5" t="s">
        <v>4585</v>
      </c>
      <c r="D676" s="5" t="s">
        <v>8</v>
      </c>
      <c r="E676" s="6"/>
      <c r="F676" s="6"/>
      <c r="G676" s="7" t="s">
        <v>4586</v>
      </c>
      <c r="I676" s="8" t="s">
        <v>4587</v>
      </c>
      <c r="J676" s="9">
        <v>14.9</v>
      </c>
      <c r="K676" s="10" t="s">
        <v>11</v>
      </c>
      <c r="L676" s="6"/>
      <c r="M676" s="11" t="s">
        <v>12</v>
      </c>
      <c r="N676" s="6" t="s">
        <v>4588</v>
      </c>
      <c r="O676" s="6" t="s">
        <v>4589</v>
      </c>
      <c r="P676" s="10" t="s">
        <v>15</v>
      </c>
      <c r="Q676" s="6" t="s">
        <v>4590</v>
      </c>
      <c r="R676" s="6"/>
      <c r="S676" s="15" t="s">
        <v>4591</v>
      </c>
      <c r="T676" s="6" t="s">
        <v>16</v>
      </c>
      <c r="U676" s="9" t="s">
        <v>17</v>
      </c>
      <c r="AI676" s="6" t="s">
        <v>2941</v>
      </c>
      <c r="AJ676" s="12" t="s">
        <v>4592</v>
      </c>
      <c r="AL676" s="13" t="s">
        <v>2943</v>
      </c>
    </row>
    <row r="677">
      <c r="A677" s="5" t="s">
        <v>4593</v>
      </c>
      <c r="B677" s="5" t="s">
        <v>4594</v>
      </c>
      <c r="C677" s="5" t="s">
        <v>4595</v>
      </c>
      <c r="D677" s="5" t="s">
        <v>8</v>
      </c>
      <c r="E677" s="6"/>
      <c r="F677" s="6"/>
      <c r="G677" s="7" t="s">
        <v>4596</v>
      </c>
      <c r="I677" s="8" t="s">
        <v>4597</v>
      </c>
      <c r="J677" s="9">
        <v>11.9</v>
      </c>
      <c r="K677" s="10" t="s">
        <v>11</v>
      </c>
      <c r="L677" s="6"/>
      <c r="M677" s="11" t="s">
        <v>17</v>
      </c>
      <c r="N677" s="6"/>
      <c r="O677" s="6" t="s">
        <v>4598</v>
      </c>
      <c r="P677" s="10" t="s">
        <v>15</v>
      </c>
      <c r="Q677" s="6"/>
      <c r="R677" s="6"/>
      <c r="S677" s="6"/>
      <c r="T677" s="6" t="s">
        <v>16</v>
      </c>
      <c r="U677" s="9" t="s">
        <v>17</v>
      </c>
      <c r="AI677" s="6" t="s">
        <v>4265</v>
      </c>
      <c r="AJ677" s="12" t="s">
        <v>4599</v>
      </c>
      <c r="AL677" s="13" t="s">
        <v>4267</v>
      </c>
    </row>
    <row r="678">
      <c r="A678" s="5" t="s">
        <v>4600</v>
      </c>
      <c r="B678" s="5" t="s">
        <v>4601</v>
      </c>
      <c r="C678" s="5" t="s">
        <v>4595</v>
      </c>
      <c r="D678" s="5" t="s">
        <v>8</v>
      </c>
      <c r="E678" s="6"/>
      <c r="F678" s="6"/>
      <c r="G678" s="7" t="s">
        <v>4602</v>
      </c>
      <c r="I678" s="8" t="s">
        <v>4603</v>
      </c>
      <c r="J678" s="9">
        <v>31.7</v>
      </c>
      <c r="K678" s="10" t="s">
        <v>11</v>
      </c>
      <c r="L678" s="6"/>
      <c r="M678" s="11" t="s">
        <v>17</v>
      </c>
      <c r="N678" s="6"/>
      <c r="O678" s="6" t="s">
        <v>4604</v>
      </c>
      <c r="P678" s="10" t="s">
        <v>15</v>
      </c>
      <c r="Q678" s="6"/>
      <c r="R678" s="6"/>
      <c r="S678" s="6"/>
      <c r="T678" s="6" t="s">
        <v>16</v>
      </c>
      <c r="U678" s="9" t="s">
        <v>17</v>
      </c>
      <c r="AI678" s="6" t="s">
        <v>4265</v>
      </c>
      <c r="AJ678" s="12" t="s">
        <v>4599</v>
      </c>
      <c r="AL678" s="13" t="s">
        <v>4267</v>
      </c>
    </row>
    <row r="679">
      <c r="A679" s="5" t="s">
        <v>4605</v>
      </c>
      <c r="B679" s="5" t="s">
        <v>4606</v>
      </c>
      <c r="C679" s="5" t="s">
        <v>4607</v>
      </c>
      <c r="D679" s="5" t="s">
        <v>8</v>
      </c>
      <c r="E679" s="6"/>
      <c r="F679" s="6"/>
      <c r="G679" s="7" t="s">
        <v>4608</v>
      </c>
      <c r="I679" s="8" t="s">
        <v>4609</v>
      </c>
      <c r="J679" s="9">
        <v>5.9</v>
      </c>
      <c r="K679" s="10" t="s">
        <v>11</v>
      </c>
      <c r="L679" s="6"/>
      <c r="M679" s="11" t="s">
        <v>12</v>
      </c>
      <c r="N679" s="6" t="s">
        <v>4610</v>
      </c>
      <c r="O679" s="6" t="s">
        <v>4611</v>
      </c>
      <c r="P679" s="10" t="s">
        <v>15</v>
      </c>
      <c r="Q679" s="6"/>
      <c r="R679" s="6"/>
      <c r="S679" s="6" t="s">
        <v>4612</v>
      </c>
      <c r="T679" s="6" t="s">
        <v>16</v>
      </c>
      <c r="U679" s="9" t="s">
        <v>17</v>
      </c>
      <c r="AI679" s="6" t="s">
        <v>18</v>
      </c>
      <c r="AJ679" s="12" t="s">
        <v>4613</v>
      </c>
      <c r="AL679" s="13" t="s">
        <v>1921</v>
      </c>
    </row>
    <row r="680">
      <c r="A680" s="5" t="s">
        <v>4614</v>
      </c>
      <c r="B680" s="5" t="s">
        <v>4615</v>
      </c>
      <c r="C680" s="5" t="s">
        <v>4607</v>
      </c>
      <c r="D680" s="5" t="s">
        <v>8</v>
      </c>
      <c r="E680" s="6"/>
      <c r="F680" s="6"/>
      <c r="G680" s="7" t="s">
        <v>4616</v>
      </c>
      <c r="I680" s="8" t="s">
        <v>4617</v>
      </c>
      <c r="J680" s="9">
        <v>17.7</v>
      </c>
      <c r="K680" s="10" t="s">
        <v>11</v>
      </c>
      <c r="L680" s="6"/>
      <c r="M680" s="11" t="s">
        <v>17</v>
      </c>
      <c r="N680" s="6"/>
      <c r="O680" s="6" t="s">
        <v>4618</v>
      </c>
      <c r="P680" s="10" t="s">
        <v>15</v>
      </c>
      <c r="Q680" s="6"/>
      <c r="R680" s="6"/>
      <c r="S680" s="6" t="s">
        <v>4612</v>
      </c>
      <c r="T680" s="6" t="s">
        <v>16</v>
      </c>
      <c r="U680" s="9" t="s">
        <v>17</v>
      </c>
      <c r="AI680" s="6" t="s">
        <v>18</v>
      </c>
      <c r="AJ680" s="12" t="s">
        <v>4613</v>
      </c>
      <c r="AL680" s="13" t="s">
        <v>1921</v>
      </c>
    </row>
    <row r="681">
      <c r="A681" s="5" t="s">
        <v>4619</v>
      </c>
      <c r="B681" s="5" t="s">
        <v>4620</v>
      </c>
      <c r="C681" s="5" t="s">
        <v>4621</v>
      </c>
      <c r="D681" s="5" t="s">
        <v>8</v>
      </c>
      <c r="E681" s="6"/>
      <c r="F681" s="6"/>
      <c r="G681" s="7" t="s">
        <v>4622</v>
      </c>
      <c r="I681" s="8" t="s">
        <v>4623</v>
      </c>
      <c r="J681" s="9">
        <v>20.9</v>
      </c>
      <c r="K681" s="10" t="s">
        <v>11</v>
      </c>
      <c r="L681" s="6"/>
      <c r="M681" s="11" t="s">
        <v>12</v>
      </c>
      <c r="N681" s="6" t="s">
        <v>4624</v>
      </c>
      <c r="O681" s="6" t="s">
        <v>4625</v>
      </c>
      <c r="P681" s="10" t="s">
        <v>15</v>
      </c>
      <c r="Q681" s="6"/>
      <c r="R681" s="6"/>
      <c r="S681" s="6"/>
      <c r="T681" s="6" t="s">
        <v>16</v>
      </c>
      <c r="U681" s="9" t="s">
        <v>17</v>
      </c>
      <c r="AI681" s="6" t="s">
        <v>18</v>
      </c>
      <c r="AJ681" s="12" t="s">
        <v>4626</v>
      </c>
      <c r="AL681" s="13" t="s">
        <v>1921</v>
      </c>
    </row>
    <row r="682">
      <c r="A682" s="5" t="s">
        <v>4627</v>
      </c>
      <c r="B682" s="5" t="s">
        <v>4628</v>
      </c>
      <c r="C682" s="5" t="s">
        <v>4629</v>
      </c>
      <c r="D682" s="5" t="s">
        <v>8</v>
      </c>
      <c r="E682" s="6"/>
      <c r="F682" s="6"/>
      <c r="G682" s="7" t="s">
        <v>4630</v>
      </c>
      <c r="I682" s="8" t="s">
        <v>4631</v>
      </c>
      <c r="J682" s="9">
        <v>10.9</v>
      </c>
      <c r="K682" s="10" t="s">
        <v>11</v>
      </c>
      <c r="L682" s="6"/>
      <c r="M682" s="11" t="s">
        <v>12</v>
      </c>
      <c r="N682" s="6" t="s">
        <v>4632</v>
      </c>
      <c r="O682" s="6" t="s">
        <v>4633</v>
      </c>
      <c r="P682" s="10" t="s">
        <v>15</v>
      </c>
      <c r="Q682" s="6"/>
      <c r="R682" s="6"/>
      <c r="S682" s="6"/>
      <c r="T682" s="6" t="s">
        <v>16</v>
      </c>
      <c r="U682" s="9" t="s">
        <v>17</v>
      </c>
      <c r="AI682" s="6" t="s">
        <v>3406</v>
      </c>
      <c r="AJ682" s="12" t="s">
        <v>4634</v>
      </c>
      <c r="AL682" s="13" t="s">
        <v>1921</v>
      </c>
    </row>
    <row r="683">
      <c r="A683" s="5" t="s">
        <v>4635</v>
      </c>
      <c r="B683" s="5" t="s">
        <v>4636</v>
      </c>
      <c r="C683" s="5" t="s">
        <v>4637</v>
      </c>
      <c r="D683" s="5" t="s">
        <v>8</v>
      </c>
      <c r="E683" s="6"/>
      <c r="F683" s="6"/>
      <c r="G683" s="7" t="s">
        <v>4638</v>
      </c>
      <c r="I683" s="8" t="s">
        <v>4639</v>
      </c>
      <c r="J683" s="9">
        <v>10.9</v>
      </c>
      <c r="K683" s="10" t="s">
        <v>11</v>
      </c>
      <c r="L683" s="6"/>
      <c r="M683" s="11" t="s">
        <v>12</v>
      </c>
      <c r="N683" s="6" t="s">
        <v>4640</v>
      </c>
      <c r="O683" s="6" t="s">
        <v>4641</v>
      </c>
      <c r="P683" s="10" t="s">
        <v>15</v>
      </c>
      <c r="Q683" s="6"/>
      <c r="R683" s="6"/>
      <c r="S683" s="6"/>
      <c r="T683" s="6" t="s">
        <v>16</v>
      </c>
      <c r="U683" s="9" t="s">
        <v>17</v>
      </c>
      <c r="AI683" s="6" t="s">
        <v>18</v>
      </c>
      <c r="AJ683" s="12" t="s">
        <v>4642</v>
      </c>
      <c r="AL683" s="13" t="s">
        <v>1921</v>
      </c>
    </row>
    <row r="684">
      <c r="A684" s="5" t="s">
        <v>4643</v>
      </c>
      <c r="B684" s="5" t="s">
        <v>4644</v>
      </c>
      <c r="C684" s="5" t="s">
        <v>4645</v>
      </c>
      <c r="D684" s="5" t="s">
        <v>8</v>
      </c>
      <c r="E684" s="6"/>
      <c r="F684" s="6"/>
      <c r="G684" s="7" t="s">
        <v>4646</v>
      </c>
      <c r="I684" s="8" t="s">
        <v>4647</v>
      </c>
      <c r="J684" s="9">
        <v>9.9</v>
      </c>
      <c r="K684" s="10" t="s">
        <v>11</v>
      </c>
      <c r="L684" s="6"/>
      <c r="M684" s="11" t="s">
        <v>12</v>
      </c>
      <c r="N684" s="6" t="s">
        <v>4648</v>
      </c>
      <c r="O684" s="6" t="s">
        <v>4649</v>
      </c>
      <c r="P684" s="10" t="s">
        <v>15</v>
      </c>
      <c r="Q684" s="6"/>
      <c r="R684" s="6"/>
      <c r="S684" s="6"/>
      <c r="T684" s="6" t="s">
        <v>16</v>
      </c>
      <c r="U684" s="9" t="s">
        <v>17</v>
      </c>
      <c r="AI684" s="6" t="s">
        <v>18</v>
      </c>
      <c r="AJ684" s="12" t="s">
        <v>4650</v>
      </c>
      <c r="AL684" s="13" t="s">
        <v>1921</v>
      </c>
    </row>
    <row r="685">
      <c r="A685" s="5" t="s">
        <v>4651</v>
      </c>
      <c r="B685" s="5" t="s">
        <v>4652</v>
      </c>
      <c r="C685" s="5" t="s">
        <v>4653</v>
      </c>
      <c r="D685" s="5" t="s">
        <v>8</v>
      </c>
      <c r="E685" s="6"/>
      <c r="F685" s="6"/>
      <c r="G685" s="7" t="s">
        <v>4654</v>
      </c>
      <c r="I685" s="8" t="s">
        <v>4655</v>
      </c>
      <c r="J685" s="9">
        <v>11.9</v>
      </c>
      <c r="K685" s="10" t="s">
        <v>11</v>
      </c>
      <c r="L685" s="6"/>
      <c r="M685" s="11" t="s">
        <v>17</v>
      </c>
      <c r="N685" s="6"/>
      <c r="O685" s="6" t="s">
        <v>4656</v>
      </c>
      <c r="P685" s="10" t="s">
        <v>15</v>
      </c>
      <c r="Q685" s="6"/>
      <c r="R685" s="6"/>
      <c r="S685" s="6"/>
      <c r="T685" s="6" t="s">
        <v>16</v>
      </c>
      <c r="U685" s="9" t="s">
        <v>17</v>
      </c>
      <c r="AI685" s="6" t="s">
        <v>4265</v>
      </c>
      <c r="AJ685" s="12" t="s">
        <v>4657</v>
      </c>
      <c r="AL685" s="13" t="s">
        <v>4267</v>
      </c>
    </row>
    <row r="686">
      <c r="A686" s="5" t="s">
        <v>4658</v>
      </c>
      <c r="B686" s="5" t="s">
        <v>4659</v>
      </c>
      <c r="C686" s="5" t="s">
        <v>4653</v>
      </c>
      <c r="D686" s="5" t="s">
        <v>8</v>
      </c>
      <c r="E686" s="6"/>
      <c r="F686" s="6"/>
      <c r="G686" s="7" t="s">
        <v>4660</v>
      </c>
      <c r="I686" s="8" t="s">
        <v>4661</v>
      </c>
      <c r="J686" s="9">
        <v>31.7</v>
      </c>
      <c r="K686" s="10" t="s">
        <v>11</v>
      </c>
      <c r="L686" s="6"/>
      <c r="M686" s="11" t="s">
        <v>17</v>
      </c>
      <c r="N686" s="6"/>
      <c r="O686" s="6" t="s">
        <v>4662</v>
      </c>
      <c r="P686" s="10" t="s">
        <v>15</v>
      </c>
      <c r="Q686" s="6"/>
      <c r="R686" s="6"/>
      <c r="S686" s="6"/>
      <c r="T686" s="6" t="s">
        <v>16</v>
      </c>
      <c r="U686" s="9" t="s">
        <v>17</v>
      </c>
      <c r="AI686" s="6" t="s">
        <v>4265</v>
      </c>
      <c r="AJ686" s="12" t="s">
        <v>4657</v>
      </c>
      <c r="AL686" s="13" t="s">
        <v>4267</v>
      </c>
    </row>
    <row r="687">
      <c r="A687" s="5" t="s">
        <v>4663</v>
      </c>
      <c r="B687" s="5" t="s">
        <v>4664</v>
      </c>
      <c r="C687" s="5" t="s">
        <v>4665</v>
      </c>
      <c r="D687" s="5" t="s">
        <v>8</v>
      </c>
      <c r="E687" s="6"/>
      <c r="F687" s="6"/>
      <c r="G687" s="7" t="s">
        <v>4666</v>
      </c>
      <c r="I687" s="8" t="s">
        <v>4667</v>
      </c>
      <c r="J687" s="9">
        <v>10.7</v>
      </c>
      <c r="K687" s="10" t="s">
        <v>11</v>
      </c>
      <c r="L687" s="6"/>
      <c r="M687" s="11" t="s">
        <v>12</v>
      </c>
      <c r="N687" s="6" t="s">
        <v>4668</v>
      </c>
      <c r="O687" s="6" t="s">
        <v>4669</v>
      </c>
      <c r="P687" s="10" t="s">
        <v>15</v>
      </c>
      <c r="Q687" s="6"/>
      <c r="R687" s="6"/>
      <c r="S687" s="6"/>
      <c r="T687" s="6" t="s">
        <v>16</v>
      </c>
      <c r="U687" s="9" t="s">
        <v>17</v>
      </c>
      <c r="AI687" s="6" t="s">
        <v>18</v>
      </c>
      <c r="AJ687" s="12" t="s">
        <v>4670</v>
      </c>
      <c r="AL687" s="13" t="s">
        <v>1921</v>
      </c>
    </row>
    <row r="688">
      <c r="A688" s="5" t="s">
        <v>4671</v>
      </c>
      <c r="B688" s="5" t="s">
        <v>4672</v>
      </c>
      <c r="C688" s="5" t="s">
        <v>4673</v>
      </c>
      <c r="D688" s="5" t="s">
        <v>8</v>
      </c>
      <c r="E688" s="6"/>
      <c r="F688" s="6"/>
      <c r="G688" s="7" t="s">
        <v>4674</v>
      </c>
      <c r="I688" s="8" t="s">
        <v>4675</v>
      </c>
      <c r="J688" s="9">
        <v>12.3</v>
      </c>
      <c r="K688" s="10" t="s">
        <v>11</v>
      </c>
      <c r="L688" s="6"/>
      <c r="M688" s="11" t="s">
        <v>12</v>
      </c>
      <c r="N688" s="6" t="s">
        <v>4676</v>
      </c>
      <c r="O688" s="6" t="s">
        <v>4677</v>
      </c>
      <c r="P688" s="10" t="s">
        <v>15</v>
      </c>
      <c r="Q688" s="6"/>
      <c r="R688" s="6"/>
      <c r="S688" s="6"/>
      <c r="T688" s="6" t="s">
        <v>16</v>
      </c>
      <c r="U688" s="9" t="s">
        <v>17</v>
      </c>
      <c r="AI688" s="6" t="s">
        <v>18</v>
      </c>
      <c r="AJ688" s="12" t="s">
        <v>4678</v>
      </c>
      <c r="AL688" s="13" t="s">
        <v>1921</v>
      </c>
    </row>
    <row r="689">
      <c r="A689" s="5" t="s">
        <v>4679</v>
      </c>
      <c r="B689" s="5" t="s">
        <v>4680</v>
      </c>
      <c r="C689" s="5" t="s">
        <v>4681</v>
      </c>
      <c r="D689" s="5" t="s">
        <v>8</v>
      </c>
      <c r="E689" s="6"/>
      <c r="F689" s="6"/>
      <c r="G689" s="7" t="s">
        <v>4682</v>
      </c>
      <c r="I689" s="8" t="s">
        <v>4683</v>
      </c>
      <c r="J689" s="9">
        <v>11.9</v>
      </c>
      <c r="K689" s="10" t="s">
        <v>11</v>
      </c>
      <c r="L689" s="6"/>
      <c r="M689" s="11" t="s">
        <v>12</v>
      </c>
      <c r="N689" s="6" t="s">
        <v>4684</v>
      </c>
      <c r="O689" s="6" t="s">
        <v>4685</v>
      </c>
      <c r="P689" s="10" t="s">
        <v>15</v>
      </c>
      <c r="Q689" s="6"/>
      <c r="R689" s="6"/>
      <c r="S689" s="6"/>
      <c r="T689" s="6" t="s">
        <v>16</v>
      </c>
      <c r="U689" s="9" t="s">
        <v>17</v>
      </c>
      <c r="AI689" s="6" t="s">
        <v>18</v>
      </c>
      <c r="AJ689" s="12" t="s">
        <v>4686</v>
      </c>
      <c r="AL689" s="13" t="s">
        <v>1921</v>
      </c>
    </row>
    <row r="690">
      <c r="A690" s="5" t="s">
        <v>4687</v>
      </c>
      <c r="B690" s="5" t="s">
        <v>4688</v>
      </c>
      <c r="C690" s="5" t="s">
        <v>4689</v>
      </c>
      <c r="D690" s="5" t="s">
        <v>8</v>
      </c>
      <c r="E690" s="6"/>
      <c r="F690" s="6"/>
      <c r="G690" s="7" t="s">
        <v>4690</v>
      </c>
      <c r="I690" s="8" t="s">
        <v>4691</v>
      </c>
      <c r="J690" s="9">
        <v>10.9</v>
      </c>
      <c r="K690" s="10" t="s">
        <v>11</v>
      </c>
      <c r="L690" s="6"/>
      <c r="M690" s="11" t="s">
        <v>12</v>
      </c>
      <c r="N690" s="6" t="s">
        <v>4692</v>
      </c>
      <c r="O690" s="6" t="s">
        <v>4693</v>
      </c>
      <c r="P690" s="10" t="s">
        <v>15</v>
      </c>
      <c r="Q690" s="6"/>
      <c r="R690" s="6"/>
      <c r="S690" s="6"/>
      <c r="T690" s="6" t="s">
        <v>16</v>
      </c>
      <c r="U690" s="9" t="s">
        <v>17</v>
      </c>
      <c r="AI690" s="6" t="s">
        <v>18</v>
      </c>
      <c r="AJ690" s="12" t="s">
        <v>4694</v>
      </c>
      <c r="AL690" s="13" t="s">
        <v>1921</v>
      </c>
    </row>
    <row r="691">
      <c r="A691" s="5" t="s">
        <v>4695</v>
      </c>
      <c r="B691" s="5" t="s">
        <v>4696</v>
      </c>
      <c r="C691" s="5" t="s">
        <v>4697</v>
      </c>
      <c r="D691" s="5" t="s">
        <v>507</v>
      </c>
      <c r="E691" s="6"/>
      <c r="F691" s="6"/>
      <c r="G691" s="7" t="s">
        <v>4698</v>
      </c>
      <c r="I691" s="8" t="s">
        <v>4699</v>
      </c>
      <c r="J691" s="9">
        <v>14.9</v>
      </c>
      <c r="K691" s="10" t="s">
        <v>11</v>
      </c>
      <c r="L691" s="6"/>
      <c r="M691" s="11" t="s">
        <v>12</v>
      </c>
      <c r="N691" s="6" t="s">
        <v>4700</v>
      </c>
      <c r="O691" s="6" t="s">
        <v>4701</v>
      </c>
      <c r="P691" s="10" t="s">
        <v>15</v>
      </c>
      <c r="Q691" s="6"/>
      <c r="R691" s="6"/>
      <c r="S691" s="6"/>
      <c r="T691" s="6" t="s">
        <v>16</v>
      </c>
      <c r="U691" s="9" t="s">
        <v>17</v>
      </c>
      <c r="AI691" s="6" t="s">
        <v>18</v>
      </c>
      <c r="AJ691" s="12" t="s">
        <v>4702</v>
      </c>
      <c r="AL691" s="13" t="s">
        <v>1921</v>
      </c>
    </row>
    <row r="692">
      <c r="A692" s="5" t="s">
        <v>4703</v>
      </c>
      <c r="B692" s="5" t="s">
        <v>4704</v>
      </c>
      <c r="C692" s="5" t="s">
        <v>4705</v>
      </c>
      <c r="D692" s="5" t="s">
        <v>8</v>
      </c>
      <c r="E692" s="6"/>
      <c r="F692" s="6"/>
      <c r="G692" s="7" t="s">
        <v>4706</v>
      </c>
      <c r="I692" s="8" t="s">
        <v>4707</v>
      </c>
      <c r="J692" s="9">
        <v>11.9</v>
      </c>
      <c r="K692" s="10" t="s">
        <v>11</v>
      </c>
      <c r="L692" s="6"/>
      <c r="M692" s="11" t="s">
        <v>12</v>
      </c>
      <c r="N692" s="6" t="s">
        <v>4708</v>
      </c>
      <c r="O692" s="6" t="s">
        <v>4709</v>
      </c>
      <c r="P692" s="10" t="s">
        <v>15</v>
      </c>
      <c r="Q692" s="6"/>
      <c r="R692" s="6"/>
      <c r="S692" s="6"/>
      <c r="T692" s="6" t="s">
        <v>16</v>
      </c>
      <c r="U692" s="9" t="s">
        <v>17</v>
      </c>
      <c r="AI692" s="6" t="s">
        <v>18</v>
      </c>
      <c r="AJ692" s="12" t="s">
        <v>4710</v>
      </c>
      <c r="AL692" s="13" t="s">
        <v>1921</v>
      </c>
    </row>
    <row r="693">
      <c r="A693" s="5" t="s">
        <v>4711</v>
      </c>
      <c r="B693" s="5" t="s">
        <v>4712</v>
      </c>
      <c r="C693" s="5" t="s">
        <v>4713</v>
      </c>
      <c r="D693" s="5" t="s">
        <v>8</v>
      </c>
      <c r="E693" s="6"/>
      <c r="F693" s="6"/>
      <c r="G693" s="7" t="s">
        <v>4714</v>
      </c>
      <c r="I693" s="8" t="s">
        <v>4715</v>
      </c>
      <c r="J693" s="9">
        <v>13.8</v>
      </c>
      <c r="K693" s="10" t="s">
        <v>11</v>
      </c>
      <c r="L693" s="6"/>
      <c r="M693" s="11" t="s">
        <v>12</v>
      </c>
      <c r="N693" s="6" t="s">
        <v>4716</v>
      </c>
      <c r="O693" s="6" t="s">
        <v>4717</v>
      </c>
      <c r="P693" s="10" t="s">
        <v>15</v>
      </c>
      <c r="Q693" s="6"/>
      <c r="R693" s="6"/>
      <c r="S693" s="6"/>
      <c r="T693" s="6" t="s">
        <v>16</v>
      </c>
      <c r="U693" s="9" t="s">
        <v>17</v>
      </c>
      <c r="AI693" s="6" t="s">
        <v>18</v>
      </c>
      <c r="AJ693" s="12" t="s">
        <v>4718</v>
      </c>
      <c r="AL693" s="13" t="s">
        <v>1921</v>
      </c>
    </row>
    <row r="694">
      <c r="A694" s="5" t="s">
        <v>4719</v>
      </c>
      <c r="B694" s="5" t="s">
        <v>4720</v>
      </c>
      <c r="C694" s="5" t="s">
        <v>4721</v>
      </c>
      <c r="D694" s="5" t="s">
        <v>8</v>
      </c>
      <c r="E694" s="6"/>
      <c r="F694" s="6"/>
      <c r="G694" s="7" t="s">
        <v>4722</v>
      </c>
      <c r="I694" s="8" t="s">
        <v>4723</v>
      </c>
      <c r="J694" s="9">
        <v>11.6</v>
      </c>
      <c r="K694" s="10" t="s">
        <v>11</v>
      </c>
      <c r="L694" s="6"/>
      <c r="M694" s="11" t="s">
        <v>12</v>
      </c>
      <c r="N694" s="6" t="s">
        <v>4724</v>
      </c>
      <c r="O694" s="6" t="s">
        <v>4725</v>
      </c>
      <c r="P694" s="10" t="s">
        <v>15</v>
      </c>
      <c r="Q694" s="6"/>
      <c r="R694" s="6"/>
      <c r="S694" s="6"/>
      <c r="T694" s="6" t="s">
        <v>16</v>
      </c>
      <c r="U694" s="9" t="s">
        <v>17</v>
      </c>
      <c r="AI694" s="6" t="s">
        <v>18</v>
      </c>
      <c r="AJ694" s="12" t="s">
        <v>4726</v>
      </c>
      <c r="AL694" s="13" t="s">
        <v>1921</v>
      </c>
    </row>
    <row r="695">
      <c r="A695" s="5" t="s">
        <v>4727</v>
      </c>
      <c r="B695" s="5" t="s">
        <v>4728</v>
      </c>
      <c r="C695" s="5" t="s">
        <v>4721</v>
      </c>
      <c r="D695" s="5" t="s">
        <v>8</v>
      </c>
      <c r="E695" s="6"/>
      <c r="F695" s="6"/>
      <c r="G695" s="7" t="s">
        <v>4729</v>
      </c>
      <c r="I695" s="8" t="s">
        <v>4730</v>
      </c>
      <c r="J695" s="9">
        <v>34.8</v>
      </c>
      <c r="K695" s="10">
        <v>31.32</v>
      </c>
      <c r="L695" s="6"/>
      <c r="M695" s="11" t="s">
        <v>17</v>
      </c>
      <c r="N695" s="6"/>
      <c r="O695" s="6" t="s">
        <v>4731</v>
      </c>
      <c r="P695" s="10" t="s">
        <v>15</v>
      </c>
      <c r="Q695" s="6"/>
      <c r="R695" s="6"/>
      <c r="S695" s="6"/>
      <c r="T695" s="6" t="s">
        <v>16</v>
      </c>
      <c r="U695" s="9" t="s">
        <v>17</v>
      </c>
      <c r="AI695" s="6" t="s">
        <v>18</v>
      </c>
      <c r="AJ695" s="12" t="s">
        <v>4726</v>
      </c>
      <c r="AL695" s="13" t="s">
        <v>1921</v>
      </c>
    </row>
    <row r="696">
      <c r="A696" s="5" t="s">
        <v>4732</v>
      </c>
      <c r="B696" s="5" t="s">
        <v>4733</v>
      </c>
      <c r="C696" s="5" t="s">
        <v>4734</v>
      </c>
      <c r="D696" s="5" t="s">
        <v>8</v>
      </c>
      <c r="E696" s="6"/>
      <c r="F696" s="6"/>
      <c r="G696" s="7" t="s">
        <v>4735</v>
      </c>
      <c r="I696" s="8" t="s">
        <v>4736</v>
      </c>
      <c r="J696" s="9">
        <v>29.9</v>
      </c>
      <c r="K696" s="10" t="s">
        <v>11</v>
      </c>
      <c r="L696" s="6"/>
      <c r="M696" s="11" t="s">
        <v>12</v>
      </c>
      <c r="N696" s="6" t="s">
        <v>4737</v>
      </c>
      <c r="O696" s="6" t="s">
        <v>4738</v>
      </c>
      <c r="P696" s="10" t="s">
        <v>15</v>
      </c>
      <c r="Q696" s="6"/>
      <c r="R696" s="6"/>
      <c r="S696" s="6"/>
      <c r="T696" s="6" t="s">
        <v>16</v>
      </c>
      <c r="U696" s="9" t="s">
        <v>17</v>
      </c>
      <c r="AI696" s="6" t="s">
        <v>4739</v>
      </c>
      <c r="AJ696" s="12" t="s">
        <v>4740</v>
      </c>
      <c r="AL696" s="13" t="s">
        <v>4741</v>
      </c>
    </row>
    <row r="697">
      <c r="A697" s="5" t="s">
        <v>4742</v>
      </c>
      <c r="B697" s="5" t="s">
        <v>4743</v>
      </c>
      <c r="C697" s="5" t="s">
        <v>4734</v>
      </c>
      <c r="D697" s="5" t="s">
        <v>8</v>
      </c>
      <c r="E697" s="6"/>
      <c r="F697" s="6"/>
      <c r="G697" s="7" t="s">
        <v>4744</v>
      </c>
      <c r="I697" s="8" t="s">
        <v>4745</v>
      </c>
      <c r="J697" s="9">
        <v>41.9</v>
      </c>
      <c r="K697" s="10" t="s">
        <v>11</v>
      </c>
      <c r="L697" s="6"/>
      <c r="M697" s="11" t="s">
        <v>12</v>
      </c>
      <c r="N697" s="6" t="s">
        <v>4746</v>
      </c>
      <c r="O697" s="6" t="s">
        <v>4747</v>
      </c>
      <c r="P697" s="10" t="s">
        <v>15</v>
      </c>
      <c r="Q697" s="6"/>
      <c r="R697" s="6"/>
      <c r="S697" s="6"/>
      <c r="T697" s="6" t="s">
        <v>16</v>
      </c>
      <c r="U697" s="9" t="s">
        <v>17</v>
      </c>
      <c r="AI697" s="6" t="s">
        <v>4739</v>
      </c>
      <c r="AJ697" s="12" t="s">
        <v>4740</v>
      </c>
      <c r="AL697" s="13" t="s">
        <v>4741</v>
      </c>
    </row>
    <row r="698">
      <c r="A698" s="5" t="s">
        <v>4748</v>
      </c>
      <c r="B698" s="5" t="s">
        <v>4749</v>
      </c>
      <c r="C698" s="5" t="s">
        <v>4750</v>
      </c>
      <c r="D698" s="5" t="s">
        <v>8</v>
      </c>
      <c r="E698" s="6"/>
      <c r="F698" s="6"/>
      <c r="G698" s="7" t="s">
        <v>4751</v>
      </c>
      <c r="I698" s="8" t="s">
        <v>4752</v>
      </c>
      <c r="J698" s="9">
        <v>28.9</v>
      </c>
      <c r="K698" s="10" t="s">
        <v>11</v>
      </c>
      <c r="L698" s="6"/>
      <c r="M698" s="11" t="s">
        <v>12</v>
      </c>
      <c r="N698" s="6" t="s">
        <v>4753</v>
      </c>
      <c r="O698" s="6" t="s">
        <v>4754</v>
      </c>
      <c r="P698" s="10" t="s">
        <v>15</v>
      </c>
      <c r="Q698" s="6"/>
      <c r="R698" s="6"/>
      <c r="S698" s="6"/>
      <c r="T698" s="6" t="s">
        <v>16</v>
      </c>
      <c r="U698" s="9" t="s">
        <v>17</v>
      </c>
      <c r="AI698" s="6" t="s">
        <v>4739</v>
      </c>
      <c r="AJ698" s="12" t="s">
        <v>4755</v>
      </c>
      <c r="AL698" s="13" t="s">
        <v>4741</v>
      </c>
    </row>
    <row r="699">
      <c r="A699" s="5" t="s">
        <v>4756</v>
      </c>
      <c r="B699" s="5" t="s">
        <v>4757</v>
      </c>
      <c r="C699" s="5" t="s">
        <v>4750</v>
      </c>
      <c r="D699" s="5" t="s">
        <v>8</v>
      </c>
      <c r="E699" s="6"/>
      <c r="F699" s="6"/>
      <c r="G699" s="7" t="s">
        <v>4758</v>
      </c>
      <c r="I699" s="8" t="s">
        <v>4759</v>
      </c>
      <c r="J699" s="9">
        <v>39.9</v>
      </c>
      <c r="K699" s="10" t="s">
        <v>11</v>
      </c>
      <c r="L699" s="6"/>
      <c r="M699" s="11" t="s">
        <v>12</v>
      </c>
      <c r="N699" s="6" t="s">
        <v>4760</v>
      </c>
      <c r="O699" s="6" t="s">
        <v>4761</v>
      </c>
      <c r="P699" s="10" t="s">
        <v>15</v>
      </c>
      <c r="Q699" s="6"/>
      <c r="R699" s="6"/>
      <c r="S699" s="6"/>
      <c r="T699" s="6" t="s">
        <v>16</v>
      </c>
      <c r="U699" s="9" t="s">
        <v>17</v>
      </c>
      <c r="AI699" s="6" t="s">
        <v>4739</v>
      </c>
      <c r="AJ699" s="12" t="s">
        <v>4755</v>
      </c>
      <c r="AL699" s="13" t="s">
        <v>4741</v>
      </c>
    </row>
    <row r="700">
      <c r="A700" s="5" t="s">
        <v>4762</v>
      </c>
      <c r="B700" s="5" t="s">
        <v>4763</v>
      </c>
      <c r="C700" s="5"/>
      <c r="D700" s="5" t="s">
        <v>8</v>
      </c>
      <c r="E700" s="6"/>
      <c r="F700" s="6"/>
      <c r="G700" s="7" t="s">
        <v>4764</v>
      </c>
      <c r="I700" s="8" t="s">
        <v>4765</v>
      </c>
      <c r="J700" s="9">
        <v>29.9</v>
      </c>
      <c r="K700" s="10" t="s">
        <v>11</v>
      </c>
      <c r="L700" s="6"/>
      <c r="M700" s="11" t="s">
        <v>12</v>
      </c>
      <c r="N700" s="6" t="s">
        <v>4766</v>
      </c>
      <c r="O700" s="6" t="s">
        <v>4767</v>
      </c>
      <c r="P700" s="10" t="s">
        <v>15</v>
      </c>
      <c r="Q700" s="6"/>
      <c r="R700" s="6"/>
      <c r="S700" s="6"/>
      <c r="T700" s="6" t="s">
        <v>16</v>
      </c>
      <c r="U700" s="9" t="s">
        <v>17</v>
      </c>
      <c r="AI700" s="6" t="s">
        <v>4739</v>
      </c>
      <c r="AJ700" s="12" t="s">
        <v>4768</v>
      </c>
      <c r="AL700" s="13" t="s">
        <v>4741</v>
      </c>
    </row>
    <row r="701">
      <c r="A701" s="5" t="s">
        <v>4769</v>
      </c>
      <c r="B701" s="5" t="s">
        <v>4770</v>
      </c>
      <c r="C701" s="5" t="s">
        <v>4771</v>
      </c>
      <c r="D701" s="5" t="s">
        <v>8</v>
      </c>
      <c r="E701" s="6"/>
      <c r="F701" s="6"/>
      <c r="G701" s="7" t="s">
        <v>4772</v>
      </c>
      <c r="I701" s="8" t="s">
        <v>4773</v>
      </c>
      <c r="J701" s="9">
        <v>29.9</v>
      </c>
      <c r="K701" s="10" t="s">
        <v>11</v>
      </c>
      <c r="L701" s="6"/>
      <c r="M701" s="11" t="s">
        <v>12</v>
      </c>
      <c r="N701" s="6" t="s">
        <v>4774</v>
      </c>
      <c r="O701" s="6" t="s">
        <v>4775</v>
      </c>
      <c r="P701" s="10" t="s">
        <v>15</v>
      </c>
      <c r="Q701" s="6"/>
      <c r="R701" s="6"/>
      <c r="S701" s="6"/>
      <c r="T701" s="6" t="s">
        <v>16</v>
      </c>
      <c r="U701" s="9" t="s">
        <v>17</v>
      </c>
      <c r="AI701" s="6" t="s">
        <v>4739</v>
      </c>
      <c r="AJ701" s="12" t="s">
        <v>4776</v>
      </c>
      <c r="AL701" s="13" t="s">
        <v>4741</v>
      </c>
    </row>
    <row r="702">
      <c r="A702" s="5" t="s">
        <v>4777</v>
      </c>
      <c r="B702" s="5" t="s">
        <v>4778</v>
      </c>
      <c r="C702" s="5" t="s">
        <v>4771</v>
      </c>
      <c r="D702" s="17" t="s">
        <v>507</v>
      </c>
      <c r="E702" s="6"/>
      <c r="F702" s="6"/>
      <c r="G702" s="7" t="s">
        <v>4779</v>
      </c>
      <c r="I702" s="8" t="s">
        <v>4780</v>
      </c>
      <c r="J702" s="9">
        <v>40.9</v>
      </c>
      <c r="K702" s="10" t="s">
        <v>11</v>
      </c>
      <c r="L702" s="6"/>
      <c r="M702" s="11" t="s">
        <v>12</v>
      </c>
      <c r="N702" s="6" t="s">
        <v>4781</v>
      </c>
      <c r="O702" s="6" t="s">
        <v>4782</v>
      </c>
      <c r="P702" s="10" t="s">
        <v>15</v>
      </c>
      <c r="Q702" s="6"/>
      <c r="R702" s="6"/>
      <c r="S702" s="6"/>
      <c r="T702" s="6" t="s">
        <v>16</v>
      </c>
      <c r="U702" s="9" t="s">
        <v>17</v>
      </c>
      <c r="AI702" s="6" t="s">
        <v>4739</v>
      </c>
      <c r="AJ702" s="12" t="s">
        <v>4776</v>
      </c>
      <c r="AL702" s="13" t="s">
        <v>4741</v>
      </c>
    </row>
    <row r="703">
      <c r="A703" s="5" t="s">
        <v>4783</v>
      </c>
      <c r="B703" s="5" t="s">
        <v>4784</v>
      </c>
      <c r="C703" s="5" t="s">
        <v>102</v>
      </c>
      <c r="D703" s="5" t="s">
        <v>8</v>
      </c>
      <c r="E703" s="6"/>
      <c r="F703" s="6"/>
      <c r="G703" s="7" t="s">
        <v>4785</v>
      </c>
      <c r="I703" s="8" t="s">
        <v>4786</v>
      </c>
      <c r="J703" s="9">
        <v>27.9</v>
      </c>
      <c r="K703" s="10" t="s">
        <v>11</v>
      </c>
      <c r="L703" s="6"/>
      <c r="M703" s="11" t="s">
        <v>12</v>
      </c>
      <c r="N703" s="6" t="s">
        <v>4787</v>
      </c>
      <c r="O703" s="6" t="s">
        <v>4788</v>
      </c>
      <c r="P703" s="10" t="s">
        <v>15</v>
      </c>
      <c r="Q703" s="6"/>
      <c r="R703" s="6"/>
      <c r="S703" s="6"/>
      <c r="T703" s="6" t="s">
        <v>16</v>
      </c>
      <c r="U703" s="9" t="s">
        <v>17</v>
      </c>
      <c r="AI703" s="6" t="s">
        <v>4739</v>
      </c>
      <c r="AJ703" s="12" t="s">
        <v>4789</v>
      </c>
      <c r="AL703" s="13" t="s">
        <v>4741</v>
      </c>
    </row>
    <row r="704">
      <c r="A704" s="5" t="s">
        <v>4790</v>
      </c>
      <c r="B704" s="5" t="s">
        <v>4791</v>
      </c>
      <c r="C704" s="5" t="s">
        <v>102</v>
      </c>
      <c r="D704" s="5" t="s">
        <v>8</v>
      </c>
      <c r="E704" s="6"/>
      <c r="F704" s="6"/>
      <c r="G704" s="7" t="s">
        <v>4792</v>
      </c>
      <c r="I704" s="8" t="s">
        <v>4793</v>
      </c>
      <c r="J704" s="9">
        <v>38.9</v>
      </c>
      <c r="K704" s="10" t="s">
        <v>11</v>
      </c>
      <c r="L704" s="6"/>
      <c r="M704" s="11" t="s">
        <v>12</v>
      </c>
      <c r="N704" s="6" t="s">
        <v>4794</v>
      </c>
      <c r="O704" s="6" t="s">
        <v>4795</v>
      </c>
      <c r="P704" s="10" t="s">
        <v>15</v>
      </c>
      <c r="Q704" s="6"/>
      <c r="R704" s="6"/>
      <c r="S704" s="6"/>
      <c r="T704" s="6" t="s">
        <v>16</v>
      </c>
      <c r="U704" s="9" t="s">
        <v>17</v>
      </c>
      <c r="AI704" s="6" t="s">
        <v>4739</v>
      </c>
      <c r="AJ704" s="12" t="s">
        <v>4789</v>
      </c>
      <c r="AL704" s="13" t="s">
        <v>4741</v>
      </c>
    </row>
    <row r="705">
      <c r="A705" s="5" t="s">
        <v>4796</v>
      </c>
      <c r="B705" s="5" t="s">
        <v>4797</v>
      </c>
      <c r="C705" s="5" t="s">
        <v>4798</v>
      </c>
      <c r="D705" s="5" t="s">
        <v>8</v>
      </c>
      <c r="E705" s="6"/>
      <c r="F705" s="6"/>
      <c r="G705" s="7" t="s">
        <v>4799</v>
      </c>
      <c r="I705" s="8" t="s">
        <v>4800</v>
      </c>
      <c r="J705" s="9">
        <v>28.9</v>
      </c>
      <c r="K705" s="10" t="s">
        <v>11</v>
      </c>
      <c r="L705" s="6"/>
      <c r="M705" s="11" t="s">
        <v>12</v>
      </c>
      <c r="N705" s="6" t="s">
        <v>4801</v>
      </c>
      <c r="O705" s="6" t="s">
        <v>4802</v>
      </c>
      <c r="P705" s="10" t="s">
        <v>15</v>
      </c>
      <c r="Q705" s="6"/>
      <c r="R705" s="6"/>
      <c r="S705" s="6"/>
      <c r="T705" s="6" t="s">
        <v>16</v>
      </c>
      <c r="U705" s="9" t="s">
        <v>17</v>
      </c>
      <c r="AI705" s="6" t="s">
        <v>4739</v>
      </c>
      <c r="AJ705" s="12" t="s">
        <v>4803</v>
      </c>
      <c r="AL705" s="13" t="s">
        <v>4741</v>
      </c>
    </row>
    <row r="706">
      <c r="A706" s="5" t="s">
        <v>4804</v>
      </c>
      <c r="B706" s="5" t="s">
        <v>4805</v>
      </c>
      <c r="C706" s="5" t="s">
        <v>4798</v>
      </c>
      <c r="D706" s="5" t="s">
        <v>8</v>
      </c>
      <c r="E706" s="6"/>
      <c r="F706" s="6"/>
      <c r="G706" s="7" t="s">
        <v>4806</v>
      </c>
      <c r="I706" s="8" t="s">
        <v>4807</v>
      </c>
      <c r="J706" s="9">
        <v>39.9</v>
      </c>
      <c r="K706" s="10" t="s">
        <v>11</v>
      </c>
      <c r="L706" s="6"/>
      <c r="M706" s="11" t="s">
        <v>12</v>
      </c>
      <c r="N706" s="6" t="s">
        <v>4808</v>
      </c>
      <c r="O706" s="6" t="s">
        <v>4809</v>
      </c>
      <c r="P706" s="10" t="s">
        <v>15</v>
      </c>
      <c r="Q706" s="6"/>
      <c r="R706" s="6"/>
      <c r="S706" s="6"/>
      <c r="T706" s="6" t="s">
        <v>16</v>
      </c>
      <c r="U706" s="9" t="s">
        <v>17</v>
      </c>
      <c r="AI706" s="6" t="s">
        <v>4739</v>
      </c>
      <c r="AJ706" s="12" t="s">
        <v>4803</v>
      </c>
      <c r="AL706" s="13" t="s">
        <v>4741</v>
      </c>
    </row>
    <row r="707">
      <c r="A707" s="5" t="s">
        <v>4810</v>
      </c>
      <c r="B707" s="5" t="s">
        <v>4811</v>
      </c>
      <c r="C707" s="5" t="s">
        <v>4812</v>
      </c>
      <c r="D707" s="5" t="s">
        <v>8</v>
      </c>
      <c r="E707" s="6"/>
      <c r="F707" s="6"/>
      <c r="G707" s="7" t="s">
        <v>4813</v>
      </c>
      <c r="I707" s="8" t="s">
        <v>4814</v>
      </c>
      <c r="J707" s="9">
        <v>27.9</v>
      </c>
      <c r="K707" s="10" t="s">
        <v>11</v>
      </c>
      <c r="L707" s="6"/>
      <c r="M707" s="11" t="s">
        <v>12</v>
      </c>
      <c r="N707" s="6" t="s">
        <v>4815</v>
      </c>
      <c r="O707" s="6" t="s">
        <v>4816</v>
      </c>
      <c r="P707" s="10" t="s">
        <v>15</v>
      </c>
      <c r="Q707" s="6"/>
      <c r="R707" s="6"/>
      <c r="S707" s="6"/>
      <c r="T707" s="6" t="s">
        <v>16</v>
      </c>
      <c r="U707" s="9" t="s">
        <v>17</v>
      </c>
      <c r="AI707" s="6" t="s">
        <v>4739</v>
      </c>
      <c r="AJ707" s="12" t="s">
        <v>4817</v>
      </c>
      <c r="AL707" s="13" t="s">
        <v>4741</v>
      </c>
    </row>
    <row r="708">
      <c r="A708" s="5" t="s">
        <v>4818</v>
      </c>
      <c r="B708" s="5" t="s">
        <v>4819</v>
      </c>
      <c r="C708" s="5" t="s">
        <v>4812</v>
      </c>
      <c r="D708" s="5" t="s">
        <v>8</v>
      </c>
      <c r="E708" s="6"/>
      <c r="F708" s="6"/>
      <c r="G708" s="7" t="s">
        <v>4820</v>
      </c>
      <c r="I708" s="8" t="s">
        <v>4821</v>
      </c>
      <c r="J708" s="9">
        <v>38.9</v>
      </c>
      <c r="K708" s="10" t="s">
        <v>11</v>
      </c>
      <c r="L708" s="6"/>
      <c r="M708" s="11" t="s">
        <v>12</v>
      </c>
      <c r="N708" s="6" t="s">
        <v>4822</v>
      </c>
      <c r="O708" s="6" t="s">
        <v>4823</v>
      </c>
      <c r="P708" s="10" t="s">
        <v>15</v>
      </c>
      <c r="Q708" s="6"/>
      <c r="R708" s="6"/>
      <c r="S708" s="6"/>
      <c r="T708" s="6" t="s">
        <v>16</v>
      </c>
      <c r="U708" s="9" t="s">
        <v>17</v>
      </c>
      <c r="AI708" s="6" t="s">
        <v>4739</v>
      </c>
      <c r="AJ708" s="12" t="s">
        <v>4817</v>
      </c>
      <c r="AL708" s="13" t="s">
        <v>4741</v>
      </c>
    </row>
    <row r="709">
      <c r="A709" s="5" t="s">
        <v>4824</v>
      </c>
      <c r="B709" s="5" t="s">
        <v>4825</v>
      </c>
      <c r="C709" s="5" t="s">
        <v>4826</v>
      </c>
      <c r="D709" s="5" t="s">
        <v>8</v>
      </c>
      <c r="E709" s="6"/>
      <c r="F709" s="6"/>
      <c r="G709" s="7" t="s">
        <v>4827</v>
      </c>
      <c r="I709" s="8" t="s">
        <v>4828</v>
      </c>
      <c r="J709" s="9">
        <v>29.9</v>
      </c>
      <c r="K709" s="10" t="s">
        <v>11</v>
      </c>
      <c r="L709" s="6"/>
      <c r="M709" s="11" t="s">
        <v>12</v>
      </c>
      <c r="N709" s="6" t="s">
        <v>4829</v>
      </c>
      <c r="O709" s="6" t="s">
        <v>4830</v>
      </c>
      <c r="P709" s="10" t="s">
        <v>15</v>
      </c>
      <c r="Q709" s="6"/>
      <c r="R709" s="6"/>
      <c r="S709" s="6"/>
      <c r="T709" s="6" t="s">
        <v>16</v>
      </c>
      <c r="U709" s="9" t="s">
        <v>17</v>
      </c>
      <c r="AI709" s="6" t="s">
        <v>4739</v>
      </c>
      <c r="AJ709" s="12" t="s">
        <v>4831</v>
      </c>
      <c r="AL709" s="13" t="s">
        <v>4741</v>
      </c>
    </row>
    <row r="710">
      <c r="A710" s="5" t="s">
        <v>4832</v>
      </c>
      <c r="B710" s="5" t="s">
        <v>4833</v>
      </c>
      <c r="C710" s="5" t="s">
        <v>4826</v>
      </c>
      <c r="D710" s="17" t="s">
        <v>507</v>
      </c>
      <c r="E710" s="6"/>
      <c r="F710" s="6"/>
      <c r="G710" s="7" t="s">
        <v>4834</v>
      </c>
      <c r="I710" s="8" t="s">
        <v>4835</v>
      </c>
      <c r="J710" s="9">
        <v>40.9</v>
      </c>
      <c r="K710" s="10" t="s">
        <v>11</v>
      </c>
      <c r="L710" s="6"/>
      <c r="M710" s="11" t="s">
        <v>12</v>
      </c>
      <c r="N710" s="6" t="s">
        <v>4836</v>
      </c>
      <c r="O710" s="6" t="s">
        <v>4837</v>
      </c>
      <c r="P710" s="10" t="s">
        <v>15</v>
      </c>
      <c r="Q710" s="6"/>
      <c r="R710" s="6"/>
      <c r="S710" s="6"/>
      <c r="T710" s="6" t="s">
        <v>16</v>
      </c>
      <c r="U710" s="9" t="s">
        <v>17</v>
      </c>
      <c r="AI710" s="6" t="s">
        <v>4739</v>
      </c>
      <c r="AJ710" s="12" t="s">
        <v>4831</v>
      </c>
      <c r="AL710" s="13" t="s">
        <v>4741</v>
      </c>
    </row>
    <row r="711">
      <c r="A711" s="5" t="s">
        <v>4838</v>
      </c>
      <c r="B711" s="5" t="s">
        <v>4839</v>
      </c>
      <c r="C711" s="5" t="s">
        <v>4840</v>
      </c>
      <c r="D711" s="5" t="s">
        <v>8</v>
      </c>
      <c r="E711" s="6"/>
      <c r="F711" s="6"/>
      <c r="G711" s="7" t="s">
        <v>4841</v>
      </c>
      <c r="I711" s="8" t="s">
        <v>4842</v>
      </c>
      <c r="J711" s="9">
        <v>31.9</v>
      </c>
      <c r="K711" s="10" t="s">
        <v>11</v>
      </c>
      <c r="L711" s="6"/>
      <c r="M711" s="11" t="s">
        <v>12</v>
      </c>
      <c r="N711" s="6" t="s">
        <v>4843</v>
      </c>
      <c r="O711" s="6" t="s">
        <v>4844</v>
      </c>
      <c r="P711" s="10" t="s">
        <v>15</v>
      </c>
      <c r="Q711" s="6"/>
      <c r="R711" s="6"/>
      <c r="S711" s="6"/>
      <c r="T711" s="6" t="s">
        <v>16</v>
      </c>
      <c r="U711" s="9" t="s">
        <v>17</v>
      </c>
      <c r="AI711" s="6" t="s">
        <v>4739</v>
      </c>
      <c r="AJ711" s="12" t="s">
        <v>4845</v>
      </c>
      <c r="AL711" s="13" t="s">
        <v>4741</v>
      </c>
    </row>
    <row r="712">
      <c r="A712" s="5" t="s">
        <v>4846</v>
      </c>
      <c r="B712" s="5" t="s">
        <v>4847</v>
      </c>
      <c r="C712" s="5" t="s">
        <v>4840</v>
      </c>
      <c r="D712" s="5" t="s">
        <v>8</v>
      </c>
      <c r="E712" s="6"/>
      <c r="F712" s="6"/>
      <c r="G712" s="7" t="s">
        <v>4848</v>
      </c>
      <c r="I712" s="8" t="s">
        <v>4849</v>
      </c>
      <c r="J712" s="9">
        <v>43.9</v>
      </c>
      <c r="K712" s="10" t="s">
        <v>11</v>
      </c>
      <c r="L712" s="6"/>
      <c r="M712" s="11" t="s">
        <v>12</v>
      </c>
      <c r="N712" s="6" t="s">
        <v>4850</v>
      </c>
      <c r="O712" s="6" t="s">
        <v>4851</v>
      </c>
      <c r="P712" s="10" t="s">
        <v>15</v>
      </c>
      <c r="Q712" s="6"/>
      <c r="R712" s="6"/>
      <c r="S712" s="6"/>
      <c r="T712" s="6" t="s">
        <v>16</v>
      </c>
      <c r="U712" s="9" t="s">
        <v>17</v>
      </c>
      <c r="AI712" s="6" t="s">
        <v>4739</v>
      </c>
      <c r="AJ712" s="12" t="s">
        <v>4845</v>
      </c>
      <c r="AL712" s="13" t="s">
        <v>4741</v>
      </c>
    </row>
    <row r="713">
      <c r="A713" s="5" t="s">
        <v>4852</v>
      </c>
      <c r="B713" s="5" t="s">
        <v>4853</v>
      </c>
      <c r="C713" s="5" t="s">
        <v>4854</v>
      </c>
      <c r="D713" s="5" t="s">
        <v>8</v>
      </c>
      <c r="E713" s="6"/>
      <c r="F713" s="6"/>
      <c r="G713" s="7" t="s">
        <v>4855</v>
      </c>
      <c r="I713" s="8" t="s">
        <v>4856</v>
      </c>
      <c r="J713" s="9">
        <v>28.9</v>
      </c>
      <c r="K713" s="10" t="s">
        <v>11</v>
      </c>
      <c r="L713" s="6"/>
      <c r="M713" s="11" t="s">
        <v>12</v>
      </c>
      <c r="N713" s="6" t="s">
        <v>4857</v>
      </c>
      <c r="O713" s="6" t="s">
        <v>4858</v>
      </c>
      <c r="P713" s="10" t="s">
        <v>15</v>
      </c>
      <c r="Q713" s="6"/>
      <c r="R713" s="6"/>
      <c r="S713" s="6"/>
      <c r="T713" s="6" t="s">
        <v>16</v>
      </c>
      <c r="U713" s="9" t="s">
        <v>17</v>
      </c>
      <c r="AI713" s="6" t="s">
        <v>4739</v>
      </c>
      <c r="AJ713" s="12" t="s">
        <v>4859</v>
      </c>
      <c r="AL713" s="13" t="s">
        <v>4741</v>
      </c>
    </row>
    <row r="714">
      <c r="A714" s="5" t="s">
        <v>4860</v>
      </c>
      <c r="B714" s="5" t="s">
        <v>4861</v>
      </c>
      <c r="C714" s="5" t="s">
        <v>4854</v>
      </c>
      <c r="D714" s="5" t="s">
        <v>8</v>
      </c>
      <c r="E714" s="6"/>
      <c r="F714" s="6"/>
      <c r="G714" s="7" t="s">
        <v>4862</v>
      </c>
      <c r="I714" s="8" t="s">
        <v>4863</v>
      </c>
      <c r="J714" s="9">
        <v>39.9</v>
      </c>
      <c r="K714" s="10" t="s">
        <v>11</v>
      </c>
      <c r="L714" s="6"/>
      <c r="M714" s="11" t="s">
        <v>12</v>
      </c>
      <c r="N714" s="6" t="s">
        <v>4864</v>
      </c>
      <c r="O714" s="6" t="s">
        <v>4865</v>
      </c>
      <c r="P714" s="10" t="s">
        <v>15</v>
      </c>
      <c r="Q714" s="6"/>
      <c r="R714" s="6"/>
      <c r="S714" s="6"/>
      <c r="T714" s="6" t="s">
        <v>16</v>
      </c>
      <c r="U714" s="9" t="s">
        <v>17</v>
      </c>
      <c r="AI714" s="6" t="s">
        <v>4739</v>
      </c>
      <c r="AJ714" s="12" t="s">
        <v>4859</v>
      </c>
      <c r="AL714" s="13" t="s">
        <v>4741</v>
      </c>
    </row>
    <row r="715">
      <c r="A715" s="5" t="s">
        <v>4866</v>
      </c>
      <c r="B715" s="5" t="s">
        <v>4867</v>
      </c>
      <c r="C715" s="5" t="s">
        <v>4868</v>
      </c>
      <c r="D715" s="5" t="s">
        <v>8</v>
      </c>
      <c r="E715" s="6"/>
      <c r="F715" s="6"/>
      <c r="G715" s="7" t="s">
        <v>4869</v>
      </c>
      <c r="I715" s="8" t="s">
        <v>4870</v>
      </c>
      <c r="J715" s="9">
        <v>28.9</v>
      </c>
      <c r="K715" s="10" t="s">
        <v>11</v>
      </c>
      <c r="L715" s="6"/>
      <c r="M715" s="11" t="s">
        <v>12</v>
      </c>
      <c r="N715" s="6" t="s">
        <v>4871</v>
      </c>
      <c r="O715" s="6" t="s">
        <v>4872</v>
      </c>
      <c r="P715" s="10" t="s">
        <v>15</v>
      </c>
      <c r="Q715" s="6"/>
      <c r="R715" s="6"/>
      <c r="S715" s="6"/>
      <c r="T715" s="6" t="s">
        <v>16</v>
      </c>
      <c r="U715" s="9" t="s">
        <v>17</v>
      </c>
      <c r="AI715" s="6" t="s">
        <v>4739</v>
      </c>
      <c r="AJ715" s="12" t="s">
        <v>4873</v>
      </c>
      <c r="AL715" s="13" t="s">
        <v>4741</v>
      </c>
    </row>
    <row r="716">
      <c r="A716" s="5" t="s">
        <v>4874</v>
      </c>
      <c r="B716" s="5" t="s">
        <v>4875</v>
      </c>
      <c r="C716" s="5" t="s">
        <v>4868</v>
      </c>
      <c r="D716" s="5" t="s">
        <v>8</v>
      </c>
      <c r="E716" s="6"/>
      <c r="F716" s="6"/>
      <c r="G716" s="7" t="s">
        <v>4876</v>
      </c>
      <c r="I716" s="8" t="s">
        <v>4877</v>
      </c>
      <c r="J716" s="9">
        <v>39.9</v>
      </c>
      <c r="K716" s="10" t="s">
        <v>11</v>
      </c>
      <c r="L716" s="6"/>
      <c r="M716" s="11" t="s">
        <v>12</v>
      </c>
      <c r="N716" s="6" t="s">
        <v>4878</v>
      </c>
      <c r="O716" s="6" t="s">
        <v>4879</v>
      </c>
      <c r="P716" s="10" t="s">
        <v>15</v>
      </c>
      <c r="Q716" s="6"/>
      <c r="R716" s="6"/>
      <c r="S716" s="6"/>
      <c r="T716" s="6" t="s">
        <v>16</v>
      </c>
      <c r="U716" s="9" t="s">
        <v>17</v>
      </c>
      <c r="AI716" s="6" t="s">
        <v>4739</v>
      </c>
      <c r="AJ716" s="12" t="s">
        <v>4873</v>
      </c>
      <c r="AL716" s="13" t="s">
        <v>4741</v>
      </c>
    </row>
    <row r="717">
      <c r="A717" s="5" t="s">
        <v>4880</v>
      </c>
      <c r="B717" s="5" t="s">
        <v>4881</v>
      </c>
      <c r="C717" s="5" t="s">
        <v>4882</v>
      </c>
      <c r="D717" s="5" t="s">
        <v>8</v>
      </c>
      <c r="E717" s="6"/>
      <c r="F717" s="6"/>
      <c r="G717" s="7" t="s">
        <v>4883</v>
      </c>
      <c r="I717" s="8" t="s">
        <v>4884</v>
      </c>
      <c r="J717" s="9">
        <v>28.9</v>
      </c>
      <c r="K717" s="10" t="s">
        <v>11</v>
      </c>
      <c r="L717" s="6"/>
      <c r="M717" s="11" t="s">
        <v>12</v>
      </c>
      <c r="N717" s="6" t="s">
        <v>4885</v>
      </c>
      <c r="O717" s="6" t="s">
        <v>4886</v>
      </c>
      <c r="P717" s="10" t="s">
        <v>15</v>
      </c>
      <c r="Q717" s="6"/>
      <c r="R717" s="6"/>
      <c r="S717" s="6"/>
      <c r="T717" s="6" t="s">
        <v>16</v>
      </c>
      <c r="U717" s="9" t="s">
        <v>17</v>
      </c>
      <c r="AI717" s="6" t="s">
        <v>4739</v>
      </c>
      <c r="AJ717" s="12" t="s">
        <v>4887</v>
      </c>
      <c r="AL717" s="13" t="s">
        <v>4741</v>
      </c>
    </row>
    <row r="718">
      <c r="A718" s="5" t="s">
        <v>4888</v>
      </c>
      <c r="B718" s="5" t="s">
        <v>4889</v>
      </c>
      <c r="C718" s="5" t="s">
        <v>4882</v>
      </c>
      <c r="D718" s="17" t="s">
        <v>507</v>
      </c>
      <c r="E718" s="6"/>
      <c r="F718" s="6"/>
      <c r="G718" s="7" t="s">
        <v>4890</v>
      </c>
      <c r="I718" s="8" t="s">
        <v>4891</v>
      </c>
      <c r="J718" s="9">
        <v>39.9</v>
      </c>
      <c r="K718" s="10" t="s">
        <v>11</v>
      </c>
      <c r="L718" s="6"/>
      <c r="M718" s="11" t="s">
        <v>12</v>
      </c>
      <c r="N718" s="6" t="s">
        <v>4892</v>
      </c>
      <c r="O718" s="6" t="s">
        <v>4893</v>
      </c>
      <c r="P718" s="10" t="s">
        <v>15</v>
      </c>
      <c r="Q718" s="6"/>
      <c r="R718" s="6"/>
      <c r="S718" s="6"/>
      <c r="T718" s="6" t="s">
        <v>16</v>
      </c>
      <c r="U718" s="9" t="s">
        <v>17</v>
      </c>
      <c r="AI718" s="6" t="s">
        <v>4739</v>
      </c>
      <c r="AJ718" s="12" t="s">
        <v>4887</v>
      </c>
      <c r="AL718" s="13" t="s">
        <v>4741</v>
      </c>
    </row>
    <row r="719">
      <c r="A719" s="5" t="s">
        <v>4894</v>
      </c>
      <c r="B719" s="5" t="s">
        <v>4895</v>
      </c>
      <c r="C719" s="5" t="s">
        <v>4896</v>
      </c>
      <c r="D719" s="5" t="s">
        <v>8</v>
      </c>
      <c r="E719" s="6"/>
      <c r="F719" s="6"/>
      <c r="G719" s="7" t="s">
        <v>4897</v>
      </c>
      <c r="I719" s="8" t="s">
        <v>4898</v>
      </c>
      <c r="J719" s="9">
        <v>27.9</v>
      </c>
      <c r="K719" s="10" t="s">
        <v>11</v>
      </c>
      <c r="L719" s="6"/>
      <c r="M719" s="11" t="s">
        <v>12</v>
      </c>
      <c r="N719" s="6" t="s">
        <v>4899</v>
      </c>
      <c r="O719" s="6" t="s">
        <v>4900</v>
      </c>
      <c r="P719" s="10" t="s">
        <v>15</v>
      </c>
      <c r="Q719" s="6"/>
      <c r="R719" s="6"/>
      <c r="S719" s="6"/>
      <c r="T719" s="6" t="s">
        <v>16</v>
      </c>
      <c r="U719" s="9" t="s">
        <v>17</v>
      </c>
      <c r="AI719" s="6" t="s">
        <v>4739</v>
      </c>
      <c r="AJ719" s="12" t="s">
        <v>4901</v>
      </c>
      <c r="AL719" s="13" t="s">
        <v>4741</v>
      </c>
    </row>
    <row r="720">
      <c r="A720" s="5" t="s">
        <v>4902</v>
      </c>
      <c r="B720" s="5" t="s">
        <v>4903</v>
      </c>
      <c r="C720" s="5" t="s">
        <v>4896</v>
      </c>
      <c r="D720" s="17" t="s">
        <v>507</v>
      </c>
      <c r="E720" s="6"/>
      <c r="F720" s="6"/>
      <c r="G720" s="7" t="s">
        <v>4904</v>
      </c>
      <c r="I720" s="8" t="s">
        <v>4905</v>
      </c>
      <c r="J720" s="9">
        <v>38.9</v>
      </c>
      <c r="K720" s="10" t="s">
        <v>11</v>
      </c>
      <c r="L720" s="6"/>
      <c r="M720" s="11" t="s">
        <v>12</v>
      </c>
      <c r="N720" s="6" t="s">
        <v>4906</v>
      </c>
      <c r="O720" s="6" t="s">
        <v>4907</v>
      </c>
      <c r="P720" s="10" t="s">
        <v>15</v>
      </c>
      <c r="Q720" s="6"/>
      <c r="R720" s="6"/>
      <c r="S720" s="6"/>
      <c r="T720" s="6" t="s">
        <v>16</v>
      </c>
      <c r="U720" s="9" t="s">
        <v>17</v>
      </c>
      <c r="AI720" s="6" t="s">
        <v>4739</v>
      </c>
      <c r="AJ720" s="12" t="s">
        <v>4901</v>
      </c>
      <c r="AL720" s="13" t="s">
        <v>4741</v>
      </c>
    </row>
    <row r="721">
      <c r="A721" s="5" t="s">
        <v>4908</v>
      </c>
      <c r="B721" s="5" t="s">
        <v>4909</v>
      </c>
      <c r="C721" s="5" t="s">
        <v>4910</v>
      </c>
      <c r="D721" s="5" t="s">
        <v>8</v>
      </c>
      <c r="E721" s="6"/>
      <c r="F721" s="6"/>
      <c r="G721" s="7" t="s">
        <v>4911</v>
      </c>
      <c r="I721" s="8" t="s">
        <v>4912</v>
      </c>
      <c r="J721" s="9">
        <v>28.9</v>
      </c>
      <c r="K721" s="10" t="s">
        <v>11</v>
      </c>
      <c r="L721" s="6"/>
      <c r="M721" s="11" t="s">
        <v>12</v>
      </c>
      <c r="N721" s="6" t="s">
        <v>4913</v>
      </c>
      <c r="O721" s="6" t="s">
        <v>4914</v>
      </c>
      <c r="P721" s="10" t="s">
        <v>15</v>
      </c>
      <c r="Q721" s="6"/>
      <c r="R721" s="6"/>
      <c r="S721" s="6"/>
      <c r="T721" s="6" t="s">
        <v>16</v>
      </c>
      <c r="U721" s="9" t="s">
        <v>17</v>
      </c>
      <c r="AI721" s="6" t="s">
        <v>4739</v>
      </c>
      <c r="AJ721" s="12" t="s">
        <v>4915</v>
      </c>
      <c r="AL721" s="13" t="s">
        <v>4741</v>
      </c>
    </row>
    <row r="722">
      <c r="A722" s="5" t="s">
        <v>4916</v>
      </c>
      <c r="B722" s="5" t="s">
        <v>4917</v>
      </c>
      <c r="C722" s="5" t="s">
        <v>4910</v>
      </c>
      <c r="D722" s="17" t="s">
        <v>507</v>
      </c>
      <c r="E722" s="6"/>
      <c r="F722" s="6"/>
      <c r="G722" s="7" t="s">
        <v>4918</v>
      </c>
      <c r="I722" s="8" t="s">
        <v>4919</v>
      </c>
      <c r="J722" s="9">
        <v>42.9</v>
      </c>
      <c r="K722" s="10" t="s">
        <v>11</v>
      </c>
      <c r="L722" s="6"/>
      <c r="M722" s="11" t="s">
        <v>12</v>
      </c>
      <c r="N722" s="6" t="s">
        <v>4920</v>
      </c>
      <c r="O722" s="6" t="s">
        <v>4921</v>
      </c>
      <c r="P722" s="10" t="s">
        <v>15</v>
      </c>
      <c r="Q722" s="6"/>
      <c r="R722" s="6"/>
      <c r="S722" s="6"/>
      <c r="T722" s="6" t="s">
        <v>16</v>
      </c>
      <c r="U722" s="9" t="s">
        <v>17</v>
      </c>
      <c r="AI722" s="6" t="s">
        <v>4739</v>
      </c>
      <c r="AJ722" s="12" t="s">
        <v>4915</v>
      </c>
      <c r="AL722" s="13" t="s">
        <v>4741</v>
      </c>
    </row>
    <row r="723">
      <c r="A723" s="5" t="s">
        <v>4922</v>
      </c>
      <c r="B723" s="5" t="s">
        <v>4923</v>
      </c>
      <c r="C723" s="5" t="s">
        <v>4924</v>
      </c>
      <c r="D723" s="5" t="s">
        <v>8</v>
      </c>
      <c r="E723" s="6"/>
      <c r="F723" s="6"/>
      <c r="G723" s="7" t="s">
        <v>4925</v>
      </c>
      <c r="I723" s="8" t="s">
        <v>4926</v>
      </c>
      <c r="J723" s="9">
        <v>29.9</v>
      </c>
      <c r="K723" s="10" t="s">
        <v>11</v>
      </c>
      <c r="L723" s="6"/>
      <c r="M723" s="11" t="s">
        <v>12</v>
      </c>
      <c r="N723" s="6" t="s">
        <v>4927</v>
      </c>
      <c r="O723" s="6" t="s">
        <v>4928</v>
      </c>
      <c r="P723" s="10" t="s">
        <v>15</v>
      </c>
      <c r="Q723" s="6"/>
      <c r="R723" s="6"/>
      <c r="S723" s="6" t="s">
        <v>4929</v>
      </c>
      <c r="T723" s="6" t="s">
        <v>16</v>
      </c>
      <c r="U723" s="9" t="s">
        <v>17</v>
      </c>
      <c r="AI723" s="6" t="s">
        <v>4930</v>
      </c>
      <c r="AJ723" s="12" t="s">
        <v>4931</v>
      </c>
      <c r="AL723" s="13" t="s">
        <v>4741</v>
      </c>
    </row>
    <row r="724">
      <c r="A724" s="5" t="s">
        <v>4932</v>
      </c>
      <c r="B724" s="5" t="s">
        <v>4933</v>
      </c>
      <c r="C724" s="5" t="s">
        <v>4924</v>
      </c>
      <c r="D724" s="5" t="s">
        <v>8</v>
      </c>
      <c r="E724" s="6"/>
      <c r="F724" s="6"/>
      <c r="G724" s="7" t="s">
        <v>4934</v>
      </c>
      <c r="I724" s="8" t="s">
        <v>4935</v>
      </c>
      <c r="J724" s="9">
        <v>41.9</v>
      </c>
      <c r="K724" s="10" t="s">
        <v>11</v>
      </c>
      <c r="L724" s="6"/>
      <c r="M724" s="11" t="s">
        <v>12</v>
      </c>
      <c r="N724" s="6" t="s">
        <v>4936</v>
      </c>
      <c r="O724" s="6" t="s">
        <v>4937</v>
      </c>
      <c r="P724" s="10" t="s">
        <v>15</v>
      </c>
      <c r="Q724" s="6"/>
      <c r="R724" s="6"/>
      <c r="S724" s="6" t="s">
        <v>4929</v>
      </c>
      <c r="T724" s="6" t="s">
        <v>16</v>
      </c>
      <c r="U724" s="9" t="s">
        <v>17</v>
      </c>
      <c r="AI724" s="6" t="s">
        <v>4930</v>
      </c>
      <c r="AJ724" s="12" t="s">
        <v>4931</v>
      </c>
      <c r="AL724" s="13" t="s">
        <v>4741</v>
      </c>
    </row>
    <row r="725">
      <c r="A725" s="5" t="s">
        <v>4938</v>
      </c>
      <c r="B725" s="5" t="s">
        <v>4939</v>
      </c>
      <c r="C725" s="5" t="s">
        <v>4940</v>
      </c>
      <c r="D725" s="5" t="s">
        <v>8</v>
      </c>
      <c r="E725" s="6"/>
      <c r="F725" s="6"/>
      <c r="G725" s="7" t="s">
        <v>4941</v>
      </c>
      <c r="I725" s="8" t="s">
        <v>4942</v>
      </c>
      <c r="J725" s="9">
        <v>26.9</v>
      </c>
      <c r="K725" s="10" t="s">
        <v>11</v>
      </c>
      <c r="L725" s="6"/>
      <c r="M725" s="11" t="s">
        <v>12</v>
      </c>
      <c r="N725" s="6" t="s">
        <v>4943</v>
      </c>
      <c r="O725" s="6" t="s">
        <v>4944</v>
      </c>
      <c r="P725" s="10" t="s">
        <v>15</v>
      </c>
      <c r="Q725" s="6"/>
      <c r="R725" s="6"/>
      <c r="S725" s="6"/>
      <c r="T725" s="6" t="s">
        <v>16</v>
      </c>
      <c r="U725" s="9" t="s">
        <v>17</v>
      </c>
      <c r="AI725" s="6" t="s">
        <v>4739</v>
      </c>
      <c r="AJ725" s="12" t="s">
        <v>4945</v>
      </c>
      <c r="AL725" s="13" t="s">
        <v>4741</v>
      </c>
    </row>
    <row r="726">
      <c r="A726" s="5" t="s">
        <v>4946</v>
      </c>
      <c r="B726" s="5" t="s">
        <v>4947</v>
      </c>
      <c r="C726" s="5" t="s">
        <v>4940</v>
      </c>
      <c r="D726" s="5" t="s">
        <v>8</v>
      </c>
      <c r="E726" s="6"/>
      <c r="F726" s="6"/>
      <c r="G726" s="7" t="s">
        <v>4948</v>
      </c>
      <c r="I726" s="8" t="s">
        <v>4949</v>
      </c>
      <c r="J726" s="9">
        <v>38.9</v>
      </c>
      <c r="K726" s="10" t="s">
        <v>11</v>
      </c>
      <c r="L726" s="6"/>
      <c r="M726" s="11" t="s">
        <v>12</v>
      </c>
      <c r="N726" s="6" t="s">
        <v>4950</v>
      </c>
      <c r="O726" s="6" t="s">
        <v>4951</v>
      </c>
      <c r="P726" s="10" t="s">
        <v>15</v>
      </c>
      <c r="Q726" s="6"/>
      <c r="R726" s="6"/>
      <c r="S726" s="6"/>
      <c r="T726" s="6" t="s">
        <v>16</v>
      </c>
      <c r="U726" s="9" t="s">
        <v>17</v>
      </c>
      <c r="AI726" s="6" t="s">
        <v>4739</v>
      </c>
      <c r="AJ726" s="12" t="s">
        <v>4945</v>
      </c>
      <c r="AL726" s="13" t="s">
        <v>4741</v>
      </c>
    </row>
    <row r="727">
      <c r="A727" s="5" t="s">
        <v>4952</v>
      </c>
      <c r="B727" s="5" t="s">
        <v>4953</v>
      </c>
      <c r="C727" s="5"/>
      <c r="D727" s="5" t="s">
        <v>8</v>
      </c>
      <c r="E727" s="6"/>
      <c r="F727" s="6"/>
      <c r="G727" s="7" t="s">
        <v>4954</v>
      </c>
      <c r="I727" s="8" t="s">
        <v>4955</v>
      </c>
      <c r="J727" s="9">
        <v>27.9</v>
      </c>
      <c r="K727" s="10" t="s">
        <v>11</v>
      </c>
      <c r="L727" s="6"/>
      <c r="M727" s="11" t="s">
        <v>12</v>
      </c>
      <c r="N727" s="6" t="s">
        <v>4956</v>
      </c>
      <c r="O727" s="6" t="s">
        <v>4957</v>
      </c>
      <c r="P727" s="10" t="s">
        <v>15</v>
      </c>
      <c r="Q727" s="6"/>
      <c r="R727" s="6"/>
      <c r="S727" s="6"/>
      <c r="T727" s="6" t="s">
        <v>16</v>
      </c>
      <c r="U727" s="9" t="s">
        <v>17</v>
      </c>
      <c r="AI727" s="6" t="s">
        <v>4739</v>
      </c>
      <c r="AJ727" s="12" t="s">
        <v>4958</v>
      </c>
      <c r="AL727" s="13" t="s">
        <v>4741</v>
      </c>
    </row>
    <row r="728">
      <c r="A728" s="5" t="s">
        <v>4959</v>
      </c>
      <c r="B728" s="5" t="s">
        <v>4960</v>
      </c>
      <c r="C728" s="5"/>
      <c r="D728" s="5" t="s">
        <v>8</v>
      </c>
      <c r="E728" s="6"/>
      <c r="F728" s="6"/>
      <c r="G728" s="7" t="s">
        <v>4961</v>
      </c>
      <c r="I728" s="8" t="s">
        <v>4962</v>
      </c>
      <c r="J728" s="9">
        <v>38.9</v>
      </c>
      <c r="K728" s="10" t="s">
        <v>11</v>
      </c>
      <c r="L728" s="6"/>
      <c r="M728" s="11" t="s">
        <v>12</v>
      </c>
      <c r="N728" s="6" t="s">
        <v>4963</v>
      </c>
      <c r="O728" s="6" t="s">
        <v>4964</v>
      </c>
      <c r="P728" s="10" t="s">
        <v>15</v>
      </c>
      <c r="Q728" s="6"/>
      <c r="R728" s="6"/>
      <c r="S728" s="6"/>
      <c r="T728" s="6" t="s">
        <v>16</v>
      </c>
      <c r="U728" s="9" t="s">
        <v>17</v>
      </c>
      <c r="AI728" s="6" t="s">
        <v>4739</v>
      </c>
      <c r="AJ728" s="12" t="s">
        <v>4958</v>
      </c>
      <c r="AL728" s="13" t="s">
        <v>4741</v>
      </c>
    </row>
    <row r="729">
      <c r="A729" s="5" t="s">
        <v>4965</v>
      </c>
      <c r="B729" s="5" t="s">
        <v>4966</v>
      </c>
      <c r="C729" s="5" t="s">
        <v>4967</v>
      </c>
      <c r="D729" s="5" t="s">
        <v>8</v>
      </c>
      <c r="E729" s="6"/>
      <c r="F729" s="6"/>
      <c r="G729" s="7" t="s">
        <v>4968</v>
      </c>
      <c r="I729" s="8" t="s">
        <v>4969</v>
      </c>
      <c r="J729" s="9">
        <v>29.9</v>
      </c>
      <c r="K729" s="10" t="s">
        <v>11</v>
      </c>
      <c r="L729" s="6"/>
      <c r="M729" s="11" t="s">
        <v>12</v>
      </c>
      <c r="N729" s="6" t="s">
        <v>4970</v>
      </c>
      <c r="O729" s="6" t="s">
        <v>4971</v>
      </c>
      <c r="P729" s="10" t="s">
        <v>15</v>
      </c>
      <c r="Q729" s="6"/>
      <c r="R729" s="6"/>
      <c r="S729" s="6"/>
      <c r="T729" s="6" t="s">
        <v>16</v>
      </c>
      <c r="U729" s="9" t="s">
        <v>17</v>
      </c>
      <c r="AI729" s="6" t="s">
        <v>4739</v>
      </c>
      <c r="AJ729" s="12" t="s">
        <v>4972</v>
      </c>
      <c r="AL729" s="13" t="s">
        <v>4741</v>
      </c>
    </row>
    <row r="730">
      <c r="A730" s="5" t="s">
        <v>4973</v>
      </c>
      <c r="B730" s="5" t="s">
        <v>4974</v>
      </c>
      <c r="C730" s="5" t="s">
        <v>4967</v>
      </c>
      <c r="D730" s="5" t="s">
        <v>8</v>
      </c>
      <c r="E730" s="6"/>
      <c r="F730" s="6"/>
      <c r="G730" s="7" t="s">
        <v>4975</v>
      </c>
      <c r="I730" s="8" t="s">
        <v>4976</v>
      </c>
      <c r="J730" s="9">
        <v>40.9</v>
      </c>
      <c r="K730" s="10" t="s">
        <v>11</v>
      </c>
      <c r="L730" s="6"/>
      <c r="M730" s="11" t="s">
        <v>12</v>
      </c>
      <c r="N730" s="6" t="s">
        <v>4977</v>
      </c>
      <c r="O730" s="6" t="s">
        <v>4978</v>
      </c>
      <c r="P730" s="10" t="s">
        <v>15</v>
      </c>
      <c r="Q730" s="6"/>
      <c r="R730" s="6"/>
      <c r="S730" s="6"/>
      <c r="T730" s="6" t="s">
        <v>16</v>
      </c>
      <c r="U730" s="9" t="s">
        <v>17</v>
      </c>
      <c r="AI730" s="6" t="s">
        <v>4739</v>
      </c>
      <c r="AJ730" s="12" t="s">
        <v>4972</v>
      </c>
      <c r="AL730" s="13" t="s">
        <v>4741</v>
      </c>
    </row>
    <row r="731">
      <c r="A731" s="5" t="s">
        <v>4979</v>
      </c>
      <c r="B731" s="5" t="s">
        <v>4980</v>
      </c>
      <c r="C731" s="5" t="s">
        <v>4981</v>
      </c>
      <c r="D731" s="5" t="s">
        <v>8</v>
      </c>
      <c r="E731" s="6"/>
      <c r="F731" s="6"/>
      <c r="G731" s="7" t="s">
        <v>4982</v>
      </c>
      <c r="I731" s="8" t="s">
        <v>4983</v>
      </c>
      <c r="J731" s="9">
        <v>29.9</v>
      </c>
      <c r="K731" s="10" t="s">
        <v>11</v>
      </c>
      <c r="L731" s="6"/>
      <c r="M731" s="11" t="s">
        <v>12</v>
      </c>
      <c r="N731" s="6" t="s">
        <v>4984</v>
      </c>
      <c r="O731" s="6" t="s">
        <v>4985</v>
      </c>
      <c r="P731" s="10" t="s">
        <v>15</v>
      </c>
      <c r="Q731" s="6"/>
      <c r="R731" s="6"/>
      <c r="S731" s="6"/>
      <c r="T731" s="6" t="s">
        <v>16</v>
      </c>
      <c r="U731" s="9" t="s">
        <v>17</v>
      </c>
      <c r="AI731" s="6" t="s">
        <v>4739</v>
      </c>
      <c r="AJ731" s="12" t="s">
        <v>4986</v>
      </c>
      <c r="AL731" s="13" t="s">
        <v>4741</v>
      </c>
    </row>
    <row r="732">
      <c r="A732" s="5" t="s">
        <v>4987</v>
      </c>
      <c r="B732" s="5" t="s">
        <v>4988</v>
      </c>
      <c r="C732" s="5" t="s">
        <v>4981</v>
      </c>
      <c r="D732" s="5" t="s">
        <v>8</v>
      </c>
      <c r="E732" s="6"/>
      <c r="F732" s="6"/>
      <c r="G732" s="7" t="s">
        <v>4989</v>
      </c>
      <c r="I732" s="8" t="s">
        <v>4990</v>
      </c>
      <c r="J732" s="9">
        <v>40.9</v>
      </c>
      <c r="K732" s="10" t="s">
        <v>11</v>
      </c>
      <c r="L732" s="6"/>
      <c r="M732" s="11" t="s">
        <v>12</v>
      </c>
      <c r="N732" s="6" t="s">
        <v>4991</v>
      </c>
      <c r="O732" s="6" t="s">
        <v>4992</v>
      </c>
      <c r="P732" s="10" t="s">
        <v>15</v>
      </c>
      <c r="Q732" s="6"/>
      <c r="R732" s="6"/>
      <c r="S732" s="6"/>
      <c r="T732" s="6" t="s">
        <v>16</v>
      </c>
      <c r="U732" s="9" t="s">
        <v>17</v>
      </c>
      <c r="AI732" s="6" t="s">
        <v>4739</v>
      </c>
      <c r="AJ732" s="12" t="s">
        <v>4986</v>
      </c>
      <c r="AL732" s="13" t="s">
        <v>4741</v>
      </c>
    </row>
    <row r="733">
      <c r="A733" s="5" t="s">
        <v>4993</v>
      </c>
      <c r="B733" s="5" t="s">
        <v>4994</v>
      </c>
      <c r="C733" s="5" t="s">
        <v>4995</v>
      </c>
      <c r="D733" s="17" t="s">
        <v>507</v>
      </c>
      <c r="E733" s="6"/>
      <c r="F733" s="6"/>
      <c r="G733" s="7" t="s">
        <v>4996</v>
      </c>
      <c r="I733" s="8" t="s">
        <v>4997</v>
      </c>
      <c r="J733" s="9">
        <v>28.9</v>
      </c>
      <c r="K733" s="10" t="s">
        <v>11</v>
      </c>
      <c r="L733" s="6"/>
      <c r="M733" s="11" t="s">
        <v>12</v>
      </c>
      <c r="N733" s="6" t="s">
        <v>4998</v>
      </c>
      <c r="O733" s="6" t="s">
        <v>4999</v>
      </c>
      <c r="P733" s="10" t="s">
        <v>15</v>
      </c>
      <c r="Q733" s="6"/>
      <c r="R733" s="6"/>
      <c r="S733" s="6"/>
      <c r="T733" s="6" t="s">
        <v>16</v>
      </c>
      <c r="U733" s="9" t="s">
        <v>17</v>
      </c>
      <c r="AI733" s="6" t="s">
        <v>4739</v>
      </c>
      <c r="AJ733" s="12" t="s">
        <v>5000</v>
      </c>
      <c r="AL733" s="13" t="s">
        <v>4741</v>
      </c>
    </row>
    <row r="734">
      <c r="A734" s="5" t="s">
        <v>5001</v>
      </c>
      <c r="B734" s="5" t="s">
        <v>5002</v>
      </c>
      <c r="C734" s="5" t="s">
        <v>4995</v>
      </c>
      <c r="D734" s="17" t="s">
        <v>507</v>
      </c>
      <c r="E734" s="6"/>
      <c r="F734" s="6"/>
      <c r="G734" s="7" t="s">
        <v>5003</v>
      </c>
      <c r="I734" s="8" t="s">
        <v>5004</v>
      </c>
      <c r="J734" s="9">
        <v>39.9</v>
      </c>
      <c r="K734" s="10" t="s">
        <v>11</v>
      </c>
      <c r="L734" s="6"/>
      <c r="M734" s="11" t="s">
        <v>12</v>
      </c>
      <c r="N734" s="6" t="s">
        <v>5005</v>
      </c>
      <c r="O734" s="6" t="s">
        <v>5006</v>
      </c>
      <c r="P734" s="10" t="s">
        <v>15</v>
      </c>
      <c r="Q734" s="6"/>
      <c r="R734" s="6"/>
      <c r="S734" s="6"/>
      <c r="T734" s="6" t="s">
        <v>16</v>
      </c>
      <c r="U734" s="9" t="s">
        <v>17</v>
      </c>
      <c r="AI734" s="6" t="s">
        <v>4739</v>
      </c>
      <c r="AJ734" s="12" t="s">
        <v>5000</v>
      </c>
      <c r="AL734" s="13" t="s">
        <v>4741</v>
      </c>
    </row>
    <row r="735">
      <c r="A735" s="5" t="s">
        <v>5007</v>
      </c>
      <c r="B735" s="5" t="s">
        <v>5008</v>
      </c>
      <c r="C735" s="5" t="s">
        <v>5009</v>
      </c>
      <c r="D735" s="17" t="s">
        <v>507</v>
      </c>
      <c r="E735" s="6"/>
      <c r="F735" s="6"/>
      <c r="G735" s="7" t="s">
        <v>5010</v>
      </c>
      <c r="I735" s="8" t="s">
        <v>5011</v>
      </c>
      <c r="J735" s="9">
        <v>27.9</v>
      </c>
      <c r="K735" s="10" t="s">
        <v>11</v>
      </c>
      <c r="L735" s="6"/>
      <c r="M735" s="11" t="s">
        <v>12</v>
      </c>
      <c r="N735" s="6" t="s">
        <v>5012</v>
      </c>
      <c r="O735" s="6" t="s">
        <v>5013</v>
      </c>
      <c r="P735" s="10" t="s">
        <v>15</v>
      </c>
      <c r="Q735" s="6"/>
      <c r="R735" s="6"/>
      <c r="S735" s="6"/>
      <c r="T735" s="6" t="s">
        <v>16</v>
      </c>
      <c r="U735" s="9" t="s">
        <v>17</v>
      </c>
      <c r="AI735" s="6" t="s">
        <v>4739</v>
      </c>
      <c r="AJ735" s="12" t="s">
        <v>5014</v>
      </c>
      <c r="AL735" s="13" t="s">
        <v>4741</v>
      </c>
    </row>
    <row r="736">
      <c r="A736" s="5" t="s">
        <v>5015</v>
      </c>
      <c r="B736" s="5" t="s">
        <v>5016</v>
      </c>
      <c r="C736" s="5" t="s">
        <v>5009</v>
      </c>
      <c r="D736" s="17" t="s">
        <v>507</v>
      </c>
      <c r="E736" s="6"/>
      <c r="F736" s="6"/>
      <c r="G736" s="7" t="s">
        <v>5017</v>
      </c>
      <c r="I736" s="8" t="s">
        <v>5018</v>
      </c>
      <c r="J736" s="9">
        <v>38.9</v>
      </c>
      <c r="K736" s="10" t="s">
        <v>11</v>
      </c>
      <c r="L736" s="6"/>
      <c r="M736" s="11" t="s">
        <v>12</v>
      </c>
      <c r="N736" s="6" t="s">
        <v>5019</v>
      </c>
      <c r="O736" s="6" t="s">
        <v>5020</v>
      </c>
      <c r="P736" s="10" t="s">
        <v>15</v>
      </c>
      <c r="Q736" s="6"/>
      <c r="R736" s="6"/>
      <c r="S736" s="6"/>
      <c r="T736" s="6" t="s">
        <v>16</v>
      </c>
      <c r="U736" s="9" t="s">
        <v>17</v>
      </c>
      <c r="AI736" s="6" t="s">
        <v>4739</v>
      </c>
      <c r="AJ736" s="12" t="s">
        <v>5014</v>
      </c>
      <c r="AL736" s="13" t="s">
        <v>4741</v>
      </c>
    </row>
    <row r="737">
      <c r="A737" s="5" t="s">
        <v>5021</v>
      </c>
      <c r="B737" s="5" t="s">
        <v>5022</v>
      </c>
      <c r="C737" s="5" t="s">
        <v>5023</v>
      </c>
      <c r="D737" s="17" t="s">
        <v>507</v>
      </c>
      <c r="E737" s="6"/>
      <c r="F737" s="6"/>
      <c r="G737" s="7" t="s">
        <v>5024</v>
      </c>
      <c r="I737" s="8" t="s">
        <v>5025</v>
      </c>
      <c r="J737" s="9">
        <v>28.9</v>
      </c>
      <c r="K737" s="10" t="s">
        <v>11</v>
      </c>
      <c r="L737" s="6"/>
      <c r="M737" s="11" t="s">
        <v>12</v>
      </c>
      <c r="N737" s="6" t="s">
        <v>5026</v>
      </c>
      <c r="O737" s="6" t="s">
        <v>5027</v>
      </c>
      <c r="P737" s="10" t="s">
        <v>15</v>
      </c>
      <c r="Q737" s="6"/>
      <c r="R737" s="6"/>
      <c r="S737" s="6"/>
      <c r="T737" s="6" t="s">
        <v>16</v>
      </c>
      <c r="U737" s="9" t="s">
        <v>17</v>
      </c>
      <c r="AI737" s="6" t="s">
        <v>4739</v>
      </c>
      <c r="AJ737" s="12" t="s">
        <v>5028</v>
      </c>
      <c r="AL737" s="13" t="s">
        <v>4741</v>
      </c>
    </row>
    <row r="738">
      <c r="A738" s="5" t="s">
        <v>5029</v>
      </c>
      <c r="B738" s="5" t="s">
        <v>5030</v>
      </c>
      <c r="C738" s="5" t="s">
        <v>5023</v>
      </c>
      <c r="D738" s="17" t="s">
        <v>507</v>
      </c>
      <c r="E738" s="6"/>
      <c r="F738" s="6"/>
      <c r="G738" s="7" t="s">
        <v>5031</v>
      </c>
      <c r="I738" s="8" t="s">
        <v>5032</v>
      </c>
      <c r="J738" s="9">
        <v>39.9</v>
      </c>
      <c r="K738" s="10" t="s">
        <v>11</v>
      </c>
      <c r="L738" s="6"/>
      <c r="M738" s="11" t="s">
        <v>12</v>
      </c>
      <c r="N738" s="6" t="s">
        <v>5033</v>
      </c>
      <c r="O738" s="6" t="s">
        <v>5034</v>
      </c>
      <c r="P738" s="10" t="s">
        <v>15</v>
      </c>
      <c r="Q738" s="6"/>
      <c r="R738" s="6"/>
      <c r="S738" s="6"/>
      <c r="T738" s="6" t="s">
        <v>16</v>
      </c>
      <c r="U738" s="9" t="s">
        <v>17</v>
      </c>
      <c r="AI738" s="6" t="s">
        <v>4739</v>
      </c>
      <c r="AJ738" s="12" t="s">
        <v>5028</v>
      </c>
      <c r="AL738" s="13" t="s">
        <v>4741</v>
      </c>
    </row>
    <row r="739">
      <c r="A739" s="5" t="s">
        <v>5035</v>
      </c>
      <c r="B739" s="5" t="s">
        <v>5036</v>
      </c>
      <c r="C739" s="5"/>
      <c r="D739" s="17" t="s">
        <v>507</v>
      </c>
      <c r="E739" s="6"/>
      <c r="F739" s="6"/>
      <c r="G739" s="7" t="s">
        <v>5037</v>
      </c>
      <c r="I739" s="8" t="s">
        <v>5038</v>
      </c>
      <c r="J739" s="9">
        <v>31.9</v>
      </c>
      <c r="K739" s="10" t="s">
        <v>11</v>
      </c>
      <c r="L739" s="6"/>
      <c r="M739" s="11" t="s">
        <v>12</v>
      </c>
      <c r="N739" s="6" t="s">
        <v>5039</v>
      </c>
      <c r="O739" s="6" t="s">
        <v>5040</v>
      </c>
      <c r="P739" s="10" t="s">
        <v>15</v>
      </c>
      <c r="Q739" s="6"/>
      <c r="R739" s="6"/>
      <c r="S739" s="6"/>
      <c r="T739" s="6" t="s">
        <v>16</v>
      </c>
      <c r="U739" s="9" t="s">
        <v>17</v>
      </c>
      <c r="AI739" s="6" t="s">
        <v>4739</v>
      </c>
      <c r="AJ739" s="12" t="s">
        <v>5041</v>
      </c>
      <c r="AL739" s="13" t="s">
        <v>4741</v>
      </c>
    </row>
    <row r="740">
      <c r="A740" s="5" t="s">
        <v>5042</v>
      </c>
      <c r="B740" s="5" t="s">
        <v>5043</v>
      </c>
      <c r="C740" s="5"/>
      <c r="D740" s="17" t="s">
        <v>507</v>
      </c>
      <c r="E740" s="6"/>
      <c r="F740" s="6"/>
      <c r="G740" s="7" t="s">
        <v>5044</v>
      </c>
      <c r="I740" s="8" t="s">
        <v>5045</v>
      </c>
      <c r="J740" s="9">
        <v>43.9</v>
      </c>
      <c r="K740" s="10" t="s">
        <v>11</v>
      </c>
      <c r="L740" s="6"/>
      <c r="M740" s="11" t="s">
        <v>12</v>
      </c>
      <c r="N740" s="6" t="s">
        <v>5046</v>
      </c>
      <c r="O740" s="6" t="s">
        <v>5047</v>
      </c>
      <c r="P740" s="10" t="s">
        <v>15</v>
      </c>
      <c r="Q740" s="6"/>
      <c r="R740" s="6"/>
      <c r="S740" s="6"/>
      <c r="T740" s="6" t="s">
        <v>16</v>
      </c>
      <c r="U740" s="9" t="s">
        <v>17</v>
      </c>
      <c r="AI740" s="6" t="s">
        <v>4739</v>
      </c>
      <c r="AJ740" s="12" t="s">
        <v>5041</v>
      </c>
      <c r="AL740" s="13" t="s">
        <v>4741</v>
      </c>
    </row>
    <row r="741">
      <c r="A741" s="5" t="s">
        <v>5048</v>
      </c>
      <c r="B741" s="5" t="s">
        <v>5049</v>
      </c>
      <c r="C741" s="5" t="s">
        <v>5050</v>
      </c>
      <c r="D741" s="5" t="s">
        <v>8</v>
      </c>
      <c r="E741" s="6"/>
      <c r="F741" s="6"/>
      <c r="G741" s="7" t="s">
        <v>5051</v>
      </c>
      <c r="I741" s="8" t="s">
        <v>5052</v>
      </c>
      <c r="J741" s="9">
        <v>27.9</v>
      </c>
      <c r="K741" s="10" t="s">
        <v>11</v>
      </c>
      <c r="L741" s="6"/>
      <c r="M741" s="11" t="s">
        <v>12</v>
      </c>
      <c r="N741" s="6" t="s">
        <v>5053</v>
      </c>
      <c r="O741" s="6" t="s">
        <v>5054</v>
      </c>
      <c r="P741" s="10" t="s">
        <v>15</v>
      </c>
      <c r="Q741" s="6"/>
      <c r="R741" s="6"/>
      <c r="S741" s="6"/>
      <c r="T741" s="6" t="s">
        <v>16</v>
      </c>
      <c r="U741" s="9" t="s">
        <v>17</v>
      </c>
      <c r="AI741" s="6" t="s">
        <v>4739</v>
      </c>
      <c r="AJ741" s="12" t="s">
        <v>5055</v>
      </c>
      <c r="AL741" s="13" t="s">
        <v>4741</v>
      </c>
    </row>
    <row r="742">
      <c r="A742" s="5" t="s">
        <v>5056</v>
      </c>
      <c r="B742" s="5" t="s">
        <v>5057</v>
      </c>
      <c r="C742" s="5" t="s">
        <v>5050</v>
      </c>
      <c r="D742" s="5" t="s">
        <v>8</v>
      </c>
      <c r="E742" s="6"/>
      <c r="F742" s="6"/>
      <c r="G742" s="7" t="s">
        <v>5058</v>
      </c>
      <c r="I742" s="8" t="s">
        <v>5059</v>
      </c>
      <c r="J742" s="9">
        <v>38.9</v>
      </c>
      <c r="K742" s="10" t="s">
        <v>11</v>
      </c>
      <c r="L742" s="6"/>
      <c r="M742" s="11" t="s">
        <v>12</v>
      </c>
      <c r="N742" s="6" t="s">
        <v>5060</v>
      </c>
      <c r="O742" s="6" t="s">
        <v>5061</v>
      </c>
      <c r="P742" s="10" t="s">
        <v>15</v>
      </c>
      <c r="Q742" s="6"/>
      <c r="R742" s="6"/>
      <c r="S742" s="6"/>
      <c r="T742" s="6" t="s">
        <v>16</v>
      </c>
      <c r="U742" s="9" t="s">
        <v>17</v>
      </c>
      <c r="AI742" s="6" t="s">
        <v>4739</v>
      </c>
      <c r="AJ742" s="12" t="s">
        <v>5055</v>
      </c>
      <c r="AL742" s="13" t="s">
        <v>4741</v>
      </c>
    </row>
    <row r="743">
      <c r="A743" s="5" t="s">
        <v>5062</v>
      </c>
      <c r="B743" s="5" t="s">
        <v>5063</v>
      </c>
      <c r="C743" s="5" t="s">
        <v>5064</v>
      </c>
      <c r="D743" s="5" t="s">
        <v>8</v>
      </c>
      <c r="E743" s="6"/>
      <c r="F743" s="6"/>
      <c r="G743" s="7" t="s">
        <v>5065</v>
      </c>
      <c r="I743" s="8" t="s">
        <v>5066</v>
      </c>
      <c r="J743" s="9">
        <v>29.9</v>
      </c>
      <c r="K743" s="10" t="s">
        <v>11</v>
      </c>
      <c r="L743" s="6"/>
      <c r="M743" s="11" t="s">
        <v>12</v>
      </c>
      <c r="N743" s="6" t="s">
        <v>5067</v>
      </c>
      <c r="O743" s="6" t="s">
        <v>5068</v>
      </c>
      <c r="P743" s="10" t="s">
        <v>15</v>
      </c>
      <c r="Q743" s="6"/>
      <c r="R743" s="6"/>
      <c r="S743" s="6"/>
      <c r="T743" s="6" t="s">
        <v>16</v>
      </c>
      <c r="U743" s="9" t="s">
        <v>17</v>
      </c>
      <c r="AI743" s="6" t="s">
        <v>4739</v>
      </c>
      <c r="AJ743" s="12" t="s">
        <v>5069</v>
      </c>
      <c r="AL743" s="13" t="s">
        <v>4741</v>
      </c>
    </row>
    <row r="744">
      <c r="A744" s="5" t="s">
        <v>5070</v>
      </c>
      <c r="B744" s="5" t="s">
        <v>5071</v>
      </c>
      <c r="C744" s="5" t="s">
        <v>5064</v>
      </c>
      <c r="D744" s="5" t="s">
        <v>8</v>
      </c>
      <c r="E744" s="6"/>
      <c r="F744" s="6"/>
      <c r="G744" s="7" t="s">
        <v>5072</v>
      </c>
      <c r="I744" s="8" t="s">
        <v>5073</v>
      </c>
      <c r="J744" s="9">
        <v>41.9</v>
      </c>
      <c r="K744" s="10" t="s">
        <v>11</v>
      </c>
      <c r="L744" s="6"/>
      <c r="M744" s="11" t="s">
        <v>12</v>
      </c>
      <c r="N744" s="6" t="s">
        <v>5074</v>
      </c>
      <c r="O744" s="6" t="s">
        <v>5075</v>
      </c>
      <c r="P744" s="10" t="s">
        <v>15</v>
      </c>
      <c r="Q744" s="6"/>
      <c r="R744" s="6"/>
      <c r="S744" s="6"/>
      <c r="T744" s="6" t="s">
        <v>16</v>
      </c>
      <c r="U744" s="9" t="s">
        <v>17</v>
      </c>
      <c r="AI744" s="6" t="s">
        <v>4739</v>
      </c>
      <c r="AJ744" s="12" t="s">
        <v>5069</v>
      </c>
      <c r="AL744" s="13" t="s">
        <v>4741</v>
      </c>
    </row>
    <row r="745">
      <c r="A745" s="5" t="s">
        <v>5076</v>
      </c>
      <c r="B745" s="5" t="s">
        <v>5077</v>
      </c>
      <c r="C745" s="5" t="s">
        <v>5078</v>
      </c>
      <c r="D745" s="5" t="s">
        <v>8</v>
      </c>
      <c r="E745" s="6"/>
      <c r="F745" s="6"/>
      <c r="G745" s="7" t="s">
        <v>5079</v>
      </c>
      <c r="I745" s="8" t="s">
        <v>5080</v>
      </c>
      <c r="J745" s="9">
        <v>27.9</v>
      </c>
      <c r="K745" s="10" t="s">
        <v>11</v>
      </c>
      <c r="L745" s="6"/>
      <c r="M745" s="11" t="s">
        <v>12</v>
      </c>
      <c r="N745" s="6" t="s">
        <v>5081</v>
      </c>
      <c r="O745" s="6" t="s">
        <v>5082</v>
      </c>
      <c r="P745" s="10" t="s">
        <v>15</v>
      </c>
      <c r="Q745" s="6"/>
      <c r="R745" s="6"/>
      <c r="S745" s="6"/>
      <c r="T745" s="6" t="s">
        <v>16</v>
      </c>
      <c r="U745" s="9" t="s">
        <v>17</v>
      </c>
      <c r="AI745" s="6" t="s">
        <v>4739</v>
      </c>
      <c r="AJ745" s="12" t="s">
        <v>5083</v>
      </c>
      <c r="AL745" s="13" t="s">
        <v>4741</v>
      </c>
    </row>
    <row r="746">
      <c r="A746" s="5" t="s">
        <v>5084</v>
      </c>
      <c r="B746" s="5" t="s">
        <v>5085</v>
      </c>
      <c r="C746" s="5" t="s">
        <v>5078</v>
      </c>
      <c r="D746" s="5" t="s">
        <v>8</v>
      </c>
      <c r="E746" s="6"/>
      <c r="F746" s="6"/>
      <c r="G746" s="7" t="s">
        <v>5086</v>
      </c>
      <c r="I746" s="8" t="s">
        <v>5087</v>
      </c>
      <c r="J746" s="9">
        <v>38.9</v>
      </c>
      <c r="K746" s="10" t="s">
        <v>11</v>
      </c>
      <c r="L746" s="6"/>
      <c r="M746" s="11" t="s">
        <v>12</v>
      </c>
      <c r="N746" s="6" t="s">
        <v>5088</v>
      </c>
      <c r="O746" s="6" t="s">
        <v>5089</v>
      </c>
      <c r="P746" s="10" t="s">
        <v>15</v>
      </c>
      <c r="Q746" s="6"/>
      <c r="R746" s="6"/>
      <c r="S746" s="6"/>
      <c r="T746" s="6" t="s">
        <v>16</v>
      </c>
      <c r="U746" s="9" t="s">
        <v>17</v>
      </c>
      <c r="AI746" s="6" t="s">
        <v>4739</v>
      </c>
      <c r="AJ746" s="12" t="s">
        <v>5083</v>
      </c>
      <c r="AL746" s="13" t="s">
        <v>4741</v>
      </c>
    </row>
    <row r="747">
      <c r="A747" s="5" t="s">
        <v>5090</v>
      </c>
      <c r="B747" s="5" t="s">
        <v>5091</v>
      </c>
      <c r="C747" s="5"/>
      <c r="D747" s="17" t="s">
        <v>507</v>
      </c>
      <c r="E747" s="6"/>
      <c r="F747" s="6"/>
      <c r="G747" s="7" t="s">
        <v>5092</v>
      </c>
      <c r="I747" s="8" t="s">
        <v>5093</v>
      </c>
      <c r="J747" s="9">
        <v>27.9</v>
      </c>
      <c r="K747" s="10" t="s">
        <v>11</v>
      </c>
      <c r="L747" s="6"/>
      <c r="M747" s="11" t="s">
        <v>12</v>
      </c>
      <c r="N747" s="6" t="s">
        <v>5094</v>
      </c>
      <c r="O747" s="6" t="s">
        <v>5095</v>
      </c>
      <c r="P747" s="10" t="s">
        <v>15</v>
      </c>
      <c r="Q747" s="6"/>
      <c r="R747" s="6"/>
      <c r="S747" s="6"/>
      <c r="T747" s="6" t="s">
        <v>16</v>
      </c>
      <c r="U747" s="9" t="s">
        <v>17</v>
      </c>
      <c r="AI747" s="6" t="s">
        <v>4739</v>
      </c>
      <c r="AJ747" s="12" t="s">
        <v>5096</v>
      </c>
      <c r="AL747" s="13" t="s">
        <v>4741</v>
      </c>
    </row>
    <row r="748">
      <c r="A748" s="5" t="s">
        <v>5097</v>
      </c>
      <c r="B748" s="5" t="s">
        <v>5098</v>
      </c>
      <c r="C748" s="5"/>
      <c r="D748" s="17" t="s">
        <v>507</v>
      </c>
      <c r="E748" s="6"/>
      <c r="F748" s="6"/>
      <c r="G748" s="7" t="s">
        <v>5099</v>
      </c>
      <c r="I748" s="8" t="s">
        <v>5100</v>
      </c>
      <c r="J748" s="9">
        <v>38.9</v>
      </c>
      <c r="K748" s="10" t="s">
        <v>11</v>
      </c>
      <c r="L748" s="6"/>
      <c r="M748" s="11" t="s">
        <v>12</v>
      </c>
      <c r="N748" s="6" t="s">
        <v>5101</v>
      </c>
      <c r="O748" s="6" t="s">
        <v>5102</v>
      </c>
      <c r="P748" s="10" t="s">
        <v>15</v>
      </c>
      <c r="Q748" s="6"/>
      <c r="R748" s="6"/>
      <c r="S748" s="6"/>
      <c r="T748" s="6" t="s">
        <v>16</v>
      </c>
      <c r="U748" s="9" t="s">
        <v>17</v>
      </c>
      <c r="AI748" s="6" t="s">
        <v>4739</v>
      </c>
      <c r="AJ748" s="12" t="s">
        <v>5096</v>
      </c>
      <c r="AL748" s="13" t="s">
        <v>4741</v>
      </c>
    </row>
    <row r="749">
      <c r="A749" s="5" t="s">
        <v>5103</v>
      </c>
      <c r="B749" s="5" t="s">
        <v>5104</v>
      </c>
      <c r="C749" s="5" t="s">
        <v>102</v>
      </c>
      <c r="D749" s="5" t="s">
        <v>8</v>
      </c>
      <c r="E749" s="6"/>
      <c r="F749" s="6"/>
      <c r="G749" s="7" t="s">
        <v>5105</v>
      </c>
      <c r="I749" s="8" t="s">
        <v>5106</v>
      </c>
      <c r="J749" s="9">
        <v>9.4</v>
      </c>
      <c r="K749" s="10" t="s">
        <v>11</v>
      </c>
      <c r="L749" s="6"/>
      <c r="M749" s="11" t="s">
        <v>12</v>
      </c>
      <c r="N749" s="6" t="s">
        <v>5107</v>
      </c>
      <c r="O749" s="6" t="s">
        <v>5108</v>
      </c>
      <c r="P749" s="10" t="s">
        <v>15</v>
      </c>
      <c r="Q749" s="6"/>
      <c r="R749" s="6"/>
      <c r="S749" s="6"/>
      <c r="T749" s="6" t="s">
        <v>16</v>
      </c>
      <c r="U749" s="9" t="s">
        <v>17</v>
      </c>
      <c r="AI749" s="6" t="s">
        <v>4739</v>
      </c>
      <c r="AJ749" s="12" t="s">
        <v>5109</v>
      </c>
      <c r="AL749" s="13" t="s">
        <v>4741</v>
      </c>
    </row>
    <row r="750">
      <c r="A750" s="5" t="s">
        <v>5110</v>
      </c>
      <c r="B750" s="5" t="s">
        <v>5111</v>
      </c>
      <c r="C750" s="5" t="s">
        <v>102</v>
      </c>
      <c r="D750" s="5" t="s">
        <v>8</v>
      </c>
      <c r="E750" s="6"/>
      <c r="F750" s="6"/>
      <c r="G750" s="7" t="s">
        <v>5112</v>
      </c>
      <c r="I750" s="8" t="s">
        <v>5113</v>
      </c>
      <c r="J750" s="9">
        <v>26.9</v>
      </c>
      <c r="K750" s="10" t="s">
        <v>11</v>
      </c>
      <c r="L750" s="6"/>
      <c r="M750" s="11" t="s">
        <v>12</v>
      </c>
      <c r="N750" s="6" t="s">
        <v>5114</v>
      </c>
      <c r="O750" s="6" t="s">
        <v>5115</v>
      </c>
      <c r="P750" s="10" t="s">
        <v>15</v>
      </c>
      <c r="Q750" s="6"/>
      <c r="R750" s="6"/>
      <c r="S750" s="6"/>
      <c r="T750" s="6" t="s">
        <v>16</v>
      </c>
      <c r="U750" s="9" t="s">
        <v>17</v>
      </c>
      <c r="AI750" s="6" t="s">
        <v>4739</v>
      </c>
      <c r="AJ750" s="12" t="s">
        <v>5109</v>
      </c>
      <c r="AL750" s="13" t="s">
        <v>4741</v>
      </c>
    </row>
    <row r="751">
      <c r="A751" s="5" t="s">
        <v>5116</v>
      </c>
      <c r="B751" s="5" t="s">
        <v>5117</v>
      </c>
      <c r="C751" s="5" t="s">
        <v>5118</v>
      </c>
      <c r="D751" s="17" t="s">
        <v>507</v>
      </c>
      <c r="E751" s="6"/>
      <c r="F751" s="6"/>
      <c r="G751" s="7" t="s">
        <v>5119</v>
      </c>
      <c r="I751" s="8" t="s">
        <v>5120</v>
      </c>
      <c r="J751" s="9">
        <v>28.9</v>
      </c>
      <c r="K751" s="10" t="s">
        <v>11</v>
      </c>
      <c r="L751" s="6"/>
      <c r="M751" s="11" t="s">
        <v>12</v>
      </c>
      <c r="N751" s="6" t="s">
        <v>5121</v>
      </c>
      <c r="O751" s="6" t="s">
        <v>5122</v>
      </c>
      <c r="P751" s="10" t="s">
        <v>15</v>
      </c>
      <c r="Q751" s="6"/>
      <c r="R751" s="6"/>
      <c r="S751" s="6"/>
      <c r="T751" s="6" t="s">
        <v>16</v>
      </c>
      <c r="U751" s="9" t="s">
        <v>17</v>
      </c>
      <c r="AI751" s="6" t="s">
        <v>4739</v>
      </c>
      <c r="AJ751" s="12" t="s">
        <v>5123</v>
      </c>
      <c r="AL751" s="13" t="s">
        <v>4741</v>
      </c>
    </row>
    <row r="752">
      <c r="A752" s="5" t="s">
        <v>5124</v>
      </c>
      <c r="B752" s="5" t="s">
        <v>5125</v>
      </c>
      <c r="C752" s="5" t="s">
        <v>5118</v>
      </c>
      <c r="D752" s="17" t="s">
        <v>507</v>
      </c>
      <c r="E752" s="6"/>
      <c r="F752" s="6"/>
      <c r="G752" s="7" t="s">
        <v>5126</v>
      </c>
      <c r="I752" s="8" t="s">
        <v>5127</v>
      </c>
      <c r="J752" s="9">
        <v>39.9</v>
      </c>
      <c r="K752" s="10" t="s">
        <v>11</v>
      </c>
      <c r="L752" s="6"/>
      <c r="M752" s="11" t="s">
        <v>12</v>
      </c>
      <c r="N752" s="6" t="s">
        <v>5128</v>
      </c>
      <c r="O752" s="6" t="s">
        <v>5129</v>
      </c>
      <c r="P752" s="10" t="s">
        <v>15</v>
      </c>
      <c r="Q752" s="6"/>
      <c r="R752" s="6"/>
      <c r="S752" s="6"/>
      <c r="T752" s="6" t="s">
        <v>16</v>
      </c>
      <c r="U752" s="9" t="s">
        <v>17</v>
      </c>
      <c r="AI752" s="6" t="s">
        <v>4739</v>
      </c>
      <c r="AJ752" s="12" t="s">
        <v>5123</v>
      </c>
      <c r="AL752" s="13" t="s">
        <v>4741</v>
      </c>
    </row>
    <row r="753">
      <c r="A753" s="5" t="s">
        <v>5130</v>
      </c>
      <c r="B753" s="5" t="s">
        <v>5131</v>
      </c>
      <c r="C753" s="5" t="s">
        <v>5132</v>
      </c>
      <c r="D753" s="5" t="s">
        <v>8</v>
      </c>
      <c r="E753" s="6"/>
      <c r="F753" s="6"/>
      <c r="G753" s="7" t="s">
        <v>5133</v>
      </c>
      <c r="I753" s="8" t="s">
        <v>5134</v>
      </c>
      <c r="J753" s="9">
        <v>26.9</v>
      </c>
      <c r="K753" s="10" t="s">
        <v>11</v>
      </c>
      <c r="L753" s="6"/>
      <c r="M753" s="11" t="s">
        <v>12</v>
      </c>
      <c r="N753" s="6" t="s">
        <v>5135</v>
      </c>
      <c r="O753" s="6" t="s">
        <v>5136</v>
      </c>
      <c r="P753" s="10" t="s">
        <v>15</v>
      </c>
      <c r="Q753" s="6"/>
      <c r="R753" s="6"/>
      <c r="S753" s="6"/>
      <c r="T753" s="6" t="s">
        <v>16</v>
      </c>
      <c r="U753" s="9" t="s">
        <v>17</v>
      </c>
      <c r="AI753" s="6" t="s">
        <v>4739</v>
      </c>
      <c r="AJ753" s="12" t="s">
        <v>5137</v>
      </c>
      <c r="AL753" s="13" t="s">
        <v>4741</v>
      </c>
    </row>
    <row r="754">
      <c r="A754" s="5" t="s">
        <v>5138</v>
      </c>
      <c r="B754" s="5" t="s">
        <v>5139</v>
      </c>
      <c r="C754" s="5" t="s">
        <v>5132</v>
      </c>
      <c r="D754" s="5" t="s">
        <v>8</v>
      </c>
      <c r="E754" s="6"/>
      <c r="F754" s="6"/>
      <c r="G754" s="7" t="s">
        <v>5140</v>
      </c>
      <c r="I754" s="8" t="s">
        <v>5141</v>
      </c>
      <c r="J754" s="9">
        <v>38.9</v>
      </c>
      <c r="K754" s="10" t="s">
        <v>11</v>
      </c>
      <c r="L754" s="6"/>
      <c r="M754" s="11" t="s">
        <v>12</v>
      </c>
      <c r="N754" s="6" t="s">
        <v>5142</v>
      </c>
      <c r="O754" s="6" t="s">
        <v>5143</v>
      </c>
      <c r="P754" s="10" t="s">
        <v>15</v>
      </c>
      <c r="Q754" s="6"/>
      <c r="R754" s="6"/>
      <c r="S754" s="6"/>
      <c r="T754" s="6" t="s">
        <v>16</v>
      </c>
      <c r="U754" s="9" t="s">
        <v>17</v>
      </c>
      <c r="AI754" s="6" t="s">
        <v>4739</v>
      </c>
      <c r="AJ754" s="12" t="s">
        <v>5137</v>
      </c>
      <c r="AL754" s="13" t="s">
        <v>4741</v>
      </c>
    </row>
    <row r="755">
      <c r="A755" s="5" t="s">
        <v>5144</v>
      </c>
      <c r="B755" s="5" t="s">
        <v>5145</v>
      </c>
      <c r="C755" s="5" t="s">
        <v>5146</v>
      </c>
      <c r="D755" s="5" t="s">
        <v>8</v>
      </c>
      <c r="E755" s="6"/>
      <c r="F755" s="6"/>
      <c r="G755" s="7" t="s">
        <v>5147</v>
      </c>
      <c r="I755" s="8" t="s">
        <v>5148</v>
      </c>
      <c r="J755" s="9">
        <v>27.9</v>
      </c>
      <c r="K755" s="10" t="s">
        <v>11</v>
      </c>
      <c r="L755" s="6"/>
      <c r="M755" s="11" t="s">
        <v>12</v>
      </c>
      <c r="N755" s="6" t="s">
        <v>5149</v>
      </c>
      <c r="O755" s="6" t="s">
        <v>5150</v>
      </c>
      <c r="P755" s="10" t="s">
        <v>15</v>
      </c>
      <c r="Q755" s="6"/>
      <c r="R755" s="6"/>
      <c r="S755" s="6"/>
      <c r="T755" s="6" t="s">
        <v>16</v>
      </c>
      <c r="U755" s="9" t="s">
        <v>17</v>
      </c>
      <c r="AI755" s="6" t="s">
        <v>4739</v>
      </c>
      <c r="AJ755" s="12" t="s">
        <v>5151</v>
      </c>
      <c r="AL755" s="13" t="s">
        <v>4741</v>
      </c>
    </row>
    <row r="756">
      <c r="A756" s="5" t="s">
        <v>5152</v>
      </c>
      <c r="B756" s="5" t="s">
        <v>5153</v>
      </c>
      <c r="C756" s="5" t="s">
        <v>5146</v>
      </c>
      <c r="D756" s="5" t="s">
        <v>8</v>
      </c>
      <c r="E756" s="6"/>
      <c r="F756" s="6"/>
      <c r="G756" s="7" t="s">
        <v>5154</v>
      </c>
      <c r="I756" s="8" t="s">
        <v>5155</v>
      </c>
      <c r="J756" s="9">
        <v>38.9</v>
      </c>
      <c r="K756" s="10" t="s">
        <v>11</v>
      </c>
      <c r="L756" s="6"/>
      <c r="M756" s="11" t="s">
        <v>12</v>
      </c>
      <c r="N756" s="6" t="s">
        <v>5156</v>
      </c>
      <c r="O756" s="6" t="s">
        <v>5157</v>
      </c>
      <c r="P756" s="10" t="s">
        <v>15</v>
      </c>
      <c r="Q756" s="6"/>
      <c r="R756" s="6"/>
      <c r="S756" s="6"/>
      <c r="T756" s="6" t="s">
        <v>16</v>
      </c>
      <c r="U756" s="9" t="s">
        <v>17</v>
      </c>
      <c r="AI756" s="6" t="s">
        <v>4739</v>
      </c>
      <c r="AJ756" s="12" t="s">
        <v>5151</v>
      </c>
      <c r="AL756" s="13" t="s">
        <v>4741</v>
      </c>
    </row>
    <row r="757">
      <c r="A757" s="5" t="s">
        <v>5158</v>
      </c>
      <c r="B757" s="5" t="s">
        <v>5159</v>
      </c>
      <c r="C757" s="5" t="s">
        <v>5160</v>
      </c>
      <c r="D757" s="5" t="s">
        <v>8</v>
      </c>
      <c r="E757" s="6"/>
      <c r="F757" s="6"/>
      <c r="G757" s="7" t="s">
        <v>5161</v>
      </c>
      <c r="I757" s="8" t="s">
        <v>5162</v>
      </c>
      <c r="J757" s="9">
        <v>29.9</v>
      </c>
      <c r="K757" s="10" t="s">
        <v>11</v>
      </c>
      <c r="L757" s="6"/>
      <c r="M757" s="11" t="s">
        <v>12</v>
      </c>
      <c r="N757" s="6" t="s">
        <v>5163</v>
      </c>
      <c r="O757" s="6" t="s">
        <v>5164</v>
      </c>
      <c r="P757" s="10" t="s">
        <v>15</v>
      </c>
      <c r="Q757" s="6"/>
      <c r="R757" s="6"/>
      <c r="S757" s="6"/>
      <c r="T757" s="6" t="s">
        <v>16</v>
      </c>
      <c r="U757" s="9" t="s">
        <v>17</v>
      </c>
      <c r="AI757" s="6" t="s">
        <v>4739</v>
      </c>
      <c r="AJ757" s="12" t="s">
        <v>5165</v>
      </c>
      <c r="AL757" s="13" t="s">
        <v>4741</v>
      </c>
    </row>
    <row r="758">
      <c r="A758" s="5" t="s">
        <v>5166</v>
      </c>
      <c r="B758" s="5" t="s">
        <v>5167</v>
      </c>
      <c r="C758" s="5" t="s">
        <v>5160</v>
      </c>
      <c r="D758" s="5" t="s">
        <v>8</v>
      </c>
      <c r="E758" s="6"/>
      <c r="F758" s="6"/>
      <c r="G758" s="7" t="s">
        <v>5168</v>
      </c>
      <c r="I758" s="8" t="s">
        <v>5169</v>
      </c>
      <c r="J758" s="9">
        <v>40.9</v>
      </c>
      <c r="K758" s="10" t="s">
        <v>11</v>
      </c>
      <c r="L758" s="6"/>
      <c r="M758" s="11" t="s">
        <v>12</v>
      </c>
      <c r="N758" s="6" t="s">
        <v>5170</v>
      </c>
      <c r="O758" s="6" t="s">
        <v>5171</v>
      </c>
      <c r="P758" s="10" t="s">
        <v>15</v>
      </c>
      <c r="Q758" s="6"/>
      <c r="R758" s="6"/>
      <c r="S758" s="6"/>
      <c r="T758" s="6" t="s">
        <v>16</v>
      </c>
      <c r="U758" s="9" t="s">
        <v>17</v>
      </c>
      <c r="AI758" s="6" t="s">
        <v>4739</v>
      </c>
      <c r="AJ758" s="12" t="s">
        <v>5165</v>
      </c>
      <c r="AL758" s="13" t="s">
        <v>4741</v>
      </c>
    </row>
    <row r="759">
      <c r="A759" s="5" t="s">
        <v>5172</v>
      </c>
      <c r="B759" s="5" t="s">
        <v>5173</v>
      </c>
      <c r="C759" s="5" t="s">
        <v>5174</v>
      </c>
      <c r="D759" s="5" t="s">
        <v>8</v>
      </c>
      <c r="E759" s="6"/>
      <c r="F759" s="6"/>
      <c r="G759" s="7" t="s">
        <v>5175</v>
      </c>
      <c r="I759" s="8" t="s">
        <v>5176</v>
      </c>
      <c r="J759" s="9">
        <v>27.9</v>
      </c>
      <c r="K759" s="10" t="s">
        <v>11</v>
      </c>
      <c r="L759" s="6"/>
      <c r="M759" s="11" t="s">
        <v>12</v>
      </c>
      <c r="N759" s="6" t="s">
        <v>5177</v>
      </c>
      <c r="O759" s="6" t="s">
        <v>5178</v>
      </c>
      <c r="P759" s="10" t="s">
        <v>15</v>
      </c>
      <c r="Q759" s="6"/>
      <c r="R759" s="6"/>
      <c r="S759" s="6"/>
      <c r="T759" s="6" t="s">
        <v>16</v>
      </c>
      <c r="U759" s="9" t="s">
        <v>17</v>
      </c>
      <c r="AI759" s="6" t="s">
        <v>4739</v>
      </c>
      <c r="AJ759" s="12" t="s">
        <v>5179</v>
      </c>
      <c r="AL759" s="13" t="s">
        <v>4741</v>
      </c>
    </row>
    <row r="760">
      <c r="A760" s="5" t="s">
        <v>5180</v>
      </c>
      <c r="B760" s="5" t="s">
        <v>5181</v>
      </c>
      <c r="C760" s="5" t="s">
        <v>5174</v>
      </c>
      <c r="D760" s="5" t="s">
        <v>8</v>
      </c>
      <c r="E760" s="6"/>
      <c r="F760" s="6"/>
      <c r="G760" s="7" t="s">
        <v>5182</v>
      </c>
      <c r="I760" s="8" t="s">
        <v>5183</v>
      </c>
      <c r="J760" s="9">
        <v>38.9</v>
      </c>
      <c r="K760" s="10" t="s">
        <v>11</v>
      </c>
      <c r="L760" s="6"/>
      <c r="M760" s="11" t="s">
        <v>12</v>
      </c>
      <c r="N760" s="6" t="s">
        <v>5184</v>
      </c>
      <c r="O760" s="6" t="s">
        <v>5185</v>
      </c>
      <c r="P760" s="10" t="s">
        <v>15</v>
      </c>
      <c r="Q760" s="6"/>
      <c r="R760" s="6"/>
      <c r="S760" s="6"/>
      <c r="T760" s="6" t="s">
        <v>16</v>
      </c>
      <c r="U760" s="9" t="s">
        <v>17</v>
      </c>
      <c r="AI760" s="6" t="s">
        <v>4739</v>
      </c>
      <c r="AJ760" s="12" t="s">
        <v>5179</v>
      </c>
      <c r="AL760" s="13" t="s">
        <v>4741</v>
      </c>
    </row>
    <row r="761">
      <c r="A761" s="5" t="s">
        <v>5186</v>
      </c>
      <c r="B761" s="5" t="s">
        <v>5187</v>
      </c>
      <c r="C761" s="5" t="s">
        <v>5188</v>
      </c>
      <c r="D761" s="5" t="s">
        <v>8</v>
      </c>
      <c r="E761" s="6"/>
      <c r="F761" s="6"/>
      <c r="G761" s="7" t="s">
        <v>5189</v>
      </c>
      <c r="I761" s="8" t="s">
        <v>5190</v>
      </c>
      <c r="J761" s="9">
        <v>27.9</v>
      </c>
      <c r="K761" s="10" t="s">
        <v>11</v>
      </c>
      <c r="L761" s="6"/>
      <c r="M761" s="11" t="s">
        <v>12</v>
      </c>
      <c r="N761" s="6" t="s">
        <v>5191</v>
      </c>
      <c r="O761" s="6" t="s">
        <v>5192</v>
      </c>
      <c r="P761" s="10" t="s">
        <v>15</v>
      </c>
      <c r="Q761" s="6"/>
      <c r="R761" s="6"/>
      <c r="S761" s="6"/>
      <c r="T761" s="6" t="s">
        <v>16</v>
      </c>
      <c r="U761" s="9" t="s">
        <v>17</v>
      </c>
      <c r="AI761" s="6" t="s">
        <v>4739</v>
      </c>
      <c r="AJ761" s="12" t="s">
        <v>5193</v>
      </c>
      <c r="AL761" s="13" t="s">
        <v>4741</v>
      </c>
    </row>
    <row r="762">
      <c r="A762" s="5" t="s">
        <v>5194</v>
      </c>
      <c r="B762" s="5" t="s">
        <v>5195</v>
      </c>
      <c r="C762" s="5" t="s">
        <v>5188</v>
      </c>
      <c r="D762" s="5" t="s">
        <v>8</v>
      </c>
      <c r="E762" s="6"/>
      <c r="F762" s="6"/>
      <c r="G762" s="7" t="s">
        <v>5196</v>
      </c>
      <c r="I762" s="8" t="s">
        <v>5197</v>
      </c>
      <c r="J762" s="9">
        <v>38.9</v>
      </c>
      <c r="K762" s="10" t="s">
        <v>11</v>
      </c>
      <c r="L762" s="6"/>
      <c r="M762" s="11" t="s">
        <v>12</v>
      </c>
      <c r="N762" s="6" t="s">
        <v>5198</v>
      </c>
      <c r="O762" s="6" t="s">
        <v>5199</v>
      </c>
      <c r="P762" s="10" t="s">
        <v>15</v>
      </c>
      <c r="Q762" s="6"/>
      <c r="R762" s="6"/>
      <c r="S762" s="6"/>
      <c r="T762" s="6" t="s">
        <v>16</v>
      </c>
      <c r="U762" s="9" t="s">
        <v>17</v>
      </c>
      <c r="AI762" s="6" t="s">
        <v>4739</v>
      </c>
      <c r="AJ762" s="12" t="s">
        <v>5193</v>
      </c>
      <c r="AL762" s="13" t="s">
        <v>4741</v>
      </c>
    </row>
    <row r="763">
      <c r="A763" s="5" t="s">
        <v>5200</v>
      </c>
      <c r="B763" s="5" t="s">
        <v>5201</v>
      </c>
      <c r="C763" s="5" t="s">
        <v>5202</v>
      </c>
      <c r="D763" s="17" t="s">
        <v>507</v>
      </c>
      <c r="E763" s="6"/>
      <c r="F763" s="6"/>
      <c r="G763" s="7" t="s">
        <v>5203</v>
      </c>
      <c r="I763" s="8" t="s">
        <v>5204</v>
      </c>
      <c r="J763" s="9">
        <v>28.9</v>
      </c>
      <c r="K763" s="10" t="s">
        <v>11</v>
      </c>
      <c r="L763" s="6"/>
      <c r="M763" s="11" t="s">
        <v>12</v>
      </c>
      <c r="N763" s="6" t="s">
        <v>5205</v>
      </c>
      <c r="O763" s="6" t="s">
        <v>5206</v>
      </c>
      <c r="P763" s="10" t="s">
        <v>15</v>
      </c>
      <c r="Q763" s="6"/>
      <c r="R763" s="6"/>
      <c r="S763" s="6"/>
      <c r="T763" s="6" t="s">
        <v>16</v>
      </c>
      <c r="U763" s="9" t="s">
        <v>17</v>
      </c>
      <c r="AI763" s="6" t="s">
        <v>4739</v>
      </c>
      <c r="AJ763" s="12" t="s">
        <v>5207</v>
      </c>
      <c r="AL763" s="13" t="s">
        <v>4741</v>
      </c>
    </row>
    <row r="764">
      <c r="A764" s="5" t="s">
        <v>5208</v>
      </c>
      <c r="B764" s="5" t="s">
        <v>5209</v>
      </c>
      <c r="C764" s="5" t="s">
        <v>5202</v>
      </c>
      <c r="D764" s="17" t="s">
        <v>507</v>
      </c>
      <c r="E764" s="6"/>
      <c r="F764" s="6"/>
      <c r="G764" s="7" t="s">
        <v>5210</v>
      </c>
      <c r="I764" s="8" t="s">
        <v>5211</v>
      </c>
      <c r="J764" s="9">
        <v>39.9</v>
      </c>
      <c r="K764" s="10" t="s">
        <v>11</v>
      </c>
      <c r="L764" s="6"/>
      <c r="M764" s="11" t="s">
        <v>12</v>
      </c>
      <c r="N764" s="6" t="s">
        <v>5212</v>
      </c>
      <c r="O764" s="6" t="s">
        <v>5213</v>
      </c>
      <c r="P764" s="10" t="s">
        <v>15</v>
      </c>
      <c r="Q764" s="6"/>
      <c r="R764" s="6"/>
      <c r="S764" s="6"/>
      <c r="T764" s="6" t="s">
        <v>16</v>
      </c>
      <c r="U764" s="9" t="s">
        <v>17</v>
      </c>
      <c r="AI764" s="6" t="s">
        <v>4739</v>
      </c>
      <c r="AJ764" s="12" t="s">
        <v>5207</v>
      </c>
      <c r="AL764" s="13" t="s">
        <v>4741</v>
      </c>
    </row>
    <row r="765">
      <c r="A765" s="5" t="s">
        <v>5214</v>
      </c>
      <c r="B765" s="5" t="s">
        <v>5215</v>
      </c>
      <c r="C765" s="5" t="s">
        <v>5216</v>
      </c>
      <c r="D765" s="5" t="s">
        <v>8</v>
      </c>
      <c r="E765" s="6"/>
      <c r="F765" s="6"/>
      <c r="G765" s="7" t="s">
        <v>5217</v>
      </c>
      <c r="I765" s="8" t="s">
        <v>5218</v>
      </c>
      <c r="J765" s="9">
        <v>29.9</v>
      </c>
      <c r="K765" s="10" t="s">
        <v>11</v>
      </c>
      <c r="L765" s="6"/>
      <c r="M765" s="11" t="s">
        <v>12</v>
      </c>
      <c r="N765" s="6" t="s">
        <v>5219</v>
      </c>
      <c r="O765" s="6" t="s">
        <v>5220</v>
      </c>
      <c r="P765" s="10" t="s">
        <v>15</v>
      </c>
      <c r="Q765" s="6"/>
      <c r="R765" s="6"/>
      <c r="S765" s="6"/>
      <c r="T765" s="6" t="s">
        <v>16</v>
      </c>
      <c r="U765" s="9" t="s">
        <v>17</v>
      </c>
      <c r="AI765" s="6" t="s">
        <v>4739</v>
      </c>
      <c r="AJ765" s="12" t="s">
        <v>5221</v>
      </c>
      <c r="AL765" s="13" t="s">
        <v>4741</v>
      </c>
    </row>
    <row r="766">
      <c r="A766" s="5" t="s">
        <v>5222</v>
      </c>
      <c r="B766" s="5" t="s">
        <v>5223</v>
      </c>
      <c r="C766" s="5" t="s">
        <v>5216</v>
      </c>
      <c r="D766" s="5" t="s">
        <v>8</v>
      </c>
      <c r="E766" s="6"/>
      <c r="F766" s="6"/>
      <c r="G766" s="7" t="s">
        <v>5224</v>
      </c>
      <c r="I766" s="8" t="s">
        <v>5225</v>
      </c>
      <c r="J766" s="9">
        <v>41.9</v>
      </c>
      <c r="K766" s="10" t="s">
        <v>11</v>
      </c>
      <c r="L766" s="6"/>
      <c r="M766" s="11" t="s">
        <v>12</v>
      </c>
      <c r="N766" s="6" t="s">
        <v>5226</v>
      </c>
      <c r="O766" s="6" t="s">
        <v>5227</v>
      </c>
      <c r="P766" s="10" t="s">
        <v>15</v>
      </c>
      <c r="Q766" s="6"/>
      <c r="R766" s="6"/>
      <c r="S766" s="6"/>
      <c r="T766" s="6" t="s">
        <v>16</v>
      </c>
      <c r="U766" s="9" t="s">
        <v>17</v>
      </c>
      <c r="AI766" s="6" t="s">
        <v>4739</v>
      </c>
      <c r="AJ766" s="12" t="s">
        <v>5221</v>
      </c>
      <c r="AL766" s="13" t="s">
        <v>4741</v>
      </c>
    </row>
    <row r="767">
      <c r="A767" s="5" t="s">
        <v>5228</v>
      </c>
      <c r="B767" s="5" t="s">
        <v>5229</v>
      </c>
      <c r="C767" s="5" t="s">
        <v>5230</v>
      </c>
      <c r="D767" s="5" t="s">
        <v>8</v>
      </c>
      <c r="E767" s="6"/>
      <c r="F767" s="6"/>
      <c r="G767" s="7" t="s">
        <v>5231</v>
      </c>
      <c r="I767" s="8" t="s">
        <v>5232</v>
      </c>
      <c r="J767" s="9">
        <v>27.9</v>
      </c>
      <c r="K767" s="10" t="s">
        <v>11</v>
      </c>
      <c r="L767" s="6"/>
      <c r="M767" s="11" t="s">
        <v>12</v>
      </c>
      <c r="N767" s="6" t="s">
        <v>5233</v>
      </c>
      <c r="O767" s="6" t="s">
        <v>5234</v>
      </c>
      <c r="P767" s="10" t="s">
        <v>15</v>
      </c>
      <c r="Q767" s="6"/>
      <c r="R767" s="6"/>
      <c r="S767" s="6"/>
      <c r="T767" s="6" t="s">
        <v>16</v>
      </c>
      <c r="U767" s="9" t="s">
        <v>17</v>
      </c>
      <c r="AI767" s="6" t="s">
        <v>4739</v>
      </c>
      <c r="AJ767" s="12" t="s">
        <v>5235</v>
      </c>
      <c r="AL767" s="13" t="s">
        <v>4741</v>
      </c>
    </row>
    <row r="768">
      <c r="A768" s="5" t="s">
        <v>5236</v>
      </c>
      <c r="B768" s="5" t="s">
        <v>5237</v>
      </c>
      <c r="C768" s="5" t="s">
        <v>5230</v>
      </c>
      <c r="D768" s="5" t="s">
        <v>8</v>
      </c>
      <c r="E768" s="6"/>
      <c r="F768" s="6"/>
      <c r="G768" s="7" t="s">
        <v>5238</v>
      </c>
      <c r="I768" s="8" t="s">
        <v>5239</v>
      </c>
      <c r="J768" s="9">
        <v>38.9</v>
      </c>
      <c r="K768" s="10" t="s">
        <v>11</v>
      </c>
      <c r="L768" s="6"/>
      <c r="M768" s="11" t="s">
        <v>12</v>
      </c>
      <c r="N768" s="6" t="s">
        <v>5240</v>
      </c>
      <c r="O768" s="6" t="s">
        <v>5241</v>
      </c>
      <c r="P768" s="10" t="s">
        <v>15</v>
      </c>
      <c r="Q768" s="6"/>
      <c r="R768" s="6"/>
      <c r="S768" s="6"/>
      <c r="T768" s="6" t="s">
        <v>16</v>
      </c>
      <c r="U768" s="9" t="s">
        <v>17</v>
      </c>
      <c r="AI768" s="6" t="s">
        <v>4739</v>
      </c>
      <c r="AJ768" s="12" t="s">
        <v>5235</v>
      </c>
      <c r="AL768" s="13" t="s">
        <v>4741</v>
      </c>
    </row>
    <row r="769">
      <c r="A769" s="5" t="s">
        <v>5242</v>
      </c>
      <c r="B769" s="5" t="s">
        <v>5243</v>
      </c>
      <c r="C769" s="5" t="s">
        <v>5244</v>
      </c>
      <c r="D769" s="5" t="s">
        <v>8</v>
      </c>
      <c r="E769" s="6"/>
      <c r="F769" s="6"/>
      <c r="G769" s="7" t="s">
        <v>5245</v>
      </c>
      <c r="I769" s="8" t="s">
        <v>5246</v>
      </c>
      <c r="J769" s="9">
        <v>39.9</v>
      </c>
      <c r="K769" s="10" t="s">
        <v>11</v>
      </c>
      <c r="L769" s="6"/>
      <c r="M769" s="11" t="s">
        <v>12</v>
      </c>
      <c r="N769" s="6" t="s">
        <v>5247</v>
      </c>
      <c r="O769" s="6" t="s">
        <v>5248</v>
      </c>
      <c r="P769" s="10" t="s">
        <v>15</v>
      </c>
      <c r="Q769" s="6"/>
      <c r="R769" s="6"/>
      <c r="S769" s="6"/>
      <c r="T769" s="6" t="s">
        <v>16</v>
      </c>
      <c r="U769" s="9" t="s">
        <v>17</v>
      </c>
      <c r="AI769" s="6" t="s">
        <v>4739</v>
      </c>
      <c r="AJ769" s="12" t="s">
        <v>5249</v>
      </c>
      <c r="AL769" s="13" t="s">
        <v>4741</v>
      </c>
    </row>
    <row r="770">
      <c r="A770" s="5" t="s">
        <v>5250</v>
      </c>
      <c r="B770" s="5" t="s">
        <v>5251</v>
      </c>
      <c r="C770" s="5" t="s">
        <v>5244</v>
      </c>
      <c r="D770" s="5" t="s">
        <v>8</v>
      </c>
      <c r="E770" s="6"/>
      <c r="F770" s="6"/>
      <c r="G770" s="7" t="s">
        <v>5252</v>
      </c>
      <c r="I770" s="8" t="s">
        <v>5253</v>
      </c>
      <c r="J770" s="9">
        <v>28.9</v>
      </c>
      <c r="K770" s="10" t="s">
        <v>11</v>
      </c>
      <c r="L770" s="6"/>
      <c r="M770" s="11" t="s">
        <v>12</v>
      </c>
      <c r="N770" s="6" t="s">
        <v>5254</v>
      </c>
      <c r="O770" s="6" t="s">
        <v>5255</v>
      </c>
      <c r="P770" s="10" t="s">
        <v>15</v>
      </c>
      <c r="Q770" s="6"/>
      <c r="R770" s="6"/>
      <c r="S770" s="6"/>
      <c r="T770" s="6" t="s">
        <v>16</v>
      </c>
      <c r="U770" s="9" t="s">
        <v>17</v>
      </c>
      <c r="AI770" s="6" t="s">
        <v>4739</v>
      </c>
      <c r="AJ770" s="12" t="s">
        <v>5249</v>
      </c>
      <c r="AL770" s="13" t="s">
        <v>4741</v>
      </c>
    </row>
    <row r="771">
      <c r="A771" s="5" t="s">
        <v>5256</v>
      </c>
      <c r="B771" s="5" t="s">
        <v>5257</v>
      </c>
      <c r="C771" s="5" t="s">
        <v>5258</v>
      </c>
      <c r="D771" s="5" t="s">
        <v>8</v>
      </c>
      <c r="E771" s="6"/>
      <c r="F771" s="6"/>
      <c r="G771" s="7" t="s">
        <v>5259</v>
      </c>
      <c r="I771" s="8" t="s">
        <v>5260</v>
      </c>
      <c r="J771" s="9">
        <v>27.9</v>
      </c>
      <c r="K771" s="10" t="s">
        <v>11</v>
      </c>
      <c r="L771" s="6"/>
      <c r="M771" s="11" t="s">
        <v>12</v>
      </c>
      <c r="N771" s="6" t="s">
        <v>5261</v>
      </c>
      <c r="O771" s="6" t="s">
        <v>5262</v>
      </c>
      <c r="P771" s="10" t="s">
        <v>15</v>
      </c>
      <c r="Q771" s="6"/>
      <c r="R771" s="6"/>
      <c r="S771" s="6"/>
      <c r="T771" s="6" t="s">
        <v>16</v>
      </c>
      <c r="U771" s="9" t="s">
        <v>17</v>
      </c>
      <c r="AI771" s="6" t="s">
        <v>4739</v>
      </c>
      <c r="AJ771" s="12" t="s">
        <v>5263</v>
      </c>
      <c r="AL771" s="13" t="s">
        <v>4741</v>
      </c>
    </row>
    <row r="772">
      <c r="A772" s="5" t="s">
        <v>5264</v>
      </c>
      <c r="B772" s="5" t="s">
        <v>5265</v>
      </c>
      <c r="C772" s="5" t="s">
        <v>5258</v>
      </c>
      <c r="D772" s="5" t="s">
        <v>8</v>
      </c>
      <c r="E772" s="6"/>
      <c r="F772" s="6"/>
      <c r="G772" s="7" t="s">
        <v>5266</v>
      </c>
      <c r="I772" s="8" t="s">
        <v>5267</v>
      </c>
      <c r="J772" s="9">
        <v>38.9</v>
      </c>
      <c r="K772" s="10" t="s">
        <v>11</v>
      </c>
      <c r="L772" s="6"/>
      <c r="M772" s="11" t="s">
        <v>12</v>
      </c>
      <c r="N772" s="6" t="s">
        <v>5268</v>
      </c>
      <c r="O772" s="6" t="s">
        <v>5269</v>
      </c>
      <c r="P772" s="10" t="s">
        <v>15</v>
      </c>
      <c r="Q772" s="6"/>
      <c r="R772" s="6"/>
      <c r="S772" s="6"/>
      <c r="T772" s="6" t="s">
        <v>16</v>
      </c>
      <c r="U772" s="9" t="s">
        <v>17</v>
      </c>
      <c r="AI772" s="6" t="s">
        <v>4739</v>
      </c>
      <c r="AJ772" s="12" t="s">
        <v>5263</v>
      </c>
      <c r="AL772" s="13" t="s">
        <v>4741</v>
      </c>
    </row>
    <row r="773">
      <c r="A773" s="5" t="s">
        <v>5270</v>
      </c>
      <c r="B773" s="5" t="s">
        <v>5271</v>
      </c>
      <c r="C773" s="5" t="s">
        <v>5272</v>
      </c>
      <c r="D773" s="5" t="s">
        <v>8</v>
      </c>
      <c r="E773" s="6"/>
      <c r="F773" s="6"/>
      <c r="G773" s="7" t="s">
        <v>5273</v>
      </c>
      <c r="I773" s="8" t="s">
        <v>5274</v>
      </c>
      <c r="J773" s="9">
        <v>29.9</v>
      </c>
      <c r="K773" s="10" t="s">
        <v>11</v>
      </c>
      <c r="L773" s="6"/>
      <c r="M773" s="11" t="s">
        <v>12</v>
      </c>
      <c r="N773" s="6" t="s">
        <v>5275</v>
      </c>
      <c r="O773" s="6" t="s">
        <v>5276</v>
      </c>
      <c r="P773" s="10" t="s">
        <v>15</v>
      </c>
      <c r="Q773" s="6"/>
      <c r="R773" s="6"/>
      <c r="S773" s="6"/>
      <c r="T773" s="6" t="s">
        <v>16</v>
      </c>
      <c r="U773" s="9" t="s">
        <v>17</v>
      </c>
      <c r="AI773" s="6" t="s">
        <v>4739</v>
      </c>
      <c r="AJ773" s="12" t="s">
        <v>5277</v>
      </c>
      <c r="AL773" s="13" t="s">
        <v>4741</v>
      </c>
    </row>
    <row r="774">
      <c r="A774" s="5" t="s">
        <v>5278</v>
      </c>
      <c r="B774" s="5" t="s">
        <v>5279</v>
      </c>
      <c r="C774" s="5" t="s">
        <v>5272</v>
      </c>
      <c r="D774" s="5" t="s">
        <v>507</v>
      </c>
      <c r="E774" s="6"/>
      <c r="F774" s="6"/>
      <c r="G774" s="7" t="s">
        <v>5280</v>
      </c>
      <c r="I774" s="8" t="s">
        <v>5281</v>
      </c>
      <c r="J774" s="9">
        <v>40.9</v>
      </c>
      <c r="K774" s="10" t="s">
        <v>11</v>
      </c>
      <c r="L774" s="6"/>
      <c r="M774" s="11" t="s">
        <v>12</v>
      </c>
      <c r="N774" s="6" t="s">
        <v>5282</v>
      </c>
      <c r="O774" s="6" t="s">
        <v>5283</v>
      </c>
      <c r="P774" s="10" t="s">
        <v>15</v>
      </c>
      <c r="Q774" s="6"/>
      <c r="R774" s="6"/>
      <c r="S774" s="6"/>
      <c r="T774" s="6" t="s">
        <v>16</v>
      </c>
      <c r="U774" s="9" t="s">
        <v>17</v>
      </c>
      <c r="AI774" s="6" t="s">
        <v>4739</v>
      </c>
      <c r="AJ774" s="12" t="s">
        <v>5277</v>
      </c>
      <c r="AL774" s="13" t="s">
        <v>4741</v>
      </c>
    </row>
    <row r="775">
      <c r="A775" s="5" t="s">
        <v>5284</v>
      </c>
      <c r="B775" s="5" t="s">
        <v>5285</v>
      </c>
      <c r="C775" s="5" t="s">
        <v>5286</v>
      </c>
      <c r="D775" s="5" t="s">
        <v>8</v>
      </c>
      <c r="E775" s="6"/>
      <c r="F775" s="6"/>
      <c r="G775" s="7" t="s">
        <v>5287</v>
      </c>
      <c r="I775" s="8" t="s">
        <v>5288</v>
      </c>
      <c r="J775" s="9">
        <v>27.9</v>
      </c>
      <c r="K775" s="10" t="s">
        <v>11</v>
      </c>
      <c r="L775" s="6"/>
      <c r="M775" s="11" t="s">
        <v>12</v>
      </c>
      <c r="N775" s="6" t="s">
        <v>5289</v>
      </c>
      <c r="O775" s="6" t="s">
        <v>5290</v>
      </c>
      <c r="P775" s="10" t="s">
        <v>15</v>
      </c>
      <c r="Q775" s="6"/>
      <c r="R775" s="6"/>
      <c r="S775" s="6"/>
      <c r="T775" s="6" t="s">
        <v>16</v>
      </c>
      <c r="U775" s="9" t="s">
        <v>17</v>
      </c>
      <c r="AI775" s="6" t="s">
        <v>4739</v>
      </c>
      <c r="AJ775" s="12" t="s">
        <v>5291</v>
      </c>
      <c r="AL775" s="13" t="s">
        <v>4741</v>
      </c>
    </row>
    <row r="776">
      <c r="A776" s="5" t="s">
        <v>5292</v>
      </c>
      <c r="B776" s="5" t="s">
        <v>5293</v>
      </c>
      <c r="C776" s="5" t="s">
        <v>5286</v>
      </c>
      <c r="D776" s="5" t="s">
        <v>8</v>
      </c>
      <c r="E776" s="6"/>
      <c r="F776" s="6"/>
      <c r="G776" s="7" t="s">
        <v>5294</v>
      </c>
      <c r="I776" s="8" t="s">
        <v>5295</v>
      </c>
      <c r="J776" s="9">
        <v>38.9</v>
      </c>
      <c r="K776" s="10" t="s">
        <v>11</v>
      </c>
      <c r="L776" s="6"/>
      <c r="M776" s="11" t="s">
        <v>12</v>
      </c>
      <c r="N776" s="6" t="s">
        <v>5296</v>
      </c>
      <c r="O776" s="6" t="s">
        <v>5297</v>
      </c>
      <c r="P776" s="10" t="s">
        <v>15</v>
      </c>
      <c r="Q776" s="6"/>
      <c r="R776" s="6"/>
      <c r="S776" s="6"/>
      <c r="T776" s="6" t="s">
        <v>16</v>
      </c>
      <c r="U776" s="9" t="s">
        <v>17</v>
      </c>
      <c r="AI776" s="6" t="s">
        <v>4739</v>
      </c>
      <c r="AJ776" s="12" t="s">
        <v>5291</v>
      </c>
      <c r="AL776" s="13" t="s">
        <v>4741</v>
      </c>
    </row>
    <row r="777">
      <c r="A777" s="5" t="s">
        <v>5298</v>
      </c>
      <c r="B777" s="5" t="s">
        <v>5299</v>
      </c>
      <c r="C777" s="5" t="s">
        <v>5300</v>
      </c>
      <c r="D777" s="5" t="s">
        <v>8</v>
      </c>
      <c r="E777" s="6"/>
      <c r="F777" s="6"/>
      <c r="G777" s="7" t="s">
        <v>5301</v>
      </c>
      <c r="I777" s="8" t="s">
        <v>5302</v>
      </c>
      <c r="J777" s="9">
        <v>28.9</v>
      </c>
      <c r="K777" s="10" t="s">
        <v>11</v>
      </c>
      <c r="L777" s="6"/>
      <c r="M777" s="11" t="s">
        <v>12</v>
      </c>
      <c r="N777" s="6" t="s">
        <v>5303</v>
      </c>
      <c r="O777" s="6" t="s">
        <v>5304</v>
      </c>
      <c r="P777" s="10" t="s">
        <v>15</v>
      </c>
      <c r="Q777" s="6"/>
      <c r="R777" s="6"/>
      <c r="S777" s="6"/>
      <c r="T777" s="6" t="s">
        <v>16</v>
      </c>
      <c r="U777" s="9" t="s">
        <v>17</v>
      </c>
      <c r="AI777" s="6" t="s">
        <v>4739</v>
      </c>
      <c r="AJ777" s="12" t="s">
        <v>5305</v>
      </c>
      <c r="AL777" s="13" t="s">
        <v>4741</v>
      </c>
    </row>
    <row r="778">
      <c r="A778" s="5" t="s">
        <v>5306</v>
      </c>
      <c r="B778" s="5" t="s">
        <v>5307</v>
      </c>
      <c r="C778" s="5" t="s">
        <v>5300</v>
      </c>
      <c r="D778" s="5" t="s">
        <v>8</v>
      </c>
      <c r="E778" s="6"/>
      <c r="F778" s="6"/>
      <c r="G778" s="7" t="s">
        <v>5308</v>
      </c>
      <c r="I778" s="8" t="s">
        <v>5309</v>
      </c>
      <c r="J778" s="9">
        <v>39.9</v>
      </c>
      <c r="K778" s="10" t="s">
        <v>11</v>
      </c>
      <c r="L778" s="6"/>
      <c r="M778" s="11" t="s">
        <v>12</v>
      </c>
      <c r="N778" s="6" t="s">
        <v>5310</v>
      </c>
      <c r="O778" s="6" t="s">
        <v>5311</v>
      </c>
      <c r="P778" s="10" t="s">
        <v>15</v>
      </c>
      <c r="Q778" s="6"/>
      <c r="R778" s="6"/>
      <c r="S778" s="6"/>
      <c r="T778" s="6" t="s">
        <v>16</v>
      </c>
      <c r="U778" s="9" t="s">
        <v>17</v>
      </c>
      <c r="AI778" s="6" t="s">
        <v>4739</v>
      </c>
      <c r="AJ778" s="12" t="s">
        <v>5305</v>
      </c>
      <c r="AL778" s="13" t="s">
        <v>4741</v>
      </c>
    </row>
    <row r="779">
      <c r="A779" s="5" t="s">
        <v>5312</v>
      </c>
      <c r="B779" s="5" t="s">
        <v>5313</v>
      </c>
      <c r="C779" s="5" t="s">
        <v>5314</v>
      </c>
      <c r="D779" s="17" t="s">
        <v>507</v>
      </c>
      <c r="E779" s="6"/>
      <c r="F779" s="6"/>
      <c r="G779" s="7" t="s">
        <v>5315</v>
      </c>
      <c r="I779" s="8" t="s">
        <v>5316</v>
      </c>
      <c r="J779" s="9">
        <v>29.9</v>
      </c>
      <c r="K779" s="10" t="s">
        <v>11</v>
      </c>
      <c r="L779" s="6"/>
      <c r="M779" s="11" t="s">
        <v>12</v>
      </c>
      <c r="N779" s="6" t="s">
        <v>5317</v>
      </c>
      <c r="O779" s="6" t="s">
        <v>5318</v>
      </c>
      <c r="P779" s="10" t="s">
        <v>15</v>
      </c>
      <c r="Q779" s="6"/>
      <c r="R779" s="6"/>
      <c r="S779" s="6"/>
      <c r="T779" s="6" t="s">
        <v>16</v>
      </c>
      <c r="U779" s="9" t="s">
        <v>17</v>
      </c>
      <c r="AI779" s="6" t="s">
        <v>4739</v>
      </c>
      <c r="AJ779" s="12" t="s">
        <v>5319</v>
      </c>
      <c r="AL779" s="13" t="s">
        <v>4741</v>
      </c>
    </row>
    <row r="780">
      <c r="A780" s="5" t="s">
        <v>5320</v>
      </c>
      <c r="B780" s="5" t="s">
        <v>5321</v>
      </c>
      <c r="C780" s="5" t="s">
        <v>5314</v>
      </c>
      <c r="D780" s="17" t="s">
        <v>507</v>
      </c>
      <c r="E780" s="6"/>
      <c r="F780" s="6"/>
      <c r="G780" s="7" t="s">
        <v>5322</v>
      </c>
      <c r="I780" s="8" t="s">
        <v>5323</v>
      </c>
      <c r="J780" s="9">
        <v>40.9</v>
      </c>
      <c r="K780" s="10" t="s">
        <v>11</v>
      </c>
      <c r="L780" s="6"/>
      <c r="M780" s="11" t="s">
        <v>12</v>
      </c>
      <c r="N780" s="6" t="s">
        <v>5324</v>
      </c>
      <c r="O780" s="6" t="s">
        <v>5325</v>
      </c>
      <c r="P780" s="10" t="s">
        <v>15</v>
      </c>
      <c r="Q780" s="6"/>
      <c r="R780" s="6"/>
      <c r="S780" s="6"/>
      <c r="T780" s="6" t="s">
        <v>16</v>
      </c>
      <c r="U780" s="9" t="s">
        <v>17</v>
      </c>
      <c r="AI780" s="6" t="s">
        <v>4739</v>
      </c>
      <c r="AJ780" s="12" t="s">
        <v>5319</v>
      </c>
      <c r="AL780" s="13" t="s">
        <v>4741</v>
      </c>
    </row>
    <row r="781">
      <c r="A781" s="5" t="s">
        <v>5326</v>
      </c>
      <c r="B781" s="5" t="s">
        <v>5327</v>
      </c>
      <c r="C781" s="5" t="s">
        <v>5328</v>
      </c>
      <c r="D781" s="5" t="s">
        <v>8</v>
      </c>
      <c r="E781" s="6"/>
      <c r="F781" s="6"/>
      <c r="G781" s="7" t="s">
        <v>5329</v>
      </c>
      <c r="I781" s="8" t="s">
        <v>5330</v>
      </c>
      <c r="J781" s="9">
        <v>27.9</v>
      </c>
      <c r="K781" s="10" t="s">
        <v>11</v>
      </c>
      <c r="L781" s="6"/>
      <c r="M781" s="11" t="s">
        <v>12</v>
      </c>
      <c r="N781" s="6" t="s">
        <v>5331</v>
      </c>
      <c r="O781" s="6" t="s">
        <v>5332</v>
      </c>
      <c r="P781" s="10" t="s">
        <v>15</v>
      </c>
      <c r="Q781" s="6"/>
      <c r="R781" s="6"/>
      <c r="S781" s="6"/>
      <c r="T781" s="6" t="s">
        <v>16</v>
      </c>
      <c r="U781" s="9" t="s">
        <v>17</v>
      </c>
      <c r="AI781" s="6" t="s">
        <v>4739</v>
      </c>
      <c r="AJ781" s="12" t="s">
        <v>5333</v>
      </c>
      <c r="AL781" s="13" t="s">
        <v>4741</v>
      </c>
    </row>
    <row r="782">
      <c r="A782" s="5" t="s">
        <v>5334</v>
      </c>
      <c r="B782" s="5" t="s">
        <v>5335</v>
      </c>
      <c r="C782" s="5" t="s">
        <v>5328</v>
      </c>
      <c r="D782" s="5" t="s">
        <v>8</v>
      </c>
      <c r="E782" s="6"/>
      <c r="F782" s="6"/>
      <c r="G782" s="7" t="s">
        <v>5336</v>
      </c>
      <c r="I782" s="8" t="s">
        <v>5337</v>
      </c>
      <c r="J782" s="9">
        <v>38.9</v>
      </c>
      <c r="K782" s="10" t="s">
        <v>11</v>
      </c>
      <c r="L782" s="6"/>
      <c r="M782" s="11" t="s">
        <v>12</v>
      </c>
      <c r="N782" s="6" t="s">
        <v>5338</v>
      </c>
      <c r="O782" s="6" t="s">
        <v>5339</v>
      </c>
      <c r="P782" s="10" t="s">
        <v>15</v>
      </c>
      <c r="Q782" s="6"/>
      <c r="R782" s="6"/>
      <c r="S782" s="6"/>
      <c r="T782" s="6" t="s">
        <v>16</v>
      </c>
      <c r="U782" s="9" t="s">
        <v>17</v>
      </c>
      <c r="AI782" s="6" t="s">
        <v>4739</v>
      </c>
      <c r="AJ782" s="12" t="s">
        <v>5333</v>
      </c>
      <c r="AL782" s="13" t="s">
        <v>4741</v>
      </c>
    </row>
    <row r="783">
      <c r="A783" s="5" t="s">
        <v>5340</v>
      </c>
      <c r="B783" s="5" t="s">
        <v>5341</v>
      </c>
      <c r="C783" s="5" t="s">
        <v>5342</v>
      </c>
      <c r="D783" s="5" t="s">
        <v>8</v>
      </c>
      <c r="E783" s="6"/>
      <c r="F783" s="6"/>
      <c r="G783" s="7" t="s">
        <v>5343</v>
      </c>
      <c r="I783" s="8" t="s">
        <v>5344</v>
      </c>
      <c r="J783" s="9">
        <v>27.9</v>
      </c>
      <c r="K783" s="10" t="s">
        <v>11</v>
      </c>
      <c r="L783" s="6"/>
      <c r="M783" s="11" t="s">
        <v>12</v>
      </c>
      <c r="N783" s="6" t="s">
        <v>5345</v>
      </c>
      <c r="O783" s="6" t="s">
        <v>5346</v>
      </c>
      <c r="P783" s="10" t="s">
        <v>15</v>
      </c>
      <c r="Q783" s="6"/>
      <c r="R783" s="6"/>
      <c r="S783" s="6"/>
      <c r="T783" s="6" t="s">
        <v>16</v>
      </c>
      <c r="U783" s="9" t="s">
        <v>17</v>
      </c>
      <c r="AI783" s="6" t="s">
        <v>4739</v>
      </c>
      <c r="AJ783" s="12" t="s">
        <v>5347</v>
      </c>
      <c r="AL783" s="13" t="s">
        <v>4741</v>
      </c>
    </row>
    <row r="784">
      <c r="A784" s="5" t="s">
        <v>5348</v>
      </c>
      <c r="B784" s="5" t="s">
        <v>5349</v>
      </c>
      <c r="C784" s="5" t="s">
        <v>5342</v>
      </c>
      <c r="D784" s="5" t="s">
        <v>8</v>
      </c>
      <c r="E784" s="6"/>
      <c r="F784" s="6"/>
      <c r="G784" s="7" t="s">
        <v>5350</v>
      </c>
      <c r="I784" s="8" t="s">
        <v>5351</v>
      </c>
      <c r="J784" s="9">
        <v>38.9</v>
      </c>
      <c r="K784" s="10" t="s">
        <v>11</v>
      </c>
      <c r="L784" s="6"/>
      <c r="M784" s="11" t="s">
        <v>12</v>
      </c>
      <c r="N784" s="6" t="s">
        <v>5352</v>
      </c>
      <c r="O784" s="6" t="s">
        <v>5353</v>
      </c>
      <c r="P784" s="10" t="s">
        <v>15</v>
      </c>
      <c r="Q784" s="6"/>
      <c r="R784" s="6"/>
      <c r="S784" s="6"/>
      <c r="T784" s="6" t="s">
        <v>16</v>
      </c>
      <c r="U784" s="9" t="s">
        <v>17</v>
      </c>
      <c r="AI784" s="6" t="s">
        <v>4739</v>
      </c>
      <c r="AJ784" s="12" t="s">
        <v>5347</v>
      </c>
      <c r="AL784" s="13" t="s">
        <v>4741</v>
      </c>
    </row>
    <row r="785">
      <c r="A785" s="5" t="s">
        <v>5354</v>
      </c>
      <c r="B785" s="5" t="s">
        <v>5355</v>
      </c>
      <c r="C785" s="5" t="s">
        <v>5356</v>
      </c>
      <c r="D785" s="5" t="s">
        <v>8</v>
      </c>
      <c r="E785" s="6"/>
      <c r="F785" s="6"/>
      <c r="G785" s="7" t="s">
        <v>5357</v>
      </c>
      <c r="I785" s="8" t="s">
        <v>5358</v>
      </c>
      <c r="J785" s="9">
        <v>27.9</v>
      </c>
      <c r="K785" s="10" t="s">
        <v>11</v>
      </c>
      <c r="L785" s="6"/>
      <c r="M785" s="11" t="s">
        <v>12</v>
      </c>
      <c r="N785" s="6" t="s">
        <v>5359</v>
      </c>
      <c r="O785" s="6" t="s">
        <v>5360</v>
      </c>
      <c r="P785" s="10" t="s">
        <v>15</v>
      </c>
      <c r="Q785" s="6"/>
      <c r="R785" s="6"/>
      <c r="S785" s="6"/>
      <c r="T785" s="6" t="s">
        <v>16</v>
      </c>
      <c r="U785" s="9" t="s">
        <v>17</v>
      </c>
      <c r="AI785" s="6" t="s">
        <v>4739</v>
      </c>
      <c r="AJ785" s="12" t="s">
        <v>5361</v>
      </c>
      <c r="AL785" s="13" t="s">
        <v>4741</v>
      </c>
    </row>
    <row r="786">
      <c r="A786" s="5" t="s">
        <v>5362</v>
      </c>
      <c r="B786" s="5" t="s">
        <v>5363</v>
      </c>
      <c r="C786" s="5" t="s">
        <v>5356</v>
      </c>
      <c r="D786" s="5" t="s">
        <v>8</v>
      </c>
      <c r="E786" s="6"/>
      <c r="F786" s="6"/>
      <c r="G786" s="7" t="s">
        <v>5364</v>
      </c>
      <c r="I786" s="8" t="s">
        <v>5365</v>
      </c>
      <c r="J786" s="9">
        <v>38.9</v>
      </c>
      <c r="K786" s="10" t="s">
        <v>11</v>
      </c>
      <c r="L786" s="6"/>
      <c r="M786" s="11" t="s">
        <v>12</v>
      </c>
      <c r="N786" s="6" t="s">
        <v>5366</v>
      </c>
      <c r="O786" s="6" t="s">
        <v>5367</v>
      </c>
      <c r="P786" s="10" t="s">
        <v>15</v>
      </c>
      <c r="Q786" s="6"/>
      <c r="R786" s="6"/>
      <c r="S786" s="6"/>
      <c r="T786" s="6" t="s">
        <v>16</v>
      </c>
      <c r="U786" s="9" t="s">
        <v>17</v>
      </c>
      <c r="AI786" s="6" t="s">
        <v>4739</v>
      </c>
      <c r="AJ786" s="12" t="s">
        <v>5361</v>
      </c>
      <c r="AL786" s="13" t="s">
        <v>4741</v>
      </c>
    </row>
    <row r="787">
      <c r="A787" s="5" t="s">
        <v>5368</v>
      </c>
      <c r="B787" s="5" t="s">
        <v>5369</v>
      </c>
      <c r="C787" s="5" t="s">
        <v>5370</v>
      </c>
      <c r="D787" s="5" t="s">
        <v>8</v>
      </c>
      <c r="E787" s="6"/>
      <c r="F787" s="6"/>
      <c r="G787" s="7" t="s">
        <v>5371</v>
      </c>
      <c r="I787" s="8" t="s">
        <v>5372</v>
      </c>
      <c r="J787" s="9">
        <v>30.9</v>
      </c>
      <c r="K787" s="10" t="s">
        <v>11</v>
      </c>
      <c r="L787" s="6"/>
      <c r="M787" s="11" t="s">
        <v>12</v>
      </c>
      <c r="N787" s="6" t="s">
        <v>5373</v>
      </c>
      <c r="O787" s="6" t="s">
        <v>5374</v>
      </c>
      <c r="P787" s="10" t="s">
        <v>15</v>
      </c>
      <c r="Q787" s="6"/>
      <c r="R787" s="6"/>
      <c r="S787" s="6"/>
      <c r="T787" s="6" t="s">
        <v>16</v>
      </c>
      <c r="U787" s="9" t="s">
        <v>17</v>
      </c>
      <c r="AI787" s="6" t="s">
        <v>4930</v>
      </c>
      <c r="AJ787" s="12" t="s">
        <v>5375</v>
      </c>
      <c r="AL787" s="13" t="s">
        <v>4741</v>
      </c>
    </row>
    <row r="788">
      <c r="A788" s="5" t="s">
        <v>5376</v>
      </c>
      <c r="B788" s="5" t="s">
        <v>5377</v>
      </c>
      <c r="C788" s="5" t="s">
        <v>5370</v>
      </c>
      <c r="D788" s="5" t="s">
        <v>8</v>
      </c>
      <c r="E788" s="6"/>
      <c r="F788" s="6"/>
      <c r="G788" s="7" t="s">
        <v>5378</v>
      </c>
      <c r="I788" s="8" t="s">
        <v>5379</v>
      </c>
      <c r="J788" s="9">
        <v>42.9</v>
      </c>
      <c r="K788" s="10" t="s">
        <v>11</v>
      </c>
      <c r="L788" s="6"/>
      <c r="M788" s="11" t="s">
        <v>12</v>
      </c>
      <c r="N788" s="6" t="s">
        <v>5380</v>
      </c>
      <c r="O788" s="6" t="s">
        <v>5381</v>
      </c>
      <c r="P788" s="10" t="s">
        <v>15</v>
      </c>
      <c r="Q788" s="6"/>
      <c r="R788" s="6"/>
      <c r="S788" s="6"/>
      <c r="T788" s="6" t="s">
        <v>16</v>
      </c>
      <c r="U788" s="9" t="s">
        <v>17</v>
      </c>
      <c r="AI788" s="6" t="s">
        <v>4930</v>
      </c>
      <c r="AJ788" s="12" t="s">
        <v>5375</v>
      </c>
      <c r="AL788" s="13" t="s">
        <v>4741</v>
      </c>
    </row>
    <row r="789">
      <c r="A789" s="5" t="s">
        <v>5382</v>
      </c>
      <c r="B789" s="5" t="s">
        <v>5383</v>
      </c>
      <c r="C789" s="5" t="s">
        <v>5384</v>
      </c>
      <c r="D789" s="5" t="s">
        <v>8</v>
      </c>
      <c r="E789" s="6"/>
      <c r="F789" s="6"/>
      <c r="G789" s="7" t="s">
        <v>5385</v>
      </c>
      <c r="I789" s="8" t="s">
        <v>5386</v>
      </c>
      <c r="J789" s="9">
        <v>28.9</v>
      </c>
      <c r="K789" s="10" t="s">
        <v>11</v>
      </c>
      <c r="L789" s="6"/>
      <c r="M789" s="11" t="s">
        <v>12</v>
      </c>
      <c r="N789" s="6" t="s">
        <v>5387</v>
      </c>
      <c r="O789" s="6" t="s">
        <v>5388</v>
      </c>
      <c r="P789" s="10" t="s">
        <v>15</v>
      </c>
      <c r="Q789" s="6"/>
      <c r="R789" s="6"/>
      <c r="S789" s="6"/>
      <c r="T789" s="6" t="s">
        <v>16</v>
      </c>
      <c r="U789" s="9" t="s">
        <v>17</v>
      </c>
      <c r="AI789" s="6" t="s">
        <v>4739</v>
      </c>
      <c r="AJ789" s="12" t="s">
        <v>5389</v>
      </c>
      <c r="AL789" s="13" t="s">
        <v>4741</v>
      </c>
    </row>
    <row r="790">
      <c r="A790" s="5" t="s">
        <v>5390</v>
      </c>
      <c r="B790" s="5" t="s">
        <v>5391</v>
      </c>
      <c r="C790" s="5" t="s">
        <v>5384</v>
      </c>
      <c r="D790" s="5" t="s">
        <v>8</v>
      </c>
      <c r="E790" s="6"/>
      <c r="F790" s="6"/>
      <c r="G790" s="7" t="s">
        <v>5392</v>
      </c>
      <c r="I790" s="8" t="s">
        <v>5393</v>
      </c>
      <c r="J790" s="9">
        <v>39.9</v>
      </c>
      <c r="K790" s="10" t="s">
        <v>11</v>
      </c>
      <c r="L790" s="6"/>
      <c r="M790" s="11" t="s">
        <v>12</v>
      </c>
      <c r="N790" s="6" t="s">
        <v>5394</v>
      </c>
      <c r="O790" s="6" t="s">
        <v>5395</v>
      </c>
      <c r="P790" s="10" t="s">
        <v>15</v>
      </c>
      <c r="Q790" s="6"/>
      <c r="R790" s="6"/>
      <c r="S790" s="6"/>
      <c r="T790" s="6" t="s">
        <v>16</v>
      </c>
      <c r="U790" s="9" t="s">
        <v>17</v>
      </c>
      <c r="AI790" s="6" t="s">
        <v>4739</v>
      </c>
      <c r="AJ790" s="12" t="s">
        <v>5389</v>
      </c>
      <c r="AL790" s="13" t="s">
        <v>4741</v>
      </c>
    </row>
    <row r="791">
      <c r="A791" s="5" t="s">
        <v>5396</v>
      </c>
      <c r="B791" s="5" t="s">
        <v>5397</v>
      </c>
      <c r="C791" s="5" t="s">
        <v>5398</v>
      </c>
      <c r="D791" s="5" t="s">
        <v>8</v>
      </c>
      <c r="E791" s="6"/>
      <c r="F791" s="6"/>
      <c r="G791" s="7" t="s">
        <v>5399</v>
      </c>
      <c r="I791" s="8" t="s">
        <v>5400</v>
      </c>
      <c r="J791" s="9">
        <v>27.9</v>
      </c>
      <c r="K791" s="10" t="s">
        <v>11</v>
      </c>
      <c r="L791" s="6"/>
      <c r="M791" s="11" t="s">
        <v>12</v>
      </c>
      <c r="N791" s="6" t="s">
        <v>5401</v>
      </c>
      <c r="O791" s="6" t="s">
        <v>5402</v>
      </c>
      <c r="P791" s="10" t="s">
        <v>15</v>
      </c>
      <c r="Q791" s="6"/>
      <c r="R791" s="6"/>
      <c r="S791" s="6"/>
      <c r="T791" s="6" t="s">
        <v>16</v>
      </c>
      <c r="U791" s="9" t="s">
        <v>17</v>
      </c>
      <c r="AI791" s="6" t="s">
        <v>4739</v>
      </c>
      <c r="AJ791" s="12" t="s">
        <v>5403</v>
      </c>
      <c r="AL791" s="13" t="s">
        <v>4741</v>
      </c>
    </row>
    <row r="792">
      <c r="A792" s="5" t="s">
        <v>5404</v>
      </c>
      <c r="B792" s="5" t="s">
        <v>5405</v>
      </c>
      <c r="C792" s="5" t="s">
        <v>5398</v>
      </c>
      <c r="D792" s="5" t="s">
        <v>8</v>
      </c>
      <c r="E792" s="6"/>
      <c r="F792" s="6"/>
      <c r="G792" s="7" t="s">
        <v>5406</v>
      </c>
      <c r="I792" s="8" t="s">
        <v>5407</v>
      </c>
      <c r="J792" s="9">
        <v>38.9</v>
      </c>
      <c r="K792" s="10" t="s">
        <v>11</v>
      </c>
      <c r="L792" s="6"/>
      <c r="M792" s="11" t="s">
        <v>12</v>
      </c>
      <c r="N792" s="6" t="s">
        <v>5408</v>
      </c>
      <c r="O792" s="6" t="s">
        <v>5409</v>
      </c>
      <c r="P792" s="10" t="s">
        <v>15</v>
      </c>
      <c r="Q792" s="6"/>
      <c r="R792" s="6"/>
      <c r="S792" s="6"/>
      <c r="T792" s="6" t="s">
        <v>16</v>
      </c>
      <c r="U792" s="9" t="s">
        <v>17</v>
      </c>
      <c r="AI792" s="6" t="s">
        <v>4739</v>
      </c>
      <c r="AJ792" s="12" t="s">
        <v>5403</v>
      </c>
      <c r="AL792" s="13" t="s">
        <v>4741</v>
      </c>
    </row>
    <row r="793">
      <c r="A793" s="5" t="s">
        <v>5410</v>
      </c>
      <c r="B793" s="5" t="s">
        <v>5411</v>
      </c>
      <c r="C793" s="5" t="s">
        <v>5412</v>
      </c>
      <c r="D793" s="5" t="s">
        <v>8</v>
      </c>
      <c r="E793" s="6"/>
      <c r="F793" s="6"/>
      <c r="G793" s="7" t="s">
        <v>5413</v>
      </c>
      <c r="I793" s="8" t="s">
        <v>5414</v>
      </c>
      <c r="J793" s="9">
        <v>27.9</v>
      </c>
      <c r="K793" s="10" t="s">
        <v>11</v>
      </c>
      <c r="L793" s="6"/>
      <c r="M793" s="11" t="s">
        <v>12</v>
      </c>
      <c r="N793" s="6" t="s">
        <v>5415</v>
      </c>
      <c r="O793" s="6" t="s">
        <v>5416</v>
      </c>
      <c r="P793" s="10" t="s">
        <v>15</v>
      </c>
      <c r="Q793" s="6"/>
      <c r="R793" s="6"/>
      <c r="S793" s="6"/>
      <c r="T793" s="6" t="s">
        <v>16</v>
      </c>
      <c r="U793" s="9" t="s">
        <v>17</v>
      </c>
      <c r="AI793" s="6" t="s">
        <v>4739</v>
      </c>
      <c r="AJ793" s="12" t="s">
        <v>5417</v>
      </c>
      <c r="AL793" s="13" t="s">
        <v>4741</v>
      </c>
    </row>
    <row r="794">
      <c r="A794" s="5" t="s">
        <v>5418</v>
      </c>
      <c r="B794" s="5" t="s">
        <v>5419</v>
      </c>
      <c r="C794" s="5" t="s">
        <v>5412</v>
      </c>
      <c r="D794" s="5" t="s">
        <v>8</v>
      </c>
      <c r="E794" s="6"/>
      <c r="F794" s="6"/>
      <c r="G794" s="7" t="s">
        <v>5420</v>
      </c>
      <c r="I794" s="8" t="s">
        <v>5421</v>
      </c>
      <c r="J794" s="9">
        <v>38.9</v>
      </c>
      <c r="K794" s="10" t="s">
        <v>11</v>
      </c>
      <c r="L794" s="6"/>
      <c r="M794" s="11" t="s">
        <v>12</v>
      </c>
      <c r="N794" s="6" t="s">
        <v>5422</v>
      </c>
      <c r="O794" s="6" t="s">
        <v>5423</v>
      </c>
      <c r="P794" s="10" t="s">
        <v>15</v>
      </c>
      <c r="Q794" s="6"/>
      <c r="R794" s="6"/>
      <c r="S794" s="6"/>
      <c r="T794" s="6" t="s">
        <v>16</v>
      </c>
      <c r="U794" s="9" t="s">
        <v>17</v>
      </c>
      <c r="AI794" s="6" t="s">
        <v>4739</v>
      </c>
      <c r="AJ794" s="12" t="s">
        <v>5417</v>
      </c>
      <c r="AL794" s="13" t="s">
        <v>4741</v>
      </c>
    </row>
    <row r="795">
      <c r="A795" s="5" t="s">
        <v>5424</v>
      </c>
      <c r="B795" s="5" t="s">
        <v>5425</v>
      </c>
      <c r="C795" s="5" t="s">
        <v>5426</v>
      </c>
      <c r="D795" s="5" t="s">
        <v>8</v>
      </c>
      <c r="E795" s="6"/>
      <c r="F795" s="6"/>
      <c r="G795" s="7" t="s">
        <v>5427</v>
      </c>
      <c r="I795" s="8" t="s">
        <v>5428</v>
      </c>
      <c r="J795" s="9">
        <v>31.9</v>
      </c>
      <c r="K795" s="10" t="s">
        <v>11</v>
      </c>
      <c r="L795" s="6"/>
      <c r="M795" s="11" t="s">
        <v>12</v>
      </c>
      <c r="N795" s="6" t="s">
        <v>5429</v>
      </c>
      <c r="O795" s="6" t="s">
        <v>5430</v>
      </c>
      <c r="P795" s="10" t="s">
        <v>15</v>
      </c>
      <c r="Q795" s="6"/>
      <c r="R795" s="6"/>
      <c r="S795" s="6"/>
      <c r="T795" s="6" t="s">
        <v>16</v>
      </c>
      <c r="U795" s="9" t="s">
        <v>17</v>
      </c>
      <c r="AI795" s="6" t="s">
        <v>4739</v>
      </c>
      <c r="AJ795" s="12" t="s">
        <v>5431</v>
      </c>
      <c r="AL795" s="13" t="s">
        <v>4741</v>
      </c>
    </row>
    <row r="796">
      <c r="A796" s="5" t="s">
        <v>5432</v>
      </c>
      <c r="B796" s="5" t="s">
        <v>5433</v>
      </c>
      <c r="C796" s="5" t="s">
        <v>5426</v>
      </c>
      <c r="D796" s="17" t="s">
        <v>507</v>
      </c>
      <c r="E796" s="6"/>
      <c r="F796" s="6"/>
      <c r="G796" s="7" t="s">
        <v>5434</v>
      </c>
      <c r="I796" s="8" t="s">
        <v>5435</v>
      </c>
      <c r="J796" s="9">
        <v>43.9</v>
      </c>
      <c r="K796" s="10" t="s">
        <v>11</v>
      </c>
      <c r="L796" s="6"/>
      <c r="M796" s="11" t="s">
        <v>12</v>
      </c>
      <c r="N796" s="6" t="s">
        <v>5436</v>
      </c>
      <c r="O796" s="6" t="s">
        <v>5437</v>
      </c>
      <c r="P796" s="10" t="s">
        <v>15</v>
      </c>
      <c r="Q796" s="6"/>
      <c r="R796" s="6"/>
      <c r="S796" s="6"/>
      <c r="T796" s="6" t="s">
        <v>16</v>
      </c>
      <c r="U796" s="9" t="s">
        <v>17</v>
      </c>
      <c r="AI796" s="6" t="s">
        <v>4739</v>
      </c>
      <c r="AJ796" s="12" t="s">
        <v>5431</v>
      </c>
      <c r="AL796" s="13" t="s">
        <v>4741</v>
      </c>
    </row>
    <row r="797">
      <c r="A797" s="5" t="s">
        <v>5438</v>
      </c>
      <c r="B797" s="5" t="s">
        <v>5439</v>
      </c>
      <c r="C797" s="5" t="s">
        <v>5440</v>
      </c>
      <c r="D797" s="5" t="s">
        <v>8</v>
      </c>
      <c r="E797" s="6"/>
      <c r="F797" s="6"/>
      <c r="G797" s="7" t="s">
        <v>5441</v>
      </c>
      <c r="I797" s="8" t="s">
        <v>5442</v>
      </c>
      <c r="J797" s="9">
        <v>19.9</v>
      </c>
      <c r="K797" s="10" t="s">
        <v>11</v>
      </c>
      <c r="L797" s="6"/>
      <c r="M797" s="11" t="s">
        <v>12</v>
      </c>
      <c r="N797" s="6" t="s">
        <v>5443</v>
      </c>
      <c r="O797" s="6" t="s">
        <v>5444</v>
      </c>
      <c r="P797" s="10" t="s">
        <v>15</v>
      </c>
      <c r="Q797" s="6"/>
      <c r="R797" s="6"/>
      <c r="S797" s="6"/>
      <c r="T797" s="6" t="s">
        <v>16</v>
      </c>
      <c r="U797" s="9" t="s">
        <v>17</v>
      </c>
      <c r="AI797" s="6" t="s">
        <v>4739</v>
      </c>
      <c r="AJ797" s="12" t="s">
        <v>5445</v>
      </c>
      <c r="AL797" s="13" t="s">
        <v>4741</v>
      </c>
    </row>
    <row r="798">
      <c r="A798" s="5" t="s">
        <v>5446</v>
      </c>
      <c r="B798" s="5" t="s">
        <v>5447</v>
      </c>
      <c r="C798" s="5" t="s">
        <v>5448</v>
      </c>
      <c r="D798" s="5" t="s">
        <v>8</v>
      </c>
      <c r="E798" s="6"/>
      <c r="F798" s="6"/>
      <c r="G798" s="7" t="s">
        <v>5449</v>
      </c>
      <c r="I798" s="8" t="s">
        <v>5450</v>
      </c>
      <c r="J798" s="9">
        <v>26.9</v>
      </c>
      <c r="K798" s="10" t="s">
        <v>11</v>
      </c>
      <c r="L798" s="6"/>
      <c r="M798" s="11" t="s">
        <v>12</v>
      </c>
      <c r="N798" s="6" t="s">
        <v>5451</v>
      </c>
      <c r="O798" s="6" t="s">
        <v>5452</v>
      </c>
      <c r="P798" s="10" t="s">
        <v>15</v>
      </c>
      <c r="Q798" s="6"/>
      <c r="R798" s="6"/>
      <c r="S798" s="6"/>
      <c r="T798" s="6" t="s">
        <v>16</v>
      </c>
      <c r="U798" s="9" t="s">
        <v>17</v>
      </c>
      <c r="AI798" s="6" t="s">
        <v>4930</v>
      </c>
      <c r="AJ798" s="12" t="s">
        <v>5453</v>
      </c>
      <c r="AL798" s="13" t="s">
        <v>4741</v>
      </c>
    </row>
    <row r="799">
      <c r="A799" s="5" t="s">
        <v>5454</v>
      </c>
      <c r="B799" s="5" t="s">
        <v>5455</v>
      </c>
      <c r="C799" s="5" t="s">
        <v>5448</v>
      </c>
      <c r="D799" s="5" t="s">
        <v>8</v>
      </c>
      <c r="E799" s="6"/>
      <c r="F799" s="6"/>
      <c r="G799" s="7" t="s">
        <v>5456</v>
      </c>
      <c r="I799" s="8" t="s">
        <v>5457</v>
      </c>
      <c r="J799" s="9">
        <v>38.9</v>
      </c>
      <c r="K799" s="10" t="s">
        <v>11</v>
      </c>
      <c r="L799" s="6"/>
      <c r="M799" s="11" t="s">
        <v>12</v>
      </c>
      <c r="N799" s="6" t="s">
        <v>5458</v>
      </c>
      <c r="O799" s="6" t="s">
        <v>5459</v>
      </c>
      <c r="P799" s="10" t="s">
        <v>15</v>
      </c>
      <c r="Q799" s="6"/>
      <c r="R799" s="6"/>
      <c r="S799" s="6"/>
      <c r="T799" s="6" t="s">
        <v>16</v>
      </c>
      <c r="U799" s="9" t="s">
        <v>17</v>
      </c>
      <c r="AI799" s="6" t="s">
        <v>4930</v>
      </c>
      <c r="AJ799" s="12" t="s">
        <v>5453</v>
      </c>
      <c r="AL799" s="13" t="s">
        <v>4741</v>
      </c>
    </row>
    <row r="800">
      <c r="A800" s="5" t="s">
        <v>5460</v>
      </c>
      <c r="B800" s="5" t="s">
        <v>5461</v>
      </c>
      <c r="C800" s="5" t="s">
        <v>5462</v>
      </c>
      <c r="D800" s="5" t="s">
        <v>8</v>
      </c>
      <c r="E800" s="6"/>
      <c r="F800" s="6"/>
      <c r="G800" s="7" t="s">
        <v>5463</v>
      </c>
      <c r="I800" s="8" t="s">
        <v>5464</v>
      </c>
      <c r="J800" s="9">
        <v>28.9</v>
      </c>
      <c r="K800" s="10" t="s">
        <v>11</v>
      </c>
      <c r="L800" s="6"/>
      <c r="M800" s="11" t="s">
        <v>12</v>
      </c>
      <c r="N800" s="6" t="s">
        <v>5465</v>
      </c>
      <c r="O800" s="6" t="s">
        <v>5466</v>
      </c>
      <c r="P800" s="10" t="s">
        <v>15</v>
      </c>
      <c r="Q800" s="6"/>
      <c r="R800" s="6"/>
      <c r="S800" s="6"/>
      <c r="T800" s="6" t="s">
        <v>16</v>
      </c>
      <c r="U800" s="9" t="s">
        <v>17</v>
      </c>
      <c r="AI800" s="6" t="s">
        <v>4739</v>
      </c>
      <c r="AJ800" s="12" t="s">
        <v>5467</v>
      </c>
      <c r="AL800" s="13" t="s">
        <v>4741</v>
      </c>
    </row>
    <row r="801">
      <c r="A801" s="5" t="s">
        <v>5468</v>
      </c>
      <c r="B801" s="5" t="s">
        <v>5469</v>
      </c>
      <c r="C801" s="5" t="s">
        <v>5462</v>
      </c>
      <c r="D801" s="5" t="s">
        <v>8</v>
      </c>
      <c r="E801" s="6"/>
      <c r="F801" s="6"/>
      <c r="G801" s="7" t="s">
        <v>5470</v>
      </c>
      <c r="I801" s="8" t="s">
        <v>5471</v>
      </c>
      <c r="J801" s="9">
        <v>39.9</v>
      </c>
      <c r="K801" s="10" t="s">
        <v>11</v>
      </c>
      <c r="L801" s="6"/>
      <c r="M801" s="11" t="s">
        <v>12</v>
      </c>
      <c r="N801" s="6" t="s">
        <v>5472</v>
      </c>
      <c r="O801" s="6" t="s">
        <v>5473</v>
      </c>
      <c r="P801" s="10" t="s">
        <v>15</v>
      </c>
      <c r="Q801" s="6"/>
      <c r="R801" s="6"/>
      <c r="S801" s="6"/>
      <c r="T801" s="6" t="s">
        <v>16</v>
      </c>
      <c r="U801" s="9" t="s">
        <v>17</v>
      </c>
      <c r="AI801" s="6" t="s">
        <v>4739</v>
      </c>
      <c r="AJ801" s="12" t="s">
        <v>5467</v>
      </c>
      <c r="AL801" s="13" t="s">
        <v>4741</v>
      </c>
    </row>
    <row r="802">
      <c r="A802" s="5" t="s">
        <v>5474</v>
      </c>
      <c r="B802" s="5" t="s">
        <v>5475</v>
      </c>
      <c r="C802" s="5"/>
      <c r="D802" s="5" t="s">
        <v>8</v>
      </c>
      <c r="E802" s="6"/>
      <c r="F802" s="6"/>
      <c r="G802" s="7" t="s">
        <v>5476</v>
      </c>
      <c r="I802" s="8" t="s">
        <v>5477</v>
      </c>
      <c r="J802" s="9">
        <v>30.9</v>
      </c>
      <c r="K802" s="10" t="s">
        <v>11</v>
      </c>
      <c r="L802" s="6"/>
      <c r="M802" s="11" t="s">
        <v>12</v>
      </c>
      <c r="N802" s="6" t="s">
        <v>5478</v>
      </c>
      <c r="O802" s="6" t="s">
        <v>5479</v>
      </c>
      <c r="P802" s="10" t="s">
        <v>15</v>
      </c>
      <c r="Q802" s="6"/>
      <c r="R802" s="6"/>
      <c r="S802" s="6"/>
      <c r="T802" s="6" t="s">
        <v>16</v>
      </c>
      <c r="U802" s="9" t="s">
        <v>17</v>
      </c>
      <c r="AI802" s="6" t="s">
        <v>4739</v>
      </c>
      <c r="AJ802" s="12" t="s">
        <v>5480</v>
      </c>
      <c r="AL802" s="13" t="s">
        <v>4741</v>
      </c>
    </row>
    <row r="803">
      <c r="A803" s="5" t="s">
        <v>5481</v>
      </c>
      <c r="B803" s="5" t="s">
        <v>5482</v>
      </c>
      <c r="C803" s="5" t="s">
        <v>5483</v>
      </c>
      <c r="D803" s="5" t="s">
        <v>8</v>
      </c>
      <c r="E803" s="6"/>
      <c r="F803" s="6"/>
      <c r="G803" s="7" t="s">
        <v>5484</v>
      </c>
      <c r="I803" s="8" t="s">
        <v>5485</v>
      </c>
      <c r="J803" s="9">
        <v>27.9</v>
      </c>
      <c r="K803" s="10" t="s">
        <v>11</v>
      </c>
      <c r="L803" s="6"/>
      <c r="M803" s="11" t="s">
        <v>12</v>
      </c>
      <c r="N803" s="6" t="s">
        <v>5486</v>
      </c>
      <c r="O803" s="6" t="s">
        <v>5487</v>
      </c>
      <c r="P803" s="10" t="s">
        <v>15</v>
      </c>
      <c r="Q803" s="6"/>
      <c r="R803" s="6"/>
      <c r="S803" s="6"/>
      <c r="T803" s="6" t="s">
        <v>16</v>
      </c>
      <c r="U803" s="9" t="s">
        <v>17</v>
      </c>
      <c r="AI803" s="6" t="s">
        <v>4739</v>
      </c>
      <c r="AJ803" s="12" t="s">
        <v>5488</v>
      </c>
      <c r="AL803" s="13" t="s">
        <v>4741</v>
      </c>
    </row>
    <row r="804">
      <c r="A804" s="5" t="s">
        <v>5489</v>
      </c>
      <c r="B804" s="5" t="s">
        <v>5490</v>
      </c>
      <c r="C804" s="5" t="s">
        <v>5483</v>
      </c>
      <c r="D804" s="17" t="s">
        <v>507</v>
      </c>
      <c r="E804" s="6"/>
      <c r="F804" s="6"/>
      <c r="G804" s="7" t="s">
        <v>5491</v>
      </c>
      <c r="I804" s="8" t="s">
        <v>5492</v>
      </c>
      <c r="J804" s="9">
        <v>38.9</v>
      </c>
      <c r="K804" s="10" t="s">
        <v>11</v>
      </c>
      <c r="L804" s="6"/>
      <c r="M804" s="11" t="s">
        <v>12</v>
      </c>
      <c r="N804" s="6" t="s">
        <v>5493</v>
      </c>
      <c r="O804" s="6" t="s">
        <v>5494</v>
      </c>
      <c r="P804" s="10" t="s">
        <v>15</v>
      </c>
      <c r="Q804" s="6"/>
      <c r="R804" s="6"/>
      <c r="S804" s="6"/>
      <c r="T804" s="6" t="s">
        <v>16</v>
      </c>
      <c r="U804" s="9" t="s">
        <v>17</v>
      </c>
      <c r="AI804" s="6" t="s">
        <v>4739</v>
      </c>
      <c r="AJ804" s="12" t="s">
        <v>5488</v>
      </c>
      <c r="AL804" s="13" t="s">
        <v>4741</v>
      </c>
    </row>
    <row r="805">
      <c r="A805" s="5" t="s">
        <v>5495</v>
      </c>
      <c r="B805" s="5" t="s">
        <v>5496</v>
      </c>
      <c r="C805" s="5" t="s">
        <v>5497</v>
      </c>
      <c r="D805" s="5" t="s">
        <v>8</v>
      </c>
      <c r="E805" s="6"/>
      <c r="F805" s="6"/>
      <c r="G805" s="7" t="s">
        <v>5498</v>
      </c>
      <c r="I805" s="8" t="s">
        <v>5499</v>
      </c>
      <c r="J805" s="9">
        <v>27.9</v>
      </c>
      <c r="K805" s="10" t="s">
        <v>11</v>
      </c>
      <c r="L805" s="6"/>
      <c r="M805" s="11" t="s">
        <v>12</v>
      </c>
      <c r="N805" s="6" t="s">
        <v>5500</v>
      </c>
      <c r="O805" s="6" t="s">
        <v>5501</v>
      </c>
      <c r="P805" s="10" t="s">
        <v>15</v>
      </c>
      <c r="Q805" s="6"/>
      <c r="R805" s="6"/>
      <c r="S805" s="6"/>
      <c r="T805" s="6" t="s">
        <v>16</v>
      </c>
      <c r="U805" s="9" t="s">
        <v>17</v>
      </c>
      <c r="AI805" s="6" t="s">
        <v>4739</v>
      </c>
      <c r="AJ805" s="12" t="s">
        <v>5502</v>
      </c>
      <c r="AL805" s="13" t="s">
        <v>4741</v>
      </c>
    </row>
    <row r="806">
      <c r="A806" s="5" t="s">
        <v>5503</v>
      </c>
      <c r="B806" s="5" t="s">
        <v>5504</v>
      </c>
      <c r="C806" s="5" t="s">
        <v>5497</v>
      </c>
      <c r="D806" s="17" t="s">
        <v>507</v>
      </c>
      <c r="E806" s="6"/>
      <c r="F806" s="6"/>
      <c r="G806" s="7" t="s">
        <v>5505</v>
      </c>
      <c r="I806" s="8" t="s">
        <v>5506</v>
      </c>
      <c r="J806" s="9">
        <v>38.9</v>
      </c>
      <c r="K806" s="10" t="s">
        <v>11</v>
      </c>
      <c r="L806" s="6"/>
      <c r="M806" s="11" t="s">
        <v>12</v>
      </c>
      <c r="N806" s="6" t="s">
        <v>5507</v>
      </c>
      <c r="O806" s="6" t="s">
        <v>5508</v>
      </c>
      <c r="P806" s="10" t="s">
        <v>15</v>
      </c>
      <c r="Q806" s="6"/>
      <c r="R806" s="6"/>
      <c r="S806" s="6"/>
      <c r="T806" s="6" t="s">
        <v>16</v>
      </c>
      <c r="U806" s="9" t="s">
        <v>17</v>
      </c>
      <c r="AI806" s="6" t="s">
        <v>4739</v>
      </c>
      <c r="AJ806" s="12" t="s">
        <v>5502</v>
      </c>
      <c r="AL806" s="13" t="s">
        <v>4741</v>
      </c>
    </row>
    <row r="807">
      <c r="A807" s="5" t="s">
        <v>5509</v>
      </c>
      <c r="B807" s="5" t="s">
        <v>5510</v>
      </c>
      <c r="C807" s="5" t="s">
        <v>5511</v>
      </c>
      <c r="D807" s="17" t="s">
        <v>507</v>
      </c>
      <c r="E807" s="6"/>
      <c r="F807" s="6"/>
      <c r="G807" s="7" t="s">
        <v>5512</v>
      </c>
      <c r="I807" s="8" t="s">
        <v>5513</v>
      </c>
      <c r="J807" s="9">
        <v>27.9</v>
      </c>
      <c r="K807" s="10" t="s">
        <v>11</v>
      </c>
      <c r="L807" s="6"/>
      <c r="M807" s="11" t="s">
        <v>12</v>
      </c>
      <c r="N807" s="6" t="s">
        <v>5514</v>
      </c>
      <c r="O807" s="6" t="s">
        <v>5515</v>
      </c>
      <c r="P807" s="10" t="s">
        <v>15</v>
      </c>
      <c r="Q807" s="6"/>
      <c r="R807" s="6"/>
      <c r="S807" s="6"/>
      <c r="T807" s="6" t="s">
        <v>16</v>
      </c>
      <c r="U807" s="9" t="s">
        <v>17</v>
      </c>
      <c r="AI807" s="6" t="s">
        <v>4739</v>
      </c>
      <c r="AJ807" s="12" t="s">
        <v>5516</v>
      </c>
      <c r="AL807" s="13" t="s">
        <v>4741</v>
      </c>
    </row>
    <row r="808">
      <c r="A808" s="5" t="s">
        <v>5517</v>
      </c>
      <c r="B808" s="5" t="s">
        <v>5518</v>
      </c>
      <c r="C808" s="5" t="s">
        <v>5511</v>
      </c>
      <c r="D808" s="17" t="s">
        <v>507</v>
      </c>
      <c r="E808" s="6"/>
      <c r="F808" s="6"/>
      <c r="G808" s="7" t="s">
        <v>5519</v>
      </c>
      <c r="I808" s="8" t="s">
        <v>5520</v>
      </c>
      <c r="J808" s="9">
        <v>38.9</v>
      </c>
      <c r="K808" s="10" t="s">
        <v>11</v>
      </c>
      <c r="L808" s="6"/>
      <c r="M808" s="11" t="s">
        <v>12</v>
      </c>
      <c r="N808" s="6" t="s">
        <v>5521</v>
      </c>
      <c r="O808" s="6" t="s">
        <v>5522</v>
      </c>
      <c r="P808" s="10" t="s">
        <v>15</v>
      </c>
      <c r="Q808" s="6"/>
      <c r="R808" s="6"/>
      <c r="S808" s="6"/>
      <c r="T808" s="6" t="s">
        <v>16</v>
      </c>
      <c r="U808" s="9" t="s">
        <v>17</v>
      </c>
      <c r="AI808" s="6" t="s">
        <v>4739</v>
      </c>
      <c r="AJ808" s="12" t="s">
        <v>5516</v>
      </c>
      <c r="AL808" s="13" t="s">
        <v>4741</v>
      </c>
    </row>
    <row r="809">
      <c r="A809" s="5" t="s">
        <v>5523</v>
      </c>
      <c r="B809" s="5" t="s">
        <v>5524</v>
      </c>
      <c r="C809" s="5" t="s">
        <v>5525</v>
      </c>
      <c r="D809" s="5" t="s">
        <v>8</v>
      </c>
      <c r="E809" s="6"/>
      <c r="F809" s="6"/>
      <c r="G809" s="7" t="s">
        <v>5526</v>
      </c>
      <c r="I809" s="8" t="s">
        <v>5527</v>
      </c>
      <c r="J809" s="9">
        <v>28.9</v>
      </c>
      <c r="K809" s="10" t="s">
        <v>11</v>
      </c>
      <c r="L809" s="6"/>
      <c r="M809" s="11" t="s">
        <v>12</v>
      </c>
      <c r="N809" s="6" t="s">
        <v>5528</v>
      </c>
      <c r="O809" s="6" t="s">
        <v>5529</v>
      </c>
      <c r="P809" s="10" t="s">
        <v>15</v>
      </c>
      <c r="Q809" s="6"/>
      <c r="R809" s="6"/>
      <c r="S809" s="6"/>
      <c r="T809" s="6" t="s">
        <v>16</v>
      </c>
      <c r="U809" s="9" t="s">
        <v>17</v>
      </c>
      <c r="AI809" s="6" t="s">
        <v>4739</v>
      </c>
      <c r="AJ809" s="12" t="s">
        <v>5530</v>
      </c>
      <c r="AL809" s="13" t="s">
        <v>4741</v>
      </c>
    </row>
    <row r="810">
      <c r="A810" s="5" t="s">
        <v>5531</v>
      </c>
      <c r="B810" s="5" t="s">
        <v>5532</v>
      </c>
      <c r="C810" s="5" t="s">
        <v>5525</v>
      </c>
      <c r="D810" s="5" t="s">
        <v>8</v>
      </c>
      <c r="E810" s="6"/>
      <c r="F810" s="6"/>
      <c r="G810" s="7" t="s">
        <v>5533</v>
      </c>
      <c r="I810" s="8" t="s">
        <v>5534</v>
      </c>
      <c r="J810" s="9">
        <v>39.9</v>
      </c>
      <c r="K810" s="10" t="s">
        <v>11</v>
      </c>
      <c r="L810" s="6"/>
      <c r="M810" s="11" t="s">
        <v>12</v>
      </c>
      <c r="N810" s="6" t="s">
        <v>5535</v>
      </c>
      <c r="O810" s="6" t="s">
        <v>5536</v>
      </c>
      <c r="P810" s="10" t="s">
        <v>15</v>
      </c>
      <c r="Q810" s="6"/>
      <c r="R810" s="6"/>
      <c r="S810" s="6"/>
      <c r="T810" s="6" t="s">
        <v>16</v>
      </c>
      <c r="U810" s="9" t="s">
        <v>17</v>
      </c>
      <c r="AI810" s="6" t="s">
        <v>4739</v>
      </c>
      <c r="AJ810" s="12" t="s">
        <v>5530</v>
      </c>
      <c r="AL810" s="13" t="s">
        <v>4741</v>
      </c>
    </row>
    <row r="811">
      <c r="A811" s="5" t="s">
        <v>5537</v>
      </c>
      <c r="B811" s="5" t="s">
        <v>5538</v>
      </c>
      <c r="C811" s="5" t="s">
        <v>4868</v>
      </c>
      <c r="D811" s="5" t="s">
        <v>8</v>
      </c>
      <c r="E811" s="6"/>
      <c r="F811" s="6"/>
      <c r="G811" s="7" t="s">
        <v>5539</v>
      </c>
      <c r="I811" s="8" t="s">
        <v>5540</v>
      </c>
      <c r="J811" s="9">
        <v>27.9</v>
      </c>
      <c r="K811" s="10" t="s">
        <v>11</v>
      </c>
      <c r="L811" s="6"/>
      <c r="M811" s="11" t="s">
        <v>12</v>
      </c>
      <c r="N811" s="6" t="s">
        <v>5541</v>
      </c>
      <c r="O811" s="6" t="s">
        <v>5542</v>
      </c>
      <c r="P811" s="10" t="s">
        <v>15</v>
      </c>
      <c r="Q811" s="6"/>
      <c r="R811" s="6"/>
      <c r="S811" s="6"/>
      <c r="T811" s="6" t="s">
        <v>16</v>
      </c>
      <c r="U811" s="9" t="s">
        <v>17</v>
      </c>
      <c r="AI811" s="6" t="s">
        <v>4739</v>
      </c>
      <c r="AJ811" s="12" t="s">
        <v>5543</v>
      </c>
      <c r="AL811" s="13" t="s">
        <v>4741</v>
      </c>
    </row>
    <row r="812">
      <c r="A812" s="5" t="s">
        <v>5544</v>
      </c>
      <c r="B812" s="5" t="s">
        <v>5545</v>
      </c>
      <c r="C812" s="5" t="s">
        <v>4868</v>
      </c>
      <c r="D812" s="5" t="s">
        <v>8</v>
      </c>
      <c r="E812" s="6"/>
      <c r="F812" s="6"/>
      <c r="G812" s="7" t="s">
        <v>5546</v>
      </c>
      <c r="I812" s="8" t="s">
        <v>5547</v>
      </c>
      <c r="J812" s="9">
        <v>38.9</v>
      </c>
      <c r="K812" s="10" t="s">
        <v>11</v>
      </c>
      <c r="L812" s="6"/>
      <c r="M812" s="11" t="s">
        <v>12</v>
      </c>
      <c r="N812" s="6" t="s">
        <v>5548</v>
      </c>
      <c r="O812" s="6" t="s">
        <v>5549</v>
      </c>
      <c r="P812" s="10" t="s">
        <v>15</v>
      </c>
      <c r="Q812" s="6"/>
      <c r="R812" s="6"/>
      <c r="S812" s="6"/>
      <c r="T812" s="6" t="s">
        <v>16</v>
      </c>
      <c r="U812" s="9" t="s">
        <v>17</v>
      </c>
      <c r="AI812" s="6" t="s">
        <v>4739</v>
      </c>
      <c r="AJ812" s="12" t="s">
        <v>5543</v>
      </c>
      <c r="AL812" s="13" t="s">
        <v>4741</v>
      </c>
    </row>
    <row r="813">
      <c r="A813" s="5" t="s">
        <v>5550</v>
      </c>
      <c r="B813" s="5" t="s">
        <v>5551</v>
      </c>
      <c r="C813" s="5" t="s">
        <v>5552</v>
      </c>
      <c r="D813" s="5" t="s">
        <v>8</v>
      </c>
      <c r="E813" s="6"/>
      <c r="F813" s="6"/>
      <c r="G813" s="7" t="s">
        <v>5553</v>
      </c>
      <c r="I813" s="8" t="s">
        <v>5554</v>
      </c>
      <c r="J813" s="9">
        <v>27.9</v>
      </c>
      <c r="K813" s="10" t="s">
        <v>11</v>
      </c>
      <c r="L813" s="6"/>
      <c r="M813" s="11" t="s">
        <v>12</v>
      </c>
      <c r="N813" s="6" t="s">
        <v>5555</v>
      </c>
      <c r="O813" s="6" t="s">
        <v>5556</v>
      </c>
      <c r="P813" s="10" t="s">
        <v>15</v>
      </c>
      <c r="Q813" s="6"/>
      <c r="R813" s="6"/>
      <c r="S813" s="6"/>
      <c r="T813" s="6" t="s">
        <v>16</v>
      </c>
      <c r="U813" s="9" t="s">
        <v>17</v>
      </c>
      <c r="AI813" s="6" t="s">
        <v>4739</v>
      </c>
      <c r="AJ813" s="12" t="s">
        <v>5557</v>
      </c>
      <c r="AL813" s="13" t="s">
        <v>4741</v>
      </c>
    </row>
    <row r="814">
      <c r="A814" s="5" t="s">
        <v>5558</v>
      </c>
      <c r="B814" s="5" t="s">
        <v>5559</v>
      </c>
      <c r="C814" s="5" t="s">
        <v>5552</v>
      </c>
      <c r="D814" s="5" t="s">
        <v>8</v>
      </c>
      <c r="E814" s="6"/>
      <c r="F814" s="6"/>
      <c r="G814" s="7" t="s">
        <v>5560</v>
      </c>
      <c r="I814" s="8" t="s">
        <v>5561</v>
      </c>
      <c r="J814" s="9">
        <v>38.9</v>
      </c>
      <c r="K814" s="10" t="s">
        <v>11</v>
      </c>
      <c r="L814" s="6"/>
      <c r="M814" s="11" t="s">
        <v>12</v>
      </c>
      <c r="N814" s="6" t="s">
        <v>5562</v>
      </c>
      <c r="O814" s="6" t="s">
        <v>5563</v>
      </c>
      <c r="P814" s="10" t="s">
        <v>15</v>
      </c>
      <c r="Q814" s="6"/>
      <c r="R814" s="6"/>
      <c r="S814" s="6"/>
      <c r="T814" s="6" t="s">
        <v>16</v>
      </c>
      <c r="U814" s="9" t="s">
        <v>17</v>
      </c>
      <c r="AI814" s="6" t="s">
        <v>4739</v>
      </c>
      <c r="AJ814" s="12" t="s">
        <v>5557</v>
      </c>
      <c r="AL814" s="13" t="s">
        <v>4741</v>
      </c>
    </row>
    <row r="815">
      <c r="A815" s="5" t="s">
        <v>5564</v>
      </c>
      <c r="B815" s="5" t="s">
        <v>5565</v>
      </c>
      <c r="C815" s="5" t="s">
        <v>5566</v>
      </c>
      <c r="D815" s="5" t="s">
        <v>8</v>
      </c>
      <c r="E815" s="6"/>
      <c r="F815" s="6"/>
      <c r="G815" s="7" t="s">
        <v>5567</v>
      </c>
      <c r="I815" s="8" t="s">
        <v>5568</v>
      </c>
      <c r="J815" s="9">
        <v>26.9</v>
      </c>
      <c r="K815" s="10" t="s">
        <v>11</v>
      </c>
      <c r="L815" s="6"/>
      <c r="M815" s="11" t="s">
        <v>12</v>
      </c>
      <c r="N815" s="6" t="s">
        <v>5569</v>
      </c>
      <c r="O815" s="6" t="s">
        <v>5570</v>
      </c>
      <c r="P815" s="10" t="s">
        <v>15</v>
      </c>
      <c r="Q815" s="6"/>
      <c r="R815" s="6"/>
      <c r="S815" s="6"/>
      <c r="T815" s="6" t="s">
        <v>16</v>
      </c>
      <c r="U815" s="9" t="s">
        <v>17</v>
      </c>
      <c r="AI815" s="6" t="s">
        <v>4739</v>
      </c>
      <c r="AJ815" s="12" t="s">
        <v>5571</v>
      </c>
      <c r="AL815" s="13" t="s">
        <v>4741</v>
      </c>
    </row>
    <row r="816">
      <c r="A816" s="5" t="s">
        <v>5572</v>
      </c>
      <c r="B816" s="5" t="s">
        <v>5573</v>
      </c>
      <c r="C816" s="5" t="s">
        <v>5566</v>
      </c>
      <c r="D816" s="5" t="s">
        <v>8</v>
      </c>
      <c r="E816" s="6"/>
      <c r="F816" s="6"/>
      <c r="G816" s="7" t="s">
        <v>5574</v>
      </c>
      <c r="I816" s="8" t="s">
        <v>5575</v>
      </c>
      <c r="J816" s="9">
        <v>38.9</v>
      </c>
      <c r="K816" s="10" t="s">
        <v>11</v>
      </c>
      <c r="L816" s="6"/>
      <c r="M816" s="11" t="s">
        <v>12</v>
      </c>
      <c r="N816" s="6" t="s">
        <v>5576</v>
      </c>
      <c r="O816" s="6" t="s">
        <v>5577</v>
      </c>
      <c r="P816" s="10" t="s">
        <v>15</v>
      </c>
      <c r="Q816" s="6"/>
      <c r="R816" s="6"/>
      <c r="S816" s="6"/>
      <c r="T816" s="6" t="s">
        <v>16</v>
      </c>
      <c r="U816" s="9" t="s">
        <v>17</v>
      </c>
      <c r="AI816" s="6" t="s">
        <v>4739</v>
      </c>
      <c r="AJ816" s="12" t="s">
        <v>5571</v>
      </c>
      <c r="AL816" s="13" t="s">
        <v>4741</v>
      </c>
    </row>
    <row r="817">
      <c r="A817" s="5" t="s">
        <v>5578</v>
      </c>
      <c r="B817" s="5" t="s">
        <v>5579</v>
      </c>
      <c r="C817" s="5" t="s">
        <v>5580</v>
      </c>
      <c r="D817" s="5" t="s">
        <v>8</v>
      </c>
      <c r="E817" s="6"/>
      <c r="F817" s="6"/>
      <c r="G817" s="7" t="s">
        <v>5581</v>
      </c>
      <c r="I817" s="8" t="s">
        <v>5582</v>
      </c>
      <c r="J817" s="9">
        <v>27.9</v>
      </c>
      <c r="K817" s="10" t="s">
        <v>11</v>
      </c>
      <c r="L817" s="6"/>
      <c r="M817" s="11" t="s">
        <v>12</v>
      </c>
      <c r="N817" s="6" t="s">
        <v>5583</v>
      </c>
      <c r="O817" s="6" t="s">
        <v>5584</v>
      </c>
      <c r="P817" s="10" t="s">
        <v>15</v>
      </c>
      <c r="Q817" s="6"/>
      <c r="R817" s="6"/>
      <c r="S817" s="6"/>
      <c r="T817" s="6" t="s">
        <v>16</v>
      </c>
      <c r="U817" s="9" t="s">
        <v>17</v>
      </c>
      <c r="AI817" s="6" t="s">
        <v>4739</v>
      </c>
      <c r="AJ817" s="12" t="s">
        <v>5585</v>
      </c>
      <c r="AL817" s="13" t="s">
        <v>4741</v>
      </c>
    </row>
    <row r="818">
      <c r="A818" s="5" t="s">
        <v>5586</v>
      </c>
      <c r="B818" s="5" t="s">
        <v>5587</v>
      </c>
      <c r="C818" s="5" t="s">
        <v>5580</v>
      </c>
      <c r="D818" s="5" t="s">
        <v>8</v>
      </c>
      <c r="E818" s="6"/>
      <c r="F818" s="6"/>
      <c r="G818" s="7" t="s">
        <v>5588</v>
      </c>
      <c r="I818" s="8" t="s">
        <v>5589</v>
      </c>
      <c r="J818" s="9">
        <v>38.9</v>
      </c>
      <c r="K818" s="10" t="s">
        <v>11</v>
      </c>
      <c r="L818" s="6"/>
      <c r="M818" s="11" t="s">
        <v>12</v>
      </c>
      <c r="N818" s="6" t="s">
        <v>5590</v>
      </c>
      <c r="O818" s="6" t="s">
        <v>5591</v>
      </c>
      <c r="P818" s="10" t="s">
        <v>15</v>
      </c>
      <c r="Q818" s="6"/>
      <c r="R818" s="6"/>
      <c r="S818" s="6"/>
      <c r="T818" s="6" t="s">
        <v>16</v>
      </c>
      <c r="U818" s="9" t="s">
        <v>17</v>
      </c>
      <c r="AI818" s="6" t="s">
        <v>4739</v>
      </c>
      <c r="AJ818" s="12" t="s">
        <v>5585</v>
      </c>
      <c r="AL818" s="13" t="s">
        <v>4741</v>
      </c>
    </row>
    <row r="819">
      <c r="A819" s="5" t="s">
        <v>5592</v>
      </c>
      <c r="B819" s="5" t="s">
        <v>5593</v>
      </c>
      <c r="C819" s="5" t="s">
        <v>5594</v>
      </c>
      <c r="D819" s="5" t="s">
        <v>8</v>
      </c>
      <c r="E819" s="6"/>
      <c r="F819" s="6"/>
      <c r="G819" s="7" t="s">
        <v>5595</v>
      </c>
      <c r="I819" s="8" t="s">
        <v>5596</v>
      </c>
      <c r="J819" s="9">
        <v>27.9</v>
      </c>
      <c r="K819" s="10" t="s">
        <v>11</v>
      </c>
      <c r="L819" s="6"/>
      <c r="M819" s="11" t="s">
        <v>12</v>
      </c>
      <c r="N819" s="6" t="s">
        <v>5597</v>
      </c>
      <c r="O819" s="6" t="s">
        <v>5598</v>
      </c>
      <c r="P819" s="10" t="s">
        <v>15</v>
      </c>
      <c r="Q819" s="6"/>
      <c r="R819" s="6"/>
      <c r="S819" s="6"/>
      <c r="T819" s="6" t="s">
        <v>16</v>
      </c>
      <c r="U819" s="9" t="s">
        <v>17</v>
      </c>
      <c r="AI819" s="6" t="s">
        <v>4739</v>
      </c>
      <c r="AJ819" s="12" t="s">
        <v>5599</v>
      </c>
      <c r="AL819" s="13" t="s">
        <v>4741</v>
      </c>
    </row>
    <row r="820">
      <c r="A820" s="5" t="s">
        <v>5600</v>
      </c>
      <c r="B820" s="5" t="s">
        <v>5601</v>
      </c>
      <c r="C820" s="5" t="s">
        <v>5594</v>
      </c>
      <c r="D820" s="17" t="s">
        <v>507</v>
      </c>
      <c r="E820" s="6"/>
      <c r="F820" s="6"/>
      <c r="G820" s="7" t="s">
        <v>5602</v>
      </c>
      <c r="I820" s="8" t="s">
        <v>5603</v>
      </c>
      <c r="J820" s="9">
        <v>38.9</v>
      </c>
      <c r="K820" s="10" t="s">
        <v>11</v>
      </c>
      <c r="L820" s="6"/>
      <c r="M820" s="11" t="s">
        <v>12</v>
      </c>
      <c r="N820" s="6" t="s">
        <v>5604</v>
      </c>
      <c r="O820" s="6" t="s">
        <v>5605</v>
      </c>
      <c r="P820" s="10" t="s">
        <v>15</v>
      </c>
      <c r="Q820" s="6"/>
      <c r="R820" s="6"/>
      <c r="S820" s="6"/>
      <c r="T820" s="6" t="s">
        <v>16</v>
      </c>
      <c r="U820" s="9" t="s">
        <v>17</v>
      </c>
      <c r="AI820" s="6" t="s">
        <v>4739</v>
      </c>
      <c r="AJ820" s="12" t="s">
        <v>5599</v>
      </c>
      <c r="AL820" s="13" t="s">
        <v>4741</v>
      </c>
    </row>
    <row r="821">
      <c r="A821" s="5" t="s">
        <v>5606</v>
      </c>
      <c r="B821" s="5" t="s">
        <v>5607</v>
      </c>
      <c r="C821" s="5"/>
      <c r="D821" s="5" t="s">
        <v>8</v>
      </c>
      <c r="E821" s="6"/>
      <c r="F821" s="6"/>
      <c r="G821" s="7" t="s">
        <v>5608</v>
      </c>
      <c r="I821" s="8" t="s">
        <v>5609</v>
      </c>
      <c r="J821" s="9">
        <v>30.9</v>
      </c>
      <c r="K821" s="10" t="s">
        <v>11</v>
      </c>
      <c r="L821" s="6"/>
      <c r="M821" s="11" t="s">
        <v>12</v>
      </c>
      <c r="N821" s="6" t="s">
        <v>5610</v>
      </c>
      <c r="O821" s="6" t="s">
        <v>5611</v>
      </c>
      <c r="P821" s="10" t="s">
        <v>15</v>
      </c>
      <c r="Q821" s="6"/>
      <c r="R821" s="6"/>
      <c r="S821" s="6"/>
      <c r="T821" s="6" t="s">
        <v>16</v>
      </c>
      <c r="U821" s="9" t="s">
        <v>17</v>
      </c>
      <c r="AI821" s="6" t="s">
        <v>4739</v>
      </c>
      <c r="AJ821" s="12" t="s">
        <v>5612</v>
      </c>
      <c r="AL821" s="13" t="s">
        <v>4741</v>
      </c>
    </row>
    <row r="822">
      <c r="A822" s="5" t="s">
        <v>5613</v>
      </c>
      <c r="B822" s="5" t="s">
        <v>5614</v>
      </c>
      <c r="C822" s="5"/>
      <c r="D822" s="5" t="s">
        <v>8</v>
      </c>
      <c r="E822" s="6"/>
      <c r="F822" s="6"/>
      <c r="G822" s="7" t="s">
        <v>5615</v>
      </c>
      <c r="I822" s="8" t="s">
        <v>5616</v>
      </c>
      <c r="J822" s="9">
        <v>40.9</v>
      </c>
      <c r="K822" s="10" t="s">
        <v>11</v>
      </c>
      <c r="L822" s="6"/>
      <c r="M822" s="11" t="s">
        <v>12</v>
      </c>
      <c r="N822" s="6" t="s">
        <v>5617</v>
      </c>
      <c r="O822" s="6" t="s">
        <v>5618</v>
      </c>
      <c r="P822" s="10" t="s">
        <v>15</v>
      </c>
      <c r="Q822" s="6"/>
      <c r="R822" s="6"/>
      <c r="S822" s="6"/>
      <c r="T822" s="6" t="s">
        <v>16</v>
      </c>
      <c r="U822" s="9" t="s">
        <v>17</v>
      </c>
      <c r="AI822" s="6" t="s">
        <v>4739</v>
      </c>
      <c r="AJ822" s="12" t="s">
        <v>5612</v>
      </c>
      <c r="AL822" s="13" t="s">
        <v>4741</v>
      </c>
    </row>
    <row r="823">
      <c r="A823" s="5" t="s">
        <v>5619</v>
      </c>
      <c r="B823" s="5" t="s">
        <v>5620</v>
      </c>
      <c r="C823" s="5" t="s">
        <v>5621</v>
      </c>
      <c r="D823" s="5" t="s">
        <v>8</v>
      </c>
      <c r="E823" s="6"/>
      <c r="F823" s="6"/>
      <c r="G823" s="7" t="s">
        <v>5622</v>
      </c>
      <c r="I823" s="8" t="s">
        <v>5623</v>
      </c>
      <c r="J823" s="9">
        <v>27.9</v>
      </c>
      <c r="K823" s="10" t="s">
        <v>11</v>
      </c>
      <c r="L823" s="6"/>
      <c r="M823" s="11" t="s">
        <v>12</v>
      </c>
      <c r="N823" s="6" t="s">
        <v>5624</v>
      </c>
      <c r="O823" s="6" t="s">
        <v>5625</v>
      </c>
      <c r="P823" s="10" t="s">
        <v>15</v>
      </c>
      <c r="Q823" s="6"/>
      <c r="R823" s="6"/>
      <c r="S823" s="6"/>
      <c r="T823" s="6" t="s">
        <v>16</v>
      </c>
      <c r="U823" s="9" t="s">
        <v>17</v>
      </c>
      <c r="AI823" s="6" t="s">
        <v>4739</v>
      </c>
      <c r="AJ823" s="12" t="s">
        <v>5626</v>
      </c>
      <c r="AL823" s="13" t="s">
        <v>4741</v>
      </c>
    </row>
    <row r="824">
      <c r="A824" s="5" t="s">
        <v>5627</v>
      </c>
      <c r="B824" s="5" t="s">
        <v>5628</v>
      </c>
      <c r="C824" s="5" t="s">
        <v>5621</v>
      </c>
      <c r="D824" s="17" t="s">
        <v>507</v>
      </c>
      <c r="E824" s="6"/>
      <c r="F824" s="6"/>
      <c r="G824" s="7" t="s">
        <v>5629</v>
      </c>
      <c r="I824" s="8" t="s">
        <v>5630</v>
      </c>
      <c r="J824" s="9">
        <v>38.9</v>
      </c>
      <c r="K824" s="10" t="s">
        <v>11</v>
      </c>
      <c r="L824" s="6"/>
      <c r="M824" s="11" t="s">
        <v>12</v>
      </c>
      <c r="N824" s="6" t="s">
        <v>5631</v>
      </c>
      <c r="O824" s="6" t="s">
        <v>5632</v>
      </c>
      <c r="P824" s="10" t="s">
        <v>15</v>
      </c>
      <c r="Q824" s="6"/>
      <c r="R824" s="6"/>
      <c r="S824" s="6"/>
      <c r="T824" s="6" t="s">
        <v>16</v>
      </c>
      <c r="U824" s="9" t="s">
        <v>17</v>
      </c>
      <c r="AI824" s="6" t="s">
        <v>4739</v>
      </c>
      <c r="AJ824" s="12" t="s">
        <v>5626</v>
      </c>
      <c r="AL824" s="13" t="s">
        <v>4741</v>
      </c>
    </row>
    <row r="825">
      <c r="A825" s="5" t="s">
        <v>5633</v>
      </c>
      <c r="B825" s="5" t="s">
        <v>5634</v>
      </c>
      <c r="C825" s="5" t="s">
        <v>5635</v>
      </c>
      <c r="D825" s="17" t="s">
        <v>507</v>
      </c>
      <c r="E825" s="6"/>
      <c r="F825" s="6"/>
      <c r="G825" s="7" t="s">
        <v>5636</v>
      </c>
      <c r="I825" s="8" t="s">
        <v>5637</v>
      </c>
      <c r="J825" s="9">
        <v>28.9</v>
      </c>
      <c r="K825" s="10" t="s">
        <v>11</v>
      </c>
      <c r="L825" s="6"/>
      <c r="M825" s="11" t="s">
        <v>12</v>
      </c>
      <c r="N825" s="6" t="s">
        <v>5638</v>
      </c>
      <c r="O825" s="6" t="s">
        <v>5639</v>
      </c>
      <c r="P825" s="10" t="s">
        <v>15</v>
      </c>
      <c r="Q825" s="6"/>
      <c r="R825" s="6"/>
      <c r="S825" s="6"/>
      <c r="T825" s="6" t="s">
        <v>16</v>
      </c>
      <c r="U825" s="9" t="s">
        <v>17</v>
      </c>
      <c r="AI825" s="6" t="s">
        <v>4739</v>
      </c>
      <c r="AJ825" s="12" t="s">
        <v>5640</v>
      </c>
      <c r="AL825" s="13" t="s">
        <v>4741</v>
      </c>
    </row>
    <row r="826">
      <c r="A826" s="5" t="s">
        <v>5641</v>
      </c>
      <c r="B826" s="5" t="s">
        <v>5642</v>
      </c>
      <c r="C826" s="5" t="s">
        <v>5635</v>
      </c>
      <c r="D826" s="17" t="s">
        <v>507</v>
      </c>
      <c r="E826" s="6"/>
      <c r="F826" s="6"/>
      <c r="G826" s="7" t="s">
        <v>5643</v>
      </c>
      <c r="I826" s="8" t="s">
        <v>5644</v>
      </c>
      <c r="J826" s="9">
        <v>39.9</v>
      </c>
      <c r="K826" s="10" t="s">
        <v>11</v>
      </c>
      <c r="L826" s="6"/>
      <c r="M826" s="11" t="s">
        <v>12</v>
      </c>
      <c r="N826" s="6" t="s">
        <v>5645</v>
      </c>
      <c r="O826" s="6" t="s">
        <v>5646</v>
      </c>
      <c r="P826" s="10" t="s">
        <v>15</v>
      </c>
      <c r="Q826" s="6"/>
      <c r="R826" s="6"/>
      <c r="S826" s="6"/>
      <c r="T826" s="6" t="s">
        <v>16</v>
      </c>
      <c r="U826" s="9" t="s">
        <v>17</v>
      </c>
      <c r="AI826" s="6" t="s">
        <v>4739</v>
      </c>
      <c r="AJ826" s="12" t="s">
        <v>5640</v>
      </c>
      <c r="AL826" s="13" t="s">
        <v>4741</v>
      </c>
    </row>
    <row r="827">
      <c r="A827" s="5" t="s">
        <v>5647</v>
      </c>
      <c r="B827" s="5" t="s">
        <v>5648</v>
      </c>
      <c r="C827" s="5" t="s">
        <v>5649</v>
      </c>
      <c r="D827" s="5" t="s">
        <v>8</v>
      </c>
      <c r="E827" s="6"/>
      <c r="F827" s="6"/>
      <c r="G827" s="7" t="s">
        <v>5650</v>
      </c>
      <c r="I827" s="8" t="s">
        <v>5651</v>
      </c>
      <c r="J827" s="9">
        <v>28.9</v>
      </c>
      <c r="K827" s="10" t="s">
        <v>11</v>
      </c>
      <c r="L827" s="6"/>
      <c r="M827" s="11" t="s">
        <v>12</v>
      </c>
      <c r="N827" s="6" t="s">
        <v>5652</v>
      </c>
      <c r="O827" s="6" t="s">
        <v>5653</v>
      </c>
      <c r="P827" s="10" t="s">
        <v>15</v>
      </c>
      <c r="Q827" s="6"/>
      <c r="R827" s="6"/>
      <c r="S827" s="6"/>
      <c r="T827" s="6" t="s">
        <v>16</v>
      </c>
      <c r="U827" s="9" t="s">
        <v>17</v>
      </c>
      <c r="AI827" s="6" t="s">
        <v>4739</v>
      </c>
      <c r="AJ827" s="12" t="s">
        <v>5654</v>
      </c>
      <c r="AL827" s="13" t="s">
        <v>4741</v>
      </c>
    </row>
    <row r="828">
      <c r="A828" s="5" t="s">
        <v>5655</v>
      </c>
      <c r="B828" s="5" t="s">
        <v>5656</v>
      </c>
      <c r="C828" s="5" t="s">
        <v>5649</v>
      </c>
      <c r="D828" s="5" t="s">
        <v>8</v>
      </c>
      <c r="E828" s="6"/>
      <c r="F828" s="6"/>
      <c r="G828" s="7" t="s">
        <v>5657</v>
      </c>
      <c r="I828" s="8" t="s">
        <v>5658</v>
      </c>
      <c r="J828" s="9">
        <v>39.9</v>
      </c>
      <c r="K828" s="10" t="s">
        <v>11</v>
      </c>
      <c r="L828" s="6"/>
      <c r="M828" s="11" t="s">
        <v>12</v>
      </c>
      <c r="N828" s="6" t="s">
        <v>5659</v>
      </c>
      <c r="O828" s="6" t="s">
        <v>5660</v>
      </c>
      <c r="P828" s="10" t="s">
        <v>15</v>
      </c>
      <c r="Q828" s="6"/>
      <c r="R828" s="6"/>
      <c r="S828" s="6"/>
      <c r="T828" s="6" t="s">
        <v>16</v>
      </c>
      <c r="U828" s="9" t="s">
        <v>17</v>
      </c>
      <c r="AI828" s="6" t="s">
        <v>4739</v>
      </c>
      <c r="AJ828" s="12" t="s">
        <v>5654</v>
      </c>
      <c r="AL828" s="13" t="s">
        <v>4741</v>
      </c>
    </row>
    <row r="829">
      <c r="A829" s="5" t="s">
        <v>5661</v>
      </c>
      <c r="B829" s="5" t="s">
        <v>5662</v>
      </c>
      <c r="C829" s="5" t="s">
        <v>5663</v>
      </c>
      <c r="D829" s="5" t="s">
        <v>8</v>
      </c>
      <c r="E829" s="6"/>
      <c r="F829" s="6"/>
      <c r="G829" s="7" t="s">
        <v>5664</v>
      </c>
      <c r="I829" s="8" t="s">
        <v>5665</v>
      </c>
      <c r="J829" s="9">
        <v>39.9</v>
      </c>
      <c r="K829" s="10" t="s">
        <v>11</v>
      </c>
      <c r="L829" s="6"/>
      <c r="M829" s="11" t="s">
        <v>12</v>
      </c>
      <c r="N829" s="6" t="s">
        <v>5666</v>
      </c>
      <c r="O829" s="6" t="s">
        <v>5667</v>
      </c>
      <c r="P829" s="10" t="s">
        <v>15</v>
      </c>
      <c r="Q829" s="6"/>
      <c r="R829" s="6"/>
      <c r="S829" s="6"/>
      <c r="T829" s="6" t="s">
        <v>16</v>
      </c>
      <c r="U829" s="9" t="s">
        <v>17</v>
      </c>
      <c r="AI829" s="6" t="s">
        <v>4739</v>
      </c>
      <c r="AJ829" s="12" t="s">
        <v>5668</v>
      </c>
      <c r="AL829" s="13" t="s">
        <v>4741</v>
      </c>
    </row>
    <row r="830">
      <c r="A830" s="5" t="s">
        <v>5669</v>
      </c>
      <c r="B830" s="5" t="s">
        <v>5670</v>
      </c>
      <c r="C830" s="5" t="s">
        <v>5671</v>
      </c>
      <c r="D830" s="5" t="s">
        <v>8</v>
      </c>
      <c r="E830" s="6"/>
      <c r="F830" s="6"/>
      <c r="G830" s="7" t="s">
        <v>5672</v>
      </c>
      <c r="I830" s="8" t="s">
        <v>5673</v>
      </c>
      <c r="J830" s="9">
        <v>27.9</v>
      </c>
      <c r="K830" s="10" t="s">
        <v>11</v>
      </c>
      <c r="L830" s="6"/>
      <c r="M830" s="11" t="s">
        <v>12</v>
      </c>
      <c r="N830" s="6" t="s">
        <v>5674</v>
      </c>
      <c r="O830" s="6" t="s">
        <v>5675</v>
      </c>
      <c r="P830" s="10" t="s">
        <v>15</v>
      </c>
      <c r="Q830" s="6"/>
      <c r="R830" s="6"/>
      <c r="S830" s="6"/>
      <c r="T830" s="6" t="s">
        <v>16</v>
      </c>
      <c r="U830" s="9" t="s">
        <v>17</v>
      </c>
      <c r="AI830" s="6" t="s">
        <v>4739</v>
      </c>
      <c r="AJ830" s="12" t="s">
        <v>5676</v>
      </c>
      <c r="AL830" s="13" t="s">
        <v>4741</v>
      </c>
    </row>
    <row r="831">
      <c r="A831" s="5" t="s">
        <v>5677</v>
      </c>
      <c r="B831" s="5" t="s">
        <v>5678</v>
      </c>
      <c r="C831" s="5" t="s">
        <v>5671</v>
      </c>
      <c r="D831" s="5" t="s">
        <v>8</v>
      </c>
      <c r="E831" s="6"/>
      <c r="F831" s="6"/>
      <c r="G831" s="7" t="s">
        <v>5679</v>
      </c>
      <c r="I831" s="8" t="s">
        <v>5680</v>
      </c>
      <c r="J831" s="9">
        <v>38.9</v>
      </c>
      <c r="K831" s="10" t="s">
        <v>11</v>
      </c>
      <c r="L831" s="6"/>
      <c r="M831" s="11" t="s">
        <v>12</v>
      </c>
      <c r="N831" s="6" t="s">
        <v>5681</v>
      </c>
      <c r="O831" s="6" t="s">
        <v>5682</v>
      </c>
      <c r="P831" s="10" t="s">
        <v>15</v>
      </c>
      <c r="Q831" s="6"/>
      <c r="R831" s="6"/>
      <c r="S831" s="6"/>
      <c r="T831" s="6" t="s">
        <v>16</v>
      </c>
      <c r="U831" s="9" t="s">
        <v>17</v>
      </c>
      <c r="AI831" s="6" t="s">
        <v>4739</v>
      </c>
      <c r="AJ831" s="12" t="s">
        <v>5676</v>
      </c>
      <c r="AL831" s="13" t="s">
        <v>4741</v>
      </c>
    </row>
    <row r="832">
      <c r="A832" s="5" t="s">
        <v>5683</v>
      </c>
      <c r="B832" s="5" t="s">
        <v>5684</v>
      </c>
      <c r="C832" s="5" t="s">
        <v>5685</v>
      </c>
      <c r="D832" s="5" t="s">
        <v>8</v>
      </c>
      <c r="E832" s="6"/>
      <c r="F832" s="6"/>
      <c r="G832" s="7" t="s">
        <v>5686</v>
      </c>
      <c r="I832" s="8" t="s">
        <v>5687</v>
      </c>
      <c r="J832" s="9">
        <v>27.9</v>
      </c>
      <c r="K832" s="10" t="s">
        <v>11</v>
      </c>
      <c r="L832" s="6"/>
      <c r="M832" s="11" t="s">
        <v>12</v>
      </c>
      <c r="N832" s="6" t="s">
        <v>5688</v>
      </c>
      <c r="O832" s="6" t="s">
        <v>5689</v>
      </c>
      <c r="P832" s="10" t="s">
        <v>15</v>
      </c>
      <c r="Q832" s="6"/>
      <c r="R832" s="6"/>
      <c r="S832" s="6"/>
      <c r="T832" s="6" t="s">
        <v>16</v>
      </c>
      <c r="U832" s="9" t="s">
        <v>17</v>
      </c>
      <c r="AI832" s="6" t="s">
        <v>4739</v>
      </c>
      <c r="AJ832" s="12" t="s">
        <v>5690</v>
      </c>
      <c r="AL832" s="13" t="s">
        <v>4741</v>
      </c>
    </row>
    <row r="833">
      <c r="A833" s="5" t="s">
        <v>5691</v>
      </c>
      <c r="B833" s="5" t="s">
        <v>5692</v>
      </c>
      <c r="C833" s="5" t="s">
        <v>5685</v>
      </c>
      <c r="D833" s="5" t="s">
        <v>8</v>
      </c>
      <c r="E833" s="6"/>
      <c r="F833" s="6"/>
      <c r="G833" s="7" t="s">
        <v>5693</v>
      </c>
      <c r="I833" s="8" t="s">
        <v>5694</v>
      </c>
      <c r="J833" s="9">
        <v>38.9</v>
      </c>
      <c r="K833" s="10" t="s">
        <v>11</v>
      </c>
      <c r="L833" s="6"/>
      <c r="M833" s="11" t="s">
        <v>12</v>
      </c>
      <c r="N833" s="6" t="s">
        <v>5695</v>
      </c>
      <c r="O833" s="6" t="s">
        <v>5696</v>
      </c>
      <c r="P833" s="10" t="s">
        <v>15</v>
      </c>
      <c r="Q833" s="6"/>
      <c r="R833" s="6"/>
      <c r="S833" s="6"/>
      <c r="T833" s="6" t="s">
        <v>16</v>
      </c>
      <c r="U833" s="9" t="s">
        <v>17</v>
      </c>
      <c r="AI833" s="6" t="s">
        <v>4739</v>
      </c>
      <c r="AJ833" s="12" t="s">
        <v>5690</v>
      </c>
      <c r="AL833" s="13" t="s">
        <v>4741</v>
      </c>
    </row>
    <row r="834">
      <c r="A834" s="5" t="s">
        <v>5697</v>
      </c>
      <c r="B834" s="5" t="s">
        <v>5698</v>
      </c>
      <c r="C834" s="5" t="s">
        <v>5699</v>
      </c>
      <c r="D834" s="5" t="s">
        <v>8</v>
      </c>
      <c r="E834" s="6"/>
      <c r="F834" s="6"/>
      <c r="G834" s="7" t="s">
        <v>5700</v>
      </c>
      <c r="I834" s="8" t="s">
        <v>5701</v>
      </c>
      <c r="J834" s="9">
        <v>28.9</v>
      </c>
      <c r="K834" s="10" t="s">
        <v>11</v>
      </c>
      <c r="L834" s="6"/>
      <c r="M834" s="11" t="s">
        <v>12</v>
      </c>
      <c r="N834" s="6" t="s">
        <v>5702</v>
      </c>
      <c r="O834" s="6" t="s">
        <v>5703</v>
      </c>
      <c r="P834" s="10" t="s">
        <v>15</v>
      </c>
      <c r="Q834" s="6"/>
      <c r="R834" s="6"/>
      <c r="S834" s="6"/>
      <c r="T834" s="6" t="s">
        <v>16</v>
      </c>
      <c r="U834" s="9" t="s">
        <v>17</v>
      </c>
      <c r="AI834" s="6" t="s">
        <v>4739</v>
      </c>
      <c r="AJ834" s="12" t="s">
        <v>5704</v>
      </c>
      <c r="AL834" s="13" t="s">
        <v>4741</v>
      </c>
    </row>
    <row r="835">
      <c r="A835" s="5" t="s">
        <v>5705</v>
      </c>
      <c r="B835" s="5" t="s">
        <v>5706</v>
      </c>
      <c r="C835" s="5" t="s">
        <v>5699</v>
      </c>
      <c r="D835" s="5" t="s">
        <v>8</v>
      </c>
      <c r="E835" s="6"/>
      <c r="F835" s="6"/>
      <c r="G835" s="7" t="s">
        <v>5707</v>
      </c>
      <c r="I835" s="8" t="s">
        <v>5708</v>
      </c>
      <c r="J835" s="9">
        <v>38.9</v>
      </c>
      <c r="K835" s="10" t="s">
        <v>11</v>
      </c>
      <c r="L835" s="6"/>
      <c r="M835" s="11" t="s">
        <v>12</v>
      </c>
      <c r="N835" s="6" t="s">
        <v>5709</v>
      </c>
      <c r="O835" s="6" t="s">
        <v>5710</v>
      </c>
      <c r="P835" s="10" t="s">
        <v>15</v>
      </c>
      <c r="Q835" s="6"/>
      <c r="R835" s="6"/>
      <c r="S835" s="6"/>
      <c r="T835" s="6" t="s">
        <v>16</v>
      </c>
      <c r="U835" s="9" t="s">
        <v>17</v>
      </c>
      <c r="AI835" s="6" t="s">
        <v>4739</v>
      </c>
      <c r="AJ835" s="12" t="s">
        <v>5704</v>
      </c>
      <c r="AL835" s="13" t="s">
        <v>4741</v>
      </c>
    </row>
    <row r="836">
      <c r="A836" s="5" t="s">
        <v>5711</v>
      </c>
      <c r="B836" s="5" t="s">
        <v>5712</v>
      </c>
      <c r="C836" s="5" t="s">
        <v>5713</v>
      </c>
      <c r="D836" s="5" t="s">
        <v>8</v>
      </c>
      <c r="E836" s="6"/>
      <c r="F836" s="6"/>
      <c r="G836" s="7" t="s">
        <v>5714</v>
      </c>
      <c r="I836" s="8" t="s">
        <v>5715</v>
      </c>
      <c r="J836" s="9">
        <v>32.9</v>
      </c>
      <c r="K836" s="10" t="s">
        <v>11</v>
      </c>
      <c r="L836" s="6"/>
      <c r="M836" s="11" t="s">
        <v>12</v>
      </c>
      <c r="N836" s="6" t="s">
        <v>5716</v>
      </c>
      <c r="O836" s="6" t="s">
        <v>5717</v>
      </c>
      <c r="P836" s="10" t="s">
        <v>15</v>
      </c>
      <c r="Q836" s="6"/>
      <c r="R836" s="6"/>
      <c r="S836" s="6"/>
      <c r="T836" s="6" t="s">
        <v>16</v>
      </c>
      <c r="U836" s="9" t="s">
        <v>17</v>
      </c>
      <c r="AI836" s="6" t="s">
        <v>4739</v>
      </c>
      <c r="AJ836" s="12" t="s">
        <v>5718</v>
      </c>
      <c r="AL836" s="13" t="s">
        <v>4741</v>
      </c>
    </row>
    <row r="837">
      <c r="A837" s="5" t="s">
        <v>5719</v>
      </c>
      <c r="B837" s="5" t="s">
        <v>5720</v>
      </c>
      <c r="C837" s="5" t="s">
        <v>5713</v>
      </c>
      <c r="D837" s="5" t="s">
        <v>8</v>
      </c>
      <c r="E837" s="6"/>
      <c r="F837" s="6"/>
      <c r="G837" s="7" t="s">
        <v>5721</v>
      </c>
      <c r="I837" s="8" t="s">
        <v>5722</v>
      </c>
      <c r="J837" s="9">
        <v>44.9</v>
      </c>
      <c r="K837" s="10" t="s">
        <v>11</v>
      </c>
      <c r="L837" s="6"/>
      <c r="M837" s="11" t="s">
        <v>12</v>
      </c>
      <c r="N837" s="6" t="s">
        <v>5723</v>
      </c>
      <c r="O837" s="6" t="s">
        <v>5724</v>
      </c>
      <c r="P837" s="10" t="s">
        <v>15</v>
      </c>
      <c r="Q837" s="6"/>
      <c r="R837" s="6"/>
      <c r="S837" s="6"/>
      <c r="T837" s="6" t="s">
        <v>16</v>
      </c>
      <c r="U837" s="9" t="s">
        <v>17</v>
      </c>
      <c r="AI837" s="6" t="s">
        <v>4739</v>
      </c>
      <c r="AJ837" s="12" t="s">
        <v>5718</v>
      </c>
      <c r="AL837" s="13" t="s">
        <v>4741</v>
      </c>
    </row>
    <row r="838">
      <c r="A838" s="5" t="s">
        <v>5725</v>
      </c>
      <c r="B838" s="5" t="s">
        <v>5726</v>
      </c>
      <c r="C838" s="5" t="s">
        <v>5727</v>
      </c>
      <c r="D838" s="17" t="s">
        <v>507</v>
      </c>
      <c r="E838" s="6"/>
      <c r="F838" s="6"/>
      <c r="G838" s="7" t="s">
        <v>5728</v>
      </c>
      <c r="I838" s="8" t="s">
        <v>5729</v>
      </c>
      <c r="J838" s="9">
        <v>27.9</v>
      </c>
      <c r="K838" s="10" t="s">
        <v>11</v>
      </c>
      <c r="L838" s="6"/>
      <c r="M838" s="11" t="s">
        <v>12</v>
      </c>
      <c r="N838" s="6" t="s">
        <v>5730</v>
      </c>
      <c r="O838" s="6" t="s">
        <v>5731</v>
      </c>
      <c r="P838" s="10" t="s">
        <v>15</v>
      </c>
      <c r="Q838" s="6"/>
      <c r="R838" s="6"/>
      <c r="S838" s="6"/>
      <c r="T838" s="6" t="s">
        <v>16</v>
      </c>
      <c r="U838" s="9" t="s">
        <v>17</v>
      </c>
      <c r="AI838" s="6" t="s">
        <v>4739</v>
      </c>
      <c r="AJ838" s="12" t="s">
        <v>5732</v>
      </c>
      <c r="AL838" s="13" t="s">
        <v>4741</v>
      </c>
    </row>
    <row r="839">
      <c r="A839" s="5" t="s">
        <v>5733</v>
      </c>
      <c r="B839" s="5" t="s">
        <v>5734</v>
      </c>
      <c r="C839" s="5" t="s">
        <v>5727</v>
      </c>
      <c r="D839" s="17" t="s">
        <v>507</v>
      </c>
      <c r="E839" s="6"/>
      <c r="F839" s="6"/>
      <c r="G839" s="7" t="s">
        <v>5735</v>
      </c>
      <c r="I839" s="8" t="s">
        <v>5736</v>
      </c>
      <c r="J839" s="9">
        <v>38.9</v>
      </c>
      <c r="K839" s="10" t="s">
        <v>11</v>
      </c>
      <c r="L839" s="6"/>
      <c r="M839" s="11" t="s">
        <v>12</v>
      </c>
      <c r="N839" s="6" t="s">
        <v>5737</v>
      </c>
      <c r="O839" s="6" t="s">
        <v>5738</v>
      </c>
      <c r="P839" s="10" t="s">
        <v>15</v>
      </c>
      <c r="Q839" s="6"/>
      <c r="R839" s="6"/>
      <c r="S839" s="6"/>
      <c r="T839" s="6" t="s">
        <v>16</v>
      </c>
      <c r="U839" s="9" t="s">
        <v>17</v>
      </c>
      <c r="AI839" s="6" t="s">
        <v>4739</v>
      </c>
      <c r="AJ839" s="12" t="s">
        <v>5732</v>
      </c>
      <c r="AL839" s="13" t="s">
        <v>4741</v>
      </c>
    </row>
    <row r="840">
      <c r="A840" s="5" t="s">
        <v>5739</v>
      </c>
      <c r="B840" s="5" t="s">
        <v>5740</v>
      </c>
      <c r="C840" s="5" t="s">
        <v>5741</v>
      </c>
      <c r="D840" s="17" t="s">
        <v>507</v>
      </c>
      <c r="E840" s="6"/>
      <c r="F840" s="6"/>
      <c r="G840" s="7" t="s">
        <v>5742</v>
      </c>
      <c r="I840" s="8" t="s">
        <v>5743</v>
      </c>
      <c r="J840" s="9">
        <v>28.9</v>
      </c>
      <c r="K840" s="10" t="s">
        <v>11</v>
      </c>
      <c r="L840" s="6"/>
      <c r="M840" s="11" t="s">
        <v>12</v>
      </c>
      <c r="N840" s="6" t="s">
        <v>5744</v>
      </c>
      <c r="O840" s="6" t="s">
        <v>5745</v>
      </c>
      <c r="P840" s="10" t="s">
        <v>15</v>
      </c>
      <c r="Q840" s="6"/>
      <c r="R840" s="6"/>
      <c r="S840" s="6"/>
      <c r="T840" s="6" t="s">
        <v>16</v>
      </c>
      <c r="U840" s="9" t="s">
        <v>17</v>
      </c>
      <c r="AI840" s="6" t="s">
        <v>4739</v>
      </c>
      <c r="AJ840" s="12" t="s">
        <v>5746</v>
      </c>
      <c r="AL840" s="13" t="s">
        <v>4741</v>
      </c>
    </row>
    <row r="841">
      <c r="A841" s="5" t="s">
        <v>5747</v>
      </c>
      <c r="B841" s="5" t="s">
        <v>5748</v>
      </c>
      <c r="C841" s="5" t="s">
        <v>5741</v>
      </c>
      <c r="D841" s="17" t="s">
        <v>507</v>
      </c>
      <c r="E841" s="6"/>
      <c r="F841" s="6"/>
      <c r="G841" s="7" t="s">
        <v>5749</v>
      </c>
      <c r="I841" s="8" t="s">
        <v>5750</v>
      </c>
      <c r="J841" s="9">
        <v>39.9</v>
      </c>
      <c r="K841" s="10" t="s">
        <v>11</v>
      </c>
      <c r="L841" s="6"/>
      <c r="M841" s="11" t="s">
        <v>12</v>
      </c>
      <c r="N841" s="6" t="s">
        <v>5751</v>
      </c>
      <c r="O841" s="6" t="s">
        <v>5752</v>
      </c>
      <c r="P841" s="10" t="s">
        <v>15</v>
      </c>
      <c r="Q841" s="6"/>
      <c r="R841" s="6"/>
      <c r="S841" s="6"/>
      <c r="T841" s="6" t="s">
        <v>16</v>
      </c>
      <c r="U841" s="9" t="s">
        <v>17</v>
      </c>
      <c r="AI841" s="6" t="s">
        <v>4739</v>
      </c>
      <c r="AJ841" s="12" t="s">
        <v>5746</v>
      </c>
      <c r="AL841" s="13" t="s">
        <v>4741</v>
      </c>
    </row>
    <row r="842">
      <c r="A842" s="5" t="s">
        <v>5753</v>
      </c>
      <c r="B842" s="5" t="s">
        <v>5754</v>
      </c>
      <c r="C842" s="5" t="s">
        <v>5755</v>
      </c>
      <c r="D842" s="5" t="s">
        <v>8</v>
      </c>
      <c r="E842" s="6"/>
      <c r="F842" s="6"/>
      <c r="G842" s="7" t="s">
        <v>5756</v>
      </c>
      <c r="I842" s="8" t="s">
        <v>5757</v>
      </c>
      <c r="J842" s="9">
        <v>27.9</v>
      </c>
      <c r="K842" s="10" t="s">
        <v>11</v>
      </c>
      <c r="L842" s="6"/>
      <c r="M842" s="11" t="s">
        <v>12</v>
      </c>
      <c r="N842" s="6" t="s">
        <v>5758</v>
      </c>
      <c r="O842" s="6" t="s">
        <v>5759</v>
      </c>
      <c r="P842" s="10" t="s">
        <v>15</v>
      </c>
      <c r="Q842" s="6"/>
      <c r="R842" s="6"/>
      <c r="S842" s="6"/>
      <c r="T842" s="6" t="s">
        <v>16</v>
      </c>
      <c r="U842" s="9" t="s">
        <v>17</v>
      </c>
      <c r="AI842" s="6" t="s">
        <v>4930</v>
      </c>
      <c r="AJ842" s="12" t="s">
        <v>5760</v>
      </c>
      <c r="AL842" s="13" t="s">
        <v>4741</v>
      </c>
    </row>
    <row r="843">
      <c r="A843" s="5" t="s">
        <v>5761</v>
      </c>
      <c r="B843" s="5" t="s">
        <v>5762</v>
      </c>
      <c r="C843" s="5" t="s">
        <v>5755</v>
      </c>
      <c r="D843" s="5" t="s">
        <v>8</v>
      </c>
      <c r="E843" s="6"/>
      <c r="F843" s="6"/>
      <c r="G843" s="7" t="s">
        <v>5763</v>
      </c>
      <c r="I843" s="8" t="s">
        <v>5764</v>
      </c>
      <c r="J843" s="9">
        <v>38.9</v>
      </c>
      <c r="K843" s="10" t="s">
        <v>11</v>
      </c>
      <c r="L843" s="6"/>
      <c r="M843" s="11" t="s">
        <v>12</v>
      </c>
      <c r="N843" s="6" t="s">
        <v>5765</v>
      </c>
      <c r="O843" s="6" t="s">
        <v>5766</v>
      </c>
      <c r="P843" s="10" t="s">
        <v>15</v>
      </c>
      <c r="Q843" s="6"/>
      <c r="R843" s="6"/>
      <c r="S843" s="6"/>
      <c r="T843" s="6" t="s">
        <v>16</v>
      </c>
      <c r="U843" s="9" t="s">
        <v>17</v>
      </c>
      <c r="AI843" s="6" t="s">
        <v>4930</v>
      </c>
      <c r="AJ843" s="12" t="s">
        <v>5760</v>
      </c>
      <c r="AL843" s="13" t="s">
        <v>4741</v>
      </c>
    </row>
    <row r="844">
      <c r="A844" s="5" t="s">
        <v>5767</v>
      </c>
      <c r="B844" s="5" t="s">
        <v>5768</v>
      </c>
      <c r="C844" s="5" t="s">
        <v>5769</v>
      </c>
      <c r="D844" s="5" t="s">
        <v>8</v>
      </c>
      <c r="E844" s="6"/>
      <c r="F844" s="6"/>
      <c r="G844" s="7" t="s">
        <v>5770</v>
      </c>
      <c r="I844" s="8" t="s">
        <v>5771</v>
      </c>
      <c r="J844" s="9">
        <v>32.9</v>
      </c>
      <c r="K844" s="10" t="s">
        <v>11</v>
      </c>
      <c r="L844" s="6"/>
      <c r="M844" s="11" t="s">
        <v>12</v>
      </c>
      <c r="N844" s="6" t="s">
        <v>5772</v>
      </c>
      <c r="O844" s="6" t="s">
        <v>5773</v>
      </c>
      <c r="P844" s="10" t="s">
        <v>15</v>
      </c>
      <c r="Q844" s="6"/>
      <c r="R844" s="6"/>
      <c r="S844" s="6"/>
      <c r="T844" s="6" t="s">
        <v>16</v>
      </c>
      <c r="U844" s="9" t="s">
        <v>17</v>
      </c>
      <c r="AI844" s="6" t="s">
        <v>4739</v>
      </c>
      <c r="AJ844" s="12" t="s">
        <v>5774</v>
      </c>
      <c r="AL844" s="13" t="s">
        <v>4741</v>
      </c>
    </row>
    <row r="845">
      <c r="A845" s="5" t="s">
        <v>5775</v>
      </c>
      <c r="B845" s="5" t="s">
        <v>5776</v>
      </c>
      <c r="C845" s="5" t="s">
        <v>5769</v>
      </c>
      <c r="D845" s="5" t="s">
        <v>8</v>
      </c>
      <c r="E845" s="6"/>
      <c r="F845" s="6"/>
      <c r="G845" s="7" t="s">
        <v>5777</v>
      </c>
      <c r="I845" s="8" t="s">
        <v>5778</v>
      </c>
      <c r="J845" s="9">
        <v>44.9</v>
      </c>
      <c r="K845" s="10" t="s">
        <v>11</v>
      </c>
      <c r="L845" s="6"/>
      <c r="M845" s="11" t="s">
        <v>12</v>
      </c>
      <c r="N845" s="6" t="s">
        <v>5779</v>
      </c>
      <c r="O845" s="6" t="s">
        <v>5780</v>
      </c>
      <c r="P845" s="10" t="s">
        <v>15</v>
      </c>
      <c r="Q845" s="6"/>
      <c r="R845" s="6"/>
      <c r="S845" s="6"/>
      <c r="T845" s="6" t="s">
        <v>16</v>
      </c>
      <c r="U845" s="9" t="s">
        <v>17</v>
      </c>
      <c r="AI845" s="6" t="s">
        <v>4739</v>
      </c>
      <c r="AJ845" s="12" t="s">
        <v>5774</v>
      </c>
      <c r="AL845" s="13" t="s">
        <v>4741</v>
      </c>
    </row>
    <row r="846">
      <c r="A846" s="5" t="s">
        <v>5781</v>
      </c>
      <c r="B846" s="5" t="s">
        <v>5782</v>
      </c>
      <c r="C846" s="5" t="s">
        <v>5783</v>
      </c>
      <c r="D846" s="5" t="s">
        <v>8</v>
      </c>
      <c r="E846" s="6"/>
      <c r="F846" s="6"/>
      <c r="G846" s="7" t="s">
        <v>5784</v>
      </c>
      <c r="I846" s="8" t="s">
        <v>5785</v>
      </c>
      <c r="J846" s="9">
        <v>26.9</v>
      </c>
      <c r="K846" s="10" t="s">
        <v>11</v>
      </c>
      <c r="L846" s="6"/>
      <c r="M846" s="11" t="s">
        <v>12</v>
      </c>
      <c r="N846" s="6" t="s">
        <v>5786</v>
      </c>
      <c r="O846" s="6" t="s">
        <v>5787</v>
      </c>
      <c r="P846" s="10" t="s">
        <v>15</v>
      </c>
      <c r="Q846" s="6"/>
      <c r="R846" s="6"/>
      <c r="S846" s="6"/>
      <c r="T846" s="6" t="s">
        <v>16</v>
      </c>
      <c r="U846" s="9" t="s">
        <v>17</v>
      </c>
      <c r="AI846" s="6" t="s">
        <v>4739</v>
      </c>
      <c r="AJ846" s="12" t="s">
        <v>5788</v>
      </c>
      <c r="AL846" s="13" t="s">
        <v>4741</v>
      </c>
    </row>
    <row r="847">
      <c r="A847" s="5" t="s">
        <v>5789</v>
      </c>
      <c r="B847" s="5" t="s">
        <v>5790</v>
      </c>
      <c r="C847" s="5" t="s">
        <v>5783</v>
      </c>
      <c r="D847" s="5" t="s">
        <v>8</v>
      </c>
      <c r="E847" s="6"/>
      <c r="F847" s="6"/>
      <c r="G847" s="7" t="s">
        <v>5791</v>
      </c>
      <c r="I847" s="8" t="s">
        <v>5792</v>
      </c>
      <c r="J847" s="9">
        <v>38.9</v>
      </c>
      <c r="K847" s="10" t="s">
        <v>11</v>
      </c>
      <c r="L847" s="6"/>
      <c r="M847" s="11" t="s">
        <v>12</v>
      </c>
      <c r="N847" s="6" t="s">
        <v>5793</v>
      </c>
      <c r="O847" s="6" t="s">
        <v>5794</v>
      </c>
      <c r="P847" s="10" t="s">
        <v>15</v>
      </c>
      <c r="Q847" s="6"/>
      <c r="R847" s="6"/>
      <c r="S847" s="6"/>
      <c r="T847" s="6" t="s">
        <v>16</v>
      </c>
      <c r="U847" s="9" t="s">
        <v>17</v>
      </c>
      <c r="AI847" s="6" t="s">
        <v>4739</v>
      </c>
      <c r="AJ847" s="12" t="s">
        <v>5788</v>
      </c>
      <c r="AL847" s="13" t="s">
        <v>4741</v>
      </c>
    </row>
    <row r="848">
      <c r="A848" s="5" t="s">
        <v>5795</v>
      </c>
      <c r="B848" s="5" t="s">
        <v>5796</v>
      </c>
      <c r="C848" s="5" t="s">
        <v>5797</v>
      </c>
      <c r="D848" s="5" t="s">
        <v>8</v>
      </c>
      <c r="E848" s="6"/>
      <c r="F848" s="6"/>
      <c r="G848" s="7" t="s">
        <v>5798</v>
      </c>
      <c r="I848" s="8" t="s">
        <v>5799</v>
      </c>
      <c r="J848" s="9">
        <v>27.9</v>
      </c>
      <c r="K848" s="10" t="s">
        <v>11</v>
      </c>
      <c r="L848" s="6"/>
      <c r="M848" s="11" t="s">
        <v>12</v>
      </c>
      <c r="N848" s="6" t="s">
        <v>5800</v>
      </c>
      <c r="O848" s="6" t="s">
        <v>5801</v>
      </c>
      <c r="P848" s="10" t="s">
        <v>15</v>
      </c>
      <c r="Q848" s="6"/>
      <c r="R848" s="6"/>
      <c r="S848" s="6"/>
      <c r="T848" s="6" t="s">
        <v>16</v>
      </c>
      <c r="U848" s="9" t="s">
        <v>17</v>
      </c>
      <c r="AI848" s="6" t="s">
        <v>4739</v>
      </c>
      <c r="AJ848" s="12" t="s">
        <v>5802</v>
      </c>
      <c r="AL848" s="13" t="s">
        <v>4741</v>
      </c>
    </row>
    <row r="849">
      <c r="A849" s="5" t="s">
        <v>5803</v>
      </c>
      <c r="B849" s="5" t="s">
        <v>5804</v>
      </c>
      <c r="C849" s="5" t="s">
        <v>5797</v>
      </c>
      <c r="D849" s="5" t="s">
        <v>8</v>
      </c>
      <c r="E849" s="6"/>
      <c r="F849" s="6"/>
      <c r="G849" s="7" t="s">
        <v>5805</v>
      </c>
      <c r="I849" s="8" t="s">
        <v>5806</v>
      </c>
      <c r="J849" s="9">
        <v>38.9</v>
      </c>
      <c r="K849" s="10" t="s">
        <v>11</v>
      </c>
      <c r="L849" s="6"/>
      <c r="M849" s="11" t="s">
        <v>12</v>
      </c>
      <c r="N849" s="6" t="s">
        <v>5807</v>
      </c>
      <c r="O849" s="6" t="s">
        <v>5808</v>
      </c>
      <c r="P849" s="10" t="s">
        <v>15</v>
      </c>
      <c r="Q849" s="6"/>
      <c r="R849" s="6"/>
      <c r="S849" s="6"/>
      <c r="T849" s="6" t="s">
        <v>16</v>
      </c>
      <c r="U849" s="9" t="s">
        <v>17</v>
      </c>
      <c r="AI849" s="6" t="s">
        <v>4739</v>
      </c>
      <c r="AJ849" s="12" t="s">
        <v>5802</v>
      </c>
      <c r="AL849" s="13" t="s">
        <v>4741</v>
      </c>
    </row>
    <row r="850">
      <c r="A850" s="5" t="s">
        <v>5809</v>
      </c>
      <c r="B850" s="5" t="s">
        <v>5810</v>
      </c>
      <c r="C850" s="5"/>
      <c r="D850" s="5" t="s">
        <v>8</v>
      </c>
      <c r="E850" s="6"/>
      <c r="F850" s="6"/>
      <c r="G850" s="7" t="s">
        <v>5811</v>
      </c>
      <c r="I850" s="8" t="s">
        <v>5812</v>
      </c>
      <c r="J850" s="9">
        <v>179.9</v>
      </c>
      <c r="K850" s="10" t="s">
        <v>11</v>
      </c>
      <c r="L850" s="6"/>
      <c r="M850" s="11" t="s">
        <v>17</v>
      </c>
      <c r="N850" s="6"/>
      <c r="O850" s="6" t="s">
        <v>5813</v>
      </c>
      <c r="P850" s="10" t="s">
        <v>15</v>
      </c>
      <c r="Q850" s="6"/>
      <c r="R850" s="6"/>
      <c r="S850" s="15" t="s">
        <v>5814</v>
      </c>
      <c r="T850" s="6" t="s">
        <v>16</v>
      </c>
      <c r="U850" s="9" t="s">
        <v>17</v>
      </c>
      <c r="AI850" s="6" t="s">
        <v>5815</v>
      </c>
      <c r="AJ850" s="12" t="s">
        <v>5816</v>
      </c>
      <c r="AL850" s="13" t="s">
        <v>5817</v>
      </c>
    </row>
    <row r="851">
      <c r="A851" s="5" t="s">
        <v>5818</v>
      </c>
      <c r="B851" s="5" t="s">
        <v>5819</v>
      </c>
      <c r="C851" s="5"/>
      <c r="D851" s="5" t="s">
        <v>8</v>
      </c>
      <c r="E851" s="6"/>
      <c r="F851" s="6"/>
      <c r="G851" s="7" t="s">
        <v>5820</v>
      </c>
      <c r="I851" s="8" t="s">
        <v>5821</v>
      </c>
      <c r="J851" s="9">
        <v>189.9</v>
      </c>
      <c r="K851" s="10" t="s">
        <v>11</v>
      </c>
      <c r="L851" s="6"/>
      <c r="M851" s="11" t="s">
        <v>17</v>
      </c>
      <c r="N851" s="6"/>
      <c r="O851" s="6" t="s">
        <v>5822</v>
      </c>
      <c r="P851" s="10" t="s">
        <v>15</v>
      </c>
      <c r="Q851" s="6"/>
      <c r="R851" s="6"/>
      <c r="S851" s="15" t="s">
        <v>5814</v>
      </c>
      <c r="T851" s="6" t="s">
        <v>16</v>
      </c>
      <c r="U851" s="9" t="s">
        <v>17</v>
      </c>
      <c r="AI851" s="6" t="s">
        <v>5815</v>
      </c>
      <c r="AJ851" s="12" t="s">
        <v>5816</v>
      </c>
      <c r="AL851" s="13" t="s">
        <v>5817</v>
      </c>
    </row>
    <row r="852">
      <c r="A852" s="5" t="s">
        <v>5823</v>
      </c>
      <c r="B852" s="5" t="s">
        <v>5824</v>
      </c>
      <c r="C852" s="5"/>
      <c r="D852" s="5" t="s">
        <v>8</v>
      </c>
      <c r="E852" s="6"/>
      <c r="F852" s="6"/>
      <c r="G852" s="7" t="s">
        <v>5825</v>
      </c>
      <c r="I852" s="8" t="s">
        <v>5826</v>
      </c>
      <c r="J852" s="9">
        <v>374.8</v>
      </c>
      <c r="K852" s="10" t="s">
        <v>11</v>
      </c>
      <c r="L852" s="6"/>
      <c r="M852" s="11" t="s">
        <v>17</v>
      </c>
      <c r="N852" s="6"/>
      <c r="O852" s="6" t="s">
        <v>5827</v>
      </c>
      <c r="P852" s="10" t="s">
        <v>15</v>
      </c>
      <c r="Q852" s="6"/>
      <c r="R852" s="6"/>
      <c r="S852" s="6"/>
      <c r="T852" s="6" t="s">
        <v>16</v>
      </c>
      <c r="U852" s="9" t="s">
        <v>17</v>
      </c>
      <c r="AI852" s="6" t="s">
        <v>5815</v>
      </c>
      <c r="AJ852" s="12" t="s">
        <v>5828</v>
      </c>
      <c r="AL852" s="13" t="s">
        <v>5817</v>
      </c>
    </row>
    <row r="853">
      <c r="A853" s="5" t="s">
        <v>5829</v>
      </c>
      <c r="B853" s="5" t="s">
        <v>5830</v>
      </c>
      <c r="C853" s="5" t="s">
        <v>5831</v>
      </c>
      <c r="D853" s="5" t="s">
        <v>8</v>
      </c>
      <c r="E853" s="6"/>
      <c r="F853" s="6"/>
      <c r="G853" s="7" t="s">
        <v>5832</v>
      </c>
      <c r="I853" s="8" t="s">
        <v>5833</v>
      </c>
      <c r="J853" s="9">
        <v>183.9</v>
      </c>
      <c r="K853" s="10" t="s">
        <v>11</v>
      </c>
      <c r="L853" s="6"/>
      <c r="M853" s="11" t="s">
        <v>17</v>
      </c>
      <c r="N853" s="6"/>
      <c r="O853" s="6" t="s">
        <v>5834</v>
      </c>
      <c r="P853" s="10" t="s">
        <v>15</v>
      </c>
      <c r="Q853" s="6"/>
      <c r="R853" s="6"/>
      <c r="S853" s="15" t="s">
        <v>5835</v>
      </c>
      <c r="T853" s="6" t="s">
        <v>16</v>
      </c>
      <c r="U853" s="9" t="s">
        <v>17</v>
      </c>
      <c r="AI853" s="6" t="s">
        <v>5815</v>
      </c>
      <c r="AJ853" s="12" t="s">
        <v>5836</v>
      </c>
      <c r="AL853" s="13" t="s">
        <v>5817</v>
      </c>
    </row>
    <row r="854">
      <c r="A854" s="5" t="s">
        <v>5837</v>
      </c>
      <c r="B854" s="5" t="s">
        <v>5838</v>
      </c>
      <c r="C854" s="5" t="s">
        <v>5831</v>
      </c>
      <c r="D854" s="5" t="s">
        <v>507</v>
      </c>
      <c r="E854" s="6"/>
      <c r="F854" s="6"/>
      <c r="G854" s="7" t="s">
        <v>5839</v>
      </c>
      <c r="I854" s="8" t="s">
        <v>5840</v>
      </c>
      <c r="J854" s="9">
        <v>146.0</v>
      </c>
      <c r="K854" s="10" t="s">
        <v>11</v>
      </c>
      <c r="L854" s="6"/>
      <c r="M854" s="11" t="s">
        <v>17</v>
      </c>
      <c r="N854" s="6"/>
      <c r="O854" s="6" t="s">
        <v>5841</v>
      </c>
      <c r="P854" s="10" t="s">
        <v>15</v>
      </c>
      <c r="Q854" s="6"/>
      <c r="R854" s="6"/>
      <c r="S854" s="15" t="s">
        <v>5835</v>
      </c>
      <c r="T854" s="6" t="s">
        <v>16</v>
      </c>
      <c r="U854" s="9" t="s">
        <v>17</v>
      </c>
      <c r="AI854" s="6" t="s">
        <v>5815</v>
      </c>
      <c r="AJ854" s="12" t="s">
        <v>5836</v>
      </c>
      <c r="AL854" s="13" t="s">
        <v>5817</v>
      </c>
    </row>
    <row r="855">
      <c r="A855" s="5" t="s">
        <v>5842</v>
      </c>
      <c r="B855" s="5" t="s">
        <v>5843</v>
      </c>
      <c r="C855" s="5" t="s">
        <v>5831</v>
      </c>
      <c r="D855" s="5" t="s">
        <v>507</v>
      </c>
      <c r="E855" s="6"/>
      <c r="F855" s="6"/>
      <c r="G855" s="7" t="s">
        <v>5844</v>
      </c>
      <c r="I855" s="8" t="s">
        <v>5845</v>
      </c>
      <c r="J855" s="9">
        <v>210.0</v>
      </c>
      <c r="K855" s="10" t="s">
        <v>11</v>
      </c>
      <c r="L855" s="6"/>
      <c r="M855" s="11" t="s">
        <v>17</v>
      </c>
      <c r="N855" s="6"/>
      <c r="O855" s="6" t="s">
        <v>5846</v>
      </c>
      <c r="P855" s="10" t="s">
        <v>15</v>
      </c>
      <c r="Q855" s="6"/>
      <c r="R855" s="6"/>
      <c r="S855" s="15" t="s">
        <v>5835</v>
      </c>
      <c r="T855" s="6" t="s">
        <v>16</v>
      </c>
      <c r="U855" s="9" t="s">
        <v>17</v>
      </c>
      <c r="AI855" s="6" t="s">
        <v>5815</v>
      </c>
      <c r="AJ855" s="12" t="s">
        <v>5836</v>
      </c>
      <c r="AL855" s="13" t="s">
        <v>5817</v>
      </c>
    </row>
    <row r="856">
      <c r="A856" s="5" t="s">
        <v>5847</v>
      </c>
      <c r="B856" s="5" t="s">
        <v>5848</v>
      </c>
      <c r="C856" s="5" t="s">
        <v>5849</v>
      </c>
      <c r="D856" s="5" t="s">
        <v>8</v>
      </c>
      <c r="E856" s="6"/>
      <c r="F856" s="6"/>
      <c r="G856" s="7" t="s">
        <v>5850</v>
      </c>
      <c r="I856" s="8" t="s">
        <v>5851</v>
      </c>
      <c r="J856" s="9">
        <v>39.9</v>
      </c>
      <c r="K856" s="10" t="s">
        <v>11</v>
      </c>
      <c r="L856" s="6"/>
      <c r="M856" s="11" t="s">
        <v>17</v>
      </c>
      <c r="N856" s="6"/>
      <c r="O856" s="6" t="s">
        <v>5852</v>
      </c>
      <c r="P856" s="10" t="s">
        <v>15</v>
      </c>
      <c r="Q856" s="6"/>
      <c r="R856" s="6"/>
      <c r="S856" s="6"/>
      <c r="T856" s="6" t="s">
        <v>16</v>
      </c>
      <c r="U856" s="9" t="s">
        <v>17</v>
      </c>
      <c r="AI856" s="6" t="s">
        <v>5853</v>
      </c>
      <c r="AJ856" s="12" t="s">
        <v>5854</v>
      </c>
      <c r="AL856" s="13" t="s">
        <v>5151</v>
      </c>
    </row>
    <row r="857">
      <c r="A857" s="5" t="s">
        <v>5855</v>
      </c>
      <c r="B857" s="5" t="s">
        <v>5856</v>
      </c>
      <c r="C857" s="5" t="s">
        <v>5849</v>
      </c>
      <c r="D857" s="5" t="s">
        <v>8</v>
      </c>
      <c r="E857" s="6"/>
      <c r="F857" s="6"/>
      <c r="G857" s="7" t="s">
        <v>5857</v>
      </c>
      <c r="I857" s="8" t="s">
        <v>5858</v>
      </c>
      <c r="J857" s="9">
        <v>49.9</v>
      </c>
      <c r="K857" s="10" t="s">
        <v>11</v>
      </c>
      <c r="L857" s="6"/>
      <c r="M857" s="11" t="s">
        <v>17</v>
      </c>
      <c r="N857" s="6"/>
      <c r="O857" s="6" t="s">
        <v>5859</v>
      </c>
      <c r="P857" s="10" t="s">
        <v>15</v>
      </c>
      <c r="Q857" s="6"/>
      <c r="R857" s="6"/>
      <c r="S857" s="6"/>
      <c r="T857" s="6" t="s">
        <v>16</v>
      </c>
      <c r="U857" s="9" t="s">
        <v>17</v>
      </c>
      <c r="AI857" s="6" t="s">
        <v>5853</v>
      </c>
      <c r="AJ857" s="12" t="s">
        <v>5854</v>
      </c>
      <c r="AL857" s="13" t="s">
        <v>5151</v>
      </c>
    </row>
    <row r="858">
      <c r="A858" s="5" t="s">
        <v>5860</v>
      </c>
      <c r="B858" s="5" t="s">
        <v>5861</v>
      </c>
      <c r="C858" s="5" t="s">
        <v>5862</v>
      </c>
      <c r="D858" s="17" t="s">
        <v>507</v>
      </c>
      <c r="E858" s="6"/>
      <c r="F858" s="6"/>
      <c r="G858" s="7" t="s">
        <v>5863</v>
      </c>
      <c r="I858" s="8" t="s">
        <v>5864</v>
      </c>
      <c r="J858" s="9">
        <v>28.9</v>
      </c>
      <c r="K858" s="10" t="s">
        <v>11</v>
      </c>
      <c r="L858" s="6"/>
      <c r="M858" s="11" t="s">
        <v>12</v>
      </c>
      <c r="N858" s="6" t="s">
        <v>5865</v>
      </c>
      <c r="O858" s="6" t="s">
        <v>5866</v>
      </c>
      <c r="P858" s="10" t="s">
        <v>15</v>
      </c>
      <c r="Q858" s="6"/>
      <c r="R858" s="6"/>
      <c r="S858" s="6"/>
      <c r="T858" s="6" t="s">
        <v>16</v>
      </c>
      <c r="U858" s="9" t="s">
        <v>17</v>
      </c>
      <c r="AI858" s="6" t="s">
        <v>4739</v>
      </c>
      <c r="AJ858" s="12" t="s">
        <v>5867</v>
      </c>
      <c r="AL858" s="13" t="s">
        <v>4741</v>
      </c>
    </row>
    <row r="859">
      <c r="A859" s="5" t="s">
        <v>5868</v>
      </c>
      <c r="B859" s="5" t="s">
        <v>5869</v>
      </c>
      <c r="C859" s="5" t="s">
        <v>5862</v>
      </c>
      <c r="D859" s="17" t="s">
        <v>507</v>
      </c>
      <c r="E859" s="6"/>
      <c r="F859" s="6"/>
      <c r="G859" s="7" t="s">
        <v>5870</v>
      </c>
      <c r="I859" s="8" t="s">
        <v>5871</v>
      </c>
      <c r="J859" s="9">
        <v>39.9</v>
      </c>
      <c r="K859" s="10" t="s">
        <v>11</v>
      </c>
      <c r="L859" s="6"/>
      <c r="M859" s="11" t="s">
        <v>12</v>
      </c>
      <c r="N859" s="6" t="s">
        <v>5872</v>
      </c>
      <c r="O859" s="6" t="s">
        <v>5873</v>
      </c>
      <c r="P859" s="10" t="s">
        <v>15</v>
      </c>
      <c r="Q859" s="6"/>
      <c r="R859" s="6"/>
      <c r="S859" s="6"/>
      <c r="T859" s="6" t="s">
        <v>16</v>
      </c>
      <c r="U859" s="9" t="s">
        <v>17</v>
      </c>
      <c r="AI859" s="6" t="s">
        <v>4739</v>
      </c>
      <c r="AJ859" s="12" t="s">
        <v>5867</v>
      </c>
      <c r="AL859" s="13" t="s">
        <v>4741</v>
      </c>
    </row>
    <row r="860">
      <c r="A860" s="5" t="s">
        <v>5874</v>
      </c>
      <c r="B860" s="5" t="s">
        <v>5875</v>
      </c>
      <c r="C860" s="5" t="s">
        <v>5876</v>
      </c>
      <c r="D860" s="17" t="s">
        <v>507</v>
      </c>
      <c r="E860" s="6"/>
      <c r="F860" s="6"/>
      <c r="G860" s="7" t="s">
        <v>5877</v>
      </c>
      <c r="I860" s="8" t="s">
        <v>5878</v>
      </c>
      <c r="J860" s="9">
        <v>27.9</v>
      </c>
      <c r="K860" s="10" t="s">
        <v>11</v>
      </c>
      <c r="L860" s="6"/>
      <c r="M860" s="11" t="s">
        <v>12</v>
      </c>
      <c r="N860" s="6" t="s">
        <v>5879</v>
      </c>
      <c r="O860" s="6" t="s">
        <v>5880</v>
      </c>
      <c r="P860" s="10" t="s">
        <v>15</v>
      </c>
      <c r="Q860" s="6"/>
      <c r="R860" s="6"/>
      <c r="S860" s="6"/>
      <c r="T860" s="6" t="s">
        <v>16</v>
      </c>
      <c r="U860" s="9" t="s">
        <v>17</v>
      </c>
      <c r="AI860" s="6" t="s">
        <v>4739</v>
      </c>
      <c r="AJ860" s="12" t="s">
        <v>5881</v>
      </c>
      <c r="AL860" s="13" t="s">
        <v>4741</v>
      </c>
    </row>
    <row r="861">
      <c r="A861" s="5" t="s">
        <v>5882</v>
      </c>
      <c r="B861" s="5" t="s">
        <v>5883</v>
      </c>
      <c r="C861" s="5" t="s">
        <v>5876</v>
      </c>
      <c r="D861" s="17" t="s">
        <v>507</v>
      </c>
      <c r="E861" s="6"/>
      <c r="F861" s="6"/>
      <c r="G861" s="7" t="s">
        <v>5884</v>
      </c>
      <c r="I861" s="8" t="s">
        <v>5885</v>
      </c>
      <c r="J861" s="9">
        <v>38.9</v>
      </c>
      <c r="K861" s="10" t="s">
        <v>11</v>
      </c>
      <c r="L861" s="6"/>
      <c r="M861" s="11" t="s">
        <v>12</v>
      </c>
      <c r="N861" s="6" t="s">
        <v>5886</v>
      </c>
      <c r="O861" s="6" t="s">
        <v>5887</v>
      </c>
      <c r="P861" s="10" t="s">
        <v>15</v>
      </c>
      <c r="Q861" s="6"/>
      <c r="R861" s="6"/>
      <c r="S861" s="6"/>
      <c r="T861" s="6" t="s">
        <v>16</v>
      </c>
      <c r="U861" s="9" t="s">
        <v>17</v>
      </c>
      <c r="AI861" s="6" t="s">
        <v>4739</v>
      </c>
      <c r="AJ861" s="12" t="s">
        <v>5881</v>
      </c>
      <c r="AL861" s="13" t="s">
        <v>4741</v>
      </c>
    </row>
    <row r="862">
      <c r="A862" s="5" t="s">
        <v>5888</v>
      </c>
      <c r="B862" s="5" t="s">
        <v>5889</v>
      </c>
      <c r="C862" s="5" t="s">
        <v>5890</v>
      </c>
      <c r="D862" s="5" t="s">
        <v>8</v>
      </c>
      <c r="E862" s="6"/>
      <c r="F862" s="6"/>
      <c r="G862" s="7" t="s">
        <v>5891</v>
      </c>
      <c r="I862" s="8" t="s">
        <v>5892</v>
      </c>
      <c r="J862" s="9">
        <v>5.0</v>
      </c>
      <c r="K862" s="10" t="s">
        <v>11</v>
      </c>
      <c r="L862" s="6"/>
      <c r="M862" s="11" t="s">
        <v>17</v>
      </c>
      <c r="N862" s="6"/>
      <c r="O862" s="6" t="s">
        <v>5893</v>
      </c>
      <c r="P862" s="10" t="s">
        <v>15</v>
      </c>
      <c r="Q862" s="6"/>
      <c r="R862" s="6"/>
      <c r="S862" s="6"/>
      <c r="T862" s="6" t="s">
        <v>16</v>
      </c>
      <c r="U862" s="9" t="s">
        <v>17</v>
      </c>
      <c r="AI862" s="6" t="s">
        <v>4739</v>
      </c>
      <c r="AJ862" s="12" t="s">
        <v>5894</v>
      </c>
      <c r="AL862" s="13" t="s">
        <v>4741</v>
      </c>
    </row>
    <row r="863">
      <c r="A863" s="5" t="s">
        <v>5895</v>
      </c>
      <c r="B863" s="5" t="s">
        <v>5896</v>
      </c>
      <c r="C863" s="5" t="s">
        <v>5897</v>
      </c>
      <c r="D863" s="5" t="s">
        <v>507</v>
      </c>
      <c r="E863" s="6"/>
      <c r="F863" s="6"/>
      <c r="G863" s="7" t="s">
        <v>5898</v>
      </c>
      <c r="I863" s="8" t="s">
        <v>5899</v>
      </c>
      <c r="J863" s="9">
        <v>9.9</v>
      </c>
      <c r="K863" s="10" t="s">
        <v>11</v>
      </c>
      <c r="L863" s="6"/>
      <c r="M863" s="11" t="s">
        <v>17</v>
      </c>
      <c r="N863" s="6"/>
      <c r="O863" s="6" t="s">
        <v>5900</v>
      </c>
      <c r="P863" s="10" t="s">
        <v>15</v>
      </c>
      <c r="Q863" s="6" t="s">
        <v>5901</v>
      </c>
      <c r="R863" s="6"/>
      <c r="S863" s="6" t="s">
        <v>5902</v>
      </c>
      <c r="T863" s="6" t="s">
        <v>16</v>
      </c>
      <c r="U863" s="9" t="s">
        <v>17</v>
      </c>
      <c r="AI863" s="6" t="s">
        <v>18</v>
      </c>
      <c r="AJ863" s="12" t="s">
        <v>5903</v>
      </c>
      <c r="AL863" s="13" t="s">
        <v>20</v>
      </c>
    </row>
    <row r="864">
      <c r="A864" s="5" t="s">
        <v>5904</v>
      </c>
      <c r="B864" s="5" t="s">
        <v>5905</v>
      </c>
      <c r="C864" s="5" t="s">
        <v>5906</v>
      </c>
      <c r="D864" s="5" t="s">
        <v>8</v>
      </c>
      <c r="E864" s="6"/>
      <c r="F864" s="6"/>
      <c r="G864" s="18" t="s">
        <v>5907</v>
      </c>
      <c r="I864" s="16" t="s">
        <v>5908</v>
      </c>
      <c r="J864" s="9">
        <v>83.5</v>
      </c>
      <c r="K864" s="10">
        <v>66.8</v>
      </c>
      <c r="L864" s="6"/>
      <c r="M864" s="11" t="s">
        <v>12</v>
      </c>
      <c r="N864" s="6" t="s">
        <v>5909</v>
      </c>
      <c r="O864" s="6" t="s">
        <v>5910</v>
      </c>
      <c r="P864" s="10" t="s">
        <v>15</v>
      </c>
      <c r="Q864" s="6" t="s">
        <v>5911</v>
      </c>
      <c r="R864" s="6"/>
      <c r="S864" s="15" t="s">
        <v>5912</v>
      </c>
      <c r="T864" s="6" t="s">
        <v>16</v>
      </c>
      <c r="U864" s="9" t="s">
        <v>17</v>
      </c>
      <c r="AI864" s="6" t="s">
        <v>18</v>
      </c>
      <c r="AJ864" s="12" t="s">
        <v>5913</v>
      </c>
      <c r="AL864" s="13" t="s">
        <v>20</v>
      </c>
    </row>
    <row r="865">
      <c r="A865" s="5" t="s">
        <v>5914</v>
      </c>
      <c r="B865" s="5" t="s">
        <v>5915</v>
      </c>
      <c r="C865" s="5" t="s">
        <v>5916</v>
      </c>
      <c r="D865" s="5" t="s">
        <v>507</v>
      </c>
      <c r="E865" s="6"/>
      <c r="F865" s="6"/>
      <c r="G865" s="7" t="s">
        <v>5917</v>
      </c>
      <c r="I865" s="8" t="s">
        <v>5918</v>
      </c>
      <c r="J865" s="9">
        <v>37.9</v>
      </c>
      <c r="K865" s="10" t="s">
        <v>11</v>
      </c>
      <c r="L865" s="6"/>
      <c r="M865" s="11" t="s">
        <v>17</v>
      </c>
      <c r="N865" s="6"/>
      <c r="O865" s="6" t="s">
        <v>5919</v>
      </c>
      <c r="P865" s="10" t="s">
        <v>15</v>
      </c>
      <c r="Q865" s="6"/>
      <c r="R865" s="6"/>
      <c r="S865" s="6"/>
      <c r="T865" s="6" t="s">
        <v>16</v>
      </c>
      <c r="U865" s="9" t="s">
        <v>17</v>
      </c>
      <c r="AI865" s="6" t="s">
        <v>4739</v>
      </c>
      <c r="AJ865" s="12" t="s">
        <v>5920</v>
      </c>
      <c r="AL865" s="13" t="s">
        <v>4741</v>
      </c>
    </row>
    <row r="866">
      <c r="A866" s="5" t="s">
        <v>5921</v>
      </c>
      <c r="B866" s="5" t="s">
        <v>5922</v>
      </c>
      <c r="C866" s="5" t="s">
        <v>5923</v>
      </c>
      <c r="D866" s="5" t="s">
        <v>8</v>
      </c>
      <c r="E866" s="6"/>
      <c r="F866" s="6"/>
      <c r="G866" s="18" t="s">
        <v>5924</v>
      </c>
      <c r="I866" s="16" t="s">
        <v>5925</v>
      </c>
      <c r="J866" s="9">
        <v>68.98</v>
      </c>
      <c r="K866" s="10">
        <v>58.63</v>
      </c>
      <c r="L866" s="6"/>
      <c r="M866" s="11" t="s">
        <v>12</v>
      </c>
      <c r="N866" s="6" t="s">
        <v>5926</v>
      </c>
      <c r="O866" s="6" t="s">
        <v>5927</v>
      </c>
      <c r="P866" s="10" t="s">
        <v>15</v>
      </c>
      <c r="Q866" s="6" t="s">
        <v>5928</v>
      </c>
      <c r="R866" s="6"/>
      <c r="S866" s="6" t="s">
        <v>5929</v>
      </c>
      <c r="T866" s="6" t="s">
        <v>16</v>
      </c>
      <c r="U866" s="9" t="s">
        <v>17</v>
      </c>
      <c r="AI866" s="6" t="s">
        <v>18</v>
      </c>
      <c r="AJ866" s="12" t="s">
        <v>5930</v>
      </c>
      <c r="AL866" s="13" t="s">
        <v>20</v>
      </c>
    </row>
    <row r="867">
      <c r="A867" s="5" t="s">
        <v>5931</v>
      </c>
      <c r="B867" s="5" t="s">
        <v>5932</v>
      </c>
      <c r="C867" s="5" t="s">
        <v>5933</v>
      </c>
      <c r="D867" s="5" t="s">
        <v>507</v>
      </c>
      <c r="E867" s="6"/>
      <c r="F867" s="6"/>
      <c r="G867" s="7" t="s">
        <v>5934</v>
      </c>
      <c r="I867" s="8" t="s">
        <v>5935</v>
      </c>
      <c r="J867" s="9">
        <v>24.9</v>
      </c>
      <c r="K867" s="10" t="s">
        <v>11</v>
      </c>
      <c r="L867" s="6"/>
      <c r="M867" s="11" t="s">
        <v>17</v>
      </c>
      <c r="N867" s="6"/>
      <c r="O867" s="6" t="s">
        <v>5936</v>
      </c>
      <c r="P867" s="10" t="s">
        <v>15</v>
      </c>
      <c r="Q867" s="6"/>
      <c r="R867" s="6"/>
      <c r="S867" s="6" t="s">
        <v>5937</v>
      </c>
      <c r="T867" s="6" t="s">
        <v>16</v>
      </c>
      <c r="U867" s="9" t="s">
        <v>17</v>
      </c>
      <c r="AI867" s="6" t="s">
        <v>4739</v>
      </c>
      <c r="AJ867" s="12" t="s">
        <v>5938</v>
      </c>
      <c r="AL867" s="13" t="s">
        <v>4741</v>
      </c>
    </row>
    <row r="868">
      <c r="A868" s="5" t="s">
        <v>5939</v>
      </c>
      <c r="B868" s="5" t="s">
        <v>5940</v>
      </c>
      <c r="C868" s="5" t="s">
        <v>5941</v>
      </c>
      <c r="D868" s="17" t="s">
        <v>507</v>
      </c>
      <c r="E868" s="6"/>
      <c r="F868" s="6"/>
      <c r="G868" s="7" t="s">
        <v>5942</v>
      </c>
      <c r="I868" s="8" t="s">
        <v>5943</v>
      </c>
      <c r="J868" s="9">
        <v>27.9</v>
      </c>
      <c r="K868" s="10" t="s">
        <v>11</v>
      </c>
      <c r="L868" s="6"/>
      <c r="M868" s="11" t="s">
        <v>12</v>
      </c>
      <c r="N868" s="6" t="s">
        <v>5944</v>
      </c>
      <c r="O868" s="6" t="s">
        <v>5945</v>
      </c>
      <c r="P868" s="10" t="s">
        <v>15</v>
      </c>
      <c r="Q868" s="6"/>
      <c r="R868" s="6"/>
      <c r="S868" s="6"/>
      <c r="T868" s="6" t="s">
        <v>16</v>
      </c>
      <c r="U868" s="9" t="s">
        <v>17</v>
      </c>
      <c r="AI868" s="6" t="s">
        <v>4739</v>
      </c>
      <c r="AJ868" s="12" t="s">
        <v>5946</v>
      </c>
      <c r="AL868" s="13" t="s">
        <v>4741</v>
      </c>
    </row>
    <row r="869">
      <c r="A869" s="5" t="s">
        <v>5947</v>
      </c>
      <c r="B869" s="5" t="s">
        <v>5948</v>
      </c>
      <c r="C869" s="5" t="s">
        <v>5941</v>
      </c>
      <c r="D869" s="17" t="s">
        <v>507</v>
      </c>
      <c r="E869" s="6"/>
      <c r="F869" s="6"/>
      <c r="G869" s="7" t="s">
        <v>5949</v>
      </c>
      <c r="I869" s="8" t="s">
        <v>5950</v>
      </c>
      <c r="J869" s="9">
        <v>38.9</v>
      </c>
      <c r="K869" s="10" t="s">
        <v>11</v>
      </c>
      <c r="L869" s="6"/>
      <c r="M869" s="11" t="s">
        <v>12</v>
      </c>
      <c r="N869" s="6" t="s">
        <v>5951</v>
      </c>
      <c r="O869" s="6" t="s">
        <v>5952</v>
      </c>
      <c r="P869" s="10" t="s">
        <v>15</v>
      </c>
      <c r="Q869" s="6"/>
      <c r="R869" s="6"/>
      <c r="S869" s="6"/>
      <c r="T869" s="6" t="s">
        <v>16</v>
      </c>
      <c r="U869" s="9" t="s">
        <v>17</v>
      </c>
      <c r="AI869" s="6" t="s">
        <v>4739</v>
      </c>
      <c r="AJ869" s="12" t="s">
        <v>5946</v>
      </c>
      <c r="AL869" s="13" t="s">
        <v>4741</v>
      </c>
    </row>
    <row r="870">
      <c r="A870" s="5" t="s">
        <v>5953</v>
      </c>
      <c r="B870" s="5" t="s">
        <v>5954</v>
      </c>
      <c r="C870" s="5" t="s">
        <v>5955</v>
      </c>
      <c r="D870" s="17" t="s">
        <v>507</v>
      </c>
      <c r="E870" s="6"/>
      <c r="F870" s="6"/>
      <c r="G870" s="7" t="s">
        <v>5956</v>
      </c>
      <c r="I870" s="8" t="s">
        <v>5957</v>
      </c>
      <c r="J870" s="9">
        <v>28.9</v>
      </c>
      <c r="K870" s="10" t="s">
        <v>11</v>
      </c>
      <c r="L870" s="6"/>
      <c r="M870" s="11" t="s">
        <v>12</v>
      </c>
      <c r="N870" s="6" t="s">
        <v>5958</v>
      </c>
      <c r="O870" s="6" t="s">
        <v>5959</v>
      </c>
      <c r="P870" s="10" t="s">
        <v>15</v>
      </c>
      <c r="Q870" s="6"/>
      <c r="R870" s="6"/>
      <c r="S870" s="6"/>
      <c r="T870" s="6" t="s">
        <v>16</v>
      </c>
      <c r="U870" s="9" t="s">
        <v>17</v>
      </c>
      <c r="AI870" s="6" t="s">
        <v>4739</v>
      </c>
      <c r="AJ870" s="12" t="s">
        <v>5960</v>
      </c>
      <c r="AL870" s="13" t="s">
        <v>4741</v>
      </c>
    </row>
    <row r="871">
      <c r="A871" s="5" t="s">
        <v>5961</v>
      </c>
      <c r="B871" s="5" t="s">
        <v>5962</v>
      </c>
      <c r="C871" s="5" t="s">
        <v>5955</v>
      </c>
      <c r="D871" s="17" t="s">
        <v>507</v>
      </c>
      <c r="E871" s="6"/>
      <c r="F871" s="6"/>
      <c r="G871" s="7" t="s">
        <v>5963</v>
      </c>
      <c r="I871" s="8" t="s">
        <v>5964</v>
      </c>
      <c r="J871" s="9">
        <v>39.9</v>
      </c>
      <c r="K871" s="10" t="s">
        <v>11</v>
      </c>
      <c r="L871" s="6"/>
      <c r="M871" s="11" t="s">
        <v>12</v>
      </c>
      <c r="N871" s="6" t="s">
        <v>5965</v>
      </c>
      <c r="O871" s="6" t="s">
        <v>5966</v>
      </c>
      <c r="P871" s="10" t="s">
        <v>15</v>
      </c>
      <c r="Q871" s="6"/>
      <c r="R871" s="6"/>
      <c r="S871" s="6"/>
      <c r="T871" s="6" t="s">
        <v>16</v>
      </c>
      <c r="U871" s="9" t="s">
        <v>17</v>
      </c>
      <c r="AI871" s="6" t="s">
        <v>4739</v>
      </c>
      <c r="AJ871" s="12" t="s">
        <v>5960</v>
      </c>
      <c r="AL871" s="13" t="s">
        <v>4741</v>
      </c>
    </row>
    <row r="872">
      <c r="A872" s="5" t="s">
        <v>5967</v>
      </c>
      <c r="B872" s="5" t="s">
        <v>5968</v>
      </c>
      <c r="C872" s="5" t="s">
        <v>5969</v>
      </c>
      <c r="D872" s="5" t="s">
        <v>8</v>
      </c>
      <c r="E872" s="6"/>
      <c r="F872" s="6"/>
      <c r="G872" s="7" t="s">
        <v>5970</v>
      </c>
      <c r="I872" s="8" t="s">
        <v>5971</v>
      </c>
      <c r="J872" s="9">
        <v>28.9</v>
      </c>
      <c r="K872" s="10" t="s">
        <v>11</v>
      </c>
      <c r="L872" s="6"/>
      <c r="M872" s="11" t="s">
        <v>12</v>
      </c>
      <c r="N872" s="6" t="s">
        <v>5972</v>
      </c>
      <c r="O872" s="6" t="s">
        <v>5973</v>
      </c>
      <c r="P872" s="10" t="s">
        <v>15</v>
      </c>
      <c r="Q872" s="6"/>
      <c r="R872" s="6"/>
      <c r="S872" s="6"/>
      <c r="T872" s="6" t="s">
        <v>16</v>
      </c>
      <c r="U872" s="9" t="s">
        <v>17</v>
      </c>
      <c r="AI872" s="6" t="s">
        <v>4739</v>
      </c>
      <c r="AJ872" s="12" t="s">
        <v>5974</v>
      </c>
      <c r="AL872" s="13" t="s">
        <v>4741</v>
      </c>
    </row>
    <row r="873">
      <c r="A873" s="5" t="s">
        <v>5975</v>
      </c>
      <c r="B873" s="5" t="s">
        <v>5976</v>
      </c>
      <c r="C873" s="5" t="s">
        <v>5969</v>
      </c>
      <c r="D873" s="17" t="s">
        <v>507</v>
      </c>
      <c r="E873" s="6"/>
      <c r="F873" s="6"/>
      <c r="G873" s="7" t="s">
        <v>5977</v>
      </c>
      <c r="I873" s="8" t="s">
        <v>5978</v>
      </c>
      <c r="J873" s="9">
        <v>39.9</v>
      </c>
      <c r="K873" s="10" t="s">
        <v>11</v>
      </c>
      <c r="L873" s="6"/>
      <c r="M873" s="11" t="s">
        <v>12</v>
      </c>
      <c r="N873" s="6" t="s">
        <v>5979</v>
      </c>
      <c r="O873" s="6" t="s">
        <v>5980</v>
      </c>
      <c r="P873" s="10" t="s">
        <v>15</v>
      </c>
      <c r="Q873" s="6"/>
      <c r="R873" s="6"/>
      <c r="S873" s="6"/>
      <c r="T873" s="6" t="s">
        <v>16</v>
      </c>
      <c r="U873" s="9" t="s">
        <v>17</v>
      </c>
      <c r="AI873" s="6" t="s">
        <v>4739</v>
      </c>
      <c r="AJ873" s="12" t="s">
        <v>5974</v>
      </c>
      <c r="AL873" s="13" t="s">
        <v>4741</v>
      </c>
    </row>
    <row r="874">
      <c r="A874" s="5" t="s">
        <v>5981</v>
      </c>
      <c r="B874" s="5" t="s">
        <v>5982</v>
      </c>
      <c r="C874" s="5" t="s">
        <v>5983</v>
      </c>
      <c r="D874" s="17" t="s">
        <v>507</v>
      </c>
      <c r="E874" s="6"/>
      <c r="F874" s="6"/>
      <c r="G874" s="7" t="s">
        <v>5984</v>
      </c>
      <c r="I874" s="8" t="s">
        <v>5985</v>
      </c>
      <c r="J874" s="9">
        <v>27.9</v>
      </c>
      <c r="K874" s="10" t="s">
        <v>11</v>
      </c>
      <c r="L874" s="6"/>
      <c r="M874" s="11" t="s">
        <v>12</v>
      </c>
      <c r="N874" s="6" t="s">
        <v>5986</v>
      </c>
      <c r="O874" s="6" t="s">
        <v>5987</v>
      </c>
      <c r="P874" s="10" t="s">
        <v>15</v>
      </c>
      <c r="Q874" s="6"/>
      <c r="R874" s="6"/>
      <c r="S874" s="6"/>
      <c r="T874" s="6" t="s">
        <v>16</v>
      </c>
      <c r="U874" s="9" t="s">
        <v>17</v>
      </c>
      <c r="AI874" s="6" t="s">
        <v>4739</v>
      </c>
      <c r="AJ874" s="12" t="s">
        <v>5988</v>
      </c>
      <c r="AL874" s="13" t="s">
        <v>4741</v>
      </c>
    </row>
    <row r="875">
      <c r="A875" s="5" t="s">
        <v>5989</v>
      </c>
      <c r="B875" s="5" t="s">
        <v>5990</v>
      </c>
      <c r="C875" s="5" t="s">
        <v>5983</v>
      </c>
      <c r="D875" s="17" t="s">
        <v>507</v>
      </c>
      <c r="E875" s="6"/>
      <c r="F875" s="6"/>
      <c r="G875" s="7" t="s">
        <v>5991</v>
      </c>
      <c r="I875" s="8" t="s">
        <v>5992</v>
      </c>
      <c r="J875" s="9">
        <v>38.9</v>
      </c>
      <c r="K875" s="10" t="s">
        <v>11</v>
      </c>
      <c r="L875" s="6"/>
      <c r="M875" s="11" t="s">
        <v>12</v>
      </c>
      <c r="N875" s="6" t="s">
        <v>5993</v>
      </c>
      <c r="O875" s="6" t="s">
        <v>5994</v>
      </c>
      <c r="P875" s="10" t="s">
        <v>15</v>
      </c>
      <c r="Q875" s="6"/>
      <c r="R875" s="6"/>
      <c r="S875" s="6"/>
      <c r="T875" s="6" t="s">
        <v>16</v>
      </c>
      <c r="U875" s="9" t="s">
        <v>17</v>
      </c>
      <c r="AI875" s="6" t="s">
        <v>4739</v>
      </c>
      <c r="AJ875" s="12" t="s">
        <v>5988</v>
      </c>
      <c r="AL875" s="13" t="s">
        <v>4741</v>
      </c>
    </row>
    <row r="876">
      <c r="A876" s="5" t="s">
        <v>5995</v>
      </c>
      <c r="B876" s="5" t="s">
        <v>5996</v>
      </c>
      <c r="C876" s="5" t="s">
        <v>5997</v>
      </c>
      <c r="D876" s="17" t="s">
        <v>507</v>
      </c>
      <c r="E876" s="6"/>
      <c r="F876" s="6"/>
      <c r="G876" s="7" t="s">
        <v>5998</v>
      </c>
      <c r="I876" s="8" t="s">
        <v>5999</v>
      </c>
      <c r="J876" s="9">
        <v>27.9</v>
      </c>
      <c r="K876" s="10" t="s">
        <v>11</v>
      </c>
      <c r="L876" s="6"/>
      <c r="M876" s="11" t="s">
        <v>12</v>
      </c>
      <c r="N876" s="6" t="s">
        <v>6000</v>
      </c>
      <c r="O876" s="6" t="s">
        <v>6001</v>
      </c>
      <c r="P876" s="10" t="s">
        <v>15</v>
      </c>
      <c r="Q876" s="6"/>
      <c r="R876" s="6"/>
      <c r="S876" s="6"/>
      <c r="T876" s="6" t="s">
        <v>16</v>
      </c>
      <c r="U876" s="9" t="s">
        <v>17</v>
      </c>
      <c r="AI876" s="6" t="s">
        <v>4739</v>
      </c>
      <c r="AJ876" s="12" t="s">
        <v>6002</v>
      </c>
      <c r="AL876" s="13" t="s">
        <v>4741</v>
      </c>
    </row>
    <row r="877">
      <c r="A877" s="5" t="s">
        <v>6003</v>
      </c>
      <c r="B877" s="5" t="s">
        <v>6004</v>
      </c>
      <c r="C877" s="5" t="s">
        <v>5997</v>
      </c>
      <c r="D877" s="17" t="s">
        <v>507</v>
      </c>
      <c r="E877" s="6"/>
      <c r="F877" s="6"/>
      <c r="G877" s="7" t="s">
        <v>6005</v>
      </c>
      <c r="I877" s="8" t="s">
        <v>6006</v>
      </c>
      <c r="J877" s="9">
        <v>38.9</v>
      </c>
      <c r="K877" s="10" t="s">
        <v>11</v>
      </c>
      <c r="L877" s="6"/>
      <c r="M877" s="11" t="s">
        <v>12</v>
      </c>
      <c r="N877" s="6" t="s">
        <v>6007</v>
      </c>
      <c r="O877" s="6" t="s">
        <v>6008</v>
      </c>
      <c r="P877" s="10" t="s">
        <v>15</v>
      </c>
      <c r="Q877" s="6"/>
      <c r="R877" s="6"/>
      <c r="S877" s="6"/>
      <c r="T877" s="6" t="s">
        <v>16</v>
      </c>
      <c r="U877" s="9" t="s">
        <v>17</v>
      </c>
      <c r="AI877" s="6" t="s">
        <v>4739</v>
      </c>
      <c r="AJ877" s="12" t="s">
        <v>6002</v>
      </c>
      <c r="AL877" s="13" t="s">
        <v>4741</v>
      </c>
    </row>
    <row r="878">
      <c r="A878" s="5" t="s">
        <v>6009</v>
      </c>
      <c r="B878" s="5" t="s">
        <v>6010</v>
      </c>
      <c r="C878" s="5" t="s">
        <v>6011</v>
      </c>
      <c r="D878" s="5" t="s">
        <v>8</v>
      </c>
      <c r="E878" s="6"/>
      <c r="F878" s="6"/>
      <c r="G878" s="7" t="s">
        <v>6012</v>
      </c>
      <c r="I878" s="8" t="s">
        <v>6013</v>
      </c>
      <c r="J878" s="9">
        <v>28.9</v>
      </c>
      <c r="K878" s="10" t="s">
        <v>11</v>
      </c>
      <c r="L878" s="6"/>
      <c r="M878" s="11" t="s">
        <v>12</v>
      </c>
      <c r="N878" s="6" t="s">
        <v>6014</v>
      </c>
      <c r="O878" s="6" t="s">
        <v>6015</v>
      </c>
      <c r="P878" s="10" t="s">
        <v>15</v>
      </c>
      <c r="Q878" s="6"/>
      <c r="R878" s="6"/>
      <c r="S878" s="6"/>
      <c r="T878" s="6" t="s">
        <v>16</v>
      </c>
      <c r="U878" s="9" t="s">
        <v>17</v>
      </c>
      <c r="AI878" s="6" t="s">
        <v>4739</v>
      </c>
      <c r="AJ878" s="12" t="s">
        <v>6016</v>
      </c>
      <c r="AL878" s="13" t="s">
        <v>4741</v>
      </c>
    </row>
    <row r="879">
      <c r="A879" s="5" t="s">
        <v>6017</v>
      </c>
      <c r="B879" s="5" t="s">
        <v>6018</v>
      </c>
      <c r="C879" s="5" t="s">
        <v>6011</v>
      </c>
      <c r="D879" s="5" t="s">
        <v>8</v>
      </c>
      <c r="E879" s="6"/>
      <c r="F879" s="6"/>
      <c r="G879" s="7" t="s">
        <v>6019</v>
      </c>
      <c r="I879" s="8" t="s">
        <v>6020</v>
      </c>
      <c r="J879" s="9">
        <v>39.9</v>
      </c>
      <c r="K879" s="10" t="s">
        <v>11</v>
      </c>
      <c r="L879" s="6"/>
      <c r="M879" s="11" t="s">
        <v>12</v>
      </c>
      <c r="N879" s="6" t="s">
        <v>6021</v>
      </c>
      <c r="O879" s="6" t="s">
        <v>6022</v>
      </c>
      <c r="P879" s="10" t="s">
        <v>15</v>
      </c>
      <c r="Q879" s="6"/>
      <c r="R879" s="6"/>
      <c r="S879" s="6"/>
      <c r="T879" s="6" t="s">
        <v>16</v>
      </c>
      <c r="U879" s="9" t="s">
        <v>17</v>
      </c>
      <c r="AI879" s="6" t="s">
        <v>4739</v>
      </c>
      <c r="AJ879" s="12" t="s">
        <v>6016</v>
      </c>
      <c r="AL879" s="13" t="s">
        <v>4741</v>
      </c>
    </row>
    <row r="880">
      <c r="A880" s="5" t="s">
        <v>6023</v>
      </c>
      <c r="B880" s="5" t="s">
        <v>6024</v>
      </c>
      <c r="C880" s="5" t="s">
        <v>6025</v>
      </c>
      <c r="D880" s="17" t="s">
        <v>507</v>
      </c>
      <c r="E880" s="6"/>
      <c r="F880" s="6"/>
      <c r="G880" s="7" t="s">
        <v>6026</v>
      </c>
      <c r="I880" s="8" t="s">
        <v>6027</v>
      </c>
      <c r="J880" s="9">
        <v>29.9</v>
      </c>
      <c r="K880" s="10" t="s">
        <v>11</v>
      </c>
      <c r="L880" s="6"/>
      <c r="M880" s="11" t="s">
        <v>12</v>
      </c>
      <c r="N880" s="6" t="s">
        <v>6028</v>
      </c>
      <c r="O880" s="6" t="s">
        <v>6029</v>
      </c>
      <c r="P880" s="10" t="s">
        <v>15</v>
      </c>
      <c r="Q880" s="6"/>
      <c r="R880" s="6"/>
      <c r="S880" s="6"/>
      <c r="T880" s="6" t="s">
        <v>16</v>
      </c>
      <c r="U880" s="9" t="s">
        <v>17</v>
      </c>
      <c r="AI880" s="6" t="s">
        <v>4739</v>
      </c>
      <c r="AJ880" s="12" t="s">
        <v>6030</v>
      </c>
      <c r="AL880" s="13" t="s">
        <v>4741</v>
      </c>
    </row>
    <row r="881">
      <c r="A881" s="5" t="s">
        <v>6031</v>
      </c>
      <c r="B881" s="5" t="s">
        <v>6032</v>
      </c>
      <c r="C881" s="5" t="s">
        <v>6025</v>
      </c>
      <c r="D881" s="17" t="s">
        <v>507</v>
      </c>
      <c r="E881" s="6"/>
      <c r="F881" s="6"/>
      <c r="G881" s="7" t="s">
        <v>6033</v>
      </c>
      <c r="I881" s="8" t="s">
        <v>6034</v>
      </c>
      <c r="J881" s="9">
        <v>41.9</v>
      </c>
      <c r="K881" s="10" t="s">
        <v>11</v>
      </c>
      <c r="L881" s="6"/>
      <c r="M881" s="11" t="s">
        <v>12</v>
      </c>
      <c r="N881" s="6" t="s">
        <v>6035</v>
      </c>
      <c r="O881" s="6" t="s">
        <v>6036</v>
      </c>
      <c r="P881" s="10" t="s">
        <v>15</v>
      </c>
      <c r="Q881" s="6"/>
      <c r="R881" s="6"/>
      <c r="S881" s="6"/>
      <c r="T881" s="6" t="s">
        <v>16</v>
      </c>
      <c r="U881" s="9" t="s">
        <v>17</v>
      </c>
      <c r="AI881" s="6" t="s">
        <v>4739</v>
      </c>
      <c r="AJ881" s="12" t="s">
        <v>6030</v>
      </c>
      <c r="AL881" s="13" t="s">
        <v>4741</v>
      </c>
    </row>
    <row r="882">
      <c r="A882" s="5" t="s">
        <v>6037</v>
      </c>
      <c r="B882" s="5" t="s">
        <v>6038</v>
      </c>
      <c r="C882" s="5" t="s">
        <v>6039</v>
      </c>
      <c r="D882" s="5" t="s">
        <v>8</v>
      </c>
      <c r="E882" s="6"/>
      <c r="F882" s="6"/>
      <c r="G882" s="7" t="s">
        <v>6040</v>
      </c>
      <c r="I882" s="8" t="s">
        <v>6041</v>
      </c>
      <c r="J882" s="9">
        <v>28.9</v>
      </c>
      <c r="K882" s="10" t="s">
        <v>11</v>
      </c>
      <c r="L882" s="6"/>
      <c r="M882" s="11" t="s">
        <v>12</v>
      </c>
      <c r="N882" s="6" t="s">
        <v>6042</v>
      </c>
      <c r="O882" s="6" t="s">
        <v>6043</v>
      </c>
      <c r="P882" s="10" t="s">
        <v>15</v>
      </c>
      <c r="Q882" s="6"/>
      <c r="R882" s="6"/>
      <c r="S882" s="6"/>
      <c r="T882" s="6" t="s">
        <v>16</v>
      </c>
      <c r="U882" s="9" t="s">
        <v>17</v>
      </c>
      <c r="AI882" s="6" t="s">
        <v>4739</v>
      </c>
      <c r="AJ882" s="12" t="s">
        <v>6044</v>
      </c>
      <c r="AL882" s="13" t="s">
        <v>4741</v>
      </c>
    </row>
    <row r="883">
      <c r="A883" s="5" t="s">
        <v>6045</v>
      </c>
      <c r="B883" s="5" t="s">
        <v>6046</v>
      </c>
      <c r="C883" s="5" t="s">
        <v>6039</v>
      </c>
      <c r="D883" s="5" t="s">
        <v>8</v>
      </c>
      <c r="E883" s="6"/>
      <c r="F883" s="6"/>
      <c r="G883" s="7" t="s">
        <v>6047</v>
      </c>
      <c r="I883" s="8" t="s">
        <v>6048</v>
      </c>
      <c r="J883" s="9">
        <v>39.9</v>
      </c>
      <c r="K883" s="10" t="s">
        <v>11</v>
      </c>
      <c r="L883" s="6"/>
      <c r="M883" s="11" t="s">
        <v>12</v>
      </c>
      <c r="N883" s="6" t="s">
        <v>6049</v>
      </c>
      <c r="O883" s="6" t="s">
        <v>6050</v>
      </c>
      <c r="P883" s="10" t="s">
        <v>15</v>
      </c>
      <c r="Q883" s="6"/>
      <c r="R883" s="6"/>
      <c r="S883" s="6"/>
      <c r="T883" s="6" t="s">
        <v>16</v>
      </c>
      <c r="U883" s="9" t="s">
        <v>17</v>
      </c>
      <c r="AI883" s="6" t="s">
        <v>4739</v>
      </c>
      <c r="AJ883" s="12" t="s">
        <v>6044</v>
      </c>
      <c r="AL883" s="13" t="s">
        <v>4741</v>
      </c>
    </row>
    <row r="884">
      <c r="A884" s="5" t="s">
        <v>6051</v>
      </c>
      <c r="B884" s="5" t="s">
        <v>6052</v>
      </c>
      <c r="C884" s="5" t="s">
        <v>6053</v>
      </c>
      <c r="D884" s="5" t="s">
        <v>8</v>
      </c>
      <c r="E884" s="6"/>
      <c r="F884" s="6"/>
      <c r="G884" s="7" t="s">
        <v>6054</v>
      </c>
      <c r="I884" s="8" t="s">
        <v>6055</v>
      </c>
      <c r="J884" s="9">
        <v>29.9</v>
      </c>
      <c r="K884" s="10" t="s">
        <v>11</v>
      </c>
      <c r="L884" s="6"/>
      <c r="M884" s="11" t="s">
        <v>12</v>
      </c>
      <c r="N884" s="6" t="s">
        <v>6056</v>
      </c>
      <c r="O884" s="6" t="s">
        <v>6057</v>
      </c>
      <c r="P884" s="10" t="s">
        <v>15</v>
      </c>
      <c r="Q884" s="6"/>
      <c r="R884" s="6"/>
      <c r="S884" s="6"/>
      <c r="T884" s="6" t="s">
        <v>16</v>
      </c>
      <c r="U884" s="9" t="s">
        <v>17</v>
      </c>
      <c r="AI884" s="6" t="s">
        <v>4739</v>
      </c>
      <c r="AJ884" s="12" t="s">
        <v>6058</v>
      </c>
      <c r="AL884" s="13" t="s">
        <v>4741</v>
      </c>
    </row>
    <row r="885">
      <c r="A885" s="5" t="s">
        <v>6059</v>
      </c>
      <c r="B885" s="5" t="s">
        <v>6060</v>
      </c>
      <c r="C885" s="5" t="s">
        <v>6053</v>
      </c>
      <c r="D885" s="17" t="s">
        <v>507</v>
      </c>
      <c r="E885" s="6"/>
      <c r="F885" s="6"/>
      <c r="G885" s="7" t="s">
        <v>6061</v>
      </c>
      <c r="I885" s="8" t="s">
        <v>6062</v>
      </c>
      <c r="J885" s="9">
        <v>40.9</v>
      </c>
      <c r="K885" s="10" t="s">
        <v>11</v>
      </c>
      <c r="L885" s="6"/>
      <c r="M885" s="11" t="s">
        <v>12</v>
      </c>
      <c r="N885" s="6" t="s">
        <v>6063</v>
      </c>
      <c r="O885" s="6" t="s">
        <v>6064</v>
      </c>
      <c r="P885" s="10" t="s">
        <v>15</v>
      </c>
      <c r="Q885" s="6"/>
      <c r="R885" s="6"/>
      <c r="S885" s="6"/>
      <c r="T885" s="6" t="s">
        <v>16</v>
      </c>
      <c r="U885" s="9" t="s">
        <v>17</v>
      </c>
      <c r="AI885" s="6" t="s">
        <v>4739</v>
      </c>
      <c r="AJ885" s="12" t="s">
        <v>6058</v>
      </c>
      <c r="AL885" s="13" t="s">
        <v>4741</v>
      </c>
    </row>
    <row r="886">
      <c r="A886" s="5" t="s">
        <v>6065</v>
      </c>
      <c r="B886" s="5" t="s">
        <v>6066</v>
      </c>
      <c r="C886" s="5"/>
      <c r="D886" s="5" t="s">
        <v>8</v>
      </c>
      <c r="E886" s="6"/>
      <c r="F886" s="6"/>
      <c r="G886" s="7" t="s">
        <v>6067</v>
      </c>
      <c r="I886" s="8" t="s">
        <v>6068</v>
      </c>
      <c r="J886" s="9">
        <v>30.9</v>
      </c>
      <c r="K886" s="10" t="s">
        <v>11</v>
      </c>
      <c r="L886" s="6"/>
      <c r="M886" s="11" t="s">
        <v>12</v>
      </c>
      <c r="N886" s="6" t="s">
        <v>6069</v>
      </c>
      <c r="O886" s="6" t="s">
        <v>6070</v>
      </c>
      <c r="P886" s="10" t="s">
        <v>15</v>
      </c>
      <c r="Q886" s="6"/>
      <c r="R886" s="6"/>
      <c r="S886" s="6"/>
      <c r="T886" s="6" t="s">
        <v>16</v>
      </c>
      <c r="U886" s="9" t="s">
        <v>17</v>
      </c>
      <c r="AI886" s="6" t="s">
        <v>4739</v>
      </c>
      <c r="AJ886" s="12" t="s">
        <v>6071</v>
      </c>
      <c r="AL886" s="13" t="s">
        <v>4741</v>
      </c>
    </row>
    <row r="887">
      <c r="A887" s="5" t="s">
        <v>6072</v>
      </c>
      <c r="B887" s="5" t="s">
        <v>6073</v>
      </c>
      <c r="C887" s="5" t="s">
        <v>6074</v>
      </c>
      <c r="D887" s="5" t="s">
        <v>8</v>
      </c>
      <c r="E887" s="6"/>
      <c r="F887" s="6"/>
      <c r="G887" s="7" t="s">
        <v>6075</v>
      </c>
      <c r="I887" s="8" t="s">
        <v>6076</v>
      </c>
      <c r="J887" s="9">
        <v>27.9</v>
      </c>
      <c r="K887" s="10" t="s">
        <v>11</v>
      </c>
      <c r="L887" s="6"/>
      <c r="M887" s="11" t="s">
        <v>12</v>
      </c>
      <c r="N887" s="6" t="s">
        <v>6077</v>
      </c>
      <c r="O887" s="6" t="s">
        <v>6078</v>
      </c>
      <c r="P887" s="10" t="s">
        <v>15</v>
      </c>
      <c r="Q887" s="6"/>
      <c r="R887" s="6"/>
      <c r="S887" s="6"/>
      <c r="T887" s="6" t="s">
        <v>16</v>
      </c>
      <c r="U887" s="9" t="s">
        <v>17</v>
      </c>
      <c r="AI887" s="6" t="s">
        <v>4739</v>
      </c>
      <c r="AJ887" s="12" t="s">
        <v>6079</v>
      </c>
      <c r="AL887" s="13" t="s">
        <v>4741</v>
      </c>
    </row>
    <row r="888">
      <c r="A888" s="5" t="s">
        <v>6080</v>
      </c>
      <c r="B888" s="5" t="s">
        <v>6081</v>
      </c>
      <c r="C888" s="5" t="s">
        <v>6074</v>
      </c>
      <c r="D888" s="5" t="s">
        <v>8</v>
      </c>
      <c r="E888" s="6"/>
      <c r="F888" s="6"/>
      <c r="G888" s="7" t="s">
        <v>6082</v>
      </c>
      <c r="I888" s="8" t="s">
        <v>6083</v>
      </c>
      <c r="J888" s="9">
        <v>38.9</v>
      </c>
      <c r="K888" s="10" t="s">
        <v>11</v>
      </c>
      <c r="L888" s="6"/>
      <c r="M888" s="11" t="s">
        <v>12</v>
      </c>
      <c r="N888" s="6" t="s">
        <v>6084</v>
      </c>
      <c r="O888" s="6" t="s">
        <v>6085</v>
      </c>
      <c r="P888" s="10" t="s">
        <v>15</v>
      </c>
      <c r="Q888" s="6"/>
      <c r="R888" s="6"/>
      <c r="S888" s="6"/>
      <c r="T888" s="6" t="s">
        <v>16</v>
      </c>
      <c r="U888" s="9" t="s">
        <v>17</v>
      </c>
      <c r="AI888" s="6" t="s">
        <v>4739</v>
      </c>
      <c r="AJ888" s="12" t="s">
        <v>6079</v>
      </c>
      <c r="AL888" s="13" t="s">
        <v>4741</v>
      </c>
    </row>
    <row r="889">
      <c r="A889" s="5" t="s">
        <v>6086</v>
      </c>
      <c r="B889" s="5" t="s">
        <v>6087</v>
      </c>
      <c r="C889" s="5" t="s">
        <v>6088</v>
      </c>
      <c r="D889" s="17" t="s">
        <v>507</v>
      </c>
      <c r="E889" s="6"/>
      <c r="F889" s="6"/>
      <c r="G889" s="7" t="s">
        <v>6089</v>
      </c>
      <c r="I889" s="8" t="s">
        <v>6090</v>
      </c>
      <c r="J889" s="9">
        <v>28.9</v>
      </c>
      <c r="K889" s="10" t="s">
        <v>11</v>
      </c>
      <c r="L889" s="6"/>
      <c r="M889" s="11" t="s">
        <v>12</v>
      </c>
      <c r="N889" s="6" t="s">
        <v>6091</v>
      </c>
      <c r="O889" s="6" t="s">
        <v>6092</v>
      </c>
      <c r="P889" s="10" t="s">
        <v>15</v>
      </c>
      <c r="Q889" s="6"/>
      <c r="R889" s="6"/>
      <c r="S889" s="6"/>
      <c r="T889" s="6" t="s">
        <v>16</v>
      </c>
      <c r="U889" s="9" t="s">
        <v>17</v>
      </c>
      <c r="AI889" s="6" t="s">
        <v>4739</v>
      </c>
      <c r="AJ889" s="12" t="s">
        <v>6093</v>
      </c>
      <c r="AL889" s="13" t="s">
        <v>4741</v>
      </c>
    </row>
    <row r="890">
      <c r="A890" s="5" t="s">
        <v>6094</v>
      </c>
      <c r="B890" s="5" t="s">
        <v>6095</v>
      </c>
      <c r="C890" s="5" t="s">
        <v>6088</v>
      </c>
      <c r="D890" s="17" t="s">
        <v>507</v>
      </c>
      <c r="E890" s="6"/>
      <c r="F890" s="6"/>
      <c r="G890" s="7" t="s">
        <v>6096</v>
      </c>
      <c r="I890" s="8" t="s">
        <v>6097</v>
      </c>
      <c r="J890" s="9">
        <v>39.9</v>
      </c>
      <c r="K890" s="10" t="s">
        <v>11</v>
      </c>
      <c r="L890" s="6"/>
      <c r="M890" s="11" t="s">
        <v>12</v>
      </c>
      <c r="N890" s="6" t="s">
        <v>6098</v>
      </c>
      <c r="O890" s="6" t="s">
        <v>6099</v>
      </c>
      <c r="P890" s="10" t="s">
        <v>15</v>
      </c>
      <c r="Q890" s="6"/>
      <c r="R890" s="6"/>
      <c r="S890" s="6"/>
      <c r="T890" s="6" t="s">
        <v>16</v>
      </c>
      <c r="U890" s="9" t="s">
        <v>17</v>
      </c>
      <c r="AI890" s="6" t="s">
        <v>4739</v>
      </c>
      <c r="AJ890" s="12" t="s">
        <v>6093</v>
      </c>
      <c r="AL890" s="13" t="s">
        <v>4741</v>
      </c>
    </row>
    <row r="891">
      <c r="A891" s="5" t="s">
        <v>6100</v>
      </c>
      <c r="B891" s="5" t="s">
        <v>6101</v>
      </c>
      <c r="C891" s="5" t="s">
        <v>6102</v>
      </c>
      <c r="D891" s="5" t="s">
        <v>8</v>
      </c>
      <c r="E891" s="6"/>
      <c r="F891" s="6"/>
      <c r="G891" s="7" t="s">
        <v>6103</v>
      </c>
      <c r="I891" s="8" t="s">
        <v>6104</v>
      </c>
      <c r="J891" s="9">
        <v>26.9</v>
      </c>
      <c r="K891" s="10" t="s">
        <v>11</v>
      </c>
      <c r="L891" s="6"/>
      <c r="M891" s="11" t="s">
        <v>12</v>
      </c>
      <c r="N891" s="6" t="s">
        <v>6105</v>
      </c>
      <c r="O891" s="6" t="s">
        <v>6106</v>
      </c>
      <c r="P891" s="10" t="s">
        <v>15</v>
      </c>
      <c r="Q891" s="6"/>
      <c r="R891" s="6"/>
      <c r="S891" s="6"/>
      <c r="T891" s="6" t="s">
        <v>16</v>
      </c>
      <c r="U891" s="9" t="s">
        <v>17</v>
      </c>
      <c r="AI891" s="6" t="s">
        <v>4739</v>
      </c>
      <c r="AJ891" s="12" t="s">
        <v>6107</v>
      </c>
      <c r="AL891" s="13" t="s">
        <v>4741</v>
      </c>
    </row>
    <row r="892">
      <c r="A892" s="5" t="s">
        <v>6108</v>
      </c>
      <c r="B892" s="5" t="s">
        <v>6109</v>
      </c>
      <c r="C892" s="5" t="s">
        <v>6102</v>
      </c>
      <c r="D892" s="5" t="s">
        <v>8</v>
      </c>
      <c r="E892" s="6"/>
      <c r="F892" s="6"/>
      <c r="G892" s="7" t="s">
        <v>6110</v>
      </c>
      <c r="I892" s="8" t="s">
        <v>6111</v>
      </c>
      <c r="J892" s="9">
        <v>38.9</v>
      </c>
      <c r="K892" s="10" t="s">
        <v>11</v>
      </c>
      <c r="L892" s="6"/>
      <c r="M892" s="11" t="s">
        <v>12</v>
      </c>
      <c r="N892" s="6" t="s">
        <v>6112</v>
      </c>
      <c r="O892" s="6" t="s">
        <v>6113</v>
      </c>
      <c r="P892" s="10" t="s">
        <v>15</v>
      </c>
      <c r="Q892" s="6"/>
      <c r="R892" s="6"/>
      <c r="S892" s="6"/>
      <c r="T892" s="6" t="s">
        <v>16</v>
      </c>
      <c r="U892" s="9" t="s">
        <v>17</v>
      </c>
      <c r="AI892" s="6" t="s">
        <v>4739</v>
      </c>
      <c r="AJ892" s="12" t="s">
        <v>6107</v>
      </c>
      <c r="AL892" s="13" t="s">
        <v>4741</v>
      </c>
    </row>
    <row r="893">
      <c r="A893" s="5" t="s">
        <v>6114</v>
      </c>
      <c r="B893" s="5" t="s">
        <v>6115</v>
      </c>
      <c r="C893" s="5" t="s">
        <v>6116</v>
      </c>
      <c r="D893" s="5" t="s">
        <v>8</v>
      </c>
      <c r="E893" s="6"/>
      <c r="F893" s="6"/>
      <c r="G893" s="7" t="s">
        <v>6117</v>
      </c>
      <c r="I893" s="8" t="s">
        <v>6118</v>
      </c>
      <c r="J893" s="9">
        <v>27.9</v>
      </c>
      <c r="K893" s="10" t="s">
        <v>11</v>
      </c>
      <c r="L893" s="6"/>
      <c r="M893" s="11" t="s">
        <v>12</v>
      </c>
      <c r="N893" s="6" t="s">
        <v>6119</v>
      </c>
      <c r="O893" s="6" t="s">
        <v>6120</v>
      </c>
      <c r="P893" s="10" t="s">
        <v>15</v>
      </c>
      <c r="Q893" s="6"/>
      <c r="R893" s="6"/>
      <c r="S893" s="6"/>
      <c r="T893" s="6" t="s">
        <v>16</v>
      </c>
      <c r="U893" s="9" t="s">
        <v>17</v>
      </c>
      <c r="AI893" s="6" t="s">
        <v>4739</v>
      </c>
      <c r="AJ893" s="12" t="s">
        <v>6121</v>
      </c>
      <c r="AL893" s="13" t="s">
        <v>4741</v>
      </c>
    </row>
    <row r="894">
      <c r="A894" s="5" t="s">
        <v>6122</v>
      </c>
      <c r="B894" s="5" t="s">
        <v>6123</v>
      </c>
      <c r="C894" s="5" t="s">
        <v>6116</v>
      </c>
      <c r="D894" s="17" t="s">
        <v>507</v>
      </c>
      <c r="E894" s="6"/>
      <c r="F894" s="6"/>
      <c r="G894" s="7" t="s">
        <v>6124</v>
      </c>
      <c r="I894" s="8" t="s">
        <v>6125</v>
      </c>
      <c r="J894" s="9">
        <v>38.9</v>
      </c>
      <c r="K894" s="10" t="s">
        <v>11</v>
      </c>
      <c r="L894" s="6"/>
      <c r="M894" s="11" t="s">
        <v>12</v>
      </c>
      <c r="N894" s="6" t="s">
        <v>6126</v>
      </c>
      <c r="O894" s="6" t="s">
        <v>6127</v>
      </c>
      <c r="P894" s="10" t="s">
        <v>15</v>
      </c>
      <c r="Q894" s="6"/>
      <c r="R894" s="6"/>
      <c r="S894" s="6"/>
      <c r="T894" s="6" t="s">
        <v>16</v>
      </c>
      <c r="U894" s="9" t="s">
        <v>17</v>
      </c>
      <c r="AI894" s="6" t="s">
        <v>4739</v>
      </c>
      <c r="AJ894" s="12" t="s">
        <v>6121</v>
      </c>
      <c r="AL894" s="13" t="s">
        <v>4741</v>
      </c>
    </row>
    <row r="895">
      <c r="A895" s="5" t="s">
        <v>6128</v>
      </c>
      <c r="B895" s="5" t="s">
        <v>6129</v>
      </c>
      <c r="C895" s="5" t="s">
        <v>6130</v>
      </c>
      <c r="D895" s="5" t="s">
        <v>8</v>
      </c>
      <c r="E895" s="6"/>
      <c r="F895" s="6"/>
      <c r="G895" s="7" t="s">
        <v>6131</v>
      </c>
      <c r="I895" s="8" t="s">
        <v>6132</v>
      </c>
      <c r="J895" s="9">
        <v>27.9</v>
      </c>
      <c r="K895" s="10" t="s">
        <v>11</v>
      </c>
      <c r="L895" s="6"/>
      <c r="M895" s="11" t="s">
        <v>12</v>
      </c>
      <c r="N895" s="6" t="s">
        <v>6133</v>
      </c>
      <c r="O895" s="6" t="s">
        <v>6134</v>
      </c>
      <c r="P895" s="10" t="s">
        <v>15</v>
      </c>
      <c r="Q895" s="6"/>
      <c r="R895" s="6"/>
      <c r="S895" s="6"/>
      <c r="T895" s="6" t="s">
        <v>16</v>
      </c>
      <c r="U895" s="9" t="s">
        <v>17</v>
      </c>
      <c r="AI895" s="6" t="s">
        <v>4739</v>
      </c>
      <c r="AJ895" s="12" t="s">
        <v>6135</v>
      </c>
      <c r="AL895" s="13" t="s">
        <v>4741</v>
      </c>
    </row>
    <row r="896">
      <c r="A896" s="5" t="s">
        <v>6136</v>
      </c>
      <c r="B896" s="5" t="s">
        <v>6137</v>
      </c>
      <c r="C896" s="5" t="s">
        <v>6130</v>
      </c>
      <c r="D896" s="17" t="s">
        <v>507</v>
      </c>
      <c r="E896" s="6"/>
      <c r="F896" s="6"/>
      <c r="G896" s="7" t="s">
        <v>6138</v>
      </c>
      <c r="I896" s="8" t="s">
        <v>6139</v>
      </c>
      <c r="J896" s="9">
        <v>38.9</v>
      </c>
      <c r="K896" s="10" t="s">
        <v>11</v>
      </c>
      <c r="L896" s="6"/>
      <c r="M896" s="11" t="s">
        <v>12</v>
      </c>
      <c r="N896" s="6" t="s">
        <v>6140</v>
      </c>
      <c r="O896" s="6" t="s">
        <v>6141</v>
      </c>
      <c r="P896" s="10" t="s">
        <v>15</v>
      </c>
      <c r="Q896" s="6"/>
      <c r="R896" s="6"/>
      <c r="S896" s="6"/>
      <c r="T896" s="6" t="s">
        <v>16</v>
      </c>
      <c r="U896" s="9" t="s">
        <v>17</v>
      </c>
      <c r="AI896" s="6" t="s">
        <v>4739</v>
      </c>
      <c r="AJ896" s="12" t="s">
        <v>6135</v>
      </c>
      <c r="AL896" s="13" t="s">
        <v>4741</v>
      </c>
    </row>
    <row r="897">
      <c r="A897" s="5" t="s">
        <v>6142</v>
      </c>
      <c r="B897" s="5" t="s">
        <v>6143</v>
      </c>
      <c r="C897" s="5" t="s">
        <v>6144</v>
      </c>
      <c r="D897" s="5" t="s">
        <v>8</v>
      </c>
      <c r="E897" s="6"/>
      <c r="F897" s="6"/>
      <c r="G897" s="7" t="s">
        <v>6145</v>
      </c>
      <c r="I897" s="8" t="s">
        <v>6146</v>
      </c>
      <c r="J897" s="9">
        <v>28.9</v>
      </c>
      <c r="K897" s="10" t="s">
        <v>11</v>
      </c>
      <c r="L897" s="6"/>
      <c r="M897" s="11" t="s">
        <v>12</v>
      </c>
      <c r="N897" s="6" t="s">
        <v>6147</v>
      </c>
      <c r="O897" s="6" t="s">
        <v>6148</v>
      </c>
      <c r="P897" s="10" t="s">
        <v>15</v>
      </c>
      <c r="Q897" s="6"/>
      <c r="R897" s="6"/>
      <c r="S897" s="6"/>
      <c r="T897" s="6" t="s">
        <v>16</v>
      </c>
      <c r="U897" s="9" t="s">
        <v>17</v>
      </c>
      <c r="AI897" s="6" t="s">
        <v>4739</v>
      </c>
      <c r="AJ897" s="12" t="s">
        <v>6149</v>
      </c>
      <c r="AL897" s="13" t="s">
        <v>4741</v>
      </c>
    </row>
    <row r="898">
      <c r="A898" s="5" t="s">
        <v>6150</v>
      </c>
      <c r="B898" s="5" t="s">
        <v>6151</v>
      </c>
      <c r="C898" s="5" t="s">
        <v>6144</v>
      </c>
      <c r="D898" s="5" t="s">
        <v>8</v>
      </c>
      <c r="E898" s="6"/>
      <c r="F898" s="6"/>
      <c r="G898" s="7" t="s">
        <v>6152</v>
      </c>
      <c r="I898" s="8" t="s">
        <v>6153</v>
      </c>
      <c r="J898" s="9">
        <v>39.9</v>
      </c>
      <c r="K898" s="10" t="s">
        <v>11</v>
      </c>
      <c r="L898" s="6"/>
      <c r="M898" s="11" t="s">
        <v>12</v>
      </c>
      <c r="N898" s="6" t="s">
        <v>6154</v>
      </c>
      <c r="O898" s="6" t="s">
        <v>6155</v>
      </c>
      <c r="P898" s="10" t="s">
        <v>15</v>
      </c>
      <c r="Q898" s="6"/>
      <c r="R898" s="6"/>
      <c r="S898" s="6"/>
      <c r="T898" s="6" t="s">
        <v>16</v>
      </c>
      <c r="U898" s="9" t="s">
        <v>17</v>
      </c>
      <c r="AI898" s="6" t="s">
        <v>4739</v>
      </c>
      <c r="AJ898" s="12" t="s">
        <v>6149</v>
      </c>
      <c r="AL898" s="13" t="s">
        <v>4741</v>
      </c>
    </row>
    <row r="899">
      <c r="A899" s="5" t="s">
        <v>6156</v>
      </c>
      <c r="B899" s="5" t="s">
        <v>6157</v>
      </c>
      <c r="C899" s="5" t="s">
        <v>6158</v>
      </c>
      <c r="D899" s="5" t="s">
        <v>8</v>
      </c>
      <c r="E899" s="6"/>
      <c r="F899" s="6"/>
      <c r="G899" s="7" t="s">
        <v>6159</v>
      </c>
      <c r="I899" s="8" t="s">
        <v>6160</v>
      </c>
      <c r="J899" s="9">
        <v>27.9</v>
      </c>
      <c r="K899" s="10" t="s">
        <v>11</v>
      </c>
      <c r="L899" s="6"/>
      <c r="M899" s="11" t="s">
        <v>12</v>
      </c>
      <c r="N899" s="6" t="s">
        <v>6161</v>
      </c>
      <c r="O899" s="6" t="s">
        <v>6162</v>
      </c>
      <c r="P899" s="10" t="s">
        <v>15</v>
      </c>
      <c r="Q899" s="6"/>
      <c r="R899" s="6"/>
      <c r="S899" s="6"/>
      <c r="T899" s="6" t="s">
        <v>16</v>
      </c>
      <c r="U899" s="9" t="s">
        <v>17</v>
      </c>
      <c r="AI899" s="6" t="s">
        <v>4739</v>
      </c>
      <c r="AJ899" s="12" t="s">
        <v>6163</v>
      </c>
      <c r="AL899" s="13" t="s">
        <v>4741</v>
      </c>
    </row>
    <row r="900">
      <c r="A900" s="5" t="s">
        <v>6164</v>
      </c>
      <c r="B900" s="5" t="s">
        <v>6165</v>
      </c>
      <c r="C900" s="5" t="s">
        <v>6158</v>
      </c>
      <c r="D900" s="5" t="s">
        <v>8</v>
      </c>
      <c r="E900" s="6"/>
      <c r="F900" s="6"/>
      <c r="G900" s="7" t="s">
        <v>6166</v>
      </c>
      <c r="I900" s="8" t="s">
        <v>6167</v>
      </c>
      <c r="J900" s="9">
        <v>38.9</v>
      </c>
      <c r="K900" s="10" t="s">
        <v>11</v>
      </c>
      <c r="L900" s="6"/>
      <c r="M900" s="11" t="s">
        <v>12</v>
      </c>
      <c r="N900" s="6" t="s">
        <v>6168</v>
      </c>
      <c r="O900" s="6" t="s">
        <v>6169</v>
      </c>
      <c r="P900" s="10" t="s">
        <v>15</v>
      </c>
      <c r="Q900" s="6"/>
      <c r="R900" s="6"/>
      <c r="S900" s="6"/>
      <c r="T900" s="6" t="s">
        <v>16</v>
      </c>
      <c r="U900" s="9" t="s">
        <v>17</v>
      </c>
      <c r="AI900" s="6" t="s">
        <v>4739</v>
      </c>
      <c r="AJ900" s="12" t="s">
        <v>6163</v>
      </c>
      <c r="AL900" s="13" t="s">
        <v>4741</v>
      </c>
    </row>
    <row r="901">
      <c r="A901" s="5" t="s">
        <v>6170</v>
      </c>
      <c r="B901" s="5" t="s">
        <v>6171</v>
      </c>
      <c r="C901" s="5" t="s">
        <v>6172</v>
      </c>
      <c r="D901" s="5" t="s">
        <v>8</v>
      </c>
      <c r="E901" s="6"/>
      <c r="F901" s="6"/>
      <c r="G901" s="7" t="s">
        <v>6173</v>
      </c>
      <c r="I901" s="8" t="s">
        <v>6174</v>
      </c>
      <c r="J901" s="9">
        <v>26.9</v>
      </c>
      <c r="K901" s="10" t="s">
        <v>11</v>
      </c>
      <c r="L901" s="6"/>
      <c r="M901" s="11" t="s">
        <v>12</v>
      </c>
      <c r="N901" s="6" t="s">
        <v>6175</v>
      </c>
      <c r="O901" s="6" t="s">
        <v>6176</v>
      </c>
      <c r="P901" s="10" t="s">
        <v>15</v>
      </c>
      <c r="Q901" s="6"/>
      <c r="R901" s="6"/>
      <c r="S901" s="6"/>
      <c r="T901" s="6" t="s">
        <v>16</v>
      </c>
      <c r="U901" s="9" t="s">
        <v>17</v>
      </c>
      <c r="AI901" s="6" t="s">
        <v>4739</v>
      </c>
      <c r="AJ901" s="12" t="s">
        <v>6177</v>
      </c>
      <c r="AL901" s="13" t="s">
        <v>4741</v>
      </c>
    </row>
    <row r="902">
      <c r="A902" s="5" t="s">
        <v>6178</v>
      </c>
      <c r="B902" s="5" t="s">
        <v>6179</v>
      </c>
      <c r="C902" s="5" t="s">
        <v>6172</v>
      </c>
      <c r="D902" s="5" t="s">
        <v>8</v>
      </c>
      <c r="E902" s="6"/>
      <c r="F902" s="6"/>
      <c r="G902" s="7" t="s">
        <v>6180</v>
      </c>
      <c r="I902" s="8" t="s">
        <v>6181</v>
      </c>
      <c r="J902" s="9">
        <v>38.9</v>
      </c>
      <c r="K902" s="10" t="s">
        <v>11</v>
      </c>
      <c r="L902" s="6"/>
      <c r="M902" s="11" t="s">
        <v>12</v>
      </c>
      <c r="N902" s="6" t="s">
        <v>6182</v>
      </c>
      <c r="O902" s="6" t="s">
        <v>6183</v>
      </c>
      <c r="P902" s="10" t="s">
        <v>15</v>
      </c>
      <c r="Q902" s="6"/>
      <c r="R902" s="6"/>
      <c r="S902" s="6"/>
      <c r="T902" s="6" t="s">
        <v>16</v>
      </c>
      <c r="U902" s="9" t="s">
        <v>17</v>
      </c>
      <c r="AI902" s="6" t="s">
        <v>4739</v>
      </c>
      <c r="AJ902" s="12" t="s">
        <v>6177</v>
      </c>
      <c r="AL902" s="13" t="s">
        <v>4741</v>
      </c>
    </row>
    <row r="903">
      <c r="A903" s="5" t="s">
        <v>6184</v>
      </c>
      <c r="B903" s="5" t="s">
        <v>6185</v>
      </c>
      <c r="C903" s="5" t="s">
        <v>6186</v>
      </c>
      <c r="D903" s="17" t="s">
        <v>507</v>
      </c>
      <c r="E903" s="6"/>
      <c r="F903" s="6"/>
      <c r="G903" s="7" t="s">
        <v>6187</v>
      </c>
      <c r="I903" s="8" t="s">
        <v>6188</v>
      </c>
      <c r="J903" s="9">
        <v>27.9</v>
      </c>
      <c r="K903" s="10" t="s">
        <v>11</v>
      </c>
      <c r="L903" s="6"/>
      <c r="M903" s="11" t="s">
        <v>12</v>
      </c>
      <c r="N903" s="6" t="s">
        <v>6189</v>
      </c>
      <c r="O903" s="6" t="s">
        <v>6190</v>
      </c>
      <c r="P903" s="10" t="s">
        <v>15</v>
      </c>
      <c r="Q903" s="6"/>
      <c r="R903" s="6"/>
      <c r="S903" s="6"/>
      <c r="T903" s="6" t="s">
        <v>16</v>
      </c>
      <c r="U903" s="9" t="s">
        <v>17</v>
      </c>
      <c r="AI903" s="6" t="s">
        <v>4739</v>
      </c>
      <c r="AJ903" s="12" t="s">
        <v>6191</v>
      </c>
      <c r="AL903" s="13" t="s">
        <v>4741</v>
      </c>
    </row>
    <row r="904">
      <c r="A904" s="5" t="s">
        <v>6192</v>
      </c>
      <c r="B904" s="5" t="s">
        <v>6193</v>
      </c>
      <c r="C904" s="5" t="s">
        <v>6186</v>
      </c>
      <c r="D904" s="17" t="s">
        <v>507</v>
      </c>
      <c r="E904" s="6"/>
      <c r="F904" s="6"/>
      <c r="G904" s="7" t="s">
        <v>6194</v>
      </c>
      <c r="I904" s="8" t="s">
        <v>6195</v>
      </c>
      <c r="J904" s="9">
        <v>38.9</v>
      </c>
      <c r="K904" s="10" t="s">
        <v>11</v>
      </c>
      <c r="L904" s="6"/>
      <c r="M904" s="11" t="s">
        <v>12</v>
      </c>
      <c r="N904" s="6" t="s">
        <v>6196</v>
      </c>
      <c r="O904" s="6" t="s">
        <v>6197</v>
      </c>
      <c r="P904" s="10" t="s">
        <v>15</v>
      </c>
      <c r="Q904" s="6"/>
      <c r="R904" s="6"/>
      <c r="S904" s="6"/>
      <c r="T904" s="6" t="s">
        <v>16</v>
      </c>
      <c r="U904" s="9" t="s">
        <v>17</v>
      </c>
      <c r="AI904" s="6" t="s">
        <v>4739</v>
      </c>
      <c r="AJ904" s="12" t="s">
        <v>6191</v>
      </c>
      <c r="AL904" s="13" t="s">
        <v>4741</v>
      </c>
    </row>
    <row r="905">
      <c r="A905" s="5" t="s">
        <v>6198</v>
      </c>
      <c r="B905" s="5" t="s">
        <v>6199</v>
      </c>
      <c r="C905" s="5" t="s">
        <v>6200</v>
      </c>
      <c r="D905" s="5" t="s">
        <v>8</v>
      </c>
      <c r="E905" s="6"/>
      <c r="F905" s="6"/>
      <c r="G905" s="7" t="s">
        <v>6201</v>
      </c>
      <c r="I905" s="8" t="s">
        <v>6202</v>
      </c>
      <c r="J905" s="9">
        <v>32.9</v>
      </c>
      <c r="K905" s="10" t="s">
        <v>11</v>
      </c>
      <c r="L905" s="6"/>
      <c r="M905" s="11" t="s">
        <v>12</v>
      </c>
      <c r="N905" s="6" t="s">
        <v>6203</v>
      </c>
      <c r="O905" s="6" t="s">
        <v>6204</v>
      </c>
      <c r="P905" s="10" t="s">
        <v>15</v>
      </c>
      <c r="Q905" s="6"/>
      <c r="R905" s="6"/>
      <c r="S905" s="6"/>
      <c r="T905" s="6" t="s">
        <v>16</v>
      </c>
      <c r="U905" s="9" t="s">
        <v>17</v>
      </c>
      <c r="AI905" s="6" t="s">
        <v>4739</v>
      </c>
      <c r="AJ905" s="12" t="s">
        <v>6205</v>
      </c>
      <c r="AL905" s="13" t="s">
        <v>4741</v>
      </c>
    </row>
    <row r="906">
      <c r="A906" s="5" t="s">
        <v>6206</v>
      </c>
      <c r="B906" s="5" t="s">
        <v>6207</v>
      </c>
      <c r="C906" s="5" t="s">
        <v>6200</v>
      </c>
      <c r="D906" s="5" t="s">
        <v>8</v>
      </c>
      <c r="E906" s="6"/>
      <c r="F906" s="6"/>
      <c r="G906" s="7" t="s">
        <v>6208</v>
      </c>
      <c r="I906" s="8" t="s">
        <v>6209</v>
      </c>
      <c r="J906" s="9">
        <v>44.9</v>
      </c>
      <c r="K906" s="10" t="s">
        <v>11</v>
      </c>
      <c r="L906" s="6"/>
      <c r="M906" s="11" t="s">
        <v>12</v>
      </c>
      <c r="N906" s="6" t="s">
        <v>6210</v>
      </c>
      <c r="O906" s="6" t="s">
        <v>6211</v>
      </c>
      <c r="P906" s="10" t="s">
        <v>15</v>
      </c>
      <c r="Q906" s="6"/>
      <c r="R906" s="6"/>
      <c r="S906" s="6"/>
      <c r="T906" s="6" t="s">
        <v>16</v>
      </c>
      <c r="U906" s="9" t="s">
        <v>17</v>
      </c>
      <c r="AI906" s="6" t="s">
        <v>4739</v>
      </c>
      <c r="AJ906" s="12" t="s">
        <v>6205</v>
      </c>
      <c r="AL906" s="13" t="s">
        <v>4741</v>
      </c>
    </row>
    <row r="907">
      <c r="A907" s="5" t="s">
        <v>6212</v>
      </c>
      <c r="B907" s="5" t="s">
        <v>6213</v>
      </c>
      <c r="C907" s="5" t="s">
        <v>6214</v>
      </c>
      <c r="D907" s="5" t="s">
        <v>8</v>
      </c>
      <c r="E907" s="6"/>
      <c r="F907" s="6"/>
      <c r="G907" s="7" t="s">
        <v>6215</v>
      </c>
      <c r="I907" s="8" t="s">
        <v>6216</v>
      </c>
      <c r="J907" s="9">
        <v>31.9</v>
      </c>
      <c r="K907" s="10" t="s">
        <v>11</v>
      </c>
      <c r="L907" s="6"/>
      <c r="M907" s="11" t="s">
        <v>12</v>
      </c>
      <c r="N907" s="6" t="s">
        <v>6217</v>
      </c>
      <c r="O907" s="6" t="s">
        <v>6218</v>
      </c>
      <c r="P907" s="10" t="s">
        <v>15</v>
      </c>
      <c r="Q907" s="6"/>
      <c r="R907" s="6"/>
      <c r="S907" s="6"/>
      <c r="T907" s="6" t="s">
        <v>16</v>
      </c>
      <c r="U907" s="9" t="s">
        <v>17</v>
      </c>
      <c r="AI907" s="6" t="s">
        <v>4739</v>
      </c>
      <c r="AJ907" s="12" t="s">
        <v>6219</v>
      </c>
      <c r="AL907" s="13" t="s">
        <v>4741</v>
      </c>
    </row>
    <row r="908">
      <c r="A908" s="5" t="s">
        <v>6220</v>
      </c>
      <c r="B908" s="5" t="s">
        <v>6221</v>
      </c>
      <c r="C908" s="5" t="s">
        <v>6214</v>
      </c>
      <c r="D908" s="5" t="s">
        <v>8</v>
      </c>
      <c r="E908" s="6"/>
      <c r="F908" s="6"/>
      <c r="G908" s="7" t="s">
        <v>6222</v>
      </c>
      <c r="I908" s="8" t="s">
        <v>6223</v>
      </c>
      <c r="J908" s="9">
        <v>43.9</v>
      </c>
      <c r="K908" s="10" t="s">
        <v>11</v>
      </c>
      <c r="L908" s="6"/>
      <c r="M908" s="11" t="s">
        <v>12</v>
      </c>
      <c r="N908" s="6" t="s">
        <v>6224</v>
      </c>
      <c r="O908" s="6" t="s">
        <v>6225</v>
      </c>
      <c r="P908" s="10" t="s">
        <v>15</v>
      </c>
      <c r="Q908" s="6"/>
      <c r="R908" s="6"/>
      <c r="S908" s="6"/>
      <c r="T908" s="6" t="s">
        <v>16</v>
      </c>
      <c r="U908" s="9" t="s">
        <v>17</v>
      </c>
      <c r="AI908" s="6" t="s">
        <v>4739</v>
      </c>
      <c r="AJ908" s="12" t="s">
        <v>6219</v>
      </c>
      <c r="AL908" s="13" t="s">
        <v>4741</v>
      </c>
    </row>
    <row r="909">
      <c r="A909" s="5" t="s">
        <v>6226</v>
      </c>
      <c r="B909" s="5" t="s">
        <v>6227</v>
      </c>
      <c r="C909" s="5" t="s">
        <v>6228</v>
      </c>
      <c r="D909" s="5" t="s">
        <v>8</v>
      </c>
      <c r="E909" s="6"/>
      <c r="F909" s="6"/>
      <c r="G909" s="7" t="s">
        <v>6229</v>
      </c>
      <c r="I909" s="8" t="s">
        <v>6230</v>
      </c>
      <c r="J909" s="9">
        <v>27.9</v>
      </c>
      <c r="K909" s="10" t="s">
        <v>11</v>
      </c>
      <c r="L909" s="6"/>
      <c r="M909" s="11" t="s">
        <v>12</v>
      </c>
      <c r="N909" s="6" t="s">
        <v>6231</v>
      </c>
      <c r="O909" s="6" t="s">
        <v>6232</v>
      </c>
      <c r="P909" s="10" t="s">
        <v>15</v>
      </c>
      <c r="Q909" s="6"/>
      <c r="R909" s="6"/>
      <c r="S909" s="6"/>
      <c r="T909" s="6" t="s">
        <v>16</v>
      </c>
      <c r="U909" s="9" t="s">
        <v>17</v>
      </c>
      <c r="AI909" s="6" t="s">
        <v>4739</v>
      </c>
      <c r="AJ909" s="12" t="s">
        <v>6233</v>
      </c>
      <c r="AL909" s="13" t="s">
        <v>4741</v>
      </c>
    </row>
    <row r="910">
      <c r="A910" s="5" t="s">
        <v>6234</v>
      </c>
      <c r="B910" s="5" t="s">
        <v>6235</v>
      </c>
      <c r="C910" s="5" t="s">
        <v>6228</v>
      </c>
      <c r="D910" s="5" t="s">
        <v>8</v>
      </c>
      <c r="E910" s="6"/>
      <c r="F910" s="6"/>
      <c r="G910" s="7" t="s">
        <v>6236</v>
      </c>
      <c r="I910" s="8" t="s">
        <v>6237</v>
      </c>
      <c r="J910" s="9">
        <v>38.9</v>
      </c>
      <c r="K910" s="10" t="s">
        <v>11</v>
      </c>
      <c r="L910" s="6"/>
      <c r="M910" s="11" t="s">
        <v>12</v>
      </c>
      <c r="N910" s="6" t="s">
        <v>6238</v>
      </c>
      <c r="O910" s="6" t="s">
        <v>6239</v>
      </c>
      <c r="P910" s="10" t="s">
        <v>15</v>
      </c>
      <c r="Q910" s="6"/>
      <c r="R910" s="6"/>
      <c r="S910" s="6"/>
      <c r="T910" s="6" t="s">
        <v>16</v>
      </c>
      <c r="U910" s="9" t="s">
        <v>17</v>
      </c>
      <c r="AI910" s="6" t="s">
        <v>4739</v>
      </c>
      <c r="AJ910" s="12" t="s">
        <v>6233</v>
      </c>
      <c r="AL910" s="13" t="s">
        <v>4741</v>
      </c>
    </row>
    <row r="911">
      <c r="A911" s="5" t="s">
        <v>6240</v>
      </c>
      <c r="B911" s="5" t="s">
        <v>6241</v>
      </c>
      <c r="C911" s="5" t="s">
        <v>6242</v>
      </c>
      <c r="D911" s="5" t="s">
        <v>8</v>
      </c>
      <c r="E911" s="6"/>
      <c r="F911" s="6"/>
      <c r="G911" s="7" t="s">
        <v>6243</v>
      </c>
      <c r="I911" s="8" t="s">
        <v>6244</v>
      </c>
      <c r="J911" s="9">
        <v>32.9</v>
      </c>
      <c r="K911" s="10" t="s">
        <v>11</v>
      </c>
      <c r="L911" s="6"/>
      <c r="M911" s="11" t="s">
        <v>12</v>
      </c>
      <c r="N911" s="6" t="s">
        <v>6245</v>
      </c>
      <c r="O911" s="6" t="s">
        <v>6246</v>
      </c>
      <c r="P911" s="10" t="s">
        <v>15</v>
      </c>
      <c r="Q911" s="6"/>
      <c r="R911" s="6"/>
      <c r="S911" s="6"/>
      <c r="T911" s="6" t="s">
        <v>16</v>
      </c>
      <c r="U911" s="9" t="s">
        <v>17</v>
      </c>
      <c r="AI911" s="6" t="s">
        <v>4739</v>
      </c>
      <c r="AJ911" s="12" t="s">
        <v>6247</v>
      </c>
      <c r="AL911" s="13" t="s">
        <v>4741</v>
      </c>
    </row>
    <row r="912">
      <c r="A912" s="5" t="s">
        <v>6248</v>
      </c>
      <c r="B912" s="5" t="s">
        <v>6249</v>
      </c>
      <c r="C912" s="5" t="s">
        <v>6242</v>
      </c>
      <c r="D912" s="5" t="s">
        <v>8</v>
      </c>
      <c r="E912" s="6"/>
      <c r="F912" s="6"/>
      <c r="G912" s="7" t="s">
        <v>6250</v>
      </c>
      <c r="I912" s="8" t="s">
        <v>6251</v>
      </c>
      <c r="J912" s="9">
        <v>44.9</v>
      </c>
      <c r="K912" s="10" t="s">
        <v>11</v>
      </c>
      <c r="L912" s="6"/>
      <c r="M912" s="11" t="s">
        <v>12</v>
      </c>
      <c r="N912" s="6" t="s">
        <v>6252</v>
      </c>
      <c r="O912" s="6" t="s">
        <v>6253</v>
      </c>
      <c r="P912" s="10" t="s">
        <v>15</v>
      </c>
      <c r="Q912" s="6"/>
      <c r="R912" s="6"/>
      <c r="S912" s="6"/>
      <c r="T912" s="6" t="s">
        <v>16</v>
      </c>
      <c r="U912" s="9" t="s">
        <v>17</v>
      </c>
      <c r="AI912" s="6" t="s">
        <v>4739</v>
      </c>
      <c r="AJ912" s="12" t="s">
        <v>6247</v>
      </c>
      <c r="AL912" s="13" t="s">
        <v>4741</v>
      </c>
    </row>
    <row r="913">
      <c r="A913" s="5" t="s">
        <v>6254</v>
      </c>
      <c r="B913" s="5" t="s">
        <v>6255</v>
      </c>
      <c r="C913" s="5" t="s">
        <v>6256</v>
      </c>
      <c r="D913" s="5" t="s">
        <v>8</v>
      </c>
      <c r="E913" s="6"/>
      <c r="F913" s="6"/>
      <c r="G913" s="7" t="s">
        <v>6257</v>
      </c>
      <c r="I913" s="8" t="s">
        <v>6258</v>
      </c>
      <c r="J913" s="9">
        <v>27.9</v>
      </c>
      <c r="K913" s="10" t="s">
        <v>11</v>
      </c>
      <c r="L913" s="6"/>
      <c r="M913" s="11" t="s">
        <v>12</v>
      </c>
      <c r="N913" s="6" t="s">
        <v>6259</v>
      </c>
      <c r="O913" s="6" t="s">
        <v>6260</v>
      </c>
      <c r="P913" s="10" t="s">
        <v>15</v>
      </c>
      <c r="Q913" s="6"/>
      <c r="R913" s="6"/>
      <c r="S913" s="6"/>
      <c r="T913" s="6" t="s">
        <v>16</v>
      </c>
      <c r="U913" s="9" t="s">
        <v>17</v>
      </c>
      <c r="AI913" s="6" t="s">
        <v>4739</v>
      </c>
      <c r="AJ913" s="12" t="s">
        <v>6261</v>
      </c>
      <c r="AL913" s="13" t="s">
        <v>4741</v>
      </c>
    </row>
    <row r="914">
      <c r="A914" s="5" t="s">
        <v>6262</v>
      </c>
      <c r="B914" s="5" t="s">
        <v>6263</v>
      </c>
      <c r="C914" s="5" t="s">
        <v>6256</v>
      </c>
      <c r="D914" s="17" t="s">
        <v>507</v>
      </c>
      <c r="E914" s="6"/>
      <c r="F914" s="6"/>
      <c r="G914" s="7" t="s">
        <v>6264</v>
      </c>
      <c r="I914" s="8" t="s">
        <v>6265</v>
      </c>
      <c r="J914" s="9">
        <v>38.9</v>
      </c>
      <c r="K914" s="10" t="s">
        <v>11</v>
      </c>
      <c r="L914" s="6"/>
      <c r="M914" s="11" t="s">
        <v>12</v>
      </c>
      <c r="N914" s="6" t="s">
        <v>6266</v>
      </c>
      <c r="O914" s="6" t="s">
        <v>6267</v>
      </c>
      <c r="P914" s="10" t="s">
        <v>15</v>
      </c>
      <c r="Q914" s="6"/>
      <c r="R914" s="6"/>
      <c r="S914" s="6"/>
      <c r="T914" s="6" t="s">
        <v>16</v>
      </c>
      <c r="U914" s="9" t="s">
        <v>17</v>
      </c>
      <c r="AI914" s="6" t="s">
        <v>4739</v>
      </c>
      <c r="AJ914" s="12" t="s">
        <v>6261</v>
      </c>
      <c r="AL914" s="13" t="s">
        <v>4741</v>
      </c>
    </row>
    <row r="915">
      <c r="A915" s="5" t="s">
        <v>6268</v>
      </c>
      <c r="B915" s="5" t="s">
        <v>6269</v>
      </c>
      <c r="C915" s="5" t="s">
        <v>6270</v>
      </c>
      <c r="D915" s="5" t="s">
        <v>8</v>
      </c>
      <c r="E915" s="6"/>
      <c r="F915" s="6"/>
      <c r="G915" s="7" t="s">
        <v>6271</v>
      </c>
      <c r="I915" s="8" t="s">
        <v>6272</v>
      </c>
      <c r="J915" s="9">
        <v>39.9</v>
      </c>
      <c r="K915" s="10" t="s">
        <v>11</v>
      </c>
      <c r="L915" s="6"/>
      <c r="M915" s="11" t="s">
        <v>12</v>
      </c>
      <c r="N915" s="6" t="s">
        <v>6273</v>
      </c>
      <c r="O915" s="6" t="s">
        <v>6274</v>
      </c>
      <c r="P915" s="10" t="s">
        <v>15</v>
      </c>
      <c r="Q915" s="6"/>
      <c r="R915" s="6"/>
      <c r="S915" s="6"/>
      <c r="T915" s="6" t="s">
        <v>16</v>
      </c>
      <c r="U915" s="9" t="s">
        <v>17</v>
      </c>
      <c r="AI915" s="6" t="s">
        <v>4739</v>
      </c>
      <c r="AJ915" s="12" t="s">
        <v>6275</v>
      </c>
      <c r="AL915" s="13" t="s">
        <v>4741</v>
      </c>
    </row>
    <row r="916">
      <c r="A916" s="5" t="s">
        <v>6276</v>
      </c>
      <c r="B916" s="5" t="s">
        <v>6277</v>
      </c>
      <c r="C916" s="5" t="s">
        <v>6270</v>
      </c>
      <c r="D916" s="5" t="s">
        <v>8</v>
      </c>
      <c r="E916" s="6"/>
      <c r="F916" s="6"/>
      <c r="G916" s="7" t="s">
        <v>6278</v>
      </c>
      <c r="I916" s="8" t="s">
        <v>6279</v>
      </c>
      <c r="J916" s="9">
        <v>28.9</v>
      </c>
      <c r="K916" s="10" t="s">
        <v>11</v>
      </c>
      <c r="L916" s="6"/>
      <c r="M916" s="11" t="s">
        <v>12</v>
      </c>
      <c r="N916" s="6" t="s">
        <v>6280</v>
      </c>
      <c r="O916" s="6" t="s">
        <v>6281</v>
      </c>
      <c r="P916" s="10" t="s">
        <v>15</v>
      </c>
      <c r="Q916" s="6"/>
      <c r="R916" s="6"/>
      <c r="S916" s="6"/>
      <c r="T916" s="6" t="s">
        <v>16</v>
      </c>
      <c r="U916" s="9" t="s">
        <v>17</v>
      </c>
      <c r="AI916" s="6" t="s">
        <v>4739</v>
      </c>
      <c r="AJ916" s="12" t="s">
        <v>6275</v>
      </c>
      <c r="AL916" s="13" t="s">
        <v>4741</v>
      </c>
    </row>
    <row r="917">
      <c r="A917" s="5" t="s">
        <v>6282</v>
      </c>
      <c r="B917" s="5" t="s">
        <v>6283</v>
      </c>
      <c r="C917" s="5" t="s">
        <v>6284</v>
      </c>
      <c r="D917" s="5" t="s">
        <v>8</v>
      </c>
      <c r="E917" s="6"/>
      <c r="F917" s="6"/>
      <c r="G917" s="7" t="s">
        <v>6285</v>
      </c>
      <c r="I917" s="8" t="s">
        <v>6286</v>
      </c>
      <c r="J917" s="9">
        <v>28.9</v>
      </c>
      <c r="K917" s="10" t="s">
        <v>11</v>
      </c>
      <c r="L917" s="6"/>
      <c r="M917" s="11" t="s">
        <v>12</v>
      </c>
      <c r="N917" s="6" t="s">
        <v>6287</v>
      </c>
      <c r="O917" s="6" t="s">
        <v>6288</v>
      </c>
      <c r="P917" s="10" t="s">
        <v>15</v>
      </c>
      <c r="Q917" s="6"/>
      <c r="R917" s="6"/>
      <c r="S917" s="6"/>
      <c r="T917" s="6" t="s">
        <v>16</v>
      </c>
      <c r="U917" s="9" t="s">
        <v>17</v>
      </c>
      <c r="AI917" s="6" t="s">
        <v>4739</v>
      </c>
      <c r="AJ917" s="12" t="s">
        <v>6289</v>
      </c>
      <c r="AL917" s="13" t="s">
        <v>4741</v>
      </c>
    </row>
    <row r="918">
      <c r="A918" s="5" t="s">
        <v>6290</v>
      </c>
      <c r="B918" s="5" t="s">
        <v>6291</v>
      </c>
      <c r="C918" s="5" t="s">
        <v>6284</v>
      </c>
      <c r="D918" s="5" t="s">
        <v>8</v>
      </c>
      <c r="E918" s="6"/>
      <c r="F918" s="6"/>
      <c r="G918" s="7" t="s">
        <v>6292</v>
      </c>
      <c r="I918" s="8" t="s">
        <v>6293</v>
      </c>
      <c r="J918" s="9">
        <v>39.9</v>
      </c>
      <c r="K918" s="10" t="s">
        <v>11</v>
      </c>
      <c r="L918" s="6"/>
      <c r="M918" s="11" t="s">
        <v>12</v>
      </c>
      <c r="N918" s="6" t="s">
        <v>6294</v>
      </c>
      <c r="O918" s="6" t="s">
        <v>6295</v>
      </c>
      <c r="P918" s="10" t="s">
        <v>15</v>
      </c>
      <c r="Q918" s="6"/>
      <c r="R918" s="6"/>
      <c r="S918" s="6"/>
      <c r="T918" s="6" t="s">
        <v>16</v>
      </c>
      <c r="U918" s="9" t="s">
        <v>17</v>
      </c>
      <c r="AI918" s="6" t="s">
        <v>4739</v>
      </c>
      <c r="AJ918" s="12" t="s">
        <v>6289</v>
      </c>
      <c r="AL918" s="13" t="s">
        <v>4741</v>
      </c>
    </row>
    <row r="919">
      <c r="A919" s="5" t="s">
        <v>6296</v>
      </c>
      <c r="B919" s="5" t="s">
        <v>6297</v>
      </c>
      <c r="C919" s="5" t="s">
        <v>6298</v>
      </c>
      <c r="D919" s="5" t="s">
        <v>8</v>
      </c>
      <c r="E919" s="6"/>
      <c r="F919" s="6"/>
      <c r="G919" s="7" t="s">
        <v>6299</v>
      </c>
      <c r="I919" s="8" t="s">
        <v>6300</v>
      </c>
      <c r="J919" s="9">
        <v>27.9</v>
      </c>
      <c r="K919" s="10" t="s">
        <v>11</v>
      </c>
      <c r="L919" s="6"/>
      <c r="M919" s="11" t="s">
        <v>12</v>
      </c>
      <c r="N919" s="6" t="s">
        <v>6301</v>
      </c>
      <c r="O919" s="6" t="s">
        <v>6302</v>
      </c>
      <c r="P919" s="10" t="s">
        <v>15</v>
      </c>
      <c r="Q919" s="6"/>
      <c r="R919" s="6"/>
      <c r="S919" s="6"/>
      <c r="T919" s="6" t="s">
        <v>16</v>
      </c>
      <c r="U919" s="9" t="s">
        <v>17</v>
      </c>
      <c r="AI919" s="6" t="s">
        <v>4739</v>
      </c>
      <c r="AJ919" s="12" t="s">
        <v>6303</v>
      </c>
      <c r="AL919" s="13" t="s">
        <v>4741</v>
      </c>
    </row>
    <row r="920">
      <c r="A920" s="5" t="s">
        <v>6304</v>
      </c>
      <c r="B920" s="5" t="s">
        <v>6305</v>
      </c>
      <c r="C920" s="5" t="s">
        <v>6298</v>
      </c>
      <c r="D920" s="5" t="s">
        <v>8</v>
      </c>
      <c r="E920" s="6"/>
      <c r="F920" s="6"/>
      <c r="G920" s="7" t="s">
        <v>6306</v>
      </c>
      <c r="I920" s="8" t="s">
        <v>6307</v>
      </c>
      <c r="J920" s="9">
        <v>38.9</v>
      </c>
      <c r="K920" s="10" t="s">
        <v>11</v>
      </c>
      <c r="L920" s="6"/>
      <c r="M920" s="11" t="s">
        <v>12</v>
      </c>
      <c r="N920" s="6" t="s">
        <v>6308</v>
      </c>
      <c r="O920" s="6" t="s">
        <v>6309</v>
      </c>
      <c r="P920" s="10" t="s">
        <v>15</v>
      </c>
      <c r="Q920" s="6"/>
      <c r="R920" s="6"/>
      <c r="S920" s="6"/>
      <c r="T920" s="6" t="s">
        <v>16</v>
      </c>
      <c r="U920" s="9" t="s">
        <v>17</v>
      </c>
      <c r="AI920" s="6" t="s">
        <v>4739</v>
      </c>
      <c r="AJ920" s="12" t="s">
        <v>6303</v>
      </c>
      <c r="AL920" s="13" t="s">
        <v>4741</v>
      </c>
    </row>
    <row r="921">
      <c r="A921" s="5" t="s">
        <v>6310</v>
      </c>
      <c r="B921" s="5" t="s">
        <v>6311</v>
      </c>
      <c r="C921" s="5" t="s">
        <v>6312</v>
      </c>
      <c r="D921" s="17" t="s">
        <v>507</v>
      </c>
      <c r="E921" s="6"/>
      <c r="F921" s="6"/>
      <c r="G921" s="7" t="s">
        <v>6313</v>
      </c>
      <c r="I921" s="8" t="s">
        <v>6314</v>
      </c>
      <c r="J921" s="9">
        <v>26.9</v>
      </c>
      <c r="K921" s="10" t="s">
        <v>11</v>
      </c>
      <c r="L921" s="6"/>
      <c r="M921" s="11" t="s">
        <v>12</v>
      </c>
      <c r="N921" s="6" t="s">
        <v>6315</v>
      </c>
      <c r="O921" s="6" t="s">
        <v>6316</v>
      </c>
      <c r="P921" s="10" t="s">
        <v>15</v>
      </c>
      <c r="Q921" s="6"/>
      <c r="R921" s="6"/>
      <c r="S921" s="6"/>
      <c r="T921" s="6" t="s">
        <v>16</v>
      </c>
      <c r="U921" s="9" t="s">
        <v>17</v>
      </c>
      <c r="AI921" s="6" t="s">
        <v>4739</v>
      </c>
      <c r="AJ921" s="12" t="s">
        <v>6317</v>
      </c>
      <c r="AL921" s="13" t="s">
        <v>4741</v>
      </c>
    </row>
    <row r="922">
      <c r="A922" s="5" t="s">
        <v>6318</v>
      </c>
      <c r="B922" s="5" t="s">
        <v>6319</v>
      </c>
      <c r="C922" s="5" t="s">
        <v>6312</v>
      </c>
      <c r="D922" s="17" t="s">
        <v>507</v>
      </c>
      <c r="E922" s="6"/>
      <c r="F922" s="6"/>
      <c r="G922" s="7" t="s">
        <v>6320</v>
      </c>
      <c r="I922" s="8" t="s">
        <v>6321</v>
      </c>
      <c r="J922" s="9">
        <v>38.9</v>
      </c>
      <c r="K922" s="10" t="s">
        <v>11</v>
      </c>
      <c r="L922" s="6"/>
      <c r="M922" s="11" t="s">
        <v>12</v>
      </c>
      <c r="N922" s="6" t="s">
        <v>6322</v>
      </c>
      <c r="O922" s="6" t="s">
        <v>6323</v>
      </c>
      <c r="P922" s="10" t="s">
        <v>15</v>
      </c>
      <c r="Q922" s="6"/>
      <c r="R922" s="6"/>
      <c r="S922" s="6"/>
      <c r="T922" s="6" t="s">
        <v>16</v>
      </c>
      <c r="U922" s="9" t="s">
        <v>17</v>
      </c>
      <c r="AI922" s="6" t="s">
        <v>4739</v>
      </c>
      <c r="AJ922" s="12" t="s">
        <v>6317</v>
      </c>
      <c r="AL922" s="13" t="s">
        <v>4741</v>
      </c>
    </row>
    <row r="923">
      <c r="A923" s="5" t="s">
        <v>6324</v>
      </c>
      <c r="B923" s="5" t="s">
        <v>6325</v>
      </c>
      <c r="C923" s="5" t="s">
        <v>6326</v>
      </c>
      <c r="D923" s="5" t="s">
        <v>8</v>
      </c>
      <c r="E923" s="6"/>
      <c r="F923" s="6"/>
      <c r="G923" s="7" t="s">
        <v>6327</v>
      </c>
      <c r="I923" s="8" t="s">
        <v>6328</v>
      </c>
      <c r="J923" s="9">
        <v>29.9</v>
      </c>
      <c r="K923" s="10" t="s">
        <v>11</v>
      </c>
      <c r="L923" s="6"/>
      <c r="M923" s="11" t="s">
        <v>12</v>
      </c>
      <c r="N923" s="6" t="s">
        <v>6329</v>
      </c>
      <c r="O923" s="6" t="s">
        <v>6330</v>
      </c>
      <c r="P923" s="10" t="s">
        <v>15</v>
      </c>
      <c r="Q923" s="6"/>
      <c r="R923" s="6"/>
      <c r="S923" s="6"/>
      <c r="T923" s="6" t="s">
        <v>16</v>
      </c>
      <c r="U923" s="9" t="s">
        <v>17</v>
      </c>
      <c r="AI923" s="6" t="s">
        <v>4739</v>
      </c>
      <c r="AJ923" s="12" t="s">
        <v>6331</v>
      </c>
      <c r="AL923" s="13" t="s">
        <v>4741</v>
      </c>
    </row>
    <row r="924">
      <c r="A924" s="5" t="s">
        <v>6332</v>
      </c>
      <c r="B924" s="5" t="s">
        <v>6333</v>
      </c>
      <c r="C924" s="5" t="s">
        <v>6326</v>
      </c>
      <c r="D924" s="5" t="s">
        <v>8</v>
      </c>
      <c r="E924" s="6"/>
      <c r="F924" s="6"/>
      <c r="G924" s="7" t="s">
        <v>6334</v>
      </c>
      <c r="I924" s="8" t="s">
        <v>6335</v>
      </c>
      <c r="J924" s="9">
        <v>40.9</v>
      </c>
      <c r="K924" s="10" t="s">
        <v>11</v>
      </c>
      <c r="L924" s="6"/>
      <c r="M924" s="11" t="s">
        <v>12</v>
      </c>
      <c r="N924" s="6" t="s">
        <v>6336</v>
      </c>
      <c r="O924" s="6" t="s">
        <v>6337</v>
      </c>
      <c r="P924" s="10" t="s">
        <v>15</v>
      </c>
      <c r="Q924" s="6"/>
      <c r="R924" s="6"/>
      <c r="S924" s="6"/>
      <c r="T924" s="6" t="s">
        <v>16</v>
      </c>
      <c r="U924" s="9" t="s">
        <v>17</v>
      </c>
      <c r="AI924" s="6" t="s">
        <v>4739</v>
      </c>
      <c r="AJ924" s="12" t="s">
        <v>6331</v>
      </c>
      <c r="AL924" s="13" t="s">
        <v>4741</v>
      </c>
    </row>
    <row r="925">
      <c r="A925" s="5" t="s">
        <v>6338</v>
      </c>
      <c r="B925" s="5" t="s">
        <v>6339</v>
      </c>
      <c r="C925" s="5" t="s">
        <v>6340</v>
      </c>
      <c r="D925" s="5" t="s">
        <v>8</v>
      </c>
      <c r="E925" s="6"/>
      <c r="F925" s="6"/>
      <c r="G925" s="7" t="s">
        <v>6341</v>
      </c>
      <c r="I925" s="8" t="s">
        <v>6342</v>
      </c>
      <c r="J925" s="9">
        <v>26.9</v>
      </c>
      <c r="K925" s="10" t="s">
        <v>11</v>
      </c>
      <c r="L925" s="6"/>
      <c r="M925" s="11" t="s">
        <v>12</v>
      </c>
      <c r="N925" s="6" t="s">
        <v>6343</v>
      </c>
      <c r="O925" s="6" t="s">
        <v>6344</v>
      </c>
      <c r="P925" s="10" t="s">
        <v>15</v>
      </c>
      <c r="Q925" s="6"/>
      <c r="R925" s="6"/>
      <c r="S925" s="6"/>
      <c r="T925" s="6" t="s">
        <v>16</v>
      </c>
      <c r="U925" s="9" t="s">
        <v>17</v>
      </c>
      <c r="AI925" s="6" t="s">
        <v>4739</v>
      </c>
      <c r="AJ925" s="12" t="s">
        <v>6345</v>
      </c>
      <c r="AL925" s="13" t="s">
        <v>4741</v>
      </c>
    </row>
    <row r="926">
      <c r="A926" s="5" t="s">
        <v>6346</v>
      </c>
      <c r="B926" s="5" t="s">
        <v>6347</v>
      </c>
      <c r="C926" s="5" t="s">
        <v>6340</v>
      </c>
      <c r="D926" s="5" t="s">
        <v>8</v>
      </c>
      <c r="E926" s="6"/>
      <c r="F926" s="6"/>
      <c r="G926" s="7" t="s">
        <v>6348</v>
      </c>
      <c r="I926" s="8" t="s">
        <v>6349</v>
      </c>
      <c r="J926" s="9">
        <v>38.9</v>
      </c>
      <c r="K926" s="10" t="s">
        <v>11</v>
      </c>
      <c r="L926" s="6"/>
      <c r="M926" s="11" t="s">
        <v>12</v>
      </c>
      <c r="N926" s="6" t="s">
        <v>6350</v>
      </c>
      <c r="O926" s="6" t="s">
        <v>6351</v>
      </c>
      <c r="P926" s="10" t="s">
        <v>15</v>
      </c>
      <c r="Q926" s="6"/>
      <c r="R926" s="6"/>
      <c r="S926" s="6"/>
      <c r="T926" s="6" t="s">
        <v>16</v>
      </c>
      <c r="U926" s="9" t="s">
        <v>17</v>
      </c>
      <c r="AI926" s="6" t="s">
        <v>4739</v>
      </c>
      <c r="AJ926" s="12" t="s">
        <v>6345</v>
      </c>
      <c r="AL926" s="13" t="s">
        <v>4741</v>
      </c>
    </row>
    <row r="927">
      <c r="A927" s="5" t="s">
        <v>6352</v>
      </c>
      <c r="B927" s="5" t="s">
        <v>6353</v>
      </c>
      <c r="C927" s="5" t="s">
        <v>6354</v>
      </c>
      <c r="D927" s="5" t="s">
        <v>8</v>
      </c>
      <c r="E927" s="6"/>
      <c r="F927" s="6"/>
      <c r="G927" s="7" t="s">
        <v>6355</v>
      </c>
      <c r="I927" s="8" t="s">
        <v>6356</v>
      </c>
      <c r="J927" s="9">
        <v>32.9</v>
      </c>
      <c r="K927" s="10" t="s">
        <v>11</v>
      </c>
      <c r="L927" s="6"/>
      <c r="M927" s="11" t="s">
        <v>12</v>
      </c>
      <c r="N927" s="6" t="s">
        <v>6357</v>
      </c>
      <c r="O927" s="6" t="s">
        <v>6358</v>
      </c>
      <c r="P927" s="10" t="s">
        <v>15</v>
      </c>
      <c r="Q927" s="6"/>
      <c r="R927" s="6"/>
      <c r="S927" s="6"/>
      <c r="T927" s="6" t="s">
        <v>16</v>
      </c>
      <c r="U927" s="9" t="s">
        <v>17</v>
      </c>
      <c r="AI927" s="6" t="s">
        <v>4739</v>
      </c>
      <c r="AJ927" s="12" t="s">
        <v>6359</v>
      </c>
      <c r="AL927" s="13" t="s">
        <v>4741</v>
      </c>
    </row>
    <row r="928">
      <c r="A928" s="5" t="s">
        <v>6360</v>
      </c>
      <c r="B928" s="5" t="s">
        <v>6361</v>
      </c>
      <c r="C928" s="5" t="s">
        <v>6354</v>
      </c>
      <c r="D928" s="5" t="s">
        <v>8</v>
      </c>
      <c r="E928" s="6"/>
      <c r="F928" s="6"/>
      <c r="G928" s="7" t="s">
        <v>6362</v>
      </c>
      <c r="I928" s="8" t="s">
        <v>6363</v>
      </c>
      <c r="J928" s="9">
        <v>44.9</v>
      </c>
      <c r="K928" s="10" t="s">
        <v>11</v>
      </c>
      <c r="L928" s="6"/>
      <c r="M928" s="11" t="s">
        <v>12</v>
      </c>
      <c r="N928" s="6" t="s">
        <v>6364</v>
      </c>
      <c r="O928" s="6" t="s">
        <v>6365</v>
      </c>
      <c r="P928" s="10" t="s">
        <v>15</v>
      </c>
      <c r="Q928" s="6"/>
      <c r="R928" s="6"/>
      <c r="S928" s="6"/>
      <c r="T928" s="6" t="s">
        <v>16</v>
      </c>
      <c r="U928" s="9" t="s">
        <v>17</v>
      </c>
      <c r="AI928" s="6" t="s">
        <v>4739</v>
      </c>
      <c r="AJ928" s="12" t="s">
        <v>6359</v>
      </c>
      <c r="AL928" s="13" t="s">
        <v>4741</v>
      </c>
    </row>
    <row r="929">
      <c r="A929" s="5" t="s">
        <v>6366</v>
      </c>
      <c r="B929" s="5" t="s">
        <v>6367</v>
      </c>
      <c r="C929" s="5" t="s">
        <v>6368</v>
      </c>
      <c r="D929" s="17" t="s">
        <v>507</v>
      </c>
      <c r="E929" s="6"/>
      <c r="F929" s="6"/>
      <c r="G929" s="7" t="s">
        <v>6369</v>
      </c>
      <c r="I929" s="8" t="s">
        <v>6370</v>
      </c>
      <c r="J929" s="9">
        <v>26.9</v>
      </c>
      <c r="K929" s="10" t="s">
        <v>11</v>
      </c>
      <c r="L929" s="6"/>
      <c r="M929" s="11" t="s">
        <v>12</v>
      </c>
      <c r="N929" s="6" t="s">
        <v>6371</v>
      </c>
      <c r="O929" s="6" t="s">
        <v>6372</v>
      </c>
      <c r="P929" s="10" t="s">
        <v>15</v>
      </c>
      <c r="Q929" s="6"/>
      <c r="R929" s="6"/>
      <c r="S929" s="6"/>
      <c r="T929" s="6" t="s">
        <v>16</v>
      </c>
      <c r="U929" s="9" t="s">
        <v>17</v>
      </c>
      <c r="AI929" s="6" t="s">
        <v>4739</v>
      </c>
      <c r="AJ929" s="12" t="s">
        <v>6373</v>
      </c>
      <c r="AL929" s="13" t="s">
        <v>4741</v>
      </c>
    </row>
    <row r="930">
      <c r="A930" s="5" t="s">
        <v>6374</v>
      </c>
      <c r="B930" s="5" t="s">
        <v>6375</v>
      </c>
      <c r="C930" s="5" t="s">
        <v>6368</v>
      </c>
      <c r="D930" s="17" t="s">
        <v>507</v>
      </c>
      <c r="E930" s="6"/>
      <c r="F930" s="6"/>
      <c r="G930" s="7" t="s">
        <v>6376</v>
      </c>
      <c r="I930" s="8" t="s">
        <v>6377</v>
      </c>
      <c r="J930" s="9">
        <v>38.9</v>
      </c>
      <c r="K930" s="10" t="s">
        <v>11</v>
      </c>
      <c r="L930" s="6"/>
      <c r="M930" s="11" t="s">
        <v>12</v>
      </c>
      <c r="N930" s="6" t="s">
        <v>6378</v>
      </c>
      <c r="O930" s="6" t="s">
        <v>6379</v>
      </c>
      <c r="P930" s="10" t="s">
        <v>15</v>
      </c>
      <c r="Q930" s="6"/>
      <c r="R930" s="6"/>
      <c r="S930" s="6"/>
      <c r="T930" s="6" t="s">
        <v>16</v>
      </c>
      <c r="U930" s="9" t="s">
        <v>17</v>
      </c>
      <c r="AI930" s="6" t="s">
        <v>4739</v>
      </c>
      <c r="AJ930" s="12" t="s">
        <v>6373</v>
      </c>
      <c r="AL930" s="13" t="s">
        <v>4741</v>
      </c>
    </row>
    <row r="931">
      <c r="A931" s="5" t="s">
        <v>6380</v>
      </c>
      <c r="B931" s="5" t="s">
        <v>6381</v>
      </c>
      <c r="C931" s="5" t="s">
        <v>6382</v>
      </c>
      <c r="D931" s="5" t="s">
        <v>8</v>
      </c>
      <c r="E931" s="6"/>
      <c r="F931" s="6"/>
      <c r="G931" s="7" t="s">
        <v>6383</v>
      </c>
      <c r="I931" s="8" t="s">
        <v>6384</v>
      </c>
      <c r="J931" s="9">
        <v>28.9</v>
      </c>
      <c r="K931" s="10" t="s">
        <v>11</v>
      </c>
      <c r="L931" s="6"/>
      <c r="M931" s="11" t="s">
        <v>12</v>
      </c>
      <c r="N931" s="6" t="s">
        <v>6385</v>
      </c>
      <c r="O931" s="6" t="s">
        <v>6386</v>
      </c>
      <c r="P931" s="10" t="s">
        <v>15</v>
      </c>
      <c r="Q931" s="6"/>
      <c r="R931" s="6"/>
      <c r="S931" s="6"/>
      <c r="T931" s="6" t="s">
        <v>16</v>
      </c>
      <c r="U931" s="9" t="s">
        <v>17</v>
      </c>
      <c r="AI931" s="6" t="s">
        <v>4739</v>
      </c>
      <c r="AJ931" s="12" t="s">
        <v>6387</v>
      </c>
      <c r="AL931" s="13" t="s">
        <v>4741</v>
      </c>
    </row>
    <row r="932">
      <c r="A932" s="5" t="s">
        <v>6388</v>
      </c>
      <c r="B932" s="5" t="s">
        <v>6389</v>
      </c>
      <c r="C932" s="5" t="s">
        <v>6382</v>
      </c>
      <c r="D932" s="5" t="s">
        <v>8</v>
      </c>
      <c r="E932" s="6"/>
      <c r="F932" s="6"/>
      <c r="G932" s="7" t="s">
        <v>6390</v>
      </c>
      <c r="I932" s="8" t="s">
        <v>6391</v>
      </c>
      <c r="J932" s="9">
        <v>39.9</v>
      </c>
      <c r="K932" s="10" t="s">
        <v>11</v>
      </c>
      <c r="L932" s="6"/>
      <c r="M932" s="11" t="s">
        <v>12</v>
      </c>
      <c r="N932" s="6" t="s">
        <v>6392</v>
      </c>
      <c r="O932" s="6" t="s">
        <v>6393</v>
      </c>
      <c r="P932" s="10" t="s">
        <v>15</v>
      </c>
      <c r="Q932" s="6"/>
      <c r="R932" s="6"/>
      <c r="S932" s="6"/>
      <c r="T932" s="6" t="s">
        <v>16</v>
      </c>
      <c r="U932" s="9" t="s">
        <v>17</v>
      </c>
      <c r="AI932" s="6" t="s">
        <v>4739</v>
      </c>
      <c r="AJ932" s="12" t="s">
        <v>6387</v>
      </c>
      <c r="AL932" s="13" t="s">
        <v>4741</v>
      </c>
    </row>
    <row r="933">
      <c r="A933" s="5" t="s">
        <v>6394</v>
      </c>
      <c r="B933" s="5" t="s">
        <v>6395</v>
      </c>
      <c r="C933" s="5" t="s">
        <v>6116</v>
      </c>
      <c r="D933" s="5" t="s">
        <v>8</v>
      </c>
      <c r="E933" s="6"/>
      <c r="F933" s="6"/>
      <c r="G933" s="7" t="s">
        <v>6396</v>
      </c>
      <c r="I933" s="8" t="s">
        <v>6397</v>
      </c>
      <c r="J933" s="9">
        <v>27.9</v>
      </c>
      <c r="K933" s="10" t="s">
        <v>11</v>
      </c>
      <c r="L933" s="6"/>
      <c r="M933" s="11" t="s">
        <v>12</v>
      </c>
      <c r="N933" s="6" t="s">
        <v>6398</v>
      </c>
      <c r="O933" s="6" t="s">
        <v>6399</v>
      </c>
      <c r="P933" s="10" t="s">
        <v>15</v>
      </c>
      <c r="Q933" s="6"/>
      <c r="R933" s="6"/>
      <c r="S933" s="6"/>
      <c r="T933" s="6" t="s">
        <v>16</v>
      </c>
      <c r="U933" s="9" t="s">
        <v>17</v>
      </c>
      <c r="AI933" s="6" t="s">
        <v>4739</v>
      </c>
      <c r="AJ933" s="12" t="s">
        <v>6400</v>
      </c>
      <c r="AL933" s="13" t="s">
        <v>4741</v>
      </c>
    </row>
    <row r="934">
      <c r="A934" s="5" t="s">
        <v>6401</v>
      </c>
      <c r="B934" s="5" t="s">
        <v>6402</v>
      </c>
      <c r="C934" s="5" t="s">
        <v>6116</v>
      </c>
      <c r="D934" s="5" t="s">
        <v>8</v>
      </c>
      <c r="E934" s="6"/>
      <c r="F934" s="6"/>
      <c r="G934" s="7" t="s">
        <v>6403</v>
      </c>
      <c r="I934" s="8" t="s">
        <v>6404</v>
      </c>
      <c r="J934" s="9">
        <v>38.9</v>
      </c>
      <c r="K934" s="10" t="s">
        <v>11</v>
      </c>
      <c r="L934" s="6"/>
      <c r="M934" s="11" t="s">
        <v>12</v>
      </c>
      <c r="N934" s="6" t="s">
        <v>6405</v>
      </c>
      <c r="O934" s="6" t="s">
        <v>6406</v>
      </c>
      <c r="P934" s="10" t="s">
        <v>15</v>
      </c>
      <c r="Q934" s="6"/>
      <c r="R934" s="6"/>
      <c r="S934" s="6"/>
      <c r="T934" s="6" t="s">
        <v>16</v>
      </c>
      <c r="U934" s="9" t="s">
        <v>17</v>
      </c>
      <c r="AI934" s="6" t="s">
        <v>4739</v>
      </c>
      <c r="AJ934" s="12" t="s">
        <v>6400</v>
      </c>
      <c r="AL934" s="13" t="s">
        <v>4741</v>
      </c>
    </row>
    <row r="935">
      <c r="A935" s="5" t="s">
        <v>6407</v>
      </c>
      <c r="B935" s="5" t="s">
        <v>6408</v>
      </c>
      <c r="C935" s="5" t="s">
        <v>6409</v>
      </c>
      <c r="D935" s="5" t="s">
        <v>8</v>
      </c>
      <c r="E935" s="6"/>
      <c r="F935" s="6"/>
      <c r="G935" s="7" t="s">
        <v>6410</v>
      </c>
      <c r="I935" s="8" t="s">
        <v>6411</v>
      </c>
      <c r="J935" s="9">
        <v>28.9</v>
      </c>
      <c r="K935" s="10" t="s">
        <v>11</v>
      </c>
      <c r="L935" s="6"/>
      <c r="M935" s="11" t="s">
        <v>12</v>
      </c>
      <c r="N935" s="6" t="s">
        <v>6412</v>
      </c>
      <c r="O935" s="6" t="s">
        <v>6413</v>
      </c>
      <c r="P935" s="10" t="s">
        <v>15</v>
      </c>
      <c r="Q935" s="6"/>
      <c r="R935" s="6"/>
      <c r="S935" s="6"/>
      <c r="T935" s="6" t="s">
        <v>16</v>
      </c>
      <c r="U935" s="9" t="s">
        <v>17</v>
      </c>
      <c r="AI935" s="6" t="s">
        <v>4739</v>
      </c>
      <c r="AJ935" s="12" t="s">
        <v>6414</v>
      </c>
      <c r="AL935" s="13" t="s">
        <v>4741</v>
      </c>
    </row>
    <row r="936">
      <c r="A936" s="5" t="s">
        <v>6415</v>
      </c>
      <c r="B936" s="5" t="s">
        <v>6416</v>
      </c>
      <c r="C936" s="5" t="s">
        <v>6409</v>
      </c>
      <c r="D936" s="17" t="s">
        <v>507</v>
      </c>
      <c r="E936" s="6"/>
      <c r="F936" s="6"/>
      <c r="G936" s="7" t="s">
        <v>6417</v>
      </c>
      <c r="I936" s="8" t="s">
        <v>6418</v>
      </c>
      <c r="J936" s="9">
        <v>39.9</v>
      </c>
      <c r="K936" s="10" t="s">
        <v>11</v>
      </c>
      <c r="L936" s="6"/>
      <c r="M936" s="11" t="s">
        <v>12</v>
      </c>
      <c r="N936" s="6" t="s">
        <v>6419</v>
      </c>
      <c r="O936" s="6" t="s">
        <v>6420</v>
      </c>
      <c r="P936" s="10" t="s">
        <v>15</v>
      </c>
      <c r="Q936" s="6"/>
      <c r="R936" s="6"/>
      <c r="S936" s="6"/>
      <c r="T936" s="6" t="s">
        <v>16</v>
      </c>
      <c r="U936" s="9" t="s">
        <v>17</v>
      </c>
      <c r="AI936" s="6" t="s">
        <v>4739</v>
      </c>
      <c r="AJ936" s="12" t="s">
        <v>6414</v>
      </c>
      <c r="AL936" s="13" t="s">
        <v>4741</v>
      </c>
    </row>
    <row r="937">
      <c r="A937" s="5" t="s">
        <v>6421</v>
      </c>
      <c r="B937" s="5" t="s">
        <v>6422</v>
      </c>
      <c r="C937" s="5" t="s">
        <v>6423</v>
      </c>
      <c r="D937" s="5" t="s">
        <v>8</v>
      </c>
      <c r="E937" s="6"/>
      <c r="F937" s="6"/>
      <c r="G937" s="7" t="s">
        <v>6424</v>
      </c>
      <c r="I937" s="8" t="s">
        <v>6425</v>
      </c>
      <c r="J937" s="9">
        <v>26.9</v>
      </c>
      <c r="K937" s="10" t="s">
        <v>11</v>
      </c>
      <c r="L937" s="6"/>
      <c r="M937" s="11" t="s">
        <v>12</v>
      </c>
      <c r="N937" s="6" t="s">
        <v>6426</v>
      </c>
      <c r="O937" s="6" t="s">
        <v>6427</v>
      </c>
      <c r="P937" s="10" t="s">
        <v>15</v>
      </c>
      <c r="Q937" s="6"/>
      <c r="R937" s="6"/>
      <c r="S937" s="6"/>
      <c r="T937" s="6" t="s">
        <v>16</v>
      </c>
      <c r="U937" s="9" t="s">
        <v>17</v>
      </c>
      <c r="AI937" s="6" t="s">
        <v>4739</v>
      </c>
      <c r="AJ937" s="12" t="s">
        <v>6428</v>
      </c>
      <c r="AL937" s="13" t="s">
        <v>4741</v>
      </c>
    </row>
    <row r="938">
      <c r="A938" s="5" t="s">
        <v>6429</v>
      </c>
      <c r="B938" s="5" t="s">
        <v>6430</v>
      </c>
      <c r="C938" s="5" t="s">
        <v>6423</v>
      </c>
      <c r="D938" s="5" t="s">
        <v>8</v>
      </c>
      <c r="E938" s="6"/>
      <c r="F938" s="6"/>
      <c r="G938" s="7" t="s">
        <v>6431</v>
      </c>
      <c r="I938" s="8" t="s">
        <v>6432</v>
      </c>
      <c r="J938" s="9">
        <v>38.9</v>
      </c>
      <c r="K938" s="10" t="s">
        <v>11</v>
      </c>
      <c r="L938" s="6"/>
      <c r="M938" s="11" t="s">
        <v>12</v>
      </c>
      <c r="N938" s="6" t="s">
        <v>6433</v>
      </c>
      <c r="O938" s="6" t="s">
        <v>6434</v>
      </c>
      <c r="P938" s="10" t="s">
        <v>15</v>
      </c>
      <c r="Q938" s="6"/>
      <c r="R938" s="6"/>
      <c r="S938" s="6"/>
      <c r="T938" s="6" t="s">
        <v>16</v>
      </c>
      <c r="U938" s="9" t="s">
        <v>17</v>
      </c>
      <c r="AI938" s="6" t="s">
        <v>4739</v>
      </c>
      <c r="AJ938" s="12" t="s">
        <v>6428</v>
      </c>
      <c r="AL938" s="13" t="s">
        <v>4741</v>
      </c>
    </row>
    <row r="939">
      <c r="A939" s="5" t="s">
        <v>6435</v>
      </c>
      <c r="B939" s="5" t="s">
        <v>6436</v>
      </c>
      <c r="C939" s="5" t="s">
        <v>6437</v>
      </c>
      <c r="D939" s="5" t="s">
        <v>8</v>
      </c>
      <c r="E939" s="6"/>
      <c r="F939" s="6"/>
      <c r="G939" s="7" t="s">
        <v>6438</v>
      </c>
      <c r="I939" s="8" t="s">
        <v>6439</v>
      </c>
      <c r="J939" s="9">
        <v>27.9</v>
      </c>
      <c r="K939" s="10" t="s">
        <v>11</v>
      </c>
      <c r="L939" s="6"/>
      <c r="M939" s="11" t="s">
        <v>12</v>
      </c>
      <c r="N939" s="6" t="s">
        <v>6440</v>
      </c>
      <c r="O939" s="6" t="s">
        <v>6441</v>
      </c>
      <c r="P939" s="10" t="s">
        <v>15</v>
      </c>
      <c r="Q939" s="6"/>
      <c r="R939" s="6"/>
      <c r="S939" s="6"/>
      <c r="T939" s="6" t="s">
        <v>16</v>
      </c>
      <c r="U939" s="9" t="s">
        <v>17</v>
      </c>
      <c r="AI939" s="6" t="s">
        <v>4739</v>
      </c>
      <c r="AJ939" s="12" t="s">
        <v>6442</v>
      </c>
      <c r="AL939" s="13" t="s">
        <v>4741</v>
      </c>
    </row>
    <row r="940">
      <c r="A940" s="5" t="s">
        <v>6443</v>
      </c>
      <c r="B940" s="5" t="s">
        <v>6444</v>
      </c>
      <c r="C940" s="5" t="s">
        <v>6437</v>
      </c>
      <c r="D940" s="5" t="s">
        <v>8</v>
      </c>
      <c r="E940" s="6"/>
      <c r="F940" s="6"/>
      <c r="G940" s="7" t="s">
        <v>6445</v>
      </c>
      <c r="I940" s="8" t="s">
        <v>6446</v>
      </c>
      <c r="J940" s="9">
        <v>38.9</v>
      </c>
      <c r="K940" s="10" t="s">
        <v>11</v>
      </c>
      <c r="L940" s="6"/>
      <c r="M940" s="11" t="s">
        <v>12</v>
      </c>
      <c r="N940" s="6" t="s">
        <v>6447</v>
      </c>
      <c r="O940" s="6" t="s">
        <v>6448</v>
      </c>
      <c r="P940" s="10" t="s">
        <v>15</v>
      </c>
      <c r="Q940" s="6"/>
      <c r="R940" s="6"/>
      <c r="S940" s="6"/>
      <c r="T940" s="6" t="s">
        <v>16</v>
      </c>
      <c r="U940" s="9" t="s">
        <v>17</v>
      </c>
      <c r="AI940" s="6" t="s">
        <v>4739</v>
      </c>
      <c r="AJ940" s="12" t="s">
        <v>6442</v>
      </c>
      <c r="AL940" s="13" t="s">
        <v>4741</v>
      </c>
    </row>
    <row r="941">
      <c r="A941" s="5" t="s">
        <v>6449</v>
      </c>
      <c r="B941" s="5" t="s">
        <v>6450</v>
      </c>
      <c r="C941" s="5" t="s">
        <v>6451</v>
      </c>
      <c r="D941" s="17" t="s">
        <v>507</v>
      </c>
      <c r="E941" s="6"/>
      <c r="F941" s="6"/>
      <c r="G941" s="7" t="s">
        <v>6452</v>
      </c>
      <c r="I941" s="8" t="s">
        <v>6453</v>
      </c>
      <c r="J941" s="9">
        <v>28.9</v>
      </c>
      <c r="K941" s="10" t="s">
        <v>11</v>
      </c>
      <c r="L941" s="6"/>
      <c r="M941" s="11" t="s">
        <v>12</v>
      </c>
      <c r="N941" s="6" t="s">
        <v>6454</v>
      </c>
      <c r="O941" s="6" t="s">
        <v>6455</v>
      </c>
      <c r="P941" s="10" t="s">
        <v>15</v>
      </c>
      <c r="Q941" s="6"/>
      <c r="R941" s="6"/>
      <c r="S941" s="6"/>
      <c r="T941" s="6" t="s">
        <v>16</v>
      </c>
      <c r="U941" s="9" t="s">
        <v>17</v>
      </c>
      <c r="AI941" s="6" t="s">
        <v>4739</v>
      </c>
      <c r="AJ941" s="12" t="s">
        <v>6456</v>
      </c>
      <c r="AL941" s="13" t="s">
        <v>4741</v>
      </c>
    </row>
    <row r="942">
      <c r="A942" s="5" t="s">
        <v>6457</v>
      </c>
      <c r="B942" s="5" t="s">
        <v>6458</v>
      </c>
      <c r="C942" s="5" t="s">
        <v>6451</v>
      </c>
      <c r="D942" s="17" t="s">
        <v>507</v>
      </c>
      <c r="E942" s="6"/>
      <c r="F942" s="6"/>
      <c r="G942" s="7" t="s">
        <v>6459</v>
      </c>
      <c r="I942" s="8" t="s">
        <v>6460</v>
      </c>
      <c r="J942" s="9">
        <v>39.9</v>
      </c>
      <c r="K942" s="10" t="s">
        <v>11</v>
      </c>
      <c r="L942" s="6"/>
      <c r="M942" s="11" t="s">
        <v>12</v>
      </c>
      <c r="N942" s="6" t="s">
        <v>6461</v>
      </c>
      <c r="O942" s="6" t="s">
        <v>6462</v>
      </c>
      <c r="P942" s="10" t="s">
        <v>15</v>
      </c>
      <c r="Q942" s="6"/>
      <c r="R942" s="6"/>
      <c r="S942" s="6"/>
      <c r="T942" s="6" t="s">
        <v>16</v>
      </c>
      <c r="U942" s="9" t="s">
        <v>17</v>
      </c>
      <c r="AI942" s="6" t="s">
        <v>4739</v>
      </c>
      <c r="AJ942" s="12" t="s">
        <v>6456</v>
      </c>
      <c r="AL942" s="13" t="s">
        <v>4741</v>
      </c>
    </row>
    <row r="943">
      <c r="A943" s="5" t="s">
        <v>6463</v>
      </c>
      <c r="B943" s="5" t="s">
        <v>6464</v>
      </c>
      <c r="C943" s="5" t="s">
        <v>6465</v>
      </c>
      <c r="D943" s="5" t="s">
        <v>8</v>
      </c>
      <c r="E943" s="6"/>
      <c r="F943" s="6"/>
      <c r="G943" s="7" t="s">
        <v>6466</v>
      </c>
      <c r="I943" s="8" t="s">
        <v>6467</v>
      </c>
      <c r="J943" s="9">
        <v>29.9</v>
      </c>
      <c r="K943" s="10" t="s">
        <v>11</v>
      </c>
      <c r="L943" s="6"/>
      <c r="M943" s="11" t="s">
        <v>12</v>
      </c>
      <c r="N943" s="6" t="s">
        <v>6468</v>
      </c>
      <c r="O943" s="6" t="s">
        <v>6469</v>
      </c>
      <c r="P943" s="10" t="s">
        <v>15</v>
      </c>
      <c r="Q943" s="6"/>
      <c r="R943" s="6"/>
      <c r="S943" s="6"/>
      <c r="T943" s="6" t="s">
        <v>16</v>
      </c>
      <c r="U943" s="9" t="s">
        <v>17</v>
      </c>
      <c r="AI943" s="6" t="s">
        <v>4739</v>
      </c>
      <c r="AJ943" s="12" t="s">
        <v>6470</v>
      </c>
      <c r="AL943" s="13" t="s">
        <v>4741</v>
      </c>
    </row>
    <row r="944">
      <c r="A944" s="5" t="s">
        <v>6471</v>
      </c>
      <c r="B944" s="5" t="s">
        <v>6472</v>
      </c>
      <c r="C944" s="5" t="s">
        <v>6465</v>
      </c>
      <c r="D944" s="5" t="s">
        <v>8</v>
      </c>
      <c r="E944" s="6"/>
      <c r="F944" s="6"/>
      <c r="G944" s="7" t="s">
        <v>6473</v>
      </c>
      <c r="I944" s="8" t="s">
        <v>6474</v>
      </c>
      <c r="J944" s="9">
        <v>41.9</v>
      </c>
      <c r="K944" s="10" t="s">
        <v>11</v>
      </c>
      <c r="L944" s="6"/>
      <c r="M944" s="11" t="s">
        <v>12</v>
      </c>
      <c r="N944" s="6" t="s">
        <v>6475</v>
      </c>
      <c r="O944" s="6" t="s">
        <v>6476</v>
      </c>
      <c r="P944" s="10" t="s">
        <v>15</v>
      </c>
      <c r="Q944" s="6"/>
      <c r="R944" s="6"/>
      <c r="S944" s="6"/>
      <c r="T944" s="6" t="s">
        <v>16</v>
      </c>
      <c r="U944" s="9" t="s">
        <v>17</v>
      </c>
      <c r="AI944" s="6" t="s">
        <v>4739</v>
      </c>
      <c r="AJ944" s="12" t="s">
        <v>6470</v>
      </c>
      <c r="AL944" s="13" t="s">
        <v>4741</v>
      </c>
    </row>
    <row r="945">
      <c r="A945" s="5" t="s">
        <v>6477</v>
      </c>
      <c r="B945" s="5" t="s">
        <v>6478</v>
      </c>
      <c r="C945" s="5" t="s">
        <v>6479</v>
      </c>
      <c r="D945" s="17" t="s">
        <v>507</v>
      </c>
      <c r="E945" s="6"/>
      <c r="F945" s="6"/>
      <c r="G945" s="7" t="s">
        <v>6480</v>
      </c>
      <c r="I945" s="8" t="s">
        <v>6481</v>
      </c>
      <c r="J945" s="9">
        <v>29.9</v>
      </c>
      <c r="K945" s="10" t="s">
        <v>11</v>
      </c>
      <c r="L945" s="6"/>
      <c r="M945" s="11" t="s">
        <v>12</v>
      </c>
      <c r="N945" s="6" t="s">
        <v>6482</v>
      </c>
      <c r="O945" s="6" t="s">
        <v>6483</v>
      </c>
      <c r="P945" s="10" t="s">
        <v>15</v>
      </c>
      <c r="Q945" s="6"/>
      <c r="R945" s="6"/>
      <c r="S945" s="6"/>
      <c r="T945" s="6" t="s">
        <v>16</v>
      </c>
      <c r="U945" s="9" t="s">
        <v>17</v>
      </c>
      <c r="AI945" s="6" t="s">
        <v>4739</v>
      </c>
      <c r="AJ945" s="12" t="s">
        <v>6484</v>
      </c>
      <c r="AL945" s="13" t="s">
        <v>4741</v>
      </c>
    </row>
    <row r="946">
      <c r="A946" s="5" t="s">
        <v>6485</v>
      </c>
      <c r="B946" s="5" t="s">
        <v>6486</v>
      </c>
      <c r="C946" s="5" t="s">
        <v>6479</v>
      </c>
      <c r="D946" s="17" t="s">
        <v>507</v>
      </c>
      <c r="E946" s="6"/>
      <c r="F946" s="6"/>
      <c r="G946" s="7" t="s">
        <v>6487</v>
      </c>
      <c r="I946" s="8" t="s">
        <v>6488</v>
      </c>
      <c r="J946" s="9">
        <v>40.9</v>
      </c>
      <c r="K946" s="10" t="s">
        <v>11</v>
      </c>
      <c r="L946" s="6"/>
      <c r="M946" s="11" t="s">
        <v>12</v>
      </c>
      <c r="N946" s="6" t="s">
        <v>6489</v>
      </c>
      <c r="O946" s="6" t="s">
        <v>6490</v>
      </c>
      <c r="P946" s="10" t="s">
        <v>15</v>
      </c>
      <c r="Q946" s="6"/>
      <c r="R946" s="6"/>
      <c r="S946" s="6"/>
      <c r="T946" s="6" t="s">
        <v>16</v>
      </c>
      <c r="U946" s="9" t="s">
        <v>17</v>
      </c>
      <c r="AI946" s="6" t="s">
        <v>4739</v>
      </c>
      <c r="AJ946" s="12" t="s">
        <v>6484</v>
      </c>
      <c r="AL946" s="13" t="s">
        <v>4741</v>
      </c>
    </row>
    <row r="947">
      <c r="A947" s="5" t="s">
        <v>6491</v>
      </c>
      <c r="B947" s="5" t="s">
        <v>6492</v>
      </c>
      <c r="C947" s="5" t="s">
        <v>6493</v>
      </c>
      <c r="D947" s="17" t="s">
        <v>507</v>
      </c>
      <c r="E947" s="6"/>
      <c r="F947" s="6"/>
      <c r="G947" s="7" t="s">
        <v>6494</v>
      </c>
      <c r="I947" s="8" t="s">
        <v>6495</v>
      </c>
      <c r="J947" s="9">
        <v>28.9</v>
      </c>
      <c r="K947" s="10" t="s">
        <v>11</v>
      </c>
      <c r="L947" s="6"/>
      <c r="M947" s="11" t="s">
        <v>12</v>
      </c>
      <c r="N947" s="6" t="s">
        <v>6496</v>
      </c>
      <c r="O947" s="6" t="s">
        <v>6497</v>
      </c>
      <c r="P947" s="10" t="s">
        <v>15</v>
      </c>
      <c r="Q947" s="6"/>
      <c r="R947" s="6"/>
      <c r="S947" s="6"/>
      <c r="T947" s="6" t="s">
        <v>16</v>
      </c>
      <c r="U947" s="9" t="s">
        <v>17</v>
      </c>
      <c r="AI947" s="6" t="s">
        <v>4739</v>
      </c>
      <c r="AJ947" s="12" t="s">
        <v>6498</v>
      </c>
      <c r="AL947" s="13" t="s">
        <v>4741</v>
      </c>
    </row>
    <row r="948">
      <c r="A948" s="5" t="s">
        <v>6499</v>
      </c>
      <c r="B948" s="5" t="s">
        <v>6500</v>
      </c>
      <c r="C948" s="5" t="s">
        <v>6493</v>
      </c>
      <c r="D948" s="17" t="s">
        <v>507</v>
      </c>
      <c r="E948" s="6"/>
      <c r="F948" s="6"/>
      <c r="G948" s="7" t="s">
        <v>6501</v>
      </c>
      <c r="I948" s="8" t="s">
        <v>6502</v>
      </c>
      <c r="J948" s="9">
        <v>39.9</v>
      </c>
      <c r="K948" s="10" t="s">
        <v>11</v>
      </c>
      <c r="L948" s="6"/>
      <c r="M948" s="11" t="s">
        <v>12</v>
      </c>
      <c r="N948" s="6" t="s">
        <v>6503</v>
      </c>
      <c r="O948" s="6" t="s">
        <v>6504</v>
      </c>
      <c r="P948" s="10" t="s">
        <v>15</v>
      </c>
      <c r="Q948" s="6"/>
      <c r="R948" s="6"/>
      <c r="S948" s="6"/>
      <c r="T948" s="6" t="s">
        <v>16</v>
      </c>
      <c r="U948" s="9" t="s">
        <v>17</v>
      </c>
      <c r="AI948" s="6" t="s">
        <v>4739</v>
      </c>
      <c r="AJ948" s="12" t="s">
        <v>6498</v>
      </c>
      <c r="AL948" s="13" t="s">
        <v>4741</v>
      </c>
    </row>
    <row r="949">
      <c r="A949" s="5" t="s">
        <v>6505</v>
      </c>
      <c r="B949" s="5" t="s">
        <v>6506</v>
      </c>
      <c r="C949" s="5" t="s">
        <v>6507</v>
      </c>
      <c r="D949" s="5" t="s">
        <v>8</v>
      </c>
      <c r="E949" s="6"/>
      <c r="F949" s="6"/>
      <c r="G949" s="7" t="s">
        <v>6508</v>
      </c>
      <c r="I949" s="8" t="s">
        <v>6509</v>
      </c>
      <c r="J949" s="9">
        <v>28.9</v>
      </c>
      <c r="K949" s="10" t="s">
        <v>11</v>
      </c>
      <c r="L949" s="6"/>
      <c r="M949" s="11" t="s">
        <v>12</v>
      </c>
      <c r="N949" s="6" t="s">
        <v>6510</v>
      </c>
      <c r="O949" s="6" t="s">
        <v>6511</v>
      </c>
      <c r="P949" s="10" t="s">
        <v>15</v>
      </c>
      <c r="Q949" s="6"/>
      <c r="R949" s="6"/>
      <c r="S949" s="6"/>
      <c r="T949" s="6" t="s">
        <v>16</v>
      </c>
      <c r="U949" s="9" t="s">
        <v>17</v>
      </c>
      <c r="AI949" s="6" t="s">
        <v>4739</v>
      </c>
      <c r="AJ949" s="12" t="s">
        <v>6512</v>
      </c>
      <c r="AL949" s="13" t="s">
        <v>4741</v>
      </c>
    </row>
    <row r="950">
      <c r="A950" s="5" t="s">
        <v>6513</v>
      </c>
      <c r="B950" s="5" t="s">
        <v>6514</v>
      </c>
      <c r="C950" s="5" t="s">
        <v>6507</v>
      </c>
      <c r="D950" s="5" t="s">
        <v>8</v>
      </c>
      <c r="E950" s="6"/>
      <c r="F950" s="6"/>
      <c r="G950" s="7" t="s">
        <v>6515</v>
      </c>
      <c r="I950" s="8" t="s">
        <v>6516</v>
      </c>
      <c r="J950" s="9">
        <v>39.9</v>
      </c>
      <c r="K950" s="10" t="s">
        <v>11</v>
      </c>
      <c r="L950" s="6"/>
      <c r="M950" s="11" t="s">
        <v>12</v>
      </c>
      <c r="N950" s="6" t="s">
        <v>6517</v>
      </c>
      <c r="O950" s="6" t="s">
        <v>6518</v>
      </c>
      <c r="P950" s="10" t="s">
        <v>15</v>
      </c>
      <c r="Q950" s="6"/>
      <c r="R950" s="6"/>
      <c r="S950" s="6"/>
      <c r="T950" s="6" t="s">
        <v>16</v>
      </c>
      <c r="U950" s="9" t="s">
        <v>17</v>
      </c>
      <c r="AI950" s="6" t="s">
        <v>4739</v>
      </c>
      <c r="AJ950" s="12" t="s">
        <v>6512</v>
      </c>
      <c r="AL950" s="13" t="s">
        <v>4741</v>
      </c>
    </row>
    <row r="951">
      <c r="A951" s="5" t="s">
        <v>6519</v>
      </c>
      <c r="B951" s="5" t="s">
        <v>6520</v>
      </c>
      <c r="C951" s="5" t="s">
        <v>6521</v>
      </c>
      <c r="D951" s="5" t="s">
        <v>8</v>
      </c>
      <c r="E951" s="6"/>
      <c r="F951" s="6"/>
      <c r="G951" s="7" t="s">
        <v>6522</v>
      </c>
      <c r="I951" s="8" t="s">
        <v>6523</v>
      </c>
      <c r="J951" s="9">
        <v>27.9</v>
      </c>
      <c r="K951" s="10" t="s">
        <v>11</v>
      </c>
      <c r="L951" s="6"/>
      <c r="M951" s="11" t="s">
        <v>12</v>
      </c>
      <c r="N951" s="6" t="s">
        <v>6524</v>
      </c>
      <c r="O951" s="6" t="s">
        <v>6525</v>
      </c>
      <c r="P951" s="10" t="s">
        <v>15</v>
      </c>
      <c r="Q951" s="6"/>
      <c r="R951" s="6"/>
      <c r="S951" s="6"/>
      <c r="T951" s="6" t="s">
        <v>16</v>
      </c>
      <c r="U951" s="9" t="s">
        <v>17</v>
      </c>
      <c r="AI951" s="6" t="s">
        <v>4739</v>
      </c>
      <c r="AJ951" s="12" t="s">
        <v>6526</v>
      </c>
      <c r="AL951" s="13" t="s">
        <v>4741</v>
      </c>
    </row>
    <row r="952">
      <c r="A952" s="5" t="s">
        <v>6527</v>
      </c>
      <c r="B952" s="5" t="s">
        <v>6528</v>
      </c>
      <c r="C952" s="5" t="s">
        <v>6521</v>
      </c>
      <c r="D952" s="5" t="s">
        <v>8</v>
      </c>
      <c r="E952" s="6"/>
      <c r="F952" s="6"/>
      <c r="G952" s="7" t="s">
        <v>6529</v>
      </c>
      <c r="I952" s="8" t="s">
        <v>6530</v>
      </c>
      <c r="J952" s="9">
        <v>38.9</v>
      </c>
      <c r="K952" s="10" t="s">
        <v>11</v>
      </c>
      <c r="L952" s="6"/>
      <c r="M952" s="11" t="s">
        <v>12</v>
      </c>
      <c r="N952" s="6" t="s">
        <v>6531</v>
      </c>
      <c r="O952" s="6" t="s">
        <v>6532</v>
      </c>
      <c r="P952" s="10" t="s">
        <v>15</v>
      </c>
      <c r="Q952" s="6"/>
      <c r="R952" s="6"/>
      <c r="S952" s="6"/>
      <c r="T952" s="6" t="s">
        <v>16</v>
      </c>
      <c r="U952" s="9" t="s">
        <v>17</v>
      </c>
      <c r="AI952" s="6" t="s">
        <v>4739</v>
      </c>
      <c r="AJ952" s="12" t="s">
        <v>6526</v>
      </c>
      <c r="AL952" s="13" t="s">
        <v>4741</v>
      </c>
    </row>
    <row r="953">
      <c r="A953" s="5" t="s">
        <v>6533</v>
      </c>
      <c r="B953" s="5" t="s">
        <v>6534</v>
      </c>
      <c r="C953" s="5" t="s">
        <v>6535</v>
      </c>
      <c r="D953" s="5" t="s">
        <v>8</v>
      </c>
      <c r="E953" s="6"/>
      <c r="F953" s="6"/>
      <c r="G953" s="7" t="s">
        <v>6536</v>
      </c>
      <c r="I953" s="8" t="s">
        <v>6537</v>
      </c>
      <c r="J953" s="9">
        <v>31.9</v>
      </c>
      <c r="K953" s="10" t="s">
        <v>11</v>
      </c>
      <c r="L953" s="6"/>
      <c r="M953" s="11" t="s">
        <v>12</v>
      </c>
      <c r="N953" s="6" t="s">
        <v>6538</v>
      </c>
      <c r="O953" s="6" t="s">
        <v>6539</v>
      </c>
      <c r="P953" s="10" t="s">
        <v>15</v>
      </c>
      <c r="Q953" s="6"/>
      <c r="R953" s="6"/>
      <c r="S953" s="6"/>
      <c r="T953" s="6" t="s">
        <v>16</v>
      </c>
      <c r="U953" s="9" t="s">
        <v>17</v>
      </c>
      <c r="AI953" s="6" t="s">
        <v>4739</v>
      </c>
      <c r="AJ953" s="12" t="s">
        <v>6540</v>
      </c>
      <c r="AL953" s="13" t="s">
        <v>4741</v>
      </c>
    </row>
    <row r="954">
      <c r="A954" s="5" t="s">
        <v>6541</v>
      </c>
      <c r="B954" s="5" t="s">
        <v>6542</v>
      </c>
      <c r="C954" s="5" t="s">
        <v>6535</v>
      </c>
      <c r="D954" s="17" t="s">
        <v>507</v>
      </c>
      <c r="E954" s="6"/>
      <c r="F954" s="6"/>
      <c r="G954" s="7" t="s">
        <v>6543</v>
      </c>
      <c r="I954" s="8" t="s">
        <v>6544</v>
      </c>
      <c r="J954" s="9">
        <v>43.9</v>
      </c>
      <c r="K954" s="10" t="s">
        <v>11</v>
      </c>
      <c r="L954" s="6"/>
      <c r="M954" s="11" t="s">
        <v>12</v>
      </c>
      <c r="N954" s="6" t="s">
        <v>6545</v>
      </c>
      <c r="O954" s="6" t="s">
        <v>6546</v>
      </c>
      <c r="P954" s="10" t="s">
        <v>15</v>
      </c>
      <c r="Q954" s="6"/>
      <c r="R954" s="6"/>
      <c r="S954" s="6"/>
      <c r="T954" s="6" t="s">
        <v>16</v>
      </c>
      <c r="U954" s="9" t="s">
        <v>17</v>
      </c>
      <c r="AI954" s="6" t="s">
        <v>4739</v>
      </c>
      <c r="AJ954" s="12" t="s">
        <v>6540</v>
      </c>
      <c r="AL954" s="13" t="s">
        <v>4741</v>
      </c>
    </row>
    <row r="955">
      <c r="A955" s="5" t="s">
        <v>6547</v>
      </c>
      <c r="B955" s="5" t="s">
        <v>6548</v>
      </c>
      <c r="C955" s="5" t="s">
        <v>6549</v>
      </c>
      <c r="D955" s="5" t="s">
        <v>8</v>
      </c>
      <c r="E955" s="6"/>
      <c r="F955" s="6"/>
      <c r="G955" s="7" t="s">
        <v>6550</v>
      </c>
      <c r="I955" s="8" t="s">
        <v>6551</v>
      </c>
      <c r="J955" s="9">
        <v>27.9</v>
      </c>
      <c r="K955" s="10" t="s">
        <v>11</v>
      </c>
      <c r="L955" s="6"/>
      <c r="M955" s="11" t="s">
        <v>12</v>
      </c>
      <c r="N955" s="6" t="s">
        <v>6552</v>
      </c>
      <c r="O955" s="6" t="s">
        <v>6553</v>
      </c>
      <c r="P955" s="10" t="s">
        <v>15</v>
      </c>
      <c r="Q955" s="6"/>
      <c r="R955" s="6"/>
      <c r="S955" s="6"/>
      <c r="T955" s="6" t="s">
        <v>16</v>
      </c>
      <c r="U955" s="9" t="s">
        <v>17</v>
      </c>
      <c r="AI955" s="6" t="s">
        <v>4739</v>
      </c>
      <c r="AJ955" s="12" t="s">
        <v>6554</v>
      </c>
      <c r="AL955" s="13" t="s">
        <v>4741</v>
      </c>
    </row>
    <row r="956">
      <c r="A956" s="5" t="s">
        <v>6555</v>
      </c>
      <c r="B956" s="5" t="s">
        <v>6556</v>
      </c>
      <c r="C956" s="5" t="s">
        <v>6549</v>
      </c>
      <c r="D956" s="5" t="s">
        <v>8</v>
      </c>
      <c r="E956" s="6"/>
      <c r="F956" s="6"/>
      <c r="G956" s="7" t="s">
        <v>6557</v>
      </c>
      <c r="I956" s="8" t="s">
        <v>6558</v>
      </c>
      <c r="J956" s="9">
        <v>38.9</v>
      </c>
      <c r="K956" s="10" t="s">
        <v>11</v>
      </c>
      <c r="L956" s="6"/>
      <c r="M956" s="11" t="s">
        <v>12</v>
      </c>
      <c r="N956" s="6" t="s">
        <v>6559</v>
      </c>
      <c r="O956" s="6" t="s">
        <v>6560</v>
      </c>
      <c r="P956" s="10" t="s">
        <v>15</v>
      </c>
      <c r="Q956" s="6"/>
      <c r="R956" s="6"/>
      <c r="S956" s="6"/>
      <c r="T956" s="6" t="s">
        <v>16</v>
      </c>
      <c r="U956" s="9" t="s">
        <v>17</v>
      </c>
      <c r="AI956" s="6" t="s">
        <v>4739</v>
      </c>
      <c r="AJ956" s="12" t="s">
        <v>6554</v>
      </c>
      <c r="AL956" s="13" t="s">
        <v>4741</v>
      </c>
    </row>
    <row r="957">
      <c r="A957" s="5" t="s">
        <v>6561</v>
      </c>
      <c r="B957" s="5" t="s">
        <v>6562</v>
      </c>
      <c r="C957" s="5" t="s">
        <v>6563</v>
      </c>
      <c r="D957" s="17" t="s">
        <v>507</v>
      </c>
      <c r="E957" s="6"/>
      <c r="F957" s="6"/>
      <c r="G957" s="7" t="s">
        <v>6564</v>
      </c>
      <c r="I957" s="8" t="s">
        <v>6565</v>
      </c>
      <c r="J957" s="9">
        <v>28.9</v>
      </c>
      <c r="K957" s="10" t="s">
        <v>11</v>
      </c>
      <c r="L957" s="6"/>
      <c r="M957" s="11" t="s">
        <v>12</v>
      </c>
      <c r="N957" s="6" t="s">
        <v>6566</v>
      </c>
      <c r="O957" s="6" t="s">
        <v>6567</v>
      </c>
      <c r="P957" s="10" t="s">
        <v>15</v>
      </c>
      <c r="Q957" s="6"/>
      <c r="R957" s="6"/>
      <c r="S957" s="6"/>
      <c r="T957" s="6" t="s">
        <v>16</v>
      </c>
      <c r="U957" s="9" t="s">
        <v>17</v>
      </c>
      <c r="AI957" s="6" t="s">
        <v>4739</v>
      </c>
      <c r="AJ957" s="12" t="s">
        <v>6568</v>
      </c>
      <c r="AL957" s="13" t="s">
        <v>4741</v>
      </c>
    </row>
    <row r="958">
      <c r="A958" s="5" t="s">
        <v>6569</v>
      </c>
      <c r="B958" s="5" t="s">
        <v>6570</v>
      </c>
      <c r="C958" s="5" t="s">
        <v>6571</v>
      </c>
      <c r="D958" s="5" t="s">
        <v>8</v>
      </c>
      <c r="E958" s="6"/>
      <c r="F958" s="6"/>
      <c r="G958" s="7" t="s">
        <v>6572</v>
      </c>
      <c r="I958" s="8" t="s">
        <v>6573</v>
      </c>
      <c r="J958" s="9">
        <v>29.9</v>
      </c>
      <c r="K958" s="10" t="s">
        <v>11</v>
      </c>
      <c r="L958" s="6"/>
      <c r="M958" s="11" t="s">
        <v>12</v>
      </c>
      <c r="N958" s="6" t="s">
        <v>6574</v>
      </c>
      <c r="O958" s="6" t="s">
        <v>6575</v>
      </c>
      <c r="P958" s="10" t="s">
        <v>15</v>
      </c>
      <c r="Q958" s="6"/>
      <c r="R958" s="6"/>
      <c r="S958" s="6"/>
      <c r="T958" s="6" t="s">
        <v>16</v>
      </c>
      <c r="U958" s="9" t="s">
        <v>17</v>
      </c>
      <c r="AI958" s="6" t="s">
        <v>4739</v>
      </c>
      <c r="AJ958" s="12" t="s">
        <v>6576</v>
      </c>
      <c r="AL958" s="13" t="s">
        <v>4741</v>
      </c>
    </row>
    <row r="959">
      <c r="A959" s="5" t="s">
        <v>6577</v>
      </c>
      <c r="B959" s="5" t="s">
        <v>6578</v>
      </c>
      <c r="C959" s="5" t="s">
        <v>6571</v>
      </c>
      <c r="D959" s="5" t="s">
        <v>8</v>
      </c>
      <c r="E959" s="6"/>
      <c r="F959" s="6"/>
      <c r="G959" s="7" t="s">
        <v>6579</v>
      </c>
      <c r="I959" s="8" t="s">
        <v>6580</v>
      </c>
      <c r="J959" s="9">
        <v>40.9</v>
      </c>
      <c r="K959" s="10" t="s">
        <v>11</v>
      </c>
      <c r="L959" s="6"/>
      <c r="M959" s="11" t="s">
        <v>12</v>
      </c>
      <c r="N959" s="6" t="s">
        <v>6581</v>
      </c>
      <c r="O959" s="6" t="s">
        <v>6582</v>
      </c>
      <c r="P959" s="10" t="s">
        <v>15</v>
      </c>
      <c r="Q959" s="6"/>
      <c r="R959" s="6"/>
      <c r="S959" s="6"/>
      <c r="T959" s="6" t="s">
        <v>16</v>
      </c>
      <c r="U959" s="9" t="s">
        <v>17</v>
      </c>
      <c r="AI959" s="6" t="s">
        <v>4739</v>
      </c>
      <c r="AJ959" s="12" t="s">
        <v>6576</v>
      </c>
      <c r="AL959" s="13" t="s">
        <v>4741</v>
      </c>
    </row>
    <row r="960">
      <c r="A960" s="5" t="s">
        <v>6583</v>
      </c>
      <c r="B960" s="5" t="s">
        <v>6584</v>
      </c>
      <c r="C960" s="5" t="s">
        <v>6585</v>
      </c>
      <c r="D960" s="5" t="s">
        <v>8</v>
      </c>
      <c r="E960" s="6"/>
      <c r="F960" s="6"/>
      <c r="G960" s="7" t="s">
        <v>6586</v>
      </c>
      <c r="I960" s="8" t="s">
        <v>6587</v>
      </c>
      <c r="J960" s="9">
        <v>32.9</v>
      </c>
      <c r="K960" s="10" t="s">
        <v>11</v>
      </c>
      <c r="L960" s="6"/>
      <c r="M960" s="11" t="s">
        <v>12</v>
      </c>
      <c r="N960" s="6" t="s">
        <v>6588</v>
      </c>
      <c r="O960" s="6" t="s">
        <v>6589</v>
      </c>
      <c r="P960" s="10" t="s">
        <v>15</v>
      </c>
      <c r="Q960" s="6"/>
      <c r="R960" s="6"/>
      <c r="S960" s="6"/>
      <c r="T960" s="6" t="s">
        <v>16</v>
      </c>
      <c r="U960" s="9" t="s">
        <v>17</v>
      </c>
      <c r="AI960" s="6" t="s">
        <v>4739</v>
      </c>
      <c r="AJ960" s="12" t="s">
        <v>6590</v>
      </c>
      <c r="AL960" s="13" t="s">
        <v>4741</v>
      </c>
    </row>
    <row r="961">
      <c r="A961" s="5" t="s">
        <v>6591</v>
      </c>
      <c r="B961" s="5" t="s">
        <v>6592</v>
      </c>
      <c r="C961" s="5" t="s">
        <v>6585</v>
      </c>
      <c r="D961" s="5" t="s">
        <v>8</v>
      </c>
      <c r="E961" s="6"/>
      <c r="F961" s="6"/>
      <c r="G961" s="7" t="s">
        <v>6593</v>
      </c>
      <c r="I961" s="8" t="s">
        <v>6594</v>
      </c>
      <c r="J961" s="9">
        <v>44.9</v>
      </c>
      <c r="K961" s="10" t="s">
        <v>11</v>
      </c>
      <c r="L961" s="6"/>
      <c r="M961" s="11" t="s">
        <v>12</v>
      </c>
      <c r="N961" s="6" t="s">
        <v>6595</v>
      </c>
      <c r="O961" s="6" t="s">
        <v>6596</v>
      </c>
      <c r="P961" s="10" t="s">
        <v>15</v>
      </c>
      <c r="Q961" s="6"/>
      <c r="R961" s="6"/>
      <c r="S961" s="6"/>
      <c r="T961" s="6" t="s">
        <v>16</v>
      </c>
      <c r="U961" s="9" t="s">
        <v>17</v>
      </c>
      <c r="AI961" s="6" t="s">
        <v>4739</v>
      </c>
      <c r="AJ961" s="12" t="s">
        <v>6590</v>
      </c>
      <c r="AL961" s="13" t="s">
        <v>4741</v>
      </c>
    </row>
    <row r="962">
      <c r="A962" s="5" t="s">
        <v>6597</v>
      </c>
      <c r="B962" s="5" t="s">
        <v>6598</v>
      </c>
      <c r="C962" s="5" t="s">
        <v>6599</v>
      </c>
      <c r="D962" s="5" t="s">
        <v>8</v>
      </c>
      <c r="E962" s="6"/>
      <c r="F962" s="6"/>
      <c r="G962" s="7" t="s">
        <v>6600</v>
      </c>
      <c r="I962" s="8" t="s">
        <v>6601</v>
      </c>
      <c r="J962" s="9">
        <v>28.9</v>
      </c>
      <c r="K962" s="10" t="s">
        <v>11</v>
      </c>
      <c r="L962" s="6"/>
      <c r="M962" s="11" t="s">
        <v>12</v>
      </c>
      <c r="N962" s="6" t="s">
        <v>6602</v>
      </c>
      <c r="O962" s="6" t="s">
        <v>6603</v>
      </c>
      <c r="P962" s="10" t="s">
        <v>15</v>
      </c>
      <c r="Q962" s="6"/>
      <c r="R962" s="6"/>
      <c r="S962" s="6"/>
      <c r="T962" s="6" t="s">
        <v>16</v>
      </c>
      <c r="U962" s="9" t="s">
        <v>17</v>
      </c>
      <c r="AI962" s="6" t="s">
        <v>4739</v>
      </c>
      <c r="AJ962" s="12" t="s">
        <v>6604</v>
      </c>
      <c r="AL962" s="13" t="s">
        <v>4741</v>
      </c>
    </row>
    <row r="963">
      <c r="A963" s="5" t="s">
        <v>6605</v>
      </c>
      <c r="B963" s="5" t="s">
        <v>6606</v>
      </c>
      <c r="C963" s="5" t="s">
        <v>6599</v>
      </c>
      <c r="D963" s="5" t="s">
        <v>8</v>
      </c>
      <c r="E963" s="6"/>
      <c r="F963" s="6"/>
      <c r="G963" s="7" t="s">
        <v>6607</v>
      </c>
      <c r="I963" s="8" t="s">
        <v>6608</v>
      </c>
      <c r="J963" s="9">
        <v>39.9</v>
      </c>
      <c r="K963" s="10" t="s">
        <v>11</v>
      </c>
      <c r="L963" s="6"/>
      <c r="M963" s="11" t="s">
        <v>12</v>
      </c>
      <c r="N963" s="6" t="s">
        <v>6609</v>
      </c>
      <c r="O963" s="6" t="s">
        <v>6610</v>
      </c>
      <c r="P963" s="10" t="s">
        <v>15</v>
      </c>
      <c r="Q963" s="6"/>
      <c r="R963" s="6"/>
      <c r="S963" s="6"/>
      <c r="T963" s="6" t="s">
        <v>16</v>
      </c>
      <c r="U963" s="9" t="s">
        <v>17</v>
      </c>
      <c r="AI963" s="6" t="s">
        <v>4739</v>
      </c>
      <c r="AJ963" s="12" t="s">
        <v>6604</v>
      </c>
      <c r="AL963" s="13" t="s">
        <v>4741</v>
      </c>
    </row>
    <row r="964">
      <c r="A964" s="5" t="s">
        <v>6611</v>
      </c>
      <c r="B964" s="5" t="s">
        <v>6612</v>
      </c>
      <c r="C964" s="5" t="s">
        <v>6613</v>
      </c>
      <c r="D964" s="5" t="s">
        <v>8</v>
      </c>
      <c r="E964" s="6"/>
      <c r="F964" s="6"/>
      <c r="G964" s="7" t="s">
        <v>6614</v>
      </c>
      <c r="I964" s="8" t="s">
        <v>6615</v>
      </c>
      <c r="J964" s="9">
        <v>31.9</v>
      </c>
      <c r="K964" s="10" t="s">
        <v>11</v>
      </c>
      <c r="L964" s="6"/>
      <c r="M964" s="11" t="s">
        <v>12</v>
      </c>
      <c r="N964" s="6" t="s">
        <v>6616</v>
      </c>
      <c r="O964" s="6" t="s">
        <v>6617</v>
      </c>
      <c r="P964" s="10" t="s">
        <v>15</v>
      </c>
      <c r="Q964" s="6"/>
      <c r="R964" s="6"/>
      <c r="S964" s="6"/>
      <c r="T964" s="6" t="s">
        <v>16</v>
      </c>
      <c r="U964" s="9" t="s">
        <v>17</v>
      </c>
      <c r="AI964" s="6" t="s">
        <v>4739</v>
      </c>
      <c r="AJ964" s="12" t="s">
        <v>6618</v>
      </c>
      <c r="AL964" s="13" t="s">
        <v>4741</v>
      </c>
    </row>
    <row r="965">
      <c r="A965" s="5" t="s">
        <v>6619</v>
      </c>
      <c r="B965" s="5" t="s">
        <v>6620</v>
      </c>
      <c r="C965" s="5" t="s">
        <v>6613</v>
      </c>
      <c r="D965" s="5" t="s">
        <v>8</v>
      </c>
      <c r="E965" s="6"/>
      <c r="F965" s="6"/>
      <c r="G965" s="7" t="s">
        <v>6621</v>
      </c>
      <c r="I965" s="8" t="s">
        <v>6622</v>
      </c>
      <c r="J965" s="9">
        <v>43.9</v>
      </c>
      <c r="K965" s="10" t="s">
        <v>11</v>
      </c>
      <c r="L965" s="6"/>
      <c r="M965" s="11" t="s">
        <v>12</v>
      </c>
      <c r="N965" s="6" t="s">
        <v>6623</v>
      </c>
      <c r="O965" s="6" t="s">
        <v>6624</v>
      </c>
      <c r="P965" s="10" t="s">
        <v>15</v>
      </c>
      <c r="Q965" s="6"/>
      <c r="R965" s="6"/>
      <c r="S965" s="6"/>
      <c r="T965" s="6" t="s">
        <v>16</v>
      </c>
      <c r="U965" s="9" t="s">
        <v>17</v>
      </c>
      <c r="AI965" s="6" t="s">
        <v>4739</v>
      </c>
      <c r="AJ965" s="12" t="s">
        <v>6618</v>
      </c>
      <c r="AL965" s="13" t="s">
        <v>4741</v>
      </c>
    </row>
    <row r="966">
      <c r="A966" s="5" t="s">
        <v>6625</v>
      </c>
      <c r="B966" s="5" t="s">
        <v>6626</v>
      </c>
      <c r="C966" s="5" t="s">
        <v>6627</v>
      </c>
      <c r="D966" s="5" t="s">
        <v>8</v>
      </c>
      <c r="E966" s="6"/>
      <c r="F966" s="6"/>
      <c r="G966" s="7" t="s">
        <v>6628</v>
      </c>
      <c r="I966" s="8" t="s">
        <v>6629</v>
      </c>
      <c r="J966" s="9">
        <v>32.9</v>
      </c>
      <c r="K966" s="10" t="s">
        <v>11</v>
      </c>
      <c r="L966" s="6"/>
      <c r="M966" s="11" t="s">
        <v>12</v>
      </c>
      <c r="N966" s="6" t="s">
        <v>6630</v>
      </c>
      <c r="O966" s="6" t="s">
        <v>6631</v>
      </c>
      <c r="P966" s="10" t="s">
        <v>15</v>
      </c>
      <c r="Q966" s="6"/>
      <c r="R966" s="6"/>
      <c r="S966" s="6"/>
      <c r="T966" s="6" t="s">
        <v>16</v>
      </c>
      <c r="U966" s="9" t="s">
        <v>17</v>
      </c>
      <c r="AI966" s="6" t="s">
        <v>4739</v>
      </c>
      <c r="AJ966" s="12" t="s">
        <v>6632</v>
      </c>
      <c r="AL966" s="13" t="s">
        <v>4741</v>
      </c>
    </row>
    <row r="967">
      <c r="A967" s="5" t="s">
        <v>6633</v>
      </c>
      <c r="B967" s="5" t="s">
        <v>6634</v>
      </c>
      <c r="C967" s="5" t="s">
        <v>6627</v>
      </c>
      <c r="D967" s="5" t="s">
        <v>8</v>
      </c>
      <c r="E967" s="6"/>
      <c r="F967" s="6"/>
      <c r="G967" s="7" t="s">
        <v>6635</v>
      </c>
      <c r="I967" s="8" t="s">
        <v>6636</v>
      </c>
      <c r="J967" s="9">
        <v>44.9</v>
      </c>
      <c r="K967" s="10" t="s">
        <v>11</v>
      </c>
      <c r="L967" s="6"/>
      <c r="M967" s="11" t="s">
        <v>12</v>
      </c>
      <c r="N967" s="6" t="s">
        <v>6637</v>
      </c>
      <c r="O967" s="6" t="s">
        <v>6638</v>
      </c>
      <c r="P967" s="10" t="s">
        <v>15</v>
      </c>
      <c r="Q967" s="6"/>
      <c r="R967" s="6"/>
      <c r="S967" s="6"/>
      <c r="T967" s="6" t="s">
        <v>16</v>
      </c>
      <c r="U967" s="9" t="s">
        <v>17</v>
      </c>
      <c r="AI967" s="6" t="s">
        <v>4739</v>
      </c>
      <c r="AJ967" s="12" t="s">
        <v>6632</v>
      </c>
      <c r="AL967" s="13" t="s">
        <v>4741</v>
      </c>
    </row>
    <row r="968">
      <c r="A968" s="5" t="s">
        <v>6639</v>
      </c>
      <c r="B968" s="5" t="s">
        <v>6640</v>
      </c>
      <c r="C968" s="5" t="s">
        <v>6641</v>
      </c>
      <c r="D968" s="5" t="s">
        <v>8</v>
      </c>
      <c r="E968" s="6"/>
      <c r="F968" s="6"/>
      <c r="G968" s="7" t="s">
        <v>6642</v>
      </c>
      <c r="I968" s="8" t="s">
        <v>6643</v>
      </c>
      <c r="J968" s="9">
        <v>29.9</v>
      </c>
      <c r="K968" s="10" t="s">
        <v>11</v>
      </c>
      <c r="L968" s="6"/>
      <c r="M968" s="11" t="s">
        <v>12</v>
      </c>
      <c r="N968" s="6" t="s">
        <v>6644</v>
      </c>
      <c r="O968" s="6" t="s">
        <v>6645</v>
      </c>
      <c r="P968" s="10" t="s">
        <v>15</v>
      </c>
      <c r="Q968" s="6"/>
      <c r="R968" s="6"/>
      <c r="S968" s="6"/>
      <c r="T968" s="6" t="s">
        <v>16</v>
      </c>
      <c r="U968" s="9" t="s">
        <v>17</v>
      </c>
      <c r="AI968" s="6" t="s">
        <v>4739</v>
      </c>
      <c r="AJ968" s="12" t="s">
        <v>6646</v>
      </c>
      <c r="AL968" s="13" t="s">
        <v>4741</v>
      </c>
    </row>
    <row r="969">
      <c r="A969" s="5" t="s">
        <v>6647</v>
      </c>
      <c r="B969" s="5" t="s">
        <v>6648</v>
      </c>
      <c r="C969" s="5" t="s">
        <v>6641</v>
      </c>
      <c r="D969" s="17" t="s">
        <v>507</v>
      </c>
      <c r="E969" s="6"/>
      <c r="F969" s="6"/>
      <c r="G969" s="7" t="s">
        <v>6649</v>
      </c>
      <c r="I969" s="8" t="s">
        <v>6650</v>
      </c>
      <c r="J969" s="9">
        <v>40.9</v>
      </c>
      <c r="K969" s="10" t="s">
        <v>11</v>
      </c>
      <c r="L969" s="6"/>
      <c r="M969" s="11" t="s">
        <v>12</v>
      </c>
      <c r="N969" s="6" t="s">
        <v>6651</v>
      </c>
      <c r="O969" s="6" t="s">
        <v>6652</v>
      </c>
      <c r="P969" s="10" t="s">
        <v>15</v>
      </c>
      <c r="Q969" s="6"/>
      <c r="R969" s="6"/>
      <c r="S969" s="6"/>
      <c r="T969" s="6" t="s">
        <v>16</v>
      </c>
      <c r="U969" s="9" t="s">
        <v>17</v>
      </c>
      <c r="AI969" s="6" t="s">
        <v>4739</v>
      </c>
      <c r="AJ969" s="12" t="s">
        <v>6646</v>
      </c>
      <c r="AL969" s="13" t="s">
        <v>4741</v>
      </c>
    </row>
    <row r="970">
      <c r="A970" s="5" t="s">
        <v>6653</v>
      </c>
      <c r="B970" s="5" t="s">
        <v>6654</v>
      </c>
      <c r="C970" s="5"/>
      <c r="D970" s="5" t="s">
        <v>8</v>
      </c>
      <c r="E970" s="6"/>
      <c r="F970" s="6"/>
      <c r="G970" s="7" t="s">
        <v>6655</v>
      </c>
      <c r="I970" s="8" t="s">
        <v>6656</v>
      </c>
      <c r="J970" s="9">
        <v>28.9</v>
      </c>
      <c r="K970" s="10" t="s">
        <v>11</v>
      </c>
      <c r="L970" s="6"/>
      <c r="M970" s="11" t="s">
        <v>12</v>
      </c>
      <c r="N970" s="6" t="s">
        <v>6657</v>
      </c>
      <c r="O970" s="6" t="s">
        <v>6658</v>
      </c>
      <c r="P970" s="10" t="s">
        <v>15</v>
      </c>
      <c r="Q970" s="6"/>
      <c r="R970" s="6"/>
      <c r="S970" s="6"/>
      <c r="T970" s="6" t="s">
        <v>16</v>
      </c>
      <c r="U970" s="9" t="s">
        <v>17</v>
      </c>
      <c r="AI970" s="6" t="s">
        <v>4739</v>
      </c>
      <c r="AJ970" s="12" t="s">
        <v>6659</v>
      </c>
      <c r="AL970" s="13" t="s">
        <v>4741</v>
      </c>
    </row>
    <row r="971">
      <c r="A971" s="5" t="s">
        <v>6660</v>
      </c>
      <c r="B971" s="5" t="s">
        <v>6661</v>
      </c>
      <c r="C971" s="5"/>
      <c r="D971" s="5" t="s">
        <v>8</v>
      </c>
      <c r="E971" s="6"/>
      <c r="F971" s="6"/>
      <c r="G971" s="7" t="s">
        <v>6662</v>
      </c>
      <c r="I971" s="8" t="s">
        <v>6663</v>
      </c>
      <c r="J971" s="9">
        <v>39.9</v>
      </c>
      <c r="K971" s="10" t="s">
        <v>11</v>
      </c>
      <c r="L971" s="6"/>
      <c r="M971" s="11" t="s">
        <v>12</v>
      </c>
      <c r="N971" s="6" t="s">
        <v>6657</v>
      </c>
      <c r="O971" s="6" t="s">
        <v>6664</v>
      </c>
      <c r="P971" s="10" t="s">
        <v>15</v>
      </c>
      <c r="Q971" s="6"/>
      <c r="R971" s="6"/>
      <c r="S971" s="6"/>
      <c r="T971" s="6" t="s">
        <v>16</v>
      </c>
      <c r="U971" s="9" t="s">
        <v>17</v>
      </c>
      <c r="AI971" s="6" t="s">
        <v>4739</v>
      </c>
      <c r="AJ971" s="12" t="s">
        <v>6659</v>
      </c>
      <c r="AL971" s="13" t="s">
        <v>4741</v>
      </c>
    </row>
    <row r="972">
      <c r="A972" s="5" t="s">
        <v>6665</v>
      </c>
      <c r="B972" s="5" t="s">
        <v>6666</v>
      </c>
      <c r="C972" s="5" t="s">
        <v>6667</v>
      </c>
      <c r="D972" s="17" t="s">
        <v>507</v>
      </c>
      <c r="E972" s="6"/>
      <c r="F972" s="6"/>
      <c r="G972" s="7" t="s">
        <v>6668</v>
      </c>
      <c r="I972" s="8" t="s">
        <v>6669</v>
      </c>
      <c r="J972" s="9">
        <v>28.9</v>
      </c>
      <c r="K972" s="10" t="s">
        <v>11</v>
      </c>
      <c r="L972" s="6"/>
      <c r="M972" s="11" t="s">
        <v>12</v>
      </c>
      <c r="N972" s="6" t="s">
        <v>6670</v>
      </c>
      <c r="O972" s="6" t="s">
        <v>6671</v>
      </c>
      <c r="P972" s="10" t="s">
        <v>15</v>
      </c>
      <c r="Q972" s="6"/>
      <c r="R972" s="6"/>
      <c r="S972" s="6"/>
      <c r="T972" s="6" t="s">
        <v>16</v>
      </c>
      <c r="U972" s="9" t="s">
        <v>17</v>
      </c>
      <c r="AI972" s="6" t="s">
        <v>4739</v>
      </c>
      <c r="AJ972" s="12" t="s">
        <v>6672</v>
      </c>
      <c r="AL972" s="13" t="s">
        <v>4741</v>
      </c>
    </row>
    <row r="973">
      <c r="A973" s="5" t="s">
        <v>6673</v>
      </c>
      <c r="B973" s="5" t="s">
        <v>6674</v>
      </c>
      <c r="C973" s="5" t="s">
        <v>6667</v>
      </c>
      <c r="D973" s="17" t="s">
        <v>507</v>
      </c>
      <c r="E973" s="6"/>
      <c r="F973" s="6"/>
      <c r="G973" s="7" t="s">
        <v>6675</v>
      </c>
      <c r="I973" s="8" t="s">
        <v>6676</v>
      </c>
      <c r="J973" s="9">
        <v>39.9</v>
      </c>
      <c r="K973" s="10" t="s">
        <v>11</v>
      </c>
      <c r="L973" s="6"/>
      <c r="M973" s="11" t="s">
        <v>12</v>
      </c>
      <c r="N973" s="6" t="s">
        <v>6677</v>
      </c>
      <c r="O973" s="6" t="s">
        <v>6678</v>
      </c>
      <c r="P973" s="10" t="s">
        <v>15</v>
      </c>
      <c r="Q973" s="6"/>
      <c r="R973" s="6"/>
      <c r="S973" s="6"/>
      <c r="T973" s="6" t="s">
        <v>16</v>
      </c>
      <c r="U973" s="9" t="s">
        <v>17</v>
      </c>
      <c r="AI973" s="6" t="s">
        <v>4739</v>
      </c>
      <c r="AJ973" s="12" t="s">
        <v>6672</v>
      </c>
      <c r="AL973" s="13" t="s">
        <v>4741</v>
      </c>
    </row>
    <row r="974">
      <c r="A974" s="5" t="s">
        <v>6679</v>
      </c>
      <c r="B974" s="5" t="s">
        <v>6680</v>
      </c>
      <c r="C974" s="5" t="s">
        <v>6681</v>
      </c>
      <c r="D974" s="5" t="s">
        <v>8</v>
      </c>
      <c r="E974" s="6"/>
      <c r="F974" s="6"/>
      <c r="G974" s="7" t="s">
        <v>6682</v>
      </c>
      <c r="I974" s="8" t="s">
        <v>6683</v>
      </c>
      <c r="J974" s="9">
        <v>27.9</v>
      </c>
      <c r="K974" s="10" t="s">
        <v>11</v>
      </c>
      <c r="L974" s="6"/>
      <c r="M974" s="11" t="s">
        <v>12</v>
      </c>
      <c r="N974" s="6" t="s">
        <v>6684</v>
      </c>
      <c r="O974" s="6" t="s">
        <v>6685</v>
      </c>
      <c r="P974" s="10" t="s">
        <v>15</v>
      </c>
      <c r="Q974" s="6"/>
      <c r="R974" s="6"/>
      <c r="S974" s="6"/>
      <c r="T974" s="6" t="s">
        <v>16</v>
      </c>
      <c r="U974" s="9" t="s">
        <v>17</v>
      </c>
      <c r="AI974" s="6" t="s">
        <v>4739</v>
      </c>
      <c r="AJ974" s="12" t="s">
        <v>6686</v>
      </c>
      <c r="AL974" s="13" t="s">
        <v>4741</v>
      </c>
    </row>
    <row r="975">
      <c r="A975" s="5" t="s">
        <v>6687</v>
      </c>
      <c r="B975" s="5" t="s">
        <v>6688</v>
      </c>
      <c r="C975" s="5" t="s">
        <v>6681</v>
      </c>
      <c r="D975" s="5" t="s">
        <v>8</v>
      </c>
      <c r="E975" s="6"/>
      <c r="F975" s="6"/>
      <c r="G975" s="7" t="s">
        <v>6689</v>
      </c>
      <c r="I975" s="8" t="s">
        <v>6690</v>
      </c>
      <c r="J975" s="9">
        <v>38.9</v>
      </c>
      <c r="K975" s="10" t="s">
        <v>11</v>
      </c>
      <c r="L975" s="6"/>
      <c r="M975" s="11" t="s">
        <v>12</v>
      </c>
      <c r="N975" s="6" t="s">
        <v>6691</v>
      </c>
      <c r="O975" s="6" t="s">
        <v>6692</v>
      </c>
      <c r="P975" s="10" t="s">
        <v>15</v>
      </c>
      <c r="Q975" s="6"/>
      <c r="R975" s="6"/>
      <c r="S975" s="6"/>
      <c r="T975" s="6" t="s">
        <v>16</v>
      </c>
      <c r="U975" s="9" t="s">
        <v>17</v>
      </c>
      <c r="AI975" s="6" t="s">
        <v>4739</v>
      </c>
      <c r="AJ975" s="12" t="s">
        <v>6686</v>
      </c>
      <c r="AL975" s="13" t="s">
        <v>4741</v>
      </c>
    </row>
    <row r="976">
      <c r="A976" s="5" t="s">
        <v>6693</v>
      </c>
      <c r="B976" s="5" t="s">
        <v>6694</v>
      </c>
      <c r="C976" s="5" t="s">
        <v>6695</v>
      </c>
      <c r="D976" s="5" t="s">
        <v>8</v>
      </c>
      <c r="E976" s="6"/>
      <c r="F976" s="6"/>
      <c r="G976" s="7" t="s">
        <v>6696</v>
      </c>
      <c r="I976" s="8" t="s">
        <v>6697</v>
      </c>
      <c r="J976" s="9">
        <v>30.9</v>
      </c>
      <c r="K976" s="10" t="s">
        <v>11</v>
      </c>
      <c r="L976" s="6"/>
      <c r="M976" s="11" t="s">
        <v>17</v>
      </c>
      <c r="N976" s="6"/>
      <c r="O976" s="6" t="s">
        <v>6698</v>
      </c>
      <c r="P976" s="10" t="s">
        <v>15</v>
      </c>
      <c r="Q976" s="6"/>
      <c r="R976" s="6"/>
      <c r="S976" s="6"/>
      <c r="T976" s="6" t="s">
        <v>16</v>
      </c>
      <c r="U976" s="9" t="s">
        <v>17</v>
      </c>
      <c r="AI976" s="6" t="s">
        <v>4739</v>
      </c>
      <c r="AJ976" s="12" t="s">
        <v>6699</v>
      </c>
      <c r="AL976" s="13" t="s">
        <v>4741</v>
      </c>
    </row>
    <row r="977">
      <c r="A977" s="5" t="s">
        <v>6700</v>
      </c>
      <c r="B977" s="5" t="s">
        <v>6701</v>
      </c>
      <c r="C977" s="5" t="s">
        <v>6702</v>
      </c>
      <c r="D977" s="5" t="s">
        <v>8</v>
      </c>
      <c r="E977" s="6"/>
      <c r="F977" s="6"/>
      <c r="G977" s="7" t="s">
        <v>6703</v>
      </c>
      <c r="I977" s="8" t="s">
        <v>6704</v>
      </c>
      <c r="J977" s="9">
        <v>26.9</v>
      </c>
      <c r="K977" s="10" t="s">
        <v>11</v>
      </c>
      <c r="L977" s="6"/>
      <c r="M977" s="11" t="s">
        <v>12</v>
      </c>
      <c r="N977" s="6" t="s">
        <v>6705</v>
      </c>
      <c r="O977" s="6" t="s">
        <v>6706</v>
      </c>
      <c r="P977" s="10" t="s">
        <v>15</v>
      </c>
      <c r="Q977" s="6"/>
      <c r="R977" s="6"/>
      <c r="S977" s="6"/>
      <c r="T977" s="6" t="s">
        <v>16</v>
      </c>
      <c r="U977" s="9" t="s">
        <v>17</v>
      </c>
      <c r="AI977" s="6" t="s">
        <v>4739</v>
      </c>
      <c r="AJ977" s="12" t="s">
        <v>6707</v>
      </c>
      <c r="AL977" s="13" t="s">
        <v>4741</v>
      </c>
    </row>
    <row r="978">
      <c r="A978" s="5" t="s">
        <v>6708</v>
      </c>
      <c r="B978" s="5" t="s">
        <v>6709</v>
      </c>
      <c r="C978" s="5" t="s">
        <v>6702</v>
      </c>
      <c r="D978" s="17" t="s">
        <v>507</v>
      </c>
      <c r="E978" s="6"/>
      <c r="F978" s="6"/>
      <c r="G978" s="7" t="s">
        <v>6710</v>
      </c>
      <c r="I978" s="8" t="s">
        <v>6711</v>
      </c>
      <c r="J978" s="9">
        <v>38.9</v>
      </c>
      <c r="K978" s="10" t="s">
        <v>11</v>
      </c>
      <c r="L978" s="6"/>
      <c r="M978" s="11" t="s">
        <v>12</v>
      </c>
      <c r="N978" s="6" t="s">
        <v>6712</v>
      </c>
      <c r="O978" s="6" t="s">
        <v>6713</v>
      </c>
      <c r="P978" s="10" t="s">
        <v>15</v>
      </c>
      <c r="Q978" s="6"/>
      <c r="R978" s="6"/>
      <c r="S978" s="6"/>
      <c r="T978" s="6" t="s">
        <v>16</v>
      </c>
      <c r="U978" s="9" t="s">
        <v>17</v>
      </c>
      <c r="AI978" s="6" t="s">
        <v>4739</v>
      </c>
      <c r="AJ978" s="12" t="s">
        <v>6707</v>
      </c>
      <c r="AL978" s="13" t="s">
        <v>4741</v>
      </c>
    </row>
    <row r="979">
      <c r="A979" s="5" t="s">
        <v>6714</v>
      </c>
      <c r="B979" s="5" t="s">
        <v>6715</v>
      </c>
      <c r="C979" s="5" t="s">
        <v>6716</v>
      </c>
      <c r="D979" s="5" t="s">
        <v>8</v>
      </c>
      <c r="E979" s="6"/>
      <c r="F979" s="6"/>
      <c r="G979" s="7" t="s">
        <v>6717</v>
      </c>
      <c r="I979" s="8" t="s">
        <v>6718</v>
      </c>
      <c r="J979" s="9">
        <v>28.9</v>
      </c>
      <c r="K979" s="10" t="s">
        <v>11</v>
      </c>
      <c r="L979" s="6"/>
      <c r="M979" s="11" t="s">
        <v>12</v>
      </c>
      <c r="N979" s="6" t="s">
        <v>6719</v>
      </c>
      <c r="O979" s="6" t="s">
        <v>6720</v>
      </c>
      <c r="P979" s="10" t="s">
        <v>15</v>
      </c>
      <c r="Q979" s="6"/>
      <c r="R979" s="6"/>
      <c r="S979" s="6"/>
      <c r="T979" s="6" t="s">
        <v>16</v>
      </c>
      <c r="U979" s="9" t="s">
        <v>17</v>
      </c>
      <c r="AI979" s="6" t="s">
        <v>4739</v>
      </c>
      <c r="AJ979" s="12" t="s">
        <v>6721</v>
      </c>
      <c r="AL979" s="13" t="s">
        <v>4741</v>
      </c>
    </row>
    <row r="980">
      <c r="A980" s="5" t="s">
        <v>6722</v>
      </c>
      <c r="B980" s="5" t="s">
        <v>6723</v>
      </c>
      <c r="C980" s="5" t="s">
        <v>6716</v>
      </c>
      <c r="D980" s="5" t="s">
        <v>8</v>
      </c>
      <c r="E980" s="6"/>
      <c r="F980" s="6"/>
      <c r="G980" s="7" t="s">
        <v>6724</v>
      </c>
      <c r="I980" s="8" t="s">
        <v>6725</v>
      </c>
      <c r="J980" s="9">
        <v>39.9</v>
      </c>
      <c r="K980" s="10" t="s">
        <v>11</v>
      </c>
      <c r="L980" s="6"/>
      <c r="M980" s="11" t="s">
        <v>12</v>
      </c>
      <c r="N980" s="6" t="s">
        <v>6726</v>
      </c>
      <c r="O980" s="6" t="s">
        <v>6727</v>
      </c>
      <c r="P980" s="10" t="s">
        <v>15</v>
      </c>
      <c r="Q980" s="6"/>
      <c r="R980" s="6"/>
      <c r="S980" s="6"/>
      <c r="T980" s="6" t="s">
        <v>16</v>
      </c>
      <c r="U980" s="9" t="s">
        <v>17</v>
      </c>
      <c r="AI980" s="6" t="s">
        <v>4739</v>
      </c>
      <c r="AJ980" s="12" t="s">
        <v>6721</v>
      </c>
      <c r="AL980" s="13" t="s">
        <v>4741</v>
      </c>
    </row>
    <row r="981">
      <c r="A981" s="5" t="s">
        <v>6728</v>
      </c>
      <c r="B981" s="5" t="s">
        <v>6729</v>
      </c>
      <c r="C981" s="5" t="s">
        <v>6730</v>
      </c>
      <c r="D981" s="5" t="s">
        <v>8</v>
      </c>
      <c r="E981" s="6"/>
      <c r="F981" s="6"/>
      <c r="G981" s="7" t="s">
        <v>6731</v>
      </c>
      <c r="I981" s="8" t="s">
        <v>6732</v>
      </c>
      <c r="J981" s="9">
        <v>27.9</v>
      </c>
      <c r="K981" s="10" t="s">
        <v>11</v>
      </c>
      <c r="L981" s="6"/>
      <c r="M981" s="11" t="s">
        <v>12</v>
      </c>
      <c r="N981" s="6" t="s">
        <v>6733</v>
      </c>
      <c r="O981" s="6" t="s">
        <v>6734</v>
      </c>
      <c r="P981" s="10" t="s">
        <v>15</v>
      </c>
      <c r="Q981" s="6"/>
      <c r="R981" s="6"/>
      <c r="S981" s="6"/>
      <c r="T981" s="6" t="s">
        <v>16</v>
      </c>
      <c r="U981" s="9" t="s">
        <v>17</v>
      </c>
      <c r="AI981" s="6" t="s">
        <v>4739</v>
      </c>
      <c r="AJ981" s="12" t="s">
        <v>6735</v>
      </c>
      <c r="AL981" s="13" t="s">
        <v>4741</v>
      </c>
    </row>
    <row r="982">
      <c r="A982" s="5" t="s">
        <v>6736</v>
      </c>
      <c r="B982" s="5" t="s">
        <v>6737</v>
      </c>
      <c r="C982" s="5" t="s">
        <v>6730</v>
      </c>
      <c r="D982" s="5" t="s">
        <v>8</v>
      </c>
      <c r="E982" s="6"/>
      <c r="F982" s="6"/>
      <c r="G982" s="7" t="s">
        <v>6738</v>
      </c>
      <c r="I982" s="8" t="s">
        <v>6739</v>
      </c>
      <c r="J982" s="9">
        <v>38.9</v>
      </c>
      <c r="K982" s="10" t="s">
        <v>11</v>
      </c>
      <c r="L982" s="6"/>
      <c r="M982" s="11" t="s">
        <v>12</v>
      </c>
      <c r="N982" s="6" t="s">
        <v>6740</v>
      </c>
      <c r="O982" s="6" t="s">
        <v>6741</v>
      </c>
      <c r="P982" s="10" t="s">
        <v>15</v>
      </c>
      <c r="Q982" s="6"/>
      <c r="R982" s="6"/>
      <c r="S982" s="6"/>
      <c r="T982" s="6" t="s">
        <v>16</v>
      </c>
      <c r="U982" s="9" t="s">
        <v>17</v>
      </c>
      <c r="AI982" s="6" t="s">
        <v>4739</v>
      </c>
      <c r="AJ982" s="12" t="s">
        <v>6735</v>
      </c>
      <c r="AL982" s="13" t="s">
        <v>4741</v>
      </c>
    </row>
    <row r="983">
      <c r="A983" s="5" t="s">
        <v>6742</v>
      </c>
      <c r="B983" s="5" t="s">
        <v>6743</v>
      </c>
      <c r="C983" s="5" t="s">
        <v>6744</v>
      </c>
      <c r="D983" s="5" t="s">
        <v>8</v>
      </c>
      <c r="E983" s="6"/>
      <c r="F983" s="6"/>
      <c r="G983" s="7" t="s">
        <v>6745</v>
      </c>
      <c r="I983" s="8" t="s">
        <v>6746</v>
      </c>
      <c r="J983" s="9">
        <v>28.9</v>
      </c>
      <c r="K983" s="10" t="s">
        <v>11</v>
      </c>
      <c r="L983" s="6"/>
      <c r="M983" s="11" t="s">
        <v>17</v>
      </c>
      <c r="N983" s="6"/>
      <c r="O983" s="6" t="s">
        <v>6747</v>
      </c>
      <c r="P983" s="10" t="s">
        <v>15</v>
      </c>
      <c r="Q983" s="6"/>
      <c r="R983" s="6"/>
      <c r="S983" s="6"/>
      <c r="T983" s="6" t="s">
        <v>16</v>
      </c>
      <c r="U983" s="9" t="s">
        <v>17</v>
      </c>
      <c r="AI983" s="6" t="s">
        <v>4739</v>
      </c>
      <c r="AJ983" s="12" t="s">
        <v>6748</v>
      </c>
      <c r="AL983" s="13" t="s">
        <v>4741</v>
      </c>
    </row>
    <row r="984">
      <c r="A984" s="5" t="s">
        <v>6749</v>
      </c>
      <c r="B984" s="5" t="s">
        <v>6750</v>
      </c>
      <c r="C984" s="5" t="s">
        <v>6751</v>
      </c>
      <c r="D984" s="5" t="s">
        <v>8</v>
      </c>
      <c r="E984" s="6"/>
      <c r="F984" s="6"/>
      <c r="G984" s="7" t="s">
        <v>6752</v>
      </c>
      <c r="I984" s="8" t="s">
        <v>6753</v>
      </c>
      <c r="J984" s="9">
        <v>27.9</v>
      </c>
      <c r="K984" s="10" t="s">
        <v>11</v>
      </c>
      <c r="L984" s="6"/>
      <c r="M984" s="11" t="s">
        <v>12</v>
      </c>
      <c r="N984" s="6" t="s">
        <v>6754</v>
      </c>
      <c r="O984" s="6" t="s">
        <v>6755</v>
      </c>
      <c r="P984" s="10" t="s">
        <v>15</v>
      </c>
      <c r="Q984" s="6"/>
      <c r="R984" s="6"/>
      <c r="S984" s="6" t="s">
        <v>6756</v>
      </c>
      <c r="T984" s="6" t="s">
        <v>16</v>
      </c>
      <c r="U984" s="9" t="s">
        <v>17</v>
      </c>
      <c r="AI984" s="6" t="s">
        <v>4930</v>
      </c>
      <c r="AJ984" s="12" t="s">
        <v>6757</v>
      </c>
      <c r="AL984" s="13" t="s">
        <v>4741</v>
      </c>
    </row>
    <row r="985">
      <c r="A985" s="5" t="s">
        <v>6758</v>
      </c>
      <c r="B985" s="5" t="s">
        <v>6759</v>
      </c>
      <c r="C985" s="5" t="s">
        <v>6751</v>
      </c>
      <c r="D985" s="5" t="s">
        <v>8</v>
      </c>
      <c r="E985" s="6"/>
      <c r="F985" s="6"/>
      <c r="G985" s="7" t="s">
        <v>6760</v>
      </c>
      <c r="I985" s="8" t="s">
        <v>6761</v>
      </c>
      <c r="J985" s="9">
        <v>37.8</v>
      </c>
      <c r="K985" s="10">
        <v>34.02</v>
      </c>
      <c r="L985" s="6"/>
      <c r="M985" s="11" t="s">
        <v>17</v>
      </c>
      <c r="N985" s="6"/>
      <c r="O985" s="6" t="s">
        <v>6762</v>
      </c>
      <c r="P985" s="10" t="s">
        <v>15</v>
      </c>
      <c r="Q985" s="6"/>
      <c r="R985" s="6"/>
      <c r="S985" s="6" t="s">
        <v>6756</v>
      </c>
      <c r="T985" s="6" t="s">
        <v>16</v>
      </c>
      <c r="U985" s="9" t="s">
        <v>17</v>
      </c>
      <c r="AI985" s="6" t="s">
        <v>4930</v>
      </c>
      <c r="AJ985" s="12" t="s">
        <v>6757</v>
      </c>
      <c r="AL985" s="13" t="s">
        <v>4741</v>
      </c>
    </row>
    <row r="986">
      <c r="A986" s="5" t="s">
        <v>6763</v>
      </c>
      <c r="B986" s="5" t="s">
        <v>6764</v>
      </c>
      <c r="C986" s="5" t="s">
        <v>6751</v>
      </c>
      <c r="D986" s="5" t="s">
        <v>8</v>
      </c>
      <c r="E986" s="6"/>
      <c r="F986" s="6"/>
      <c r="G986" s="7" t="s">
        <v>6765</v>
      </c>
      <c r="I986" s="8" t="s">
        <v>6766</v>
      </c>
      <c r="J986" s="9">
        <v>38.9</v>
      </c>
      <c r="K986" s="10" t="s">
        <v>11</v>
      </c>
      <c r="L986" s="6"/>
      <c r="M986" s="11" t="s">
        <v>12</v>
      </c>
      <c r="N986" s="6" t="s">
        <v>6767</v>
      </c>
      <c r="O986" s="6" t="s">
        <v>6768</v>
      </c>
      <c r="P986" s="10" t="s">
        <v>15</v>
      </c>
      <c r="Q986" s="6"/>
      <c r="R986" s="6"/>
      <c r="S986" s="6" t="s">
        <v>6756</v>
      </c>
      <c r="T986" s="6" t="s">
        <v>16</v>
      </c>
      <c r="U986" s="9" t="s">
        <v>17</v>
      </c>
      <c r="AI986" s="6" t="s">
        <v>4930</v>
      </c>
      <c r="AJ986" s="12" t="s">
        <v>6757</v>
      </c>
      <c r="AL986" s="13" t="s">
        <v>4741</v>
      </c>
    </row>
    <row r="987">
      <c r="A987" s="5" t="s">
        <v>6769</v>
      </c>
      <c r="B987" s="5" t="s">
        <v>6770</v>
      </c>
      <c r="C987" s="5" t="s">
        <v>6751</v>
      </c>
      <c r="D987" s="5" t="s">
        <v>8</v>
      </c>
      <c r="E987" s="6"/>
      <c r="F987" s="6"/>
      <c r="G987" s="7" t="s">
        <v>6771</v>
      </c>
      <c r="I987" s="8" t="s">
        <v>6772</v>
      </c>
      <c r="J987" s="9">
        <v>111.6</v>
      </c>
      <c r="K987" s="10">
        <v>89.28</v>
      </c>
      <c r="L987" s="6"/>
      <c r="M987" s="11" t="s">
        <v>17</v>
      </c>
      <c r="N987" s="6"/>
      <c r="O987" s="6" t="s">
        <v>6773</v>
      </c>
      <c r="P987" s="10" t="s">
        <v>15</v>
      </c>
      <c r="Q987" s="6"/>
      <c r="R987" s="6"/>
      <c r="S987" s="6" t="s">
        <v>6756</v>
      </c>
      <c r="T987" s="6" t="s">
        <v>16</v>
      </c>
      <c r="U987" s="9" t="s">
        <v>17</v>
      </c>
      <c r="AI987" s="6" t="s">
        <v>4930</v>
      </c>
      <c r="AJ987" s="12" t="s">
        <v>6757</v>
      </c>
      <c r="AL987" s="13" t="s">
        <v>4741</v>
      </c>
    </row>
    <row r="988">
      <c r="A988" s="5" t="s">
        <v>6774</v>
      </c>
      <c r="B988" s="5" t="s">
        <v>6775</v>
      </c>
      <c r="C988" s="5" t="s">
        <v>6776</v>
      </c>
      <c r="D988" s="5" t="s">
        <v>8</v>
      </c>
      <c r="E988" s="6"/>
      <c r="F988" s="6"/>
      <c r="G988" s="7" t="s">
        <v>6777</v>
      </c>
      <c r="I988" s="8" t="s">
        <v>6778</v>
      </c>
      <c r="J988" s="9">
        <v>29.9</v>
      </c>
      <c r="K988" s="10" t="s">
        <v>11</v>
      </c>
      <c r="L988" s="6"/>
      <c r="M988" s="11" t="s">
        <v>12</v>
      </c>
      <c r="N988" s="6" t="s">
        <v>6779</v>
      </c>
      <c r="O988" s="6" t="s">
        <v>6780</v>
      </c>
      <c r="P988" s="10" t="s">
        <v>15</v>
      </c>
      <c r="Q988" s="6"/>
      <c r="R988" s="6"/>
      <c r="S988" s="6"/>
      <c r="T988" s="6" t="s">
        <v>16</v>
      </c>
      <c r="U988" s="9" t="s">
        <v>17</v>
      </c>
      <c r="AI988" s="6" t="s">
        <v>4739</v>
      </c>
      <c r="AJ988" s="12" t="s">
        <v>6781</v>
      </c>
      <c r="AL988" s="13" t="s">
        <v>4741</v>
      </c>
    </row>
    <row r="989">
      <c r="A989" s="5" t="s">
        <v>6782</v>
      </c>
      <c r="B989" s="5" t="s">
        <v>6783</v>
      </c>
      <c r="C989" s="5" t="s">
        <v>6776</v>
      </c>
      <c r="D989" s="17" t="s">
        <v>507</v>
      </c>
      <c r="E989" s="6"/>
      <c r="F989" s="6"/>
      <c r="G989" s="7" t="s">
        <v>6784</v>
      </c>
      <c r="I989" s="8" t="s">
        <v>6785</v>
      </c>
      <c r="J989" s="9">
        <v>40.9</v>
      </c>
      <c r="K989" s="10" t="s">
        <v>11</v>
      </c>
      <c r="L989" s="6"/>
      <c r="M989" s="11" t="s">
        <v>12</v>
      </c>
      <c r="N989" s="6" t="s">
        <v>6786</v>
      </c>
      <c r="O989" s="6" t="s">
        <v>6787</v>
      </c>
      <c r="P989" s="10" t="s">
        <v>15</v>
      </c>
      <c r="Q989" s="6"/>
      <c r="R989" s="6"/>
      <c r="S989" s="6"/>
      <c r="T989" s="6" t="s">
        <v>16</v>
      </c>
      <c r="U989" s="9" t="s">
        <v>17</v>
      </c>
      <c r="AI989" s="6" t="s">
        <v>4739</v>
      </c>
      <c r="AJ989" s="12" t="s">
        <v>6781</v>
      </c>
      <c r="AL989" s="13" t="s">
        <v>4741</v>
      </c>
    </row>
    <row r="990">
      <c r="A990" s="5" t="s">
        <v>6788</v>
      </c>
      <c r="B990" s="5" t="s">
        <v>6789</v>
      </c>
      <c r="C990" s="5" t="s">
        <v>6790</v>
      </c>
      <c r="D990" s="5" t="s">
        <v>8</v>
      </c>
      <c r="E990" s="6"/>
      <c r="F990" s="6"/>
      <c r="G990" s="7" t="s">
        <v>6791</v>
      </c>
      <c r="I990" s="8" t="s">
        <v>6792</v>
      </c>
      <c r="J990" s="9">
        <v>28.9</v>
      </c>
      <c r="K990" s="10" t="s">
        <v>11</v>
      </c>
      <c r="L990" s="6"/>
      <c r="M990" s="11" t="s">
        <v>12</v>
      </c>
      <c r="N990" s="6" t="s">
        <v>6793</v>
      </c>
      <c r="O990" s="6" t="s">
        <v>6794</v>
      </c>
      <c r="P990" s="10" t="s">
        <v>15</v>
      </c>
      <c r="Q990" s="6"/>
      <c r="R990" s="6"/>
      <c r="S990" s="6"/>
      <c r="T990" s="6" t="s">
        <v>16</v>
      </c>
      <c r="U990" s="9" t="s">
        <v>17</v>
      </c>
      <c r="AI990" s="6" t="s">
        <v>4739</v>
      </c>
      <c r="AJ990" s="12" t="s">
        <v>6795</v>
      </c>
      <c r="AL990" s="13" t="s">
        <v>4741</v>
      </c>
    </row>
    <row r="991">
      <c r="A991" s="5" t="s">
        <v>6796</v>
      </c>
      <c r="B991" s="5" t="s">
        <v>6797</v>
      </c>
      <c r="C991" s="5" t="s">
        <v>6790</v>
      </c>
      <c r="D991" s="5" t="s">
        <v>8</v>
      </c>
      <c r="E991" s="6"/>
      <c r="F991" s="6"/>
      <c r="G991" s="7" t="s">
        <v>6798</v>
      </c>
      <c r="I991" s="8" t="s">
        <v>6799</v>
      </c>
      <c r="J991" s="9">
        <v>39.9</v>
      </c>
      <c r="K991" s="10" t="s">
        <v>11</v>
      </c>
      <c r="L991" s="6"/>
      <c r="M991" s="11" t="s">
        <v>12</v>
      </c>
      <c r="N991" s="6" t="s">
        <v>6800</v>
      </c>
      <c r="O991" s="6" t="s">
        <v>6801</v>
      </c>
      <c r="P991" s="10" t="s">
        <v>15</v>
      </c>
      <c r="Q991" s="6"/>
      <c r="R991" s="6"/>
      <c r="S991" s="6"/>
      <c r="T991" s="6" t="s">
        <v>16</v>
      </c>
      <c r="U991" s="9" t="s">
        <v>17</v>
      </c>
      <c r="AI991" s="6" t="s">
        <v>4739</v>
      </c>
      <c r="AJ991" s="12" t="s">
        <v>6795</v>
      </c>
      <c r="AL991" s="13" t="s">
        <v>4741</v>
      </c>
    </row>
    <row r="992">
      <c r="A992" s="5" t="s">
        <v>6802</v>
      </c>
      <c r="B992" s="5" t="s">
        <v>6803</v>
      </c>
      <c r="C992" s="5" t="s">
        <v>6804</v>
      </c>
      <c r="D992" s="5" t="s">
        <v>8</v>
      </c>
      <c r="E992" s="6"/>
      <c r="F992" s="6"/>
      <c r="G992" s="7" t="s">
        <v>6805</v>
      </c>
      <c r="I992" s="8" t="s">
        <v>6806</v>
      </c>
      <c r="J992" s="9">
        <v>27.9</v>
      </c>
      <c r="K992" s="10" t="s">
        <v>11</v>
      </c>
      <c r="L992" s="6"/>
      <c r="M992" s="11" t="s">
        <v>12</v>
      </c>
      <c r="N992" s="6" t="s">
        <v>6807</v>
      </c>
      <c r="O992" s="6" t="s">
        <v>6808</v>
      </c>
      <c r="P992" s="10" t="s">
        <v>15</v>
      </c>
      <c r="Q992" s="6"/>
      <c r="R992" s="6"/>
      <c r="S992" s="6"/>
      <c r="T992" s="6" t="s">
        <v>16</v>
      </c>
      <c r="U992" s="9" t="s">
        <v>17</v>
      </c>
      <c r="AI992" s="6" t="s">
        <v>4739</v>
      </c>
      <c r="AJ992" s="12" t="s">
        <v>6809</v>
      </c>
      <c r="AL992" s="13" t="s">
        <v>4741</v>
      </c>
    </row>
    <row r="993">
      <c r="A993" s="5" t="s">
        <v>6810</v>
      </c>
      <c r="B993" s="5" t="s">
        <v>6811</v>
      </c>
      <c r="C993" s="5" t="s">
        <v>6804</v>
      </c>
      <c r="D993" s="5" t="s">
        <v>8</v>
      </c>
      <c r="E993" s="6"/>
      <c r="F993" s="6"/>
      <c r="G993" s="7" t="s">
        <v>6812</v>
      </c>
      <c r="I993" s="8" t="s">
        <v>6813</v>
      </c>
      <c r="J993" s="9">
        <v>38.9</v>
      </c>
      <c r="K993" s="10" t="s">
        <v>11</v>
      </c>
      <c r="L993" s="6"/>
      <c r="M993" s="11" t="s">
        <v>12</v>
      </c>
      <c r="N993" s="6" t="s">
        <v>6814</v>
      </c>
      <c r="O993" s="6" t="s">
        <v>6815</v>
      </c>
      <c r="P993" s="10" t="s">
        <v>15</v>
      </c>
      <c r="Q993" s="6"/>
      <c r="R993" s="6"/>
      <c r="S993" s="6"/>
      <c r="T993" s="6" t="s">
        <v>16</v>
      </c>
      <c r="U993" s="9" t="s">
        <v>17</v>
      </c>
      <c r="AI993" s="6" t="s">
        <v>4739</v>
      </c>
      <c r="AJ993" s="12" t="s">
        <v>6809</v>
      </c>
      <c r="AL993" s="13" t="s">
        <v>4741</v>
      </c>
    </row>
    <row r="994">
      <c r="A994" s="5" t="s">
        <v>6816</v>
      </c>
      <c r="B994" s="5" t="s">
        <v>6817</v>
      </c>
      <c r="C994" s="5" t="s">
        <v>6818</v>
      </c>
      <c r="D994" s="5" t="s">
        <v>8</v>
      </c>
      <c r="E994" s="6"/>
      <c r="F994" s="6"/>
      <c r="G994" s="7" t="s">
        <v>6819</v>
      </c>
      <c r="I994" s="8" t="s">
        <v>6820</v>
      </c>
      <c r="J994" s="9">
        <v>26.9</v>
      </c>
      <c r="K994" s="10" t="s">
        <v>11</v>
      </c>
      <c r="L994" s="6"/>
      <c r="M994" s="11" t="s">
        <v>12</v>
      </c>
      <c r="N994" s="6" t="s">
        <v>6821</v>
      </c>
      <c r="O994" s="6" t="s">
        <v>6822</v>
      </c>
      <c r="P994" s="10" t="s">
        <v>15</v>
      </c>
      <c r="Q994" s="6"/>
      <c r="R994" s="6"/>
      <c r="S994" s="6"/>
      <c r="T994" s="6" t="s">
        <v>16</v>
      </c>
      <c r="U994" s="9" t="s">
        <v>17</v>
      </c>
      <c r="AI994" s="6" t="s">
        <v>4739</v>
      </c>
      <c r="AJ994" s="12" t="s">
        <v>6823</v>
      </c>
      <c r="AL994" s="13" t="s">
        <v>4741</v>
      </c>
    </row>
    <row r="995">
      <c r="A995" s="5" t="s">
        <v>6824</v>
      </c>
      <c r="B995" s="5" t="s">
        <v>6825</v>
      </c>
      <c r="C995" s="5" t="s">
        <v>6818</v>
      </c>
      <c r="D995" s="5" t="s">
        <v>8</v>
      </c>
      <c r="E995" s="6"/>
      <c r="F995" s="6"/>
      <c r="G995" s="7" t="s">
        <v>6826</v>
      </c>
      <c r="I995" s="8" t="s">
        <v>6827</v>
      </c>
      <c r="J995" s="9">
        <v>38.9</v>
      </c>
      <c r="K995" s="10" t="s">
        <v>11</v>
      </c>
      <c r="L995" s="6"/>
      <c r="M995" s="11" t="s">
        <v>12</v>
      </c>
      <c r="N995" s="6" t="s">
        <v>6814</v>
      </c>
      <c r="O995" s="6" t="s">
        <v>6828</v>
      </c>
      <c r="P995" s="10" t="s">
        <v>15</v>
      </c>
      <c r="Q995" s="6"/>
      <c r="R995" s="6"/>
      <c r="S995" s="6"/>
      <c r="T995" s="6" t="s">
        <v>16</v>
      </c>
      <c r="U995" s="9" t="s">
        <v>17</v>
      </c>
      <c r="AI995" s="6" t="s">
        <v>4739</v>
      </c>
      <c r="AJ995" s="12" t="s">
        <v>6823</v>
      </c>
      <c r="AL995" s="13" t="s">
        <v>4741</v>
      </c>
    </row>
    <row r="996">
      <c r="A996" s="5" t="s">
        <v>6829</v>
      </c>
      <c r="B996" s="5" t="s">
        <v>6830</v>
      </c>
      <c r="C996" s="5" t="s">
        <v>6831</v>
      </c>
      <c r="D996" s="5" t="s">
        <v>8</v>
      </c>
      <c r="E996" s="6"/>
      <c r="F996" s="6"/>
      <c r="G996" s="7" t="s">
        <v>6832</v>
      </c>
      <c r="I996" s="8" t="s">
        <v>6833</v>
      </c>
      <c r="J996" s="9">
        <v>26.9</v>
      </c>
      <c r="K996" s="10" t="s">
        <v>11</v>
      </c>
      <c r="L996" s="6"/>
      <c r="M996" s="11" t="s">
        <v>12</v>
      </c>
      <c r="N996" s="6" t="s">
        <v>6834</v>
      </c>
      <c r="O996" s="6" t="s">
        <v>6835</v>
      </c>
      <c r="P996" s="10" t="s">
        <v>15</v>
      </c>
      <c r="Q996" s="6"/>
      <c r="R996" s="6"/>
      <c r="S996" s="6"/>
      <c r="T996" s="6" t="s">
        <v>16</v>
      </c>
      <c r="U996" s="9" t="s">
        <v>17</v>
      </c>
      <c r="AI996" s="6" t="s">
        <v>4739</v>
      </c>
      <c r="AJ996" s="12" t="s">
        <v>6836</v>
      </c>
      <c r="AL996" s="13" t="s">
        <v>4741</v>
      </c>
    </row>
    <row r="997">
      <c r="A997" s="5" t="s">
        <v>6837</v>
      </c>
      <c r="B997" s="5" t="s">
        <v>6838</v>
      </c>
      <c r="C997" s="5" t="s">
        <v>6831</v>
      </c>
      <c r="D997" s="17" t="s">
        <v>507</v>
      </c>
      <c r="E997" s="6"/>
      <c r="F997" s="6"/>
      <c r="G997" s="7" t="s">
        <v>6839</v>
      </c>
      <c r="I997" s="8" t="s">
        <v>6840</v>
      </c>
      <c r="J997" s="9">
        <v>41.9</v>
      </c>
      <c r="K997" s="10" t="s">
        <v>11</v>
      </c>
      <c r="L997" s="6"/>
      <c r="M997" s="11" t="s">
        <v>12</v>
      </c>
      <c r="N997" s="6" t="s">
        <v>6841</v>
      </c>
      <c r="O997" s="6" t="s">
        <v>6842</v>
      </c>
      <c r="P997" s="10" t="s">
        <v>15</v>
      </c>
      <c r="Q997" s="6"/>
      <c r="R997" s="6"/>
      <c r="S997" s="6"/>
      <c r="T997" s="6" t="s">
        <v>16</v>
      </c>
      <c r="U997" s="9" t="s">
        <v>17</v>
      </c>
      <c r="AI997" s="6" t="s">
        <v>4739</v>
      </c>
      <c r="AJ997" s="12" t="s">
        <v>6836</v>
      </c>
      <c r="AL997" s="13" t="s">
        <v>4741</v>
      </c>
    </row>
    <row r="998">
      <c r="A998" s="5" t="s">
        <v>6843</v>
      </c>
      <c r="B998" s="5" t="s">
        <v>6844</v>
      </c>
      <c r="C998" s="5" t="s">
        <v>6845</v>
      </c>
      <c r="D998" s="5" t="s">
        <v>8</v>
      </c>
      <c r="E998" s="6"/>
      <c r="F998" s="6"/>
      <c r="G998" s="7" t="s">
        <v>6846</v>
      </c>
      <c r="I998" s="8" t="s">
        <v>6847</v>
      </c>
      <c r="J998" s="9">
        <v>28.9</v>
      </c>
      <c r="K998" s="10" t="s">
        <v>11</v>
      </c>
      <c r="L998" s="6"/>
      <c r="M998" s="11" t="s">
        <v>12</v>
      </c>
      <c r="N998" s="6" t="s">
        <v>6848</v>
      </c>
      <c r="O998" s="6" t="s">
        <v>6849</v>
      </c>
      <c r="P998" s="10" t="s">
        <v>15</v>
      </c>
      <c r="Q998" s="6"/>
      <c r="R998" s="6"/>
      <c r="S998" s="6"/>
      <c r="T998" s="6" t="s">
        <v>16</v>
      </c>
      <c r="U998" s="9" t="s">
        <v>17</v>
      </c>
      <c r="AI998" s="6" t="s">
        <v>4739</v>
      </c>
      <c r="AJ998" s="12" t="s">
        <v>6850</v>
      </c>
      <c r="AL998" s="13" t="s">
        <v>4741</v>
      </c>
    </row>
    <row r="999">
      <c r="A999" s="5" t="s">
        <v>6851</v>
      </c>
      <c r="B999" s="5" t="s">
        <v>6852</v>
      </c>
      <c r="C999" s="5" t="s">
        <v>6845</v>
      </c>
      <c r="D999" s="5" t="s">
        <v>8</v>
      </c>
      <c r="E999" s="6"/>
      <c r="F999" s="6"/>
      <c r="G999" s="7" t="s">
        <v>6853</v>
      </c>
      <c r="I999" s="8" t="s">
        <v>6854</v>
      </c>
      <c r="J999" s="9">
        <v>39.9</v>
      </c>
      <c r="K999" s="10" t="s">
        <v>11</v>
      </c>
      <c r="L999" s="6"/>
      <c r="M999" s="11" t="s">
        <v>12</v>
      </c>
      <c r="N999" s="6" t="s">
        <v>6855</v>
      </c>
      <c r="O999" s="6" t="s">
        <v>6856</v>
      </c>
      <c r="P999" s="10" t="s">
        <v>15</v>
      </c>
      <c r="Q999" s="6"/>
      <c r="R999" s="6"/>
      <c r="S999" s="6"/>
      <c r="T999" s="6" t="s">
        <v>16</v>
      </c>
      <c r="U999" s="9" t="s">
        <v>17</v>
      </c>
      <c r="AI999" s="6" t="s">
        <v>4739</v>
      </c>
      <c r="AJ999" s="12" t="s">
        <v>6850</v>
      </c>
      <c r="AL999" s="13" t="s">
        <v>4741</v>
      </c>
    </row>
    <row r="1000">
      <c r="A1000" s="5" t="s">
        <v>6857</v>
      </c>
      <c r="B1000" s="5" t="s">
        <v>6858</v>
      </c>
      <c r="C1000" s="5" t="s">
        <v>6859</v>
      </c>
      <c r="D1000" s="5" t="s">
        <v>8</v>
      </c>
      <c r="E1000" s="6"/>
      <c r="F1000" s="6"/>
      <c r="G1000" s="7" t="s">
        <v>6860</v>
      </c>
      <c r="I1000" s="8" t="s">
        <v>6861</v>
      </c>
      <c r="J1000" s="9">
        <v>27.9</v>
      </c>
      <c r="K1000" s="10" t="s">
        <v>11</v>
      </c>
      <c r="L1000" s="6"/>
      <c r="M1000" s="11" t="s">
        <v>12</v>
      </c>
      <c r="N1000" s="6" t="s">
        <v>6862</v>
      </c>
      <c r="O1000" s="6" t="s">
        <v>6863</v>
      </c>
      <c r="P1000" s="10" t="s">
        <v>15</v>
      </c>
      <c r="Q1000" s="6"/>
      <c r="R1000" s="6"/>
      <c r="S1000" s="6"/>
      <c r="T1000" s="6" t="s">
        <v>16</v>
      </c>
      <c r="U1000" s="9" t="s">
        <v>17</v>
      </c>
      <c r="AI1000" s="6" t="s">
        <v>4739</v>
      </c>
      <c r="AJ1000" s="12" t="s">
        <v>6864</v>
      </c>
      <c r="AL1000" s="13" t="s">
        <v>4741</v>
      </c>
    </row>
    <row r="1001">
      <c r="A1001" s="5" t="s">
        <v>6865</v>
      </c>
      <c r="B1001" s="5" t="s">
        <v>6866</v>
      </c>
      <c r="C1001" s="5" t="s">
        <v>6859</v>
      </c>
      <c r="D1001" s="5" t="s">
        <v>8</v>
      </c>
      <c r="E1001" s="6"/>
      <c r="F1001" s="6"/>
      <c r="G1001" s="7" t="s">
        <v>6867</v>
      </c>
      <c r="I1001" s="8" t="s">
        <v>6868</v>
      </c>
      <c r="J1001" s="9">
        <v>38.9</v>
      </c>
      <c r="K1001" s="10" t="s">
        <v>11</v>
      </c>
      <c r="L1001" s="6"/>
      <c r="M1001" s="11" t="s">
        <v>12</v>
      </c>
      <c r="N1001" s="6" t="s">
        <v>6869</v>
      </c>
      <c r="O1001" s="6" t="s">
        <v>6870</v>
      </c>
      <c r="P1001" s="10" t="s">
        <v>15</v>
      </c>
      <c r="Q1001" s="6"/>
      <c r="R1001" s="6"/>
      <c r="S1001" s="6"/>
      <c r="T1001" s="6" t="s">
        <v>16</v>
      </c>
      <c r="U1001" s="9" t="s">
        <v>17</v>
      </c>
      <c r="AI1001" s="6" t="s">
        <v>4739</v>
      </c>
      <c r="AJ1001" s="12" t="s">
        <v>6864</v>
      </c>
      <c r="AL1001" s="13" t="s">
        <v>4741</v>
      </c>
    </row>
    <row r="1002">
      <c r="A1002" s="5" t="s">
        <v>6871</v>
      </c>
      <c r="B1002" s="5" t="s">
        <v>6872</v>
      </c>
      <c r="C1002" s="5" t="s">
        <v>6873</v>
      </c>
      <c r="D1002" s="5" t="s">
        <v>8</v>
      </c>
      <c r="E1002" s="6"/>
      <c r="F1002" s="6"/>
      <c r="G1002" s="7" t="s">
        <v>6874</v>
      </c>
      <c r="I1002" s="8" t="s">
        <v>6875</v>
      </c>
      <c r="J1002" s="9">
        <v>28.9</v>
      </c>
      <c r="K1002" s="10" t="s">
        <v>11</v>
      </c>
      <c r="L1002" s="6"/>
      <c r="M1002" s="11" t="s">
        <v>12</v>
      </c>
      <c r="N1002" s="6" t="s">
        <v>6876</v>
      </c>
      <c r="O1002" s="6" t="s">
        <v>6877</v>
      </c>
      <c r="P1002" s="10" t="s">
        <v>15</v>
      </c>
      <c r="Q1002" s="6"/>
      <c r="R1002" s="6"/>
      <c r="S1002" s="6"/>
      <c r="T1002" s="6" t="s">
        <v>16</v>
      </c>
      <c r="U1002" s="9" t="s">
        <v>17</v>
      </c>
      <c r="AI1002" s="6" t="s">
        <v>4739</v>
      </c>
      <c r="AJ1002" s="12" t="s">
        <v>6878</v>
      </c>
      <c r="AL1002" s="13" t="s">
        <v>4741</v>
      </c>
    </row>
    <row r="1003">
      <c r="A1003" s="5" t="s">
        <v>6879</v>
      </c>
      <c r="B1003" s="5" t="s">
        <v>6880</v>
      </c>
      <c r="C1003" s="5" t="s">
        <v>6873</v>
      </c>
      <c r="D1003" s="5" t="s">
        <v>8</v>
      </c>
      <c r="E1003" s="6"/>
      <c r="F1003" s="6"/>
      <c r="G1003" s="7" t="s">
        <v>6881</v>
      </c>
      <c r="I1003" s="8" t="s">
        <v>6882</v>
      </c>
      <c r="J1003" s="9">
        <v>39.9</v>
      </c>
      <c r="K1003" s="10" t="s">
        <v>11</v>
      </c>
      <c r="L1003" s="6"/>
      <c r="M1003" s="11" t="s">
        <v>12</v>
      </c>
      <c r="N1003" s="6" t="s">
        <v>6883</v>
      </c>
      <c r="O1003" s="6" t="s">
        <v>6884</v>
      </c>
      <c r="P1003" s="10" t="s">
        <v>15</v>
      </c>
      <c r="Q1003" s="6"/>
      <c r="R1003" s="6"/>
      <c r="S1003" s="6"/>
      <c r="T1003" s="6" t="s">
        <v>16</v>
      </c>
      <c r="U1003" s="9" t="s">
        <v>17</v>
      </c>
      <c r="AI1003" s="6" t="s">
        <v>4739</v>
      </c>
      <c r="AJ1003" s="12" t="s">
        <v>6878</v>
      </c>
      <c r="AL1003" s="13" t="s">
        <v>4741</v>
      </c>
    </row>
    <row r="1004">
      <c r="A1004" s="5" t="s">
        <v>6885</v>
      </c>
      <c r="B1004" s="5" t="s">
        <v>6886</v>
      </c>
      <c r="C1004" s="5" t="s">
        <v>6887</v>
      </c>
      <c r="D1004" s="5" t="s">
        <v>8</v>
      </c>
      <c r="E1004" s="6"/>
      <c r="F1004" s="6"/>
      <c r="G1004" s="7" t="s">
        <v>6888</v>
      </c>
      <c r="I1004" s="8" t="s">
        <v>6889</v>
      </c>
      <c r="J1004" s="9">
        <v>27.9</v>
      </c>
      <c r="K1004" s="10" t="s">
        <v>11</v>
      </c>
      <c r="L1004" s="6"/>
      <c r="M1004" s="11" t="s">
        <v>12</v>
      </c>
      <c r="N1004" s="6" t="s">
        <v>6890</v>
      </c>
      <c r="O1004" s="6" t="s">
        <v>6891</v>
      </c>
      <c r="P1004" s="10" t="s">
        <v>15</v>
      </c>
      <c r="Q1004" s="6"/>
      <c r="R1004" s="6"/>
      <c r="S1004" s="6"/>
      <c r="T1004" s="6" t="s">
        <v>16</v>
      </c>
      <c r="U1004" s="9" t="s">
        <v>17</v>
      </c>
      <c r="AI1004" s="6" t="s">
        <v>4739</v>
      </c>
      <c r="AJ1004" s="12" t="s">
        <v>6892</v>
      </c>
      <c r="AL1004" s="13" t="s">
        <v>4741</v>
      </c>
    </row>
    <row r="1005">
      <c r="A1005" s="5" t="s">
        <v>6893</v>
      </c>
      <c r="B1005" s="5" t="s">
        <v>6894</v>
      </c>
      <c r="C1005" s="5" t="s">
        <v>6887</v>
      </c>
      <c r="D1005" s="5" t="s">
        <v>8</v>
      </c>
      <c r="E1005" s="6"/>
      <c r="F1005" s="6"/>
      <c r="G1005" s="7" t="s">
        <v>6895</v>
      </c>
      <c r="I1005" s="8" t="s">
        <v>6896</v>
      </c>
      <c r="J1005" s="9">
        <v>38.9</v>
      </c>
      <c r="K1005" s="10" t="s">
        <v>11</v>
      </c>
      <c r="L1005" s="6"/>
      <c r="M1005" s="11" t="s">
        <v>12</v>
      </c>
      <c r="N1005" s="6" t="s">
        <v>6897</v>
      </c>
      <c r="O1005" s="6" t="s">
        <v>6898</v>
      </c>
      <c r="P1005" s="10" t="s">
        <v>15</v>
      </c>
      <c r="Q1005" s="6"/>
      <c r="R1005" s="6"/>
      <c r="S1005" s="6"/>
      <c r="T1005" s="6" t="s">
        <v>16</v>
      </c>
      <c r="U1005" s="9" t="s">
        <v>17</v>
      </c>
      <c r="AI1005" s="6" t="s">
        <v>4739</v>
      </c>
      <c r="AJ1005" s="12" t="s">
        <v>6892</v>
      </c>
      <c r="AL1005" s="13" t="s">
        <v>4741</v>
      </c>
    </row>
    <row r="1006">
      <c r="A1006" s="5" t="s">
        <v>6899</v>
      </c>
      <c r="B1006" s="5" t="s">
        <v>6900</v>
      </c>
      <c r="C1006" s="5" t="s">
        <v>6901</v>
      </c>
      <c r="D1006" s="17" t="s">
        <v>507</v>
      </c>
      <c r="E1006" s="6"/>
      <c r="F1006" s="6"/>
      <c r="G1006" s="7" t="s">
        <v>6902</v>
      </c>
      <c r="I1006" s="8" t="s">
        <v>6903</v>
      </c>
      <c r="J1006" s="9">
        <v>27.9</v>
      </c>
      <c r="K1006" s="10" t="s">
        <v>11</v>
      </c>
      <c r="L1006" s="6"/>
      <c r="M1006" s="11" t="s">
        <v>12</v>
      </c>
      <c r="N1006" s="6" t="s">
        <v>6904</v>
      </c>
      <c r="O1006" s="6" t="s">
        <v>6905</v>
      </c>
      <c r="P1006" s="10" t="s">
        <v>15</v>
      </c>
      <c r="Q1006" s="6"/>
      <c r="R1006" s="6"/>
      <c r="S1006" s="6"/>
      <c r="T1006" s="6" t="s">
        <v>16</v>
      </c>
      <c r="U1006" s="9" t="s">
        <v>17</v>
      </c>
      <c r="AI1006" s="6" t="s">
        <v>4739</v>
      </c>
      <c r="AJ1006" s="12" t="s">
        <v>6906</v>
      </c>
      <c r="AL1006" s="13" t="s">
        <v>4741</v>
      </c>
    </row>
    <row r="1007">
      <c r="A1007" s="5" t="s">
        <v>6907</v>
      </c>
      <c r="B1007" s="5" t="s">
        <v>6908</v>
      </c>
      <c r="C1007" s="5" t="s">
        <v>6901</v>
      </c>
      <c r="D1007" s="17" t="s">
        <v>507</v>
      </c>
      <c r="E1007" s="6"/>
      <c r="F1007" s="6"/>
      <c r="G1007" s="7" t="s">
        <v>6909</v>
      </c>
      <c r="I1007" s="8" t="s">
        <v>6910</v>
      </c>
      <c r="J1007" s="9">
        <v>38.9</v>
      </c>
      <c r="K1007" s="10" t="s">
        <v>11</v>
      </c>
      <c r="L1007" s="6"/>
      <c r="M1007" s="11" t="s">
        <v>12</v>
      </c>
      <c r="N1007" s="6" t="s">
        <v>6911</v>
      </c>
      <c r="O1007" s="6" t="s">
        <v>6912</v>
      </c>
      <c r="P1007" s="10" t="s">
        <v>15</v>
      </c>
      <c r="Q1007" s="6"/>
      <c r="R1007" s="6"/>
      <c r="S1007" s="6"/>
      <c r="T1007" s="6" t="s">
        <v>16</v>
      </c>
      <c r="U1007" s="9" t="s">
        <v>17</v>
      </c>
      <c r="AI1007" s="6" t="s">
        <v>4739</v>
      </c>
      <c r="AJ1007" s="12" t="s">
        <v>6906</v>
      </c>
      <c r="AL1007" s="13" t="s">
        <v>4741</v>
      </c>
    </row>
    <row r="1008">
      <c r="A1008" s="5" t="s">
        <v>6913</v>
      </c>
      <c r="B1008" s="5" t="s">
        <v>6914</v>
      </c>
      <c r="C1008" s="5" t="s">
        <v>6915</v>
      </c>
      <c r="D1008" s="17" t="s">
        <v>507</v>
      </c>
      <c r="E1008" s="6"/>
      <c r="F1008" s="6"/>
      <c r="G1008" s="7" t="s">
        <v>6916</v>
      </c>
      <c r="I1008" s="8" t="s">
        <v>6917</v>
      </c>
      <c r="J1008" s="9">
        <v>29.9</v>
      </c>
      <c r="K1008" s="10" t="s">
        <v>11</v>
      </c>
      <c r="L1008" s="6"/>
      <c r="M1008" s="11" t="s">
        <v>12</v>
      </c>
      <c r="N1008" s="6" t="s">
        <v>6918</v>
      </c>
      <c r="O1008" s="6" t="s">
        <v>6919</v>
      </c>
      <c r="P1008" s="10" t="s">
        <v>15</v>
      </c>
      <c r="Q1008" s="6"/>
      <c r="R1008" s="6"/>
      <c r="S1008" s="6"/>
      <c r="T1008" s="6" t="s">
        <v>16</v>
      </c>
      <c r="U1008" s="9" t="s">
        <v>17</v>
      </c>
      <c r="AI1008" s="6" t="s">
        <v>4739</v>
      </c>
      <c r="AJ1008" s="12" t="s">
        <v>6920</v>
      </c>
      <c r="AL1008" s="13" t="s">
        <v>4741</v>
      </c>
    </row>
    <row r="1009">
      <c r="A1009" s="5" t="s">
        <v>6921</v>
      </c>
      <c r="B1009" s="5" t="s">
        <v>6922</v>
      </c>
      <c r="C1009" s="5" t="s">
        <v>6915</v>
      </c>
      <c r="D1009" s="17" t="s">
        <v>507</v>
      </c>
      <c r="E1009" s="6"/>
      <c r="F1009" s="6"/>
      <c r="G1009" s="7" t="s">
        <v>6923</v>
      </c>
      <c r="I1009" s="8" t="s">
        <v>6924</v>
      </c>
      <c r="J1009" s="9">
        <v>41.9</v>
      </c>
      <c r="K1009" s="10" t="s">
        <v>11</v>
      </c>
      <c r="L1009" s="6"/>
      <c r="M1009" s="11" t="s">
        <v>12</v>
      </c>
      <c r="N1009" s="6" t="s">
        <v>6925</v>
      </c>
      <c r="O1009" s="6" t="s">
        <v>6926</v>
      </c>
      <c r="P1009" s="10" t="s">
        <v>15</v>
      </c>
      <c r="Q1009" s="6"/>
      <c r="R1009" s="6"/>
      <c r="S1009" s="6"/>
      <c r="T1009" s="6" t="s">
        <v>16</v>
      </c>
      <c r="U1009" s="9" t="s">
        <v>17</v>
      </c>
      <c r="AI1009" s="6" t="s">
        <v>4739</v>
      </c>
      <c r="AJ1009" s="12" t="s">
        <v>6920</v>
      </c>
      <c r="AL1009" s="13" t="s">
        <v>4741</v>
      </c>
    </row>
    <row r="1010">
      <c r="A1010" s="5" t="s">
        <v>6927</v>
      </c>
      <c r="B1010" s="5" t="s">
        <v>6928</v>
      </c>
      <c r="C1010" s="5" t="s">
        <v>6929</v>
      </c>
      <c r="D1010" s="17" t="s">
        <v>507</v>
      </c>
      <c r="E1010" s="6"/>
      <c r="F1010" s="6"/>
      <c r="G1010" s="7" t="s">
        <v>6930</v>
      </c>
      <c r="I1010" s="8" t="s">
        <v>6931</v>
      </c>
      <c r="J1010" s="9">
        <v>29.9</v>
      </c>
      <c r="K1010" s="10" t="s">
        <v>11</v>
      </c>
      <c r="L1010" s="6"/>
      <c r="M1010" s="11" t="s">
        <v>12</v>
      </c>
      <c r="N1010" s="6" t="s">
        <v>6932</v>
      </c>
      <c r="O1010" s="6" t="s">
        <v>6933</v>
      </c>
      <c r="P1010" s="10" t="s">
        <v>15</v>
      </c>
      <c r="Q1010" s="6"/>
      <c r="R1010" s="6"/>
      <c r="S1010" s="6"/>
      <c r="T1010" s="6" t="s">
        <v>16</v>
      </c>
      <c r="U1010" s="9" t="s">
        <v>17</v>
      </c>
      <c r="AI1010" s="6" t="s">
        <v>4739</v>
      </c>
      <c r="AJ1010" s="12" t="s">
        <v>6934</v>
      </c>
      <c r="AL1010" s="13" t="s">
        <v>4741</v>
      </c>
    </row>
    <row r="1011">
      <c r="A1011" s="5" t="s">
        <v>6935</v>
      </c>
      <c r="B1011" s="5" t="s">
        <v>6936</v>
      </c>
      <c r="C1011" s="5" t="s">
        <v>6929</v>
      </c>
      <c r="D1011" s="17" t="s">
        <v>507</v>
      </c>
      <c r="E1011" s="6"/>
      <c r="F1011" s="6"/>
      <c r="G1011" s="7" t="s">
        <v>6937</v>
      </c>
      <c r="I1011" s="8" t="s">
        <v>6938</v>
      </c>
      <c r="J1011" s="9">
        <v>41.9</v>
      </c>
      <c r="K1011" s="10" t="s">
        <v>11</v>
      </c>
      <c r="L1011" s="6"/>
      <c r="M1011" s="11" t="s">
        <v>12</v>
      </c>
      <c r="N1011" s="6" t="s">
        <v>6939</v>
      </c>
      <c r="O1011" s="6" t="s">
        <v>6940</v>
      </c>
      <c r="P1011" s="10" t="s">
        <v>15</v>
      </c>
      <c r="Q1011" s="6"/>
      <c r="R1011" s="6"/>
      <c r="S1011" s="6"/>
      <c r="T1011" s="6" t="s">
        <v>16</v>
      </c>
      <c r="U1011" s="9" t="s">
        <v>17</v>
      </c>
      <c r="AI1011" s="6" t="s">
        <v>4739</v>
      </c>
      <c r="AJ1011" s="12" t="s">
        <v>6934</v>
      </c>
      <c r="AL1011" s="13" t="s">
        <v>4741</v>
      </c>
    </row>
    <row r="1012">
      <c r="A1012" s="5" t="s">
        <v>6941</v>
      </c>
      <c r="B1012" s="5" t="s">
        <v>6942</v>
      </c>
      <c r="C1012" s="5" t="s">
        <v>6943</v>
      </c>
      <c r="D1012" s="17" t="s">
        <v>507</v>
      </c>
      <c r="E1012" s="6"/>
      <c r="F1012" s="6"/>
      <c r="G1012" s="7" t="s">
        <v>6944</v>
      </c>
      <c r="I1012" s="8" t="s">
        <v>6945</v>
      </c>
      <c r="J1012" s="9">
        <v>27.9</v>
      </c>
      <c r="K1012" s="10" t="s">
        <v>11</v>
      </c>
      <c r="L1012" s="6"/>
      <c r="M1012" s="11" t="s">
        <v>12</v>
      </c>
      <c r="N1012" s="6" t="s">
        <v>6946</v>
      </c>
      <c r="O1012" s="6" t="s">
        <v>6947</v>
      </c>
      <c r="P1012" s="10" t="s">
        <v>15</v>
      </c>
      <c r="Q1012" s="6"/>
      <c r="R1012" s="6"/>
      <c r="S1012" s="6"/>
      <c r="T1012" s="6" t="s">
        <v>16</v>
      </c>
      <c r="U1012" s="9" t="s">
        <v>17</v>
      </c>
      <c r="AI1012" s="6" t="s">
        <v>4739</v>
      </c>
      <c r="AJ1012" s="12" t="s">
        <v>6948</v>
      </c>
      <c r="AL1012" s="13" t="s">
        <v>4741</v>
      </c>
    </row>
    <row r="1013">
      <c r="A1013" s="5" t="s">
        <v>6949</v>
      </c>
      <c r="B1013" s="5" t="s">
        <v>6950</v>
      </c>
      <c r="C1013" s="5" t="s">
        <v>6943</v>
      </c>
      <c r="D1013" s="17" t="s">
        <v>507</v>
      </c>
      <c r="E1013" s="6"/>
      <c r="F1013" s="6"/>
      <c r="G1013" s="7" t="s">
        <v>6951</v>
      </c>
      <c r="I1013" s="8" t="s">
        <v>6952</v>
      </c>
      <c r="J1013" s="9">
        <v>38.9</v>
      </c>
      <c r="K1013" s="10" t="s">
        <v>11</v>
      </c>
      <c r="L1013" s="6"/>
      <c r="M1013" s="11" t="s">
        <v>12</v>
      </c>
      <c r="N1013" s="6" t="s">
        <v>6953</v>
      </c>
      <c r="O1013" s="6" t="s">
        <v>6954</v>
      </c>
      <c r="P1013" s="10" t="s">
        <v>15</v>
      </c>
      <c r="Q1013" s="6"/>
      <c r="R1013" s="6"/>
      <c r="S1013" s="6"/>
      <c r="T1013" s="6" t="s">
        <v>16</v>
      </c>
      <c r="U1013" s="9" t="s">
        <v>17</v>
      </c>
      <c r="AI1013" s="6" t="s">
        <v>4739</v>
      </c>
      <c r="AJ1013" s="12" t="s">
        <v>6948</v>
      </c>
      <c r="AL1013" s="13" t="s">
        <v>4741</v>
      </c>
    </row>
    <row r="1014">
      <c r="A1014" s="5" t="s">
        <v>6955</v>
      </c>
      <c r="B1014" s="5" t="s">
        <v>6956</v>
      </c>
      <c r="C1014" s="5" t="s">
        <v>6957</v>
      </c>
      <c r="D1014" s="5" t="s">
        <v>8</v>
      </c>
      <c r="E1014" s="6"/>
      <c r="F1014" s="6"/>
      <c r="G1014" s="7" t="s">
        <v>6958</v>
      </c>
      <c r="I1014" s="8" t="s">
        <v>6959</v>
      </c>
      <c r="J1014" s="9">
        <v>28.9</v>
      </c>
      <c r="K1014" s="10" t="s">
        <v>11</v>
      </c>
      <c r="L1014" s="6"/>
      <c r="M1014" s="11" t="s">
        <v>12</v>
      </c>
      <c r="N1014" s="6" t="s">
        <v>6960</v>
      </c>
      <c r="O1014" s="6" t="s">
        <v>6961</v>
      </c>
      <c r="P1014" s="10" t="s">
        <v>15</v>
      </c>
      <c r="Q1014" s="6"/>
      <c r="R1014" s="6"/>
      <c r="S1014" s="6"/>
      <c r="T1014" s="6" t="s">
        <v>16</v>
      </c>
      <c r="U1014" s="9" t="s">
        <v>17</v>
      </c>
      <c r="AI1014" s="6" t="s">
        <v>4739</v>
      </c>
      <c r="AJ1014" s="12" t="s">
        <v>6962</v>
      </c>
      <c r="AL1014" s="13" t="s">
        <v>4741</v>
      </c>
    </row>
    <row r="1015">
      <c r="A1015" s="5" t="s">
        <v>6963</v>
      </c>
      <c r="B1015" s="5" t="s">
        <v>6964</v>
      </c>
      <c r="C1015" s="5" t="s">
        <v>6957</v>
      </c>
      <c r="D1015" s="5" t="s">
        <v>8</v>
      </c>
      <c r="E1015" s="6"/>
      <c r="F1015" s="6"/>
      <c r="G1015" s="7" t="s">
        <v>6965</v>
      </c>
      <c r="I1015" s="8" t="s">
        <v>6966</v>
      </c>
      <c r="J1015" s="9">
        <v>39.9</v>
      </c>
      <c r="K1015" s="10" t="s">
        <v>11</v>
      </c>
      <c r="L1015" s="6"/>
      <c r="M1015" s="11" t="s">
        <v>12</v>
      </c>
      <c r="N1015" s="6" t="s">
        <v>6967</v>
      </c>
      <c r="O1015" s="6" t="s">
        <v>6968</v>
      </c>
      <c r="P1015" s="10" t="s">
        <v>15</v>
      </c>
      <c r="Q1015" s="6"/>
      <c r="R1015" s="6"/>
      <c r="S1015" s="6"/>
      <c r="T1015" s="6" t="s">
        <v>16</v>
      </c>
      <c r="U1015" s="9" t="s">
        <v>17</v>
      </c>
      <c r="AI1015" s="6" t="s">
        <v>4739</v>
      </c>
      <c r="AJ1015" s="12" t="s">
        <v>6962</v>
      </c>
      <c r="AL1015" s="13" t="s">
        <v>4741</v>
      </c>
    </row>
    <row r="1016">
      <c r="A1016" s="5" t="s">
        <v>6969</v>
      </c>
      <c r="B1016" s="5" t="s">
        <v>6970</v>
      </c>
      <c r="C1016" s="5" t="s">
        <v>6971</v>
      </c>
      <c r="D1016" s="5" t="s">
        <v>8</v>
      </c>
      <c r="E1016" s="6"/>
      <c r="F1016" s="6"/>
      <c r="G1016" s="7" t="s">
        <v>6972</v>
      </c>
      <c r="I1016" s="8" t="s">
        <v>6973</v>
      </c>
      <c r="J1016" s="9">
        <v>36.9</v>
      </c>
      <c r="K1016" s="10" t="s">
        <v>11</v>
      </c>
      <c r="L1016" s="6"/>
      <c r="M1016" s="11" t="s">
        <v>12</v>
      </c>
      <c r="N1016" s="6" t="s">
        <v>6974</v>
      </c>
      <c r="O1016" s="6" t="s">
        <v>6975</v>
      </c>
      <c r="P1016" s="10" t="s">
        <v>15</v>
      </c>
      <c r="Q1016" s="6"/>
      <c r="R1016" s="6"/>
      <c r="S1016" s="6"/>
      <c r="T1016" s="6" t="s">
        <v>16</v>
      </c>
      <c r="U1016" s="9" t="s">
        <v>17</v>
      </c>
      <c r="AI1016" s="6" t="s">
        <v>6976</v>
      </c>
      <c r="AJ1016" s="12" t="s">
        <v>6977</v>
      </c>
      <c r="AL1016" s="13" t="s">
        <v>4741</v>
      </c>
    </row>
    <row r="1017">
      <c r="A1017" s="5" t="s">
        <v>6978</v>
      </c>
      <c r="B1017" s="5" t="s">
        <v>6979</v>
      </c>
      <c r="C1017" s="5" t="s">
        <v>6980</v>
      </c>
      <c r="D1017" s="5" t="s">
        <v>8</v>
      </c>
      <c r="E1017" s="6"/>
      <c r="F1017" s="6"/>
      <c r="G1017" s="7" t="s">
        <v>6981</v>
      </c>
      <c r="I1017" s="8" t="s">
        <v>6982</v>
      </c>
      <c r="J1017" s="9">
        <v>36.9</v>
      </c>
      <c r="K1017" s="10" t="s">
        <v>11</v>
      </c>
      <c r="L1017" s="6"/>
      <c r="M1017" s="11" t="s">
        <v>12</v>
      </c>
      <c r="N1017" s="6" t="s">
        <v>6983</v>
      </c>
      <c r="O1017" s="6" t="s">
        <v>6984</v>
      </c>
      <c r="P1017" s="10" t="s">
        <v>15</v>
      </c>
      <c r="Q1017" s="6"/>
      <c r="R1017" s="6"/>
      <c r="S1017" s="6"/>
      <c r="T1017" s="6" t="s">
        <v>16</v>
      </c>
      <c r="U1017" s="9" t="s">
        <v>17</v>
      </c>
      <c r="AI1017" s="6" t="s">
        <v>6976</v>
      </c>
      <c r="AJ1017" s="12" t="s">
        <v>6985</v>
      </c>
      <c r="AL1017" s="13" t="s">
        <v>4741</v>
      </c>
    </row>
    <row r="1018">
      <c r="A1018" s="5" t="s">
        <v>6986</v>
      </c>
      <c r="B1018" s="5" t="s">
        <v>6987</v>
      </c>
      <c r="C1018" s="5" t="s">
        <v>6988</v>
      </c>
      <c r="D1018" s="5" t="s">
        <v>8</v>
      </c>
      <c r="E1018" s="6"/>
      <c r="F1018" s="6"/>
      <c r="G1018" s="7" t="s">
        <v>6989</v>
      </c>
      <c r="I1018" s="8" t="s">
        <v>6990</v>
      </c>
      <c r="J1018" s="9">
        <v>41.9</v>
      </c>
      <c r="K1018" s="10" t="s">
        <v>11</v>
      </c>
      <c r="L1018" s="6"/>
      <c r="M1018" s="11" t="s">
        <v>12</v>
      </c>
      <c r="N1018" s="6" t="s">
        <v>6991</v>
      </c>
      <c r="O1018" s="6" t="s">
        <v>6992</v>
      </c>
      <c r="P1018" s="10" t="s">
        <v>15</v>
      </c>
      <c r="Q1018" s="6"/>
      <c r="R1018" s="6"/>
      <c r="S1018" s="6"/>
      <c r="T1018" s="6" t="s">
        <v>16</v>
      </c>
      <c r="U1018" s="9" t="s">
        <v>17</v>
      </c>
      <c r="AI1018" s="6" t="s">
        <v>6976</v>
      </c>
      <c r="AJ1018" s="12" t="s">
        <v>6993</v>
      </c>
      <c r="AL1018" s="13" t="s">
        <v>4741</v>
      </c>
    </row>
    <row r="1019">
      <c r="A1019" s="5" t="s">
        <v>6994</v>
      </c>
      <c r="B1019" s="5" t="s">
        <v>6995</v>
      </c>
      <c r="C1019" s="5" t="s">
        <v>6996</v>
      </c>
      <c r="D1019" s="5" t="s">
        <v>8</v>
      </c>
      <c r="E1019" s="6"/>
      <c r="F1019" s="6"/>
      <c r="G1019" s="7" t="s">
        <v>6997</v>
      </c>
      <c r="I1019" s="8" t="s">
        <v>6998</v>
      </c>
      <c r="J1019" s="9">
        <v>37.9</v>
      </c>
      <c r="K1019" s="10" t="s">
        <v>11</v>
      </c>
      <c r="L1019" s="6"/>
      <c r="M1019" s="11" t="s">
        <v>12</v>
      </c>
      <c r="N1019" s="6" t="s">
        <v>6999</v>
      </c>
      <c r="O1019" s="6" t="s">
        <v>7000</v>
      </c>
      <c r="P1019" s="10" t="s">
        <v>15</v>
      </c>
      <c r="Q1019" s="6"/>
      <c r="R1019" s="6"/>
      <c r="S1019" s="6"/>
      <c r="T1019" s="6" t="s">
        <v>16</v>
      </c>
      <c r="U1019" s="9" t="s">
        <v>17</v>
      </c>
      <c r="AI1019" s="6" t="s">
        <v>6976</v>
      </c>
      <c r="AJ1019" s="12" t="s">
        <v>7001</v>
      </c>
      <c r="AL1019" s="13" t="s">
        <v>4741</v>
      </c>
    </row>
    <row r="1020">
      <c r="A1020" s="5" t="s">
        <v>7002</v>
      </c>
      <c r="B1020" s="5" t="s">
        <v>7003</v>
      </c>
      <c r="C1020" s="5" t="s">
        <v>7004</v>
      </c>
      <c r="D1020" s="5" t="s">
        <v>8</v>
      </c>
      <c r="E1020" s="6"/>
      <c r="F1020" s="6"/>
      <c r="G1020" s="7" t="s">
        <v>7005</v>
      </c>
      <c r="I1020" s="8" t="s">
        <v>7006</v>
      </c>
      <c r="J1020" s="9">
        <v>37.9</v>
      </c>
      <c r="K1020" s="10" t="s">
        <v>11</v>
      </c>
      <c r="L1020" s="6"/>
      <c r="M1020" s="11" t="s">
        <v>12</v>
      </c>
      <c r="N1020" s="6" t="s">
        <v>7007</v>
      </c>
      <c r="O1020" s="6" t="s">
        <v>7008</v>
      </c>
      <c r="P1020" s="10" t="s">
        <v>15</v>
      </c>
      <c r="Q1020" s="6"/>
      <c r="R1020" s="6"/>
      <c r="S1020" s="6"/>
      <c r="T1020" s="6" t="s">
        <v>16</v>
      </c>
      <c r="U1020" s="9" t="s">
        <v>17</v>
      </c>
      <c r="AI1020" s="6" t="s">
        <v>6976</v>
      </c>
      <c r="AJ1020" s="12" t="s">
        <v>7009</v>
      </c>
      <c r="AL1020" s="13" t="s">
        <v>4741</v>
      </c>
    </row>
    <row r="1021">
      <c r="A1021" s="5" t="s">
        <v>7010</v>
      </c>
      <c r="B1021" s="5" t="s">
        <v>7011</v>
      </c>
      <c r="C1021" s="5" t="s">
        <v>7012</v>
      </c>
      <c r="D1021" s="5" t="s">
        <v>8</v>
      </c>
      <c r="E1021" s="6"/>
      <c r="F1021" s="6"/>
      <c r="G1021" s="7" t="s">
        <v>7013</v>
      </c>
      <c r="I1021" s="8" t="s">
        <v>7014</v>
      </c>
      <c r="J1021" s="9">
        <v>36.9</v>
      </c>
      <c r="K1021" s="10" t="s">
        <v>11</v>
      </c>
      <c r="L1021" s="6"/>
      <c r="M1021" s="11" t="s">
        <v>12</v>
      </c>
      <c r="N1021" s="6" t="s">
        <v>7015</v>
      </c>
      <c r="O1021" s="6" t="s">
        <v>7016</v>
      </c>
      <c r="P1021" s="10" t="s">
        <v>15</v>
      </c>
      <c r="Q1021" s="6"/>
      <c r="R1021" s="6"/>
      <c r="S1021" s="6"/>
      <c r="T1021" s="6" t="s">
        <v>16</v>
      </c>
      <c r="U1021" s="9" t="s">
        <v>17</v>
      </c>
      <c r="AI1021" s="6" t="s">
        <v>6976</v>
      </c>
      <c r="AJ1021" s="12" t="s">
        <v>7017</v>
      </c>
      <c r="AL1021" s="13" t="s">
        <v>4741</v>
      </c>
    </row>
    <row r="1022">
      <c r="A1022" s="5" t="s">
        <v>7018</v>
      </c>
      <c r="B1022" s="5" t="s">
        <v>7019</v>
      </c>
      <c r="C1022" s="5" t="s">
        <v>7020</v>
      </c>
      <c r="D1022" s="5" t="s">
        <v>8</v>
      </c>
      <c r="E1022" s="6"/>
      <c r="F1022" s="6"/>
      <c r="G1022" s="7" t="s">
        <v>7021</v>
      </c>
      <c r="I1022" s="8" t="s">
        <v>7022</v>
      </c>
      <c r="J1022" s="9">
        <v>37.9</v>
      </c>
      <c r="K1022" s="10" t="s">
        <v>11</v>
      </c>
      <c r="L1022" s="6"/>
      <c r="M1022" s="11" t="s">
        <v>12</v>
      </c>
      <c r="N1022" s="6" t="s">
        <v>7023</v>
      </c>
      <c r="O1022" s="6" t="s">
        <v>7024</v>
      </c>
      <c r="P1022" s="10" t="s">
        <v>15</v>
      </c>
      <c r="Q1022" s="6"/>
      <c r="R1022" s="6"/>
      <c r="S1022" s="6" t="s">
        <v>7025</v>
      </c>
      <c r="T1022" s="6" t="s">
        <v>16</v>
      </c>
      <c r="U1022" s="9" t="s">
        <v>17</v>
      </c>
      <c r="AI1022" s="6" t="s">
        <v>6976</v>
      </c>
      <c r="AJ1022" s="12" t="s">
        <v>7026</v>
      </c>
      <c r="AL1022" s="13" t="s">
        <v>4741</v>
      </c>
    </row>
    <row r="1023">
      <c r="A1023" s="5" t="s">
        <v>7027</v>
      </c>
      <c r="B1023" s="5" t="s">
        <v>7028</v>
      </c>
      <c r="C1023" s="5" t="s">
        <v>7029</v>
      </c>
      <c r="D1023" s="5" t="s">
        <v>8</v>
      </c>
      <c r="E1023" s="6"/>
      <c r="F1023" s="6"/>
      <c r="G1023" s="7" t="s">
        <v>7030</v>
      </c>
      <c r="I1023" s="8" t="s">
        <v>7031</v>
      </c>
      <c r="J1023" s="9">
        <v>37.9</v>
      </c>
      <c r="K1023" s="10" t="s">
        <v>11</v>
      </c>
      <c r="L1023" s="6"/>
      <c r="M1023" s="11" t="s">
        <v>12</v>
      </c>
      <c r="N1023" s="6" t="s">
        <v>7032</v>
      </c>
      <c r="O1023" s="6" t="s">
        <v>7033</v>
      </c>
      <c r="P1023" s="10" t="s">
        <v>15</v>
      </c>
      <c r="Q1023" s="6"/>
      <c r="R1023" s="6"/>
      <c r="S1023" s="6" t="s">
        <v>7034</v>
      </c>
      <c r="T1023" s="6" t="s">
        <v>16</v>
      </c>
      <c r="U1023" s="9" t="s">
        <v>17</v>
      </c>
      <c r="AI1023" s="6" t="s">
        <v>6976</v>
      </c>
      <c r="AJ1023" s="12" t="s">
        <v>7035</v>
      </c>
      <c r="AL1023" s="13" t="s">
        <v>4741</v>
      </c>
    </row>
    <row r="1024">
      <c r="A1024" s="5" t="s">
        <v>7036</v>
      </c>
      <c r="B1024" s="5" t="s">
        <v>7037</v>
      </c>
      <c r="C1024" s="5" t="s">
        <v>7038</v>
      </c>
      <c r="D1024" s="5" t="s">
        <v>8</v>
      </c>
      <c r="E1024" s="6"/>
      <c r="F1024" s="6"/>
      <c r="G1024" s="7" t="s">
        <v>7039</v>
      </c>
      <c r="I1024" s="8" t="s">
        <v>7040</v>
      </c>
      <c r="J1024" s="9">
        <v>37.9</v>
      </c>
      <c r="K1024" s="10" t="s">
        <v>11</v>
      </c>
      <c r="L1024" s="6"/>
      <c r="M1024" s="11" t="s">
        <v>12</v>
      </c>
      <c r="N1024" s="6" t="s">
        <v>7041</v>
      </c>
      <c r="O1024" s="6" t="s">
        <v>7042</v>
      </c>
      <c r="P1024" s="10" t="s">
        <v>15</v>
      </c>
      <c r="Q1024" s="6"/>
      <c r="R1024" s="6"/>
      <c r="S1024" s="6"/>
      <c r="T1024" s="6" t="s">
        <v>16</v>
      </c>
      <c r="U1024" s="9" t="s">
        <v>17</v>
      </c>
      <c r="AI1024" s="6" t="s">
        <v>6976</v>
      </c>
      <c r="AJ1024" s="12" t="s">
        <v>7043</v>
      </c>
      <c r="AL1024" s="13" t="s">
        <v>4741</v>
      </c>
    </row>
    <row r="1025">
      <c r="A1025" s="5" t="s">
        <v>7044</v>
      </c>
      <c r="B1025" s="5" t="s">
        <v>7045</v>
      </c>
      <c r="C1025" s="5" t="s">
        <v>7046</v>
      </c>
      <c r="D1025" s="5" t="s">
        <v>8</v>
      </c>
      <c r="E1025" s="6"/>
      <c r="F1025" s="6"/>
      <c r="G1025" s="7" t="s">
        <v>7047</v>
      </c>
      <c r="I1025" s="8" t="s">
        <v>7048</v>
      </c>
      <c r="J1025" s="9">
        <v>41.9</v>
      </c>
      <c r="K1025" s="10">
        <v>35.62</v>
      </c>
      <c r="L1025" s="6"/>
      <c r="M1025" s="11" t="s">
        <v>12</v>
      </c>
      <c r="N1025" s="6" t="s">
        <v>7049</v>
      </c>
      <c r="O1025" s="6" t="s">
        <v>7050</v>
      </c>
      <c r="P1025" s="10" t="s">
        <v>15</v>
      </c>
      <c r="Q1025" s="6"/>
      <c r="R1025" s="6"/>
      <c r="S1025" s="6"/>
      <c r="T1025" s="6" t="s">
        <v>16</v>
      </c>
      <c r="U1025" s="9" t="s">
        <v>17</v>
      </c>
      <c r="AI1025" s="6" t="s">
        <v>6976</v>
      </c>
      <c r="AJ1025" s="12" t="s">
        <v>7051</v>
      </c>
      <c r="AL1025" s="13" t="s">
        <v>4741</v>
      </c>
    </row>
    <row r="1026">
      <c r="A1026" s="5" t="s">
        <v>7052</v>
      </c>
      <c r="B1026" s="5" t="s">
        <v>7053</v>
      </c>
      <c r="C1026" s="5" t="s">
        <v>7054</v>
      </c>
      <c r="D1026" s="5" t="s">
        <v>8</v>
      </c>
      <c r="E1026" s="6"/>
      <c r="F1026" s="6"/>
      <c r="G1026" s="7" t="s">
        <v>7055</v>
      </c>
      <c r="I1026" s="8" t="s">
        <v>7056</v>
      </c>
      <c r="J1026" s="9">
        <v>38.9</v>
      </c>
      <c r="K1026" s="10" t="s">
        <v>11</v>
      </c>
      <c r="L1026" s="6"/>
      <c r="M1026" s="11" t="s">
        <v>12</v>
      </c>
      <c r="N1026" s="6" t="s">
        <v>7057</v>
      </c>
      <c r="O1026" s="6" t="s">
        <v>7058</v>
      </c>
      <c r="P1026" s="10" t="s">
        <v>15</v>
      </c>
      <c r="Q1026" s="6"/>
      <c r="R1026" s="6"/>
      <c r="S1026" s="6"/>
      <c r="T1026" s="6" t="s">
        <v>16</v>
      </c>
      <c r="U1026" s="9" t="s">
        <v>17</v>
      </c>
      <c r="AI1026" s="6" t="s">
        <v>6976</v>
      </c>
      <c r="AJ1026" s="12" t="s">
        <v>7059</v>
      </c>
      <c r="AL1026" s="13" t="s">
        <v>4741</v>
      </c>
    </row>
    <row r="1027">
      <c r="A1027" s="5" t="s">
        <v>7060</v>
      </c>
      <c r="B1027" s="5" t="s">
        <v>7061</v>
      </c>
      <c r="C1027" s="5" t="s">
        <v>7062</v>
      </c>
      <c r="D1027" s="5" t="s">
        <v>8</v>
      </c>
      <c r="E1027" s="6"/>
      <c r="F1027" s="6"/>
      <c r="G1027" s="7" t="s">
        <v>7063</v>
      </c>
      <c r="I1027" s="8" t="s">
        <v>7064</v>
      </c>
      <c r="J1027" s="9">
        <v>37.9</v>
      </c>
      <c r="K1027" s="10" t="s">
        <v>11</v>
      </c>
      <c r="L1027" s="6"/>
      <c r="M1027" s="11" t="s">
        <v>12</v>
      </c>
      <c r="N1027" s="6" t="s">
        <v>7065</v>
      </c>
      <c r="O1027" s="6" t="s">
        <v>7066</v>
      </c>
      <c r="P1027" s="10" t="s">
        <v>15</v>
      </c>
      <c r="Q1027" s="6"/>
      <c r="R1027" s="6"/>
      <c r="S1027" s="6"/>
      <c r="T1027" s="6" t="s">
        <v>16</v>
      </c>
      <c r="U1027" s="9" t="s">
        <v>17</v>
      </c>
      <c r="AI1027" s="6" t="s">
        <v>6976</v>
      </c>
      <c r="AJ1027" s="12" t="s">
        <v>7067</v>
      </c>
      <c r="AL1027" s="13" t="s">
        <v>4741</v>
      </c>
    </row>
    <row r="1028">
      <c r="A1028" s="5" t="s">
        <v>7068</v>
      </c>
      <c r="B1028" s="5" t="s">
        <v>7069</v>
      </c>
      <c r="C1028" s="5" t="s">
        <v>7070</v>
      </c>
      <c r="D1028" s="5" t="s">
        <v>8</v>
      </c>
      <c r="E1028" s="6"/>
      <c r="F1028" s="6"/>
      <c r="G1028" s="7" t="s">
        <v>7071</v>
      </c>
      <c r="I1028" s="8" t="s">
        <v>7072</v>
      </c>
      <c r="J1028" s="9">
        <v>36.9</v>
      </c>
      <c r="K1028" s="10" t="s">
        <v>11</v>
      </c>
      <c r="L1028" s="6"/>
      <c r="M1028" s="11" t="s">
        <v>12</v>
      </c>
      <c r="N1028" s="6" t="s">
        <v>7073</v>
      </c>
      <c r="O1028" s="6" t="s">
        <v>7074</v>
      </c>
      <c r="P1028" s="10" t="s">
        <v>15</v>
      </c>
      <c r="Q1028" s="6"/>
      <c r="R1028" s="6"/>
      <c r="S1028" s="6"/>
      <c r="T1028" s="6" t="s">
        <v>16</v>
      </c>
      <c r="U1028" s="9" t="s">
        <v>17</v>
      </c>
      <c r="AI1028" s="6" t="s">
        <v>6976</v>
      </c>
      <c r="AJ1028" s="12" t="s">
        <v>7075</v>
      </c>
      <c r="AL1028" s="13" t="s">
        <v>4741</v>
      </c>
    </row>
    <row r="1029">
      <c r="A1029" s="5" t="s">
        <v>7076</v>
      </c>
      <c r="B1029" s="5" t="s">
        <v>7077</v>
      </c>
      <c r="C1029" s="5" t="s">
        <v>7078</v>
      </c>
      <c r="D1029" s="5" t="s">
        <v>8</v>
      </c>
      <c r="E1029" s="6"/>
      <c r="F1029" s="6"/>
      <c r="G1029" s="7" t="s">
        <v>7079</v>
      </c>
      <c r="I1029" s="8" t="s">
        <v>7080</v>
      </c>
      <c r="J1029" s="9">
        <v>37.9</v>
      </c>
      <c r="K1029" s="10" t="s">
        <v>11</v>
      </c>
      <c r="L1029" s="6"/>
      <c r="M1029" s="11" t="s">
        <v>12</v>
      </c>
      <c r="N1029" s="6" t="s">
        <v>7081</v>
      </c>
      <c r="O1029" s="6" t="s">
        <v>7082</v>
      </c>
      <c r="P1029" s="10" t="s">
        <v>15</v>
      </c>
      <c r="Q1029" s="6"/>
      <c r="R1029" s="6"/>
      <c r="S1029" s="6" t="s">
        <v>7083</v>
      </c>
      <c r="T1029" s="6" t="s">
        <v>16</v>
      </c>
      <c r="U1029" s="9" t="s">
        <v>17</v>
      </c>
      <c r="AI1029" s="6" t="s">
        <v>6976</v>
      </c>
      <c r="AJ1029" s="12" t="s">
        <v>7084</v>
      </c>
      <c r="AL1029" s="13" t="s">
        <v>4741</v>
      </c>
    </row>
    <row r="1030">
      <c r="A1030" s="5" t="s">
        <v>7085</v>
      </c>
      <c r="B1030" s="5" t="s">
        <v>7086</v>
      </c>
      <c r="C1030" s="5" t="s">
        <v>7078</v>
      </c>
      <c r="D1030" s="5" t="s">
        <v>8</v>
      </c>
      <c r="E1030" s="6"/>
      <c r="F1030" s="6"/>
      <c r="G1030" s="7" t="s">
        <v>7087</v>
      </c>
      <c r="I1030" s="8" t="s">
        <v>7088</v>
      </c>
      <c r="J1030" s="9">
        <v>113.7</v>
      </c>
      <c r="K1030" s="10">
        <v>96.65</v>
      </c>
      <c r="L1030" s="6"/>
      <c r="M1030" s="11" t="s">
        <v>17</v>
      </c>
      <c r="N1030" s="6"/>
      <c r="O1030" s="6" t="s">
        <v>7089</v>
      </c>
      <c r="P1030" s="10" t="s">
        <v>15</v>
      </c>
      <c r="Q1030" s="6"/>
      <c r="R1030" s="6"/>
      <c r="S1030" s="6" t="s">
        <v>7083</v>
      </c>
      <c r="T1030" s="6" t="s">
        <v>16</v>
      </c>
      <c r="U1030" s="9" t="s">
        <v>17</v>
      </c>
      <c r="AI1030" s="6" t="s">
        <v>6976</v>
      </c>
      <c r="AJ1030" s="12" t="s">
        <v>7084</v>
      </c>
      <c r="AL1030" s="13" t="s">
        <v>4741</v>
      </c>
    </row>
    <row r="1031">
      <c r="A1031" s="5" t="s">
        <v>7090</v>
      </c>
      <c r="B1031" s="5" t="s">
        <v>7091</v>
      </c>
      <c r="C1031" s="5" t="s">
        <v>7092</v>
      </c>
      <c r="D1031" s="5" t="s">
        <v>8</v>
      </c>
      <c r="E1031" s="6"/>
      <c r="F1031" s="6"/>
      <c r="G1031" s="7" t="s">
        <v>7093</v>
      </c>
      <c r="I1031" s="8" t="s">
        <v>7094</v>
      </c>
      <c r="J1031" s="9">
        <v>39.9</v>
      </c>
      <c r="K1031" s="10" t="s">
        <v>11</v>
      </c>
      <c r="L1031" s="6"/>
      <c r="M1031" s="11" t="s">
        <v>12</v>
      </c>
      <c r="N1031" s="6" t="s">
        <v>7095</v>
      </c>
      <c r="O1031" s="6" t="s">
        <v>7096</v>
      </c>
      <c r="P1031" s="10" t="s">
        <v>15</v>
      </c>
      <c r="Q1031" s="6"/>
      <c r="R1031" s="6"/>
      <c r="S1031" s="6"/>
      <c r="T1031" s="6" t="s">
        <v>16</v>
      </c>
      <c r="U1031" s="9" t="s">
        <v>17</v>
      </c>
      <c r="AI1031" s="6" t="s">
        <v>6976</v>
      </c>
      <c r="AJ1031" s="12" t="s">
        <v>7097</v>
      </c>
      <c r="AL1031" s="13" t="s">
        <v>4741</v>
      </c>
    </row>
    <row r="1032">
      <c r="A1032" s="5" t="s">
        <v>7098</v>
      </c>
      <c r="B1032" s="5" t="s">
        <v>7099</v>
      </c>
      <c r="C1032" s="5" t="s">
        <v>7100</v>
      </c>
      <c r="D1032" s="5" t="s">
        <v>8</v>
      </c>
      <c r="E1032" s="6"/>
      <c r="F1032" s="6"/>
      <c r="G1032" s="7" t="s">
        <v>7101</v>
      </c>
      <c r="I1032" s="8" t="s">
        <v>7102</v>
      </c>
      <c r="J1032" s="9">
        <v>43.9</v>
      </c>
      <c r="K1032" s="10" t="s">
        <v>11</v>
      </c>
      <c r="L1032" s="6"/>
      <c r="M1032" s="11" t="s">
        <v>12</v>
      </c>
      <c r="N1032" s="6" t="s">
        <v>7103</v>
      </c>
      <c r="O1032" s="6" t="s">
        <v>7104</v>
      </c>
      <c r="P1032" s="10" t="s">
        <v>15</v>
      </c>
      <c r="Q1032" s="6"/>
      <c r="R1032" s="6"/>
      <c r="S1032" s="6"/>
      <c r="T1032" s="6" t="s">
        <v>16</v>
      </c>
      <c r="U1032" s="9" t="s">
        <v>17</v>
      </c>
      <c r="AI1032" s="6" t="s">
        <v>6976</v>
      </c>
      <c r="AJ1032" s="12" t="s">
        <v>7105</v>
      </c>
      <c r="AL1032" s="13" t="s">
        <v>4741</v>
      </c>
    </row>
    <row r="1033">
      <c r="A1033" s="5" t="s">
        <v>7106</v>
      </c>
      <c r="B1033" s="5" t="s">
        <v>7107</v>
      </c>
      <c r="C1033" s="5" t="s">
        <v>7108</v>
      </c>
      <c r="D1033" s="5" t="s">
        <v>8</v>
      </c>
      <c r="E1033" s="6"/>
      <c r="F1033" s="6"/>
      <c r="G1033" s="7" t="s">
        <v>7109</v>
      </c>
      <c r="I1033" s="8" t="s">
        <v>7110</v>
      </c>
      <c r="J1033" s="9">
        <v>37.9</v>
      </c>
      <c r="K1033" s="10" t="s">
        <v>11</v>
      </c>
      <c r="L1033" s="6"/>
      <c r="M1033" s="11" t="s">
        <v>12</v>
      </c>
      <c r="N1033" s="6" t="s">
        <v>7111</v>
      </c>
      <c r="O1033" s="6" t="s">
        <v>7112</v>
      </c>
      <c r="P1033" s="10" t="s">
        <v>15</v>
      </c>
      <c r="Q1033" s="6"/>
      <c r="R1033" s="6"/>
      <c r="S1033" s="6" t="s">
        <v>7113</v>
      </c>
      <c r="T1033" s="6" t="s">
        <v>16</v>
      </c>
      <c r="U1033" s="9" t="s">
        <v>17</v>
      </c>
      <c r="AI1033" s="6" t="s">
        <v>6976</v>
      </c>
      <c r="AJ1033" s="12" t="s">
        <v>7114</v>
      </c>
      <c r="AL1033" s="13" t="s">
        <v>4741</v>
      </c>
    </row>
    <row r="1034">
      <c r="A1034" s="5" t="s">
        <v>7115</v>
      </c>
      <c r="B1034" s="5" t="s">
        <v>7116</v>
      </c>
      <c r="C1034" s="5" t="s">
        <v>7117</v>
      </c>
      <c r="D1034" s="5" t="s">
        <v>8</v>
      </c>
      <c r="E1034" s="6"/>
      <c r="F1034" s="6"/>
      <c r="G1034" s="7" t="s">
        <v>7118</v>
      </c>
      <c r="I1034" s="8" t="s">
        <v>7119</v>
      </c>
      <c r="J1034" s="9">
        <v>37.9</v>
      </c>
      <c r="K1034" s="10" t="s">
        <v>11</v>
      </c>
      <c r="L1034" s="6"/>
      <c r="M1034" s="11" t="s">
        <v>12</v>
      </c>
      <c r="N1034" s="6" t="s">
        <v>7120</v>
      </c>
      <c r="O1034" s="6" t="s">
        <v>7121</v>
      </c>
      <c r="P1034" s="10" t="s">
        <v>15</v>
      </c>
      <c r="Q1034" s="6"/>
      <c r="R1034" s="6"/>
      <c r="S1034" s="6"/>
      <c r="T1034" s="6" t="s">
        <v>16</v>
      </c>
      <c r="U1034" s="9" t="s">
        <v>17</v>
      </c>
      <c r="AI1034" s="6" t="s">
        <v>6976</v>
      </c>
      <c r="AJ1034" s="12" t="s">
        <v>7122</v>
      </c>
      <c r="AL1034" s="13" t="s">
        <v>4741</v>
      </c>
    </row>
    <row r="1035">
      <c r="A1035" s="5" t="s">
        <v>7123</v>
      </c>
      <c r="B1035" s="5" t="s">
        <v>7124</v>
      </c>
      <c r="C1035" s="5" t="s">
        <v>7125</v>
      </c>
      <c r="D1035" s="5" t="s">
        <v>8</v>
      </c>
      <c r="E1035" s="6"/>
      <c r="F1035" s="6"/>
      <c r="G1035" s="7" t="s">
        <v>7126</v>
      </c>
      <c r="I1035" s="8" t="s">
        <v>7127</v>
      </c>
      <c r="J1035" s="9">
        <v>37.9</v>
      </c>
      <c r="K1035" s="10" t="s">
        <v>11</v>
      </c>
      <c r="L1035" s="6"/>
      <c r="M1035" s="11" t="s">
        <v>12</v>
      </c>
      <c r="N1035" s="6" t="s">
        <v>7128</v>
      </c>
      <c r="O1035" s="6" t="s">
        <v>7129</v>
      </c>
      <c r="P1035" s="10" t="s">
        <v>15</v>
      </c>
      <c r="Q1035" s="6"/>
      <c r="R1035" s="6"/>
      <c r="S1035" s="6" t="s">
        <v>7130</v>
      </c>
      <c r="T1035" s="6" t="s">
        <v>16</v>
      </c>
      <c r="U1035" s="9" t="s">
        <v>17</v>
      </c>
      <c r="AI1035" s="6" t="s">
        <v>6976</v>
      </c>
      <c r="AJ1035" s="12" t="s">
        <v>7131</v>
      </c>
      <c r="AL1035" s="13" t="s">
        <v>4741</v>
      </c>
    </row>
    <row r="1036">
      <c r="A1036" s="5" t="s">
        <v>7132</v>
      </c>
      <c r="B1036" s="5" t="s">
        <v>7133</v>
      </c>
      <c r="C1036" s="5" t="s">
        <v>7134</v>
      </c>
      <c r="D1036" s="5" t="s">
        <v>8</v>
      </c>
      <c r="E1036" s="6"/>
      <c r="F1036" s="6"/>
      <c r="G1036" s="7" t="s">
        <v>7135</v>
      </c>
      <c r="I1036" s="8" t="s">
        <v>7136</v>
      </c>
      <c r="J1036" s="9">
        <v>36.9</v>
      </c>
      <c r="K1036" s="10" t="s">
        <v>11</v>
      </c>
      <c r="L1036" s="6"/>
      <c r="M1036" s="11" t="s">
        <v>12</v>
      </c>
      <c r="N1036" s="6" t="s">
        <v>7137</v>
      </c>
      <c r="O1036" s="6" t="s">
        <v>7138</v>
      </c>
      <c r="P1036" s="10" t="s">
        <v>15</v>
      </c>
      <c r="Q1036" s="6"/>
      <c r="R1036" s="6"/>
      <c r="S1036" s="6" t="s">
        <v>7139</v>
      </c>
      <c r="T1036" s="6" t="s">
        <v>16</v>
      </c>
      <c r="U1036" s="9" t="s">
        <v>17</v>
      </c>
      <c r="AI1036" s="6" t="s">
        <v>6976</v>
      </c>
      <c r="AJ1036" s="12" t="s">
        <v>7140</v>
      </c>
      <c r="AL1036" s="13" t="s">
        <v>4741</v>
      </c>
    </row>
    <row r="1037">
      <c r="A1037" s="5" t="s">
        <v>7141</v>
      </c>
      <c r="B1037" s="5" t="s">
        <v>7142</v>
      </c>
      <c r="C1037" s="5" t="s">
        <v>7143</v>
      </c>
      <c r="D1037" s="5" t="s">
        <v>8</v>
      </c>
      <c r="E1037" s="6"/>
      <c r="F1037" s="6"/>
      <c r="G1037" s="7" t="s">
        <v>7144</v>
      </c>
      <c r="I1037" s="8" t="s">
        <v>7145</v>
      </c>
      <c r="J1037" s="9">
        <v>36.9</v>
      </c>
      <c r="K1037" s="10" t="s">
        <v>11</v>
      </c>
      <c r="L1037" s="6"/>
      <c r="M1037" s="11" t="s">
        <v>12</v>
      </c>
      <c r="N1037" s="6" t="s">
        <v>7146</v>
      </c>
      <c r="O1037" s="6" t="s">
        <v>7147</v>
      </c>
      <c r="P1037" s="10" t="s">
        <v>15</v>
      </c>
      <c r="Q1037" s="6"/>
      <c r="R1037" s="6"/>
      <c r="S1037" s="6"/>
      <c r="T1037" s="6" t="s">
        <v>16</v>
      </c>
      <c r="U1037" s="9" t="s">
        <v>17</v>
      </c>
      <c r="AI1037" s="6" t="s">
        <v>6976</v>
      </c>
      <c r="AJ1037" s="12" t="s">
        <v>7148</v>
      </c>
      <c r="AL1037" s="13" t="s">
        <v>4741</v>
      </c>
    </row>
    <row r="1038">
      <c r="A1038" s="5" t="s">
        <v>7149</v>
      </c>
      <c r="B1038" s="5" t="s">
        <v>7150</v>
      </c>
      <c r="C1038" s="5" t="s">
        <v>7151</v>
      </c>
      <c r="D1038" s="5" t="s">
        <v>8</v>
      </c>
      <c r="E1038" s="6"/>
      <c r="F1038" s="6"/>
      <c r="G1038" s="7" t="s">
        <v>7152</v>
      </c>
      <c r="I1038" s="8" t="s">
        <v>7153</v>
      </c>
      <c r="J1038" s="9">
        <v>36.9</v>
      </c>
      <c r="K1038" s="10" t="s">
        <v>11</v>
      </c>
      <c r="L1038" s="6"/>
      <c r="M1038" s="11" t="s">
        <v>12</v>
      </c>
      <c r="N1038" s="6" t="s">
        <v>7154</v>
      </c>
      <c r="O1038" s="6" t="s">
        <v>7155</v>
      </c>
      <c r="P1038" s="10" t="s">
        <v>15</v>
      </c>
      <c r="Q1038" s="6"/>
      <c r="R1038" s="6"/>
      <c r="S1038" s="6"/>
      <c r="T1038" s="6" t="s">
        <v>16</v>
      </c>
      <c r="U1038" s="9" t="s">
        <v>17</v>
      </c>
      <c r="AI1038" s="6" t="s">
        <v>6976</v>
      </c>
      <c r="AJ1038" s="12" t="s">
        <v>7156</v>
      </c>
      <c r="AL1038" s="13" t="s">
        <v>4741</v>
      </c>
    </row>
    <row r="1039">
      <c r="A1039" s="5" t="s">
        <v>7157</v>
      </c>
      <c r="B1039" s="5" t="s">
        <v>7158</v>
      </c>
      <c r="C1039" s="5" t="s">
        <v>7159</v>
      </c>
      <c r="D1039" s="5" t="s">
        <v>8</v>
      </c>
      <c r="E1039" s="6"/>
      <c r="F1039" s="6"/>
      <c r="G1039" s="7" t="s">
        <v>7160</v>
      </c>
      <c r="I1039" s="8" t="s">
        <v>7161</v>
      </c>
      <c r="J1039" s="9">
        <v>37.9</v>
      </c>
      <c r="K1039" s="10">
        <v>36.01</v>
      </c>
      <c r="L1039" s="6"/>
      <c r="M1039" s="11" t="s">
        <v>12</v>
      </c>
      <c r="N1039" s="6" t="s">
        <v>7162</v>
      </c>
      <c r="O1039" s="6" t="s">
        <v>7163</v>
      </c>
      <c r="P1039" s="10" t="s">
        <v>15</v>
      </c>
      <c r="Q1039" s="6"/>
      <c r="R1039" s="6"/>
      <c r="S1039" s="6"/>
      <c r="T1039" s="6" t="s">
        <v>16</v>
      </c>
      <c r="U1039" s="9" t="s">
        <v>17</v>
      </c>
      <c r="AI1039" s="6" t="s">
        <v>6976</v>
      </c>
      <c r="AJ1039" s="12" t="s">
        <v>7164</v>
      </c>
      <c r="AL1039" s="13" t="s">
        <v>4741</v>
      </c>
    </row>
    <row r="1040">
      <c r="A1040" s="5" t="s">
        <v>7165</v>
      </c>
      <c r="B1040" s="5" t="s">
        <v>7166</v>
      </c>
      <c r="C1040" s="5" t="s">
        <v>7167</v>
      </c>
      <c r="D1040" s="5" t="s">
        <v>8</v>
      </c>
      <c r="E1040" s="6"/>
      <c r="F1040" s="6"/>
      <c r="G1040" s="7" t="s">
        <v>7168</v>
      </c>
      <c r="I1040" s="8" t="s">
        <v>7169</v>
      </c>
      <c r="J1040" s="9">
        <v>38.9</v>
      </c>
      <c r="K1040" s="10" t="s">
        <v>11</v>
      </c>
      <c r="L1040" s="6"/>
      <c r="M1040" s="11" t="s">
        <v>12</v>
      </c>
      <c r="N1040" s="6" t="s">
        <v>7170</v>
      </c>
      <c r="O1040" s="6" t="s">
        <v>7171</v>
      </c>
      <c r="P1040" s="10" t="s">
        <v>15</v>
      </c>
      <c r="Q1040" s="6"/>
      <c r="R1040" s="6"/>
      <c r="S1040" s="6"/>
      <c r="T1040" s="6" t="s">
        <v>16</v>
      </c>
      <c r="U1040" s="9" t="s">
        <v>17</v>
      </c>
      <c r="AI1040" s="6" t="s">
        <v>6976</v>
      </c>
      <c r="AJ1040" s="12" t="s">
        <v>7172</v>
      </c>
      <c r="AL1040" s="13" t="s">
        <v>4741</v>
      </c>
    </row>
    <row r="1041">
      <c r="A1041" s="5" t="s">
        <v>7173</v>
      </c>
      <c r="B1041" s="5" t="s">
        <v>7174</v>
      </c>
      <c r="C1041" s="5" t="s">
        <v>7175</v>
      </c>
      <c r="D1041" s="5" t="s">
        <v>8</v>
      </c>
      <c r="E1041" s="6"/>
      <c r="F1041" s="6"/>
      <c r="G1041" s="7" t="s">
        <v>7176</v>
      </c>
      <c r="I1041" s="8" t="s">
        <v>7177</v>
      </c>
      <c r="J1041" s="9">
        <v>39.9</v>
      </c>
      <c r="K1041" s="10" t="s">
        <v>11</v>
      </c>
      <c r="L1041" s="6"/>
      <c r="M1041" s="11" t="s">
        <v>12</v>
      </c>
      <c r="N1041" s="6" t="s">
        <v>7178</v>
      </c>
      <c r="O1041" s="6" t="s">
        <v>7179</v>
      </c>
      <c r="P1041" s="10" t="s">
        <v>15</v>
      </c>
      <c r="Q1041" s="6"/>
      <c r="R1041" s="6"/>
      <c r="S1041" s="6" t="s">
        <v>7180</v>
      </c>
      <c r="T1041" s="6" t="s">
        <v>16</v>
      </c>
      <c r="U1041" s="9" t="s">
        <v>17</v>
      </c>
      <c r="AI1041" s="6" t="s">
        <v>6976</v>
      </c>
      <c r="AJ1041" s="12" t="s">
        <v>7181</v>
      </c>
      <c r="AL1041" s="13" t="s">
        <v>4741</v>
      </c>
    </row>
    <row r="1042">
      <c r="A1042" s="5" t="s">
        <v>7182</v>
      </c>
      <c r="B1042" s="5" t="s">
        <v>7183</v>
      </c>
      <c r="C1042" s="5" t="s">
        <v>7184</v>
      </c>
      <c r="D1042" s="5" t="s">
        <v>8</v>
      </c>
      <c r="E1042" s="6"/>
      <c r="F1042" s="6"/>
      <c r="G1042" s="7" t="s">
        <v>7185</v>
      </c>
      <c r="I1042" s="8" t="s">
        <v>7186</v>
      </c>
      <c r="J1042" s="9">
        <v>37.9</v>
      </c>
      <c r="K1042" s="10" t="s">
        <v>11</v>
      </c>
      <c r="L1042" s="6"/>
      <c r="M1042" s="11" t="s">
        <v>12</v>
      </c>
      <c r="N1042" s="6" t="s">
        <v>7187</v>
      </c>
      <c r="O1042" s="6" t="s">
        <v>7188</v>
      </c>
      <c r="P1042" s="10" t="s">
        <v>15</v>
      </c>
      <c r="Q1042" s="6"/>
      <c r="R1042" s="6"/>
      <c r="S1042" s="6"/>
      <c r="T1042" s="6" t="s">
        <v>16</v>
      </c>
      <c r="U1042" s="9" t="s">
        <v>17</v>
      </c>
      <c r="AI1042" s="6" t="s">
        <v>6976</v>
      </c>
      <c r="AJ1042" s="12" t="s">
        <v>7189</v>
      </c>
      <c r="AL1042" s="13" t="s">
        <v>4741</v>
      </c>
    </row>
    <row r="1043">
      <c r="A1043" s="5" t="s">
        <v>7190</v>
      </c>
      <c r="B1043" s="5" t="s">
        <v>7191</v>
      </c>
      <c r="C1043" s="5" t="s">
        <v>7192</v>
      </c>
      <c r="D1043" s="5" t="s">
        <v>8</v>
      </c>
      <c r="E1043" s="6"/>
      <c r="F1043" s="6"/>
      <c r="G1043" s="7" t="s">
        <v>7193</v>
      </c>
      <c r="I1043" s="8" t="s">
        <v>7194</v>
      </c>
      <c r="J1043" s="9">
        <v>42.9</v>
      </c>
      <c r="K1043" s="10" t="s">
        <v>11</v>
      </c>
      <c r="L1043" s="6"/>
      <c r="M1043" s="11" t="s">
        <v>12</v>
      </c>
      <c r="N1043" s="6" t="s">
        <v>7195</v>
      </c>
      <c r="O1043" s="6" t="s">
        <v>7196</v>
      </c>
      <c r="P1043" s="10" t="s">
        <v>15</v>
      </c>
      <c r="Q1043" s="6"/>
      <c r="R1043" s="6"/>
      <c r="S1043" s="6"/>
      <c r="T1043" s="6" t="s">
        <v>16</v>
      </c>
      <c r="U1043" s="9" t="s">
        <v>17</v>
      </c>
      <c r="AI1043" s="6" t="s">
        <v>6976</v>
      </c>
      <c r="AJ1043" s="12" t="s">
        <v>7197</v>
      </c>
      <c r="AL1043" s="13" t="s">
        <v>4741</v>
      </c>
    </row>
    <row r="1044">
      <c r="A1044" s="5" t="s">
        <v>7198</v>
      </c>
      <c r="B1044" s="5" t="s">
        <v>7199</v>
      </c>
      <c r="C1044" s="5" t="s">
        <v>7200</v>
      </c>
      <c r="D1044" s="5" t="s">
        <v>8</v>
      </c>
      <c r="E1044" s="6"/>
      <c r="F1044" s="6"/>
      <c r="G1044" s="7" t="s">
        <v>7201</v>
      </c>
      <c r="I1044" s="8" t="s">
        <v>7202</v>
      </c>
      <c r="J1044" s="9">
        <v>35.9</v>
      </c>
      <c r="K1044" s="10" t="s">
        <v>11</v>
      </c>
      <c r="L1044" s="6"/>
      <c r="M1044" s="11" t="s">
        <v>12</v>
      </c>
      <c r="N1044" s="6" t="s">
        <v>7203</v>
      </c>
      <c r="O1044" s="6" t="s">
        <v>7204</v>
      </c>
      <c r="P1044" s="10" t="s">
        <v>15</v>
      </c>
      <c r="Q1044" s="6"/>
      <c r="R1044" s="6"/>
      <c r="S1044" s="6"/>
      <c r="T1044" s="6" t="s">
        <v>16</v>
      </c>
      <c r="U1044" s="9" t="s">
        <v>17</v>
      </c>
      <c r="AI1044" s="6" t="s">
        <v>7205</v>
      </c>
      <c r="AJ1044" s="12" t="s">
        <v>7206</v>
      </c>
      <c r="AL1044" s="13" t="s">
        <v>4741</v>
      </c>
    </row>
    <row r="1045">
      <c r="A1045" s="5" t="s">
        <v>7207</v>
      </c>
      <c r="B1045" s="5" t="s">
        <v>7208</v>
      </c>
      <c r="C1045" s="5" t="s">
        <v>7209</v>
      </c>
      <c r="D1045" s="5" t="s">
        <v>8</v>
      </c>
      <c r="E1045" s="6"/>
      <c r="F1045" s="6"/>
      <c r="G1045" s="7" t="s">
        <v>7210</v>
      </c>
      <c r="I1045" s="8" t="s">
        <v>7211</v>
      </c>
      <c r="J1045" s="9">
        <v>35.9</v>
      </c>
      <c r="K1045" s="10" t="s">
        <v>11</v>
      </c>
      <c r="L1045" s="6"/>
      <c r="M1045" s="11" t="s">
        <v>12</v>
      </c>
      <c r="N1045" s="6" t="s">
        <v>7212</v>
      </c>
      <c r="O1045" s="6" t="s">
        <v>7213</v>
      </c>
      <c r="P1045" s="10" t="s">
        <v>15</v>
      </c>
      <c r="Q1045" s="6"/>
      <c r="R1045" s="6"/>
      <c r="S1045" s="6" t="s">
        <v>7214</v>
      </c>
      <c r="T1045" s="6" t="s">
        <v>16</v>
      </c>
      <c r="U1045" s="9" t="s">
        <v>17</v>
      </c>
      <c r="AI1045" s="6" t="s">
        <v>6976</v>
      </c>
      <c r="AJ1045" s="12" t="s">
        <v>7215</v>
      </c>
      <c r="AL1045" s="13" t="s">
        <v>4741</v>
      </c>
    </row>
    <row r="1046">
      <c r="A1046" s="5" t="s">
        <v>7216</v>
      </c>
      <c r="B1046" s="5" t="s">
        <v>7217</v>
      </c>
      <c r="C1046" s="5" t="s">
        <v>7218</v>
      </c>
      <c r="D1046" s="5" t="s">
        <v>8</v>
      </c>
      <c r="E1046" s="6"/>
      <c r="F1046" s="6"/>
      <c r="G1046" s="7" t="s">
        <v>7219</v>
      </c>
      <c r="I1046" s="8" t="s">
        <v>7220</v>
      </c>
      <c r="J1046" s="9">
        <v>37.9</v>
      </c>
      <c r="K1046" s="10" t="s">
        <v>11</v>
      </c>
      <c r="L1046" s="6"/>
      <c r="M1046" s="11" t="s">
        <v>12</v>
      </c>
      <c r="N1046" s="6" t="s">
        <v>7221</v>
      </c>
      <c r="O1046" s="6" t="s">
        <v>7222</v>
      </c>
      <c r="P1046" s="10" t="s">
        <v>15</v>
      </c>
      <c r="Q1046" s="6"/>
      <c r="R1046" s="6"/>
      <c r="S1046" s="6"/>
      <c r="T1046" s="6" t="s">
        <v>16</v>
      </c>
      <c r="U1046" s="9" t="s">
        <v>17</v>
      </c>
      <c r="AI1046" s="6" t="s">
        <v>6976</v>
      </c>
      <c r="AJ1046" s="12" t="s">
        <v>7223</v>
      </c>
      <c r="AL1046" s="13" t="s">
        <v>4741</v>
      </c>
    </row>
    <row r="1047">
      <c r="A1047" s="5" t="s">
        <v>7224</v>
      </c>
      <c r="B1047" s="5" t="s">
        <v>7225</v>
      </c>
      <c r="C1047" s="5" t="s">
        <v>7218</v>
      </c>
      <c r="D1047" s="5" t="s">
        <v>8</v>
      </c>
      <c r="E1047" s="6"/>
      <c r="F1047" s="6"/>
      <c r="G1047" s="7" t="s">
        <v>7226</v>
      </c>
      <c r="I1047" s="8" t="s">
        <v>7227</v>
      </c>
      <c r="J1047" s="9">
        <v>49.9</v>
      </c>
      <c r="K1047" s="10" t="s">
        <v>11</v>
      </c>
      <c r="L1047" s="6"/>
      <c r="M1047" s="11" t="s">
        <v>12</v>
      </c>
      <c r="N1047" s="6" t="s">
        <v>7228</v>
      </c>
      <c r="O1047" s="6" t="s">
        <v>7229</v>
      </c>
      <c r="P1047" s="10" t="s">
        <v>15</v>
      </c>
      <c r="Q1047" s="6"/>
      <c r="R1047" s="6"/>
      <c r="S1047" s="6"/>
      <c r="T1047" s="6" t="s">
        <v>16</v>
      </c>
      <c r="U1047" s="9" t="s">
        <v>17</v>
      </c>
      <c r="AI1047" s="6" t="s">
        <v>6976</v>
      </c>
      <c r="AJ1047" s="12" t="s">
        <v>7223</v>
      </c>
      <c r="AL1047" s="13" t="s">
        <v>4741</v>
      </c>
    </row>
    <row r="1048">
      <c r="A1048" s="5" t="s">
        <v>7230</v>
      </c>
      <c r="B1048" s="5" t="s">
        <v>7231</v>
      </c>
      <c r="C1048" s="5" t="s">
        <v>7232</v>
      </c>
      <c r="D1048" s="5" t="s">
        <v>8</v>
      </c>
      <c r="E1048" s="6"/>
      <c r="F1048" s="6"/>
      <c r="G1048" s="7" t="s">
        <v>7233</v>
      </c>
      <c r="I1048" s="8" t="s">
        <v>7234</v>
      </c>
      <c r="J1048" s="9">
        <v>37.9</v>
      </c>
      <c r="K1048" s="10" t="s">
        <v>11</v>
      </c>
      <c r="L1048" s="6"/>
      <c r="M1048" s="11" t="s">
        <v>12</v>
      </c>
      <c r="N1048" s="6" t="s">
        <v>7235</v>
      </c>
      <c r="O1048" s="6" t="s">
        <v>7236</v>
      </c>
      <c r="P1048" s="10" t="s">
        <v>15</v>
      </c>
      <c r="Q1048" s="6"/>
      <c r="R1048" s="6"/>
      <c r="S1048" s="6"/>
      <c r="T1048" s="6" t="s">
        <v>16</v>
      </c>
      <c r="U1048" s="9" t="s">
        <v>17</v>
      </c>
      <c r="AI1048" s="6" t="s">
        <v>6976</v>
      </c>
      <c r="AJ1048" s="12" t="s">
        <v>7237</v>
      </c>
      <c r="AL1048" s="13" t="s">
        <v>4741</v>
      </c>
    </row>
    <row r="1049">
      <c r="A1049" s="5" t="s">
        <v>7238</v>
      </c>
      <c r="B1049" s="5" t="s">
        <v>7239</v>
      </c>
      <c r="C1049" s="5" t="s">
        <v>7240</v>
      </c>
      <c r="D1049" s="5" t="s">
        <v>8</v>
      </c>
      <c r="E1049" s="6"/>
      <c r="F1049" s="6"/>
      <c r="G1049" s="7" t="s">
        <v>7241</v>
      </c>
      <c r="I1049" s="8" t="s">
        <v>7242</v>
      </c>
      <c r="J1049" s="9">
        <v>50.9</v>
      </c>
      <c r="K1049" s="10" t="s">
        <v>11</v>
      </c>
      <c r="L1049" s="6"/>
      <c r="M1049" s="11" t="s">
        <v>12</v>
      </c>
      <c r="N1049" s="6" t="s">
        <v>7243</v>
      </c>
      <c r="O1049" s="6" t="s">
        <v>7244</v>
      </c>
      <c r="P1049" s="10" t="s">
        <v>15</v>
      </c>
      <c r="Q1049" s="6"/>
      <c r="R1049" s="6"/>
      <c r="S1049" s="6"/>
      <c r="T1049" s="6" t="s">
        <v>16</v>
      </c>
      <c r="U1049" s="9" t="s">
        <v>17</v>
      </c>
      <c r="AI1049" s="6" t="s">
        <v>7245</v>
      </c>
      <c r="AJ1049" s="12" t="s">
        <v>7246</v>
      </c>
      <c r="AL1049" s="13" t="s">
        <v>4741</v>
      </c>
    </row>
    <row r="1050">
      <c r="A1050" s="5" t="s">
        <v>7247</v>
      </c>
      <c r="B1050" s="5" t="s">
        <v>7248</v>
      </c>
      <c r="C1050" s="5" t="s">
        <v>7249</v>
      </c>
      <c r="D1050" s="5" t="s">
        <v>507</v>
      </c>
      <c r="E1050" s="6"/>
      <c r="F1050" s="6"/>
      <c r="G1050" s="7" t="s">
        <v>7250</v>
      </c>
      <c r="I1050" s="8" t="s">
        <v>7251</v>
      </c>
      <c r="J1050" s="9">
        <v>439.9</v>
      </c>
      <c r="K1050" s="10" t="s">
        <v>11</v>
      </c>
      <c r="L1050" s="6"/>
      <c r="M1050" s="11" t="s">
        <v>17</v>
      </c>
      <c r="N1050" s="6"/>
      <c r="O1050" s="6" t="s">
        <v>7252</v>
      </c>
      <c r="P1050" s="10" t="s">
        <v>15</v>
      </c>
      <c r="Q1050" s="6"/>
      <c r="R1050" s="6"/>
      <c r="S1050" s="6"/>
      <c r="T1050" s="6" t="s">
        <v>16</v>
      </c>
      <c r="U1050" s="9" t="s">
        <v>17</v>
      </c>
      <c r="AI1050" s="6" t="s">
        <v>7245</v>
      </c>
      <c r="AJ1050" s="12" t="s">
        <v>7253</v>
      </c>
      <c r="AL1050" s="13" t="s">
        <v>4741</v>
      </c>
    </row>
    <row r="1051">
      <c r="A1051" s="5" t="s">
        <v>7254</v>
      </c>
      <c r="B1051" s="5" t="s">
        <v>7255</v>
      </c>
      <c r="C1051" s="5" t="s">
        <v>7249</v>
      </c>
      <c r="D1051" s="5" t="s">
        <v>8</v>
      </c>
      <c r="E1051" s="6"/>
      <c r="F1051" s="6"/>
      <c r="G1051" s="7" t="s">
        <v>7256</v>
      </c>
      <c r="I1051" s="8" t="s">
        <v>7257</v>
      </c>
      <c r="J1051" s="9">
        <v>149.9</v>
      </c>
      <c r="K1051" s="10">
        <v>134.91</v>
      </c>
      <c r="L1051" s="6"/>
      <c r="M1051" s="11" t="s">
        <v>17</v>
      </c>
      <c r="N1051" s="6"/>
      <c r="O1051" s="6" t="s">
        <v>7258</v>
      </c>
      <c r="P1051" s="10" t="s">
        <v>15</v>
      </c>
      <c r="Q1051" s="6"/>
      <c r="R1051" s="6"/>
      <c r="S1051" s="6"/>
      <c r="T1051" s="6" t="s">
        <v>16</v>
      </c>
      <c r="U1051" s="9" t="s">
        <v>17</v>
      </c>
      <c r="AI1051" s="6" t="s">
        <v>7245</v>
      </c>
      <c r="AJ1051" s="12" t="s">
        <v>7253</v>
      </c>
      <c r="AL1051" s="13" t="s">
        <v>4741</v>
      </c>
    </row>
    <row r="1052">
      <c r="A1052" s="5" t="s">
        <v>7259</v>
      </c>
      <c r="B1052" s="5" t="s">
        <v>7260</v>
      </c>
      <c r="C1052" s="5" t="s">
        <v>7249</v>
      </c>
      <c r="D1052" s="5" t="s">
        <v>8</v>
      </c>
      <c r="E1052" s="6"/>
      <c r="F1052" s="6"/>
      <c r="G1052" s="7" t="s">
        <v>7261</v>
      </c>
      <c r="I1052" s="8" t="s">
        <v>7262</v>
      </c>
      <c r="J1052" s="9">
        <v>89.9</v>
      </c>
      <c r="K1052" s="10">
        <v>80.91</v>
      </c>
      <c r="L1052" s="6"/>
      <c r="M1052" s="11" t="s">
        <v>17</v>
      </c>
      <c r="N1052" s="6"/>
      <c r="O1052" s="6" t="s">
        <v>7263</v>
      </c>
      <c r="P1052" s="10" t="s">
        <v>15</v>
      </c>
      <c r="Q1052" s="6"/>
      <c r="R1052" s="6"/>
      <c r="S1052" s="6"/>
      <c r="T1052" s="6" t="s">
        <v>16</v>
      </c>
      <c r="U1052" s="9" t="s">
        <v>17</v>
      </c>
      <c r="AI1052" s="6" t="s">
        <v>7245</v>
      </c>
      <c r="AJ1052" s="12" t="s">
        <v>7253</v>
      </c>
      <c r="AL1052" s="13" t="s">
        <v>4741</v>
      </c>
    </row>
    <row r="1053">
      <c r="A1053" s="5" t="s">
        <v>7264</v>
      </c>
      <c r="B1053" s="5" t="s">
        <v>7265</v>
      </c>
      <c r="C1053" s="5" t="s">
        <v>7249</v>
      </c>
      <c r="D1053" s="5" t="s">
        <v>507</v>
      </c>
      <c r="E1053" s="6"/>
      <c r="F1053" s="6"/>
      <c r="G1053" s="7" t="s">
        <v>7266</v>
      </c>
      <c r="I1053" s="8" t="s">
        <v>7267</v>
      </c>
      <c r="J1053" s="9">
        <v>112.9</v>
      </c>
      <c r="K1053" s="10" t="s">
        <v>11</v>
      </c>
      <c r="L1053" s="6"/>
      <c r="M1053" s="11" t="s">
        <v>17</v>
      </c>
      <c r="N1053" s="6"/>
      <c r="O1053" s="6" t="s">
        <v>7268</v>
      </c>
      <c r="P1053" s="10" t="s">
        <v>15</v>
      </c>
      <c r="Q1053" s="6"/>
      <c r="R1053" s="6"/>
      <c r="S1053" s="6"/>
      <c r="T1053" s="6" t="s">
        <v>16</v>
      </c>
      <c r="U1053" s="9" t="s">
        <v>17</v>
      </c>
      <c r="AI1053" s="6" t="s">
        <v>7245</v>
      </c>
      <c r="AJ1053" s="12" t="s">
        <v>7269</v>
      </c>
      <c r="AL1053" s="13" t="s">
        <v>4741</v>
      </c>
    </row>
    <row r="1054">
      <c r="A1054" s="5" t="s">
        <v>7270</v>
      </c>
      <c r="B1054" s="5" t="s">
        <v>7271</v>
      </c>
      <c r="C1054" s="5" t="s">
        <v>7249</v>
      </c>
      <c r="D1054" s="5" t="s">
        <v>8</v>
      </c>
      <c r="E1054" s="6"/>
      <c r="F1054" s="6"/>
      <c r="G1054" s="7" t="s">
        <v>7272</v>
      </c>
      <c r="I1054" s="8" t="s">
        <v>7273</v>
      </c>
      <c r="J1054" s="9">
        <v>37.9</v>
      </c>
      <c r="K1054" s="10" t="s">
        <v>11</v>
      </c>
      <c r="L1054" s="6"/>
      <c r="M1054" s="11" t="s">
        <v>17</v>
      </c>
      <c r="N1054" s="6"/>
      <c r="O1054" s="6" t="s">
        <v>7274</v>
      </c>
      <c r="P1054" s="10" t="s">
        <v>15</v>
      </c>
      <c r="Q1054" s="6"/>
      <c r="R1054" s="6"/>
      <c r="S1054" s="6"/>
      <c r="T1054" s="6" t="s">
        <v>16</v>
      </c>
      <c r="U1054" s="9" t="s">
        <v>17</v>
      </c>
      <c r="AI1054" s="6" t="s">
        <v>7245</v>
      </c>
      <c r="AJ1054" s="12" t="s">
        <v>7275</v>
      </c>
      <c r="AL1054" s="13" t="s">
        <v>4741</v>
      </c>
    </row>
    <row r="1055">
      <c r="A1055" s="5" t="s">
        <v>7276</v>
      </c>
      <c r="B1055" s="5" t="s">
        <v>7277</v>
      </c>
      <c r="C1055" s="5" t="s">
        <v>7249</v>
      </c>
      <c r="D1055" s="5" t="s">
        <v>8</v>
      </c>
      <c r="E1055" s="6"/>
      <c r="F1055" s="6"/>
      <c r="G1055" s="7" t="s">
        <v>7278</v>
      </c>
      <c r="I1055" s="8" t="s">
        <v>7279</v>
      </c>
      <c r="J1055" s="9">
        <v>22.9</v>
      </c>
      <c r="K1055" s="10" t="s">
        <v>11</v>
      </c>
      <c r="L1055" s="6"/>
      <c r="M1055" s="11" t="s">
        <v>17</v>
      </c>
      <c r="N1055" s="6"/>
      <c r="O1055" s="6" t="s">
        <v>7280</v>
      </c>
      <c r="P1055" s="10" t="s">
        <v>15</v>
      </c>
      <c r="Q1055" s="6"/>
      <c r="R1055" s="6"/>
      <c r="S1055" s="6"/>
      <c r="T1055" s="6" t="s">
        <v>16</v>
      </c>
      <c r="U1055" s="9" t="s">
        <v>17</v>
      </c>
      <c r="AI1055" s="6" t="s">
        <v>7245</v>
      </c>
      <c r="AJ1055" s="12" t="s">
        <v>7281</v>
      </c>
      <c r="AL1055" s="13" t="s">
        <v>4741</v>
      </c>
    </row>
    <row r="1056">
      <c r="A1056" s="5" t="s">
        <v>7282</v>
      </c>
      <c r="B1056" s="5" t="s">
        <v>7283</v>
      </c>
      <c r="C1056" s="5" t="s">
        <v>7284</v>
      </c>
      <c r="D1056" s="5" t="s">
        <v>8</v>
      </c>
      <c r="E1056" s="6"/>
      <c r="F1056" s="6"/>
      <c r="G1056" s="7" t="s">
        <v>7285</v>
      </c>
      <c r="I1056" s="8" t="s">
        <v>7286</v>
      </c>
      <c r="J1056" s="9">
        <v>34.9</v>
      </c>
      <c r="K1056" s="10" t="s">
        <v>11</v>
      </c>
      <c r="L1056" s="6"/>
      <c r="M1056" s="11" t="s">
        <v>17</v>
      </c>
      <c r="N1056" s="6"/>
      <c r="O1056" s="6" t="s">
        <v>7287</v>
      </c>
      <c r="P1056" s="10" t="s">
        <v>15</v>
      </c>
      <c r="Q1056" s="6"/>
      <c r="R1056" s="6"/>
      <c r="S1056" s="6"/>
      <c r="T1056" s="6" t="s">
        <v>16</v>
      </c>
      <c r="U1056" s="9" t="s">
        <v>17</v>
      </c>
      <c r="AI1056" s="6" t="s">
        <v>7245</v>
      </c>
      <c r="AJ1056" s="12" t="s">
        <v>7288</v>
      </c>
      <c r="AL1056" s="13" t="s">
        <v>4741</v>
      </c>
    </row>
    <row r="1057">
      <c r="A1057" s="5" t="s">
        <v>7289</v>
      </c>
      <c r="B1057" s="5" t="s">
        <v>7290</v>
      </c>
      <c r="C1057" s="5" t="s">
        <v>7291</v>
      </c>
      <c r="D1057" s="5" t="s">
        <v>8</v>
      </c>
      <c r="E1057" s="6"/>
      <c r="F1057" s="6"/>
      <c r="G1057" s="7" t="s">
        <v>7292</v>
      </c>
      <c r="I1057" s="8" t="s">
        <v>7293</v>
      </c>
      <c r="J1057" s="9">
        <v>10.9</v>
      </c>
      <c r="K1057" s="10" t="s">
        <v>11</v>
      </c>
      <c r="L1057" s="6"/>
      <c r="M1057" s="11" t="s">
        <v>17</v>
      </c>
      <c r="N1057" s="6"/>
      <c r="O1057" s="6" t="s">
        <v>7294</v>
      </c>
      <c r="P1057" s="10" t="s">
        <v>15</v>
      </c>
      <c r="Q1057" s="6"/>
      <c r="R1057" s="6"/>
      <c r="S1057" s="6" t="s">
        <v>7295</v>
      </c>
      <c r="T1057" s="6" t="s">
        <v>16</v>
      </c>
      <c r="U1057" s="9" t="s">
        <v>17</v>
      </c>
      <c r="AI1057" s="6" t="s">
        <v>7245</v>
      </c>
      <c r="AJ1057" s="12" t="s">
        <v>7296</v>
      </c>
      <c r="AL1057" s="13" t="s">
        <v>4741</v>
      </c>
    </row>
    <row r="1058">
      <c r="A1058" s="5" t="s">
        <v>7297</v>
      </c>
      <c r="B1058" s="5" t="s">
        <v>7298</v>
      </c>
      <c r="C1058" s="5"/>
      <c r="D1058" s="5" t="s">
        <v>8</v>
      </c>
      <c r="E1058" s="6"/>
      <c r="F1058" s="6"/>
      <c r="G1058" s="7" t="s">
        <v>7299</v>
      </c>
      <c r="I1058" s="8" t="s">
        <v>7300</v>
      </c>
      <c r="J1058" s="9">
        <v>16.9</v>
      </c>
      <c r="K1058" s="10" t="s">
        <v>11</v>
      </c>
      <c r="L1058" s="6"/>
      <c r="M1058" s="11" t="s">
        <v>17</v>
      </c>
      <c r="N1058" s="6"/>
      <c r="O1058" s="6" t="s">
        <v>7301</v>
      </c>
      <c r="P1058" s="10" t="s">
        <v>15</v>
      </c>
      <c r="Q1058" s="6"/>
      <c r="R1058" s="6"/>
      <c r="S1058" s="6"/>
      <c r="T1058" s="6" t="s">
        <v>16</v>
      </c>
      <c r="U1058" s="9" t="s">
        <v>17</v>
      </c>
      <c r="AI1058" s="6" t="s">
        <v>7245</v>
      </c>
      <c r="AJ1058" s="12" t="s">
        <v>7302</v>
      </c>
      <c r="AL1058" s="13" t="s">
        <v>4741</v>
      </c>
    </row>
    <row r="1059">
      <c r="A1059" s="5" t="s">
        <v>7303</v>
      </c>
      <c r="B1059" s="5" t="s">
        <v>7304</v>
      </c>
      <c r="C1059" s="5"/>
      <c r="D1059" s="5" t="s">
        <v>8</v>
      </c>
      <c r="E1059" s="6"/>
      <c r="F1059" s="6"/>
      <c r="G1059" s="7" t="s">
        <v>7305</v>
      </c>
      <c r="I1059" s="8" t="s">
        <v>7306</v>
      </c>
      <c r="J1059" s="9">
        <v>38.9</v>
      </c>
      <c r="K1059" s="10" t="s">
        <v>11</v>
      </c>
      <c r="L1059" s="6"/>
      <c r="M1059" s="11" t="s">
        <v>17</v>
      </c>
      <c r="N1059" s="6"/>
      <c r="O1059" s="6" t="s">
        <v>7307</v>
      </c>
      <c r="P1059" s="10" t="s">
        <v>15</v>
      </c>
      <c r="Q1059" s="6"/>
      <c r="R1059" s="6"/>
      <c r="S1059" s="6"/>
      <c r="T1059" s="6" t="s">
        <v>16</v>
      </c>
      <c r="U1059" s="9" t="s">
        <v>17</v>
      </c>
      <c r="AI1059" s="6" t="s">
        <v>7308</v>
      </c>
      <c r="AJ1059" s="12" t="s">
        <v>7309</v>
      </c>
      <c r="AL1059" s="13" t="s">
        <v>4741</v>
      </c>
    </row>
    <row r="1060">
      <c r="A1060" s="5" t="s">
        <v>7310</v>
      </c>
      <c r="B1060" s="5" t="s">
        <v>7311</v>
      </c>
      <c r="C1060" s="5"/>
      <c r="D1060" s="5" t="s">
        <v>8</v>
      </c>
      <c r="E1060" s="6"/>
      <c r="F1060" s="6"/>
      <c r="G1060" s="7" t="s">
        <v>7312</v>
      </c>
      <c r="I1060" s="8" t="s">
        <v>7313</v>
      </c>
      <c r="J1060" s="9">
        <v>27.9</v>
      </c>
      <c r="K1060" s="10" t="s">
        <v>11</v>
      </c>
      <c r="L1060" s="6"/>
      <c r="M1060" s="11" t="s">
        <v>17</v>
      </c>
      <c r="N1060" s="6"/>
      <c r="O1060" s="6" t="s">
        <v>7314</v>
      </c>
      <c r="P1060" s="10" t="s">
        <v>15</v>
      </c>
      <c r="Q1060" s="6"/>
      <c r="R1060" s="6"/>
      <c r="S1060" s="6"/>
      <c r="T1060" s="6" t="s">
        <v>16</v>
      </c>
      <c r="U1060" s="9" t="s">
        <v>17</v>
      </c>
      <c r="AI1060" s="6" t="s">
        <v>7308</v>
      </c>
      <c r="AJ1060" s="12" t="s">
        <v>7309</v>
      </c>
      <c r="AL1060" s="13" t="s">
        <v>4741</v>
      </c>
    </row>
    <row r="1061">
      <c r="A1061" s="5" t="s">
        <v>7315</v>
      </c>
      <c r="B1061" s="5" t="s">
        <v>7316</v>
      </c>
      <c r="C1061" s="5" t="s">
        <v>7317</v>
      </c>
      <c r="D1061" s="5" t="s">
        <v>8</v>
      </c>
      <c r="E1061" s="6"/>
      <c r="F1061" s="6"/>
      <c r="G1061" s="7" t="s">
        <v>7318</v>
      </c>
      <c r="I1061" s="8" t="s">
        <v>7319</v>
      </c>
      <c r="J1061" s="9">
        <v>6.3</v>
      </c>
      <c r="K1061" s="10" t="s">
        <v>11</v>
      </c>
      <c r="L1061" s="6"/>
      <c r="M1061" s="11" t="s">
        <v>17</v>
      </c>
      <c r="N1061" s="6"/>
      <c r="O1061" s="6" t="s">
        <v>7320</v>
      </c>
      <c r="P1061" s="10" t="s">
        <v>15</v>
      </c>
      <c r="Q1061" s="6"/>
      <c r="R1061" s="6"/>
      <c r="S1061" s="6"/>
      <c r="T1061" s="6" t="s">
        <v>16</v>
      </c>
      <c r="U1061" s="9" t="s">
        <v>17</v>
      </c>
      <c r="AI1061" s="6" t="s">
        <v>7308</v>
      </c>
      <c r="AJ1061" s="12" t="s">
        <v>7321</v>
      </c>
      <c r="AL1061" s="13" t="s">
        <v>4741</v>
      </c>
    </row>
    <row r="1062">
      <c r="A1062" s="5" t="s">
        <v>7322</v>
      </c>
      <c r="B1062" s="5" t="s">
        <v>7323</v>
      </c>
      <c r="C1062" s="5" t="s">
        <v>7317</v>
      </c>
      <c r="D1062" s="5" t="s">
        <v>8</v>
      </c>
      <c r="E1062" s="6"/>
      <c r="F1062" s="6"/>
      <c r="G1062" s="7" t="s">
        <v>7324</v>
      </c>
      <c r="I1062" s="8" t="s">
        <v>7325</v>
      </c>
      <c r="J1062" s="9">
        <v>1935.0</v>
      </c>
      <c r="K1062" s="10" t="s">
        <v>11</v>
      </c>
      <c r="L1062" s="6"/>
      <c r="M1062" s="11" t="s">
        <v>17</v>
      </c>
      <c r="N1062" s="6"/>
      <c r="O1062" s="6" t="s">
        <v>7326</v>
      </c>
      <c r="P1062" s="10" t="s">
        <v>15</v>
      </c>
      <c r="Q1062" s="6"/>
      <c r="R1062" s="6"/>
      <c r="S1062" s="6"/>
      <c r="T1062" s="6" t="s">
        <v>16</v>
      </c>
      <c r="U1062" s="9" t="s">
        <v>17</v>
      </c>
      <c r="AI1062" s="6" t="s">
        <v>7308</v>
      </c>
      <c r="AJ1062" s="12" t="s">
        <v>7321</v>
      </c>
      <c r="AL1062" s="13" t="s">
        <v>4741</v>
      </c>
    </row>
    <row r="1063">
      <c r="A1063" s="5" t="s">
        <v>7327</v>
      </c>
      <c r="B1063" s="5" t="s">
        <v>7328</v>
      </c>
      <c r="C1063" s="5" t="s">
        <v>7317</v>
      </c>
      <c r="D1063" s="5" t="s">
        <v>8</v>
      </c>
      <c r="E1063" s="6"/>
      <c r="F1063" s="6"/>
      <c r="G1063" s="7" t="s">
        <v>7329</v>
      </c>
      <c r="I1063" s="8" t="s">
        <v>7330</v>
      </c>
      <c r="J1063" s="9">
        <v>23.9</v>
      </c>
      <c r="K1063" s="10" t="s">
        <v>11</v>
      </c>
      <c r="L1063" s="6"/>
      <c r="M1063" s="11" t="s">
        <v>17</v>
      </c>
      <c r="N1063" s="6"/>
      <c r="O1063" s="6" t="s">
        <v>7331</v>
      </c>
      <c r="P1063" s="10" t="s">
        <v>15</v>
      </c>
      <c r="Q1063" s="6"/>
      <c r="R1063" s="6"/>
      <c r="S1063" s="6"/>
      <c r="T1063" s="6" t="s">
        <v>16</v>
      </c>
      <c r="U1063" s="9" t="s">
        <v>17</v>
      </c>
      <c r="AI1063" s="6" t="s">
        <v>7308</v>
      </c>
      <c r="AJ1063" s="12" t="s">
        <v>7321</v>
      </c>
      <c r="AL1063" s="13" t="s">
        <v>4741</v>
      </c>
    </row>
    <row r="1064">
      <c r="A1064" s="5" t="s">
        <v>7332</v>
      </c>
      <c r="B1064" s="5" t="s">
        <v>7333</v>
      </c>
      <c r="C1064" s="5" t="s">
        <v>7334</v>
      </c>
      <c r="D1064" s="5" t="s">
        <v>8</v>
      </c>
      <c r="E1064" s="6"/>
      <c r="F1064" s="6"/>
      <c r="G1064" s="7" t="s">
        <v>7335</v>
      </c>
      <c r="I1064" s="8" t="s">
        <v>7336</v>
      </c>
      <c r="J1064" s="9">
        <v>90.0</v>
      </c>
      <c r="K1064" s="10" t="s">
        <v>11</v>
      </c>
      <c r="L1064" s="6"/>
      <c r="M1064" s="11" t="s">
        <v>17</v>
      </c>
      <c r="N1064" s="6"/>
      <c r="O1064" s="6" t="s">
        <v>7337</v>
      </c>
      <c r="P1064" s="10" t="s">
        <v>15</v>
      </c>
      <c r="Q1064" s="6"/>
      <c r="R1064" s="6"/>
      <c r="S1064" s="6"/>
      <c r="T1064" s="6" t="s">
        <v>16</v>
      </c>
      <c r="U1064" s="9" t="s">
        <v>17</v>
      </c>
      <c r="AI1064" s="6" t="s">
        <v>7308</v>
      </c>
      <c r="AJ1064" s="12" t="s">
        <v>7338</v>
      </c>
      <c r="AL1064" s="13" t="s">
        <v>4741</v>
      </c>
    </row>
    <row r="1065">
      <c r="A1065" s="5" t="s">
        <v>7339</v>
      </c>
      <c r="B1065" s="5" t="s">
        <v>7340</v>
      </c>
      <c r="C1065" s="5" t="s">
        <v>7334</v>
      </c>
      <c r="D1065" s="5" t="s">
        <v>8</v>
      </c>
      <c r="E1065" s="6"/>
      <c r="F1065" s="6"/>
      <c r="G1065" s="7" t="s">
        <v>7341</v>
      </c>
      <c r="I1065" s="8" t="s">
        <v>7342</v>
      </c>
      <c r="J1065" s="9">
        <v>90.0</v>
      </c>
      <c r="K1065" s="10" t="s">
        <v>11</v>
      </c>
      <c r="L1065" s="6"/>
      <c r="M1065" s="11" t="s">
        <v>17</v>
      </c>
      <c r="N1065" s="6"/>
      <c r="O1065" s="6" t="s">
        <v>7343</v>
      </c>
      <c r="P1065" s="10" t="s">
        <v>15</v>
      </c>
      <c r="Q1065" s="6"/>
      <c r="R1065" s="6"/>
      <c r="S1065" s="6"/>
      <c r="T1065" s="6" t="s">
        <v>16</v>
      </c>
      <c r="U1065" s="9" t="s">
        <v>17</v>
      </c>
      <c r="AI1065" s="6" t="s">
        <v>7308</v>
      </c>
      <c r="AJ1065" s="12" t="s">
        <v>7338</v>
      </c>
      <c r="AL1065" s="13" t="s">
        <v>4741</v>
      </c>
    </row>
    <row r="1066">
      <c r="A1066" s="5" t="s">
        <v>7344</v>
      </c>
      <c r="B1066" s="5" t="s">
        <v>7345</v>
      </c>
      <c r="C1066" s="5" t="s">
        <v>7334</v>
      </c>
      <c r="D1066" s="5" t="s">
        <v>8</v>
      </c>
      <c r="E1066" s="6"/>
      <c r="F1066" s="6"/>
      <c r="G1066" s="7" t="s">
        <v>7346</v>
      </c>
      <c r="I1066" s="8" t="s">
        <v>7347</v>
      </c>
      <c r="J1066" s="9">
        <v>90.0</v>
      </c>
      <c r="K1066" s="10" t="s">
        <v>11</v>
      </c>
      <c r="L1066" s="6"/>
      <c r="M1066" s="11" t="s">
        <v>17</v>
      </c>
      <c r="N1066" s="6"/>
      <c r="O1066" s="6" t="s">
        <v>7348</v>
      </c>
      <c r="P1066" s="10" t="s">
        <v>15</v>
      </c>
      <c r="Q1066" s="6"/>
      <c r="R1066" s="6"/>
      <c r="S1066" s="6"/>
      <c r="T1066" s="6" t="s">
        <v>16</v>
      </c>
      <c r="U1066" s="9" t="s">
        <v>17</v>
      </c>
      <c r="AI1066" s="6" t="s">
        <v>7308</v>
      </c>
      <c r="AJ1066" s="12" t="s">
        <v>7338</v>
      </c>
      <c r="AL1066" s="13" t="s">
        <v>4741</v>
      </c>
    </row>
    <row r="1067">
      <c r="A1067" s="5" t="s">
        <v>7349</v>
      </c>
      <c r="B1067" s="5" t="s">
        <v>7350</v>
      </c>
      <c r="C1067" s="5" t="s">
        <v>7334</v>
      </c>
      <c r="D1067" s="5" t="s">
        <v>8</v>
      </c>
      <c r="E1067" s="6"/>
      <c r="F1067" s="6"/>
      <c r="G1067" s="7" t="s">
        <v>7351</v>
      </c>
      <c r="I1067" s="8" t="s">
        <v>7352</v>
      </c>
      <c r="J1067" s="9">
        <v>90.0</v>
      </c>
      <c r="K1067" s="10" t="s">
        <v>11</v>
      </c>
      <c r="L1067" s="6"/>
      <c r="M1067" s="11" t="s">
        <v>17</v>
      </c>
      <c r="N1067" s="6"/>
      <c r="O1067" s="6" t="s">
        <v>7353</v>
      </c>
      <c r="P1067" s="10" t="s">
        <v>15</v>
      </c>
      <c r="Q1067" s="6"/>
      <c r="R1067" s="6"/>
      <c r="S1067" s="6"/>
      <c r="T1067" s="6" t="s">
        <v>16</v>
      </c>
      <c r="U1067" s="9" t="s">
        <v>17</v>
      </c>
      <c r="AI1067" s="6" t="s">
        <v>7308</v>
      </c>
      <c r="AJ1067" s="12" t="s">
        <v>7338</v>
      </c>
      <c r="AL1067" s="13" t="s">
        <v>4741</v>
      </c>
    </row>
    <row r="1068">
      <c r="A1068" s="5" t="s">
        <v>7354</v>
      </c>
      <c r="B1068" s="5" t="s">
        <v>7355</v>
      </c>
      <c r="C1068" s="5" t="s">
        <v>7334</v>
      </c>
      <c r="D1068" s="5" t="s">
        <v>8</v>
      </c>
      <c r="E1068" s="6"/>
      <c r="F1068" s="6"/>
      <c r="G1068" s="7" t="s">
        <v>7356</v>
      </c>
      <c r="I1068" s="8" t="s">
        <v>7357</v>
      </c>
      <c r="J1068" s="9">
        <v>90.0</v>
      </c>
      <c r="K1068" s="10" t="s">
        <v>11</v>
      </c>
      <c r="L1068" s="6"/>
      <c r="M1068" s="11" t="s">
        <v>17</v>
      </c>
      <c r="N1068" s="6"/>
      <c r="O1068" s="6" t="s">
        <v>7358</v>
      </c>
      <c r="P1068" s="10" t="s">
        <v>15</v>
      </c>
      <c r="Q1068" s="6"/>
      <c r="R1068" s="6"/>
      <c r="S1068" s="6"/>
      <c r="T1068" s="6" t="s">
        <v>16</v>
      </c>
      <c r="U1068" s="9" t="s">
        <v>17</v>
      </c>
      <c r="AI1068" s="6" t="s">
        <v>7308</v>
      </c>
      <c r="AJ1068" s="12" t="s">
        <v>7338</v>
      </c>
      <c r="AL1068" s="13" t="s">
        <v>4741</v>
      </c>
    </row>
    <row r="1069">
      <c r="A1069" s="5" t="s">
        <v>7359</v>
      </c>
      <c r="B1069" s="5" t="s">
        <v>7360</v>
      </c>
      <c r="C1069" s="5" t="s">
        <v>7361</v>
      </c>
      <c r="D1069" s="5" t="s">
        <v>8</v>
      </c>
      <c r="E1069" s="6"/>
      <c r="F1069" s="6"/>
      <c r="G1069" s="7" t="s">
        <v>7362</v>
      </c>
      <c r="I1069" s="8" t="s">
        <v>7363</v>
      </c>
      <c r="J1069" s="9">
        <v>395.0</v>
      </c>
      <c r="K1069" s="10" t="s">
        <v>11</v>
      </c>
      <c r="L1069" s="6"/>
      <c r="M1069" s="11" t="s">
        <v>17</v>
      </c>
      <c r="N1069" s="6"/>
      <c r="O1069" s="6" t="s">
        <v>7364</v>
      </c>
      <c r="P1069" s="10" t="s">
        <v>15</v>
      </c>
      <c r="Q1069" s="6"/>
      <c r="R1069" s="6"/>
      <c r="S1069" s="6"/>
      <c r="T1069" s="6" t="s">
        <v>16</v>
      </c>
      <c r="U1069" s="9" t="s">
        <v>17</v>
      </c>
      <c r="AI1069" s="6" t="s">
        <v>7308</v>
      </c>
      <c r="AJ1069" s="12" t="s">
        <v>7365</v>
      </c>
      <c r="AL1069" s="13" t="s">
        <v>4741</v>
      </c>
    </row>
    <row r="1070">
      <c r="A1070" s="5" t="s">
        <v>7366</v>
      </c>
      <c r="B1070" s="5" t="s">
        <v>7367</v>
      </c>
      <c r="C1070" s="5" t="s">
        <v>7368</v>
      </c>
      <c r="D1070" s="5" t="s">
        <v>8</v>
      </c>
      <c r="E1070" s="6"/>
      <c r="F1070" s="6"/>
      <c r="G1070" s="7" t="s">
        <v>7369</v>
      </c>
      <c r="I1070" s="8" t="s">
        <v>7370</v>
      </c>
      <c r="J1070" s="9">
        <v>13.9</v>
      </c>
      <c r="K1070" s="10" t="s">
        <v>11</v>
      </c>
      <c r="L1070" s="6"/>
      <c r="M1070" s="11" t="s">
        <v>17</v>
      </c>
      <c r="N1070" s="6"/>
      <c r="O1070" s="6" t="s">
        <v>7371</v>
      </c>
      <c r="P1070" s="10" t="s">
        <v>15</v>
      </c>
      <c r="Q1070" s="6"/>
      <c r="R1070" s="6"/>
      <c r="S1070" s="6"/>
      <c r="T1070" s="6" t="s">
        <v>16</v>
      </c>
      <c r="U1070" s="9" t="s">
        <v>17</v>
      </c>
      <c r="AI1070" s="6" t="s">
        <v>7245</v>
      </c>
      <c r="AJ1070" s="12" t="s">
        <v>7372</v>
      </c>
      <c r="AL1070" s="13" t="s">
        <v>4741</v>
      </c>
    </row>
    <row r="1071">
      <c r="A1071" s="5" t="s">
        <v>7373</v>
      </c>
      <c r="B1071" s="5" t="s">
        <v>7374</v>
      </c>
      <c r="C1071" s="5" t="s">
        <v>7375</v>
      </c>
      <c r="D1071" s="5" t="s">
        <v>507</v>
      </c>
      <c r="E1071" s="6"/>
      <c r="F1071" s="6"/>
      <c r="G1071" s="7" t="s">
        <v>7376</v>
      </c>
      <c r="I1071" s="8" t="s">
        <v>7377</v>
      </c>
      <c r="J1071" s="9">
        <v>39.9</v>
      </c>
      <c r="K1071" s="10" t="s">
        <v>11</v>
      </c>
      <c r="L1071" s="6"/>
      <c r="M1071" s="11" t="s">
        <v>17</v>
      </c>
      <c r="N1071" s="6"/>
      <c r="O1071" s="6" t="s">
        <v>7378</v>
      </c>
      <c r="P1071" s="10" t="s">
        <v>15</v>
      </c>
      <c r="Q1071" s="6"/>
      <c r="R1071" s="6"/>
      <c r="S1071" s="6"/>
      <c r="T1071" s="6" t="s">
        <v>16</v>
      </c>
      <c r="U1071" s="9" t="s">
        <v>17</v>
      </c>
      <c r="AI1071" s="6" t="s">
        <v>7379</v>
      </c>
      <c r="AJ1071" s="12" t="s">
        <v>7380</v>
      </c>
      <c r="AL1071" s="13" t="s">
        <v>7381</v>
      </c>
    </row>
    <row r="1072">
      <c r="A1072" s="5" t="s">
        <v>7382</v>
      </c>
      <c r="B1072" s="5" t="s">
        <v>7383</v>
      </c>
      <c r="C1072" s="5" t="s">
        <v>7384</v>
      </c>
      <c r="D1072" s="5" t="s">
        <v>8</v>
      </c>
      <c r="E1072" s="6"/>
      <c r="F1072" s="6"/>
      <c r="G1072" s="7" t="s">
        <v>7385</v>
      </c>
      <c r="I1072" s="8" t="s">
        <v>7386</v>
      </c>
      <c r="J1072" s="9">
        <v>33.5</v>
      </c>
      <c r="K1072" s="10" t="s">
        <v>11</v>
      </c>
      <c r="L1072" s="6"/>
      <c r="M1072" s="11" t="s">
        <v>17</v>
      </c>
      <c r="N1072" s="6"/>
      <c r="O1072" s="6" t="s">
        <v>7387</v>
      </c>
      <c r="P1072" s="10" t="s">
        <v>15</v>
      </c>
      <c r="Q1072" s="6"/>
      <c r="R1072" s="6"/>
      <c r="S1072" s="6"/>
      <c r="T1072" s="6" t="s">
        <v>16</v>
      </c>
      <c r="U1072" s="9" t="s">
        <v>17</v>
      </c>
      <c r="AI1072" s="6" t="s">
        <v>7379</v>
      </c>
      <c r="AJ1072" s="12" t="s">
        <v>7388</v>
      </c>
      <c r="AL1072" s="13" t="s">
        <v>7381</v>
      </c>
    </row>
    <row r="1073">
      <c r="A1073" s="5" t="s">
        <v>7389</v>
      </c>
      <c r="B1073" s="5" t="s">
        <v>7390</v>
      </c>
      <c r="C1073" s="5" t="s">
        <v>7391</v>
      </c>
      <c r="D1073" s="5" t="s">
        <v>507</v>
      </c>
      <c r="E1073" s="6"/>
      <c r="F1073" s="6"/>
      <c r="G1073" s="7" t="s">
        <v>7392</v>
      </c>
      <c r="I1073" s="8" t="s">
        <v>7393</v>
      </c>
      <c r="J1073" s="9">
        <v>159.0</v>
      </c>
      <c r="K1073" s="10" t="s">
        <v>11</v>
      </c>
      <c r="L1073" s="6"/>
      <c r="M1073" s="11" t="s">
        <v>17</v>
      </c>
      <c r="N1073" s="6"/>
      <c r="O1073" s="6" t="s">
        <v>7394</v>
      </c>
      <c r="P1073" s="10" t="s">
        <v>15</v>
      </c>
      <c r="Q1073" s="6"/>
      <c r="R1073" s="6"/>
      <c r="S1073" s="6"/>
      <c r="T1073" s="6" t="s">
        <v>16</v>
      </c>
      <c r="U1073" s="9" t="s">
        <v>17</v>
      </c>
      <c r="AI1073" s="6" t="s">
        <v>7379</v>
      </c>
      <c r="AJ1073" s="12" t="s">
        <v>7395</v>
      </c>
      <c r="AL1073" s="13" t="s">
        <v>7381</v>
      </c>
    </row>
    <row r="1074">
      <c r="A1074" s="5" t="s">
        <v>7396</v>
      </c>
      <c r="B1074" s="5" t="s">
        <v>7397</v>
      </c>
      <c r="C1074" s="5" t="s">
        <v>7384</v>
      </c>
      <c r="D1074" s="5" t="s">
        <v>8</v>
      </c>
      <c r="E1074" s="6"/>
      <c r="F1074" s="6"/>
      <c r="G1074" s="7" t="s">
        <v>7398</v>
      </c>
      <c r="I1074" s="8" t="s">
        <v>7399</v>
      </c>
      <c r="J1074" s="9">
        <v>24.0</v>
      </c>
      <c r="K1074" s="10" t="s">
        <v>11</v>
      </c>
      <c r="L1074" s="6"/>
      <c r="M1074" s="11" t="s">
        <v>17</v>
      </c>
      <c r="N1074" s="6"/>
      <c r="O1074" s="6" t="s">
        <v>7400</v>
      </c>
      <c r="P1074" s="10" t="s">
        <v>15</v>
      </c>
      <c r="Q1074" s="6"/>
      <c r="R1074" s="6"/>
      <c r="S1074" s="6"/>
      <c r="T1074" s="6" t="s">
        <v>16</v>
      </c>
      <c r="U1074" s="9" t="s">
        <v>17</v>
      </c>
      <c r="AI1074" s="6" t="s">
        <v>7379</v>
      </c>
      <c r="AJ1074" s="12" t="s">
        <v>7401</v>
      </c>
      <c r="AL1074" s="13" t="s">
        <v>7381</v>
      </c>
    </row>
    <row r="1075">
      <c r="A1075" s="5" t="s">
        <v>7402</v>
      </c>
      <c r="B1075" s="5" t="s">
        <v>7403</v>
      </c>
      <c r="C1075" s="5" t="s">
        <v>7404</v>
      </c>
      <c r="D1075" s="5" t="s">
        <v>8</v>
      </c>
      <c r="E1075" s="6"/>
      <c r="F1075" s="6"/>
      <c r="G1075" s="7" t="s">
        <v>7405</v>
      </c>
      <c r="I1075" s="8" t="s">
        <v>7406</v>
      </c>
      <c r="J1075" s="9">
        <v>24.9</v>
      </c>
      <c r="K1075" s="10" t="s">
        <v>11</v>
      </c>
      <c r="L1075" s="6"/>
      <c r="M1075" s="11" t="s">
        <v>17</v>
      </c>
      <c r="N1075" s="6"/>
      <c r="O1075" s="6" t="s">
        <v>7407</v>
      </c>
      <c r="P1075" s="10" t="s">
        <v>15</v>
      </c>
      <c r="Q1075" s="6"/>
      <c r="R1075" s="6"/>
      <c r="S1075" s="6"/>
      <c r="T1075" s="6" t="s">
        <v>16</v>
      </c>
      <c r="U1075" s="9" t="s">
        <v>17</v>
      </c>
      <c r="AI1075" s="6" t="s">
        <v>7379</v>
      </c>
      <c r="AJ1075" s="12" t="s">
        <v>7408</v>
      </c>
      <c r="AL1075" s="13" t="s">
        <v>7381</v>
      </c>
    </row>
    <row r="1076">
      <c r="A1076" s="5" t="s">
        <v>7409</v>
      </c>
      <c r="B1076" s="5" t="s">
        <v>7410</v>
      </c>
      <c r="C1076" s="5" t="s">
        <v>7384</v>
      </c>
      <c r="D1076" s="5" t="s">
        <v>8</v>
      </c>
      <c r="E1076" s="6"/>
      <c r="F1076" s="6"/>
      <c r="G1076" s="7" t="s">
        <v>7411</v>
      </c>
      <c r="I1076" s="8" t="s">
        <v>7412</v>
      </c>
      <c r="J1076" s="9">
        <v>28.0</v>
      </c>
      <c r="K1076" s="10" t="s">
        <v>11</v>
      </c>
      <c r="L1076" s="6"/>
      <c r="M1076" s="11" t="s">
        <v>17</v>
      </c>
      <c r="N1076" s="6"/>
      <c r="O1076" s="6" t="s">
        <v>7413</v>
      </c>
      <c r="P1076" s="10" t="s">
        <v>15</v>
      </c>
      <c r="Q1076" s="6"/>
      <c r="R1076" s="6"/>
      <c r="S1076" s="6"/>
      <c r="T1076" s="6" t="s">
        <v>16</v>
      </c>
      <c r="U1076" s="9" t="s">
        <v>17</v>
      </c>
      <c r="AI1076" s="6" t="s">
        <v>7379</v>
      </c>
      <c r="AJ1076" s="12" t="s">
        <v>7414</v>
      </c>
      <c r="AL1076" s="13" t="s">
        <v>7381</v>
      </c>
    </row>
    <row r="1077">
      <c r="A1077" s="5" t="s">
        <v>7415</v>
      </c>
      <c r="B1077" s="5" t="s">
        <v>7416</v>
      </c>
      <c r="C1077" s="5" t="s">
        <v>7384</v>
      </c>
      <c r="D1077" s="5" t="s">
        <v>8</v>
      </c>
      <c r="E1077" s="6"/>
      <c r="F1077" s="6"/>
      <c r="G1077" s="7" t="s">
        <v>7417</v>
      </c>
      <c r="I1077" s="8" t="s">
        <v>7418</v>
      </c>
      <c r="J1077" s="9">
        <v>52.0</v>
      </c>
      <c r="K1077" s="10" t="s">
        <v>11</v>
      </c>
      <c r="L1077" s="6"/>
      <c r="M1077" s="11" t="s">
        <v>17</v>
      </c>
      <c r="N1077" s="6"/>
      <c r="O1077" s="6" t="s">
        <v>7419</v>
      </c>
      <c r="P1077" s="10" t="s">
        <v>15</v>
      </c>
      <c r="Q1077" s="6"/>
      <c r="R1077" s="6"/>
      <c r="S1077" s="6"/>
      <c r="T1077" s="6" t="s">
        <v>16</v>
      </c>
      <c r="U1077" s="9" t="s">
        <v>17</v>
      </c>
      <c r="AI1077" s="6" t="s">
        <v>7379</v>
      </c>
      <c r="AJ1077" s="12" t="s">
        <v>7420</v>
      </c>
      <c r="AL1077" s="13" t="s">
        <v>7381</v>
      </c>
    </row>
    <row r="1078">
      <c r="A1078" s="5" t="s">
        <v>7421</v>
      </c>
      <c r="B1078" s="5" t="s">
        <v>7422</v>
      </c>
      <c r="C1078" s="5" t="s">
        <v>7423</v>
      </c>
      <c r="D1078" s="5" t="s">
        <v>507</v>
      </c>
      <c r="E1078" s="6"/>
      <c r="F1078" s="6"/>
      <c r="G1078" s="7" t="s">
        <v>7424</v>
      </c>
      <c r="I1078" s="8" t="s">
        <v>7425</v>
      </c>
      <c r="J1078" s="9">
        <v>60.0</v>
      </c>
      <c r="K1078" s="10" t="s">
        <v>11</v>
      </c>
      <c r="L1078" s="6"/>
      <c r="M1078" s="11" t="s">
        <v>17</v>
      </c>
      <c r="N1078" s="6"/>
      <c r="O1078" s="6" t="s">
        <v>7426</v>
      </c>
      <c r="P1078" s="10" t="s">
        <v>15</v>
      </c>
      <c r="Q1078" s="6"/>
      <c r="R1078" s="6"/>
      <c r="S1078" s="6"/>
      <c r="T1078" s="6" t="s">
        <v>16</v>
      </c>
      <c r="U1078" s="9" t="s">
        <v>17</v>
      </c>
      <c r="AI1078" s="6" t="s">
        <v>7379</v>
      </c>
      <c r="AJ1078" s="12" t="s">
        <v>7427</v>
      </c>
      <c r="AL1078" s="13" t="s">
        <v>7381</v>
      </c>
    </row>
    <row r="1079">
      <c r="A1079" s="5" t="s">
        <v>7428</v>
      </c>
      <c r="B1079" s="5" t="s">
        <v>7429</v>
      </c>
      <c r="C1079" s="5" t="s">
        <v>7430</v>
      </c>
      <c r="D1079" s="5" t="s">
        <v>8</v>
      </c>
      <c r="E1079" s="6"/>
      <c r="F1079" s="6"/>
      <c r="G1079" s="7" t="s">
        <v>7431</v>
      </c>
      <c r="I1079" s="8" t="s">
        <v>7432</v>
      </c>
      <c r="J1079" s="9">
        <v>18.0</v>
      </c>
      <c r="K1079" s="10" t="s">
        <v>11</v>
      </c>
      <c r="L1079" s="6"/>
      <c r="M1079" s="11" t="s">
        <v>17</v>
      </c>
      <c r="N1079" s="6"/>
      <c r="O1079" s="6" t="s">
        <v>7433</v>
      </c>
      <c r="P1079" s="10" t="s">
        <v>15</v>
      </c>
      <c r="Q1079" s="6"/>
      <c r="R1079" s="6"/>
      <c r="S1079" s="6"/>
      <c r="T1079" s="6" t="s">
        <v>16</v>
      </c>
      <c r="U1079" s="9" t="s">
        <v>17</v>
      </c>
      <c r="AI1079" s="6" t="s">
        <v>7379</v>
      </c>
      <c r="AJ1079" s="12" t="s">
        <v>7434</v>
      </c>
      <c r="AL1079" s="13" t="s">
        <v>7381</v>
      </c>
    </row>
    <row r="1080">
      <c r="A1080" s="5" t="s">
        <v>7435</v>
      </c>
      <c r="B1080" s="5" t="s">
        <v>7436</v>
      </c>
      <c r="C1080" s="5" t="s">
        <v>7384</v>
      </c>
      <c r="D1080" s="5" t="s">
        <v>8</v>
      </c>
      <c r="E1080" s="6"/>
      <c r="F1080" s="6"/>
      <c r="G1080" s="7" t="s">
        <v>7437</v>
      </c>
      <c r="I1080" s="8" t="s">
        <v>7438</v>
      </c>
      <c r="J1080" s="9">
        <v>65.0</v>
      </c>
      <c r="K1080" s="10" t="s">
        <v>11</v>
      </c>
      <c r="L1080" s="6"/>
      <c r="M1080" s="11" t="s">
        <v>17</v>
      </c>
      <c r="N1080" s="6"/>
      <c r="O1080" s="6" t="s">
        <v>7439</v>
      </c>
      <c r="P1080" s="10" t="s">
        <v>15</v>
      </c>
      <c r="Q1080" s="6"/>
      <c r="R1080" s="6"/>
      <c r="S1080" s="6"/>
      <c r="T1080" s="6" t="s">
        <v>16</v>
      </c>
      <c r="U1080" s="9" t="s">
        <v>17</v>
      </c>
      <c r="AI1080" s="6" t="s">
        <v>7379</v>
      </c>
      <c r="AJ1080" s="12" t="s">
        <v>7440</v>
      </c>
      <c r="AL1080" s="13" t="s">
        <v>7381</v>
      </c>
    </row>
    <row r="1081">
      <c r="A1081" s="5" t="s">
        <v>7441</v>
      </c>
      <c r="B1081" s="5" t="s">
        <v>7442</v>
      </c>
      <c r="C1081" s="5" t="s">
        <v>7443</v>
      </c>
      <c r="D1081" s="5" t="s">
        <v>507</v>
      </c>
      <c r="E1081" s="6"/>
      <c r="F1081" s="6"/>
      <c r="G1081" s="7" t="s">
        <v>7444</v>
      </c>
      <c r="I1081" s="8" t="s">
        <v>7445</v>
      </c>
      <c r="J1081" s="9">
        <v>28.0</v>
      </c>
      <c r="K1081" s="10" t="s">
        <v>11</v>
      </c>
      <c r="L1081" s="6"/>
      <c r="M1081" s="11" t="s">
        <v>17</v>
      </c>
      <c r="N1081" s="6"/>
      <c r="O1081" s="6" t="s">
        <v>7446</v>
      </c>
      <c r="P1081" s="10" t="s">
        <v>15</v>
      </c>
      <c r="Q1081" s="6"/>
      <c r="R1081" s="6"/>
      <c r="S1081" s="6"/>
      <c r="T1081" s="6" t="s">
        <v>16</v>
      </c>
      <c r="U1081" s="9" t="s">
        <v>17</v>
      </c>
      <c r="AI1081" s="6" t="s">
        <v>7379</v>
      </c>
      <c r="AJ1081" s="12" t="s">
        <v>7447</v>
      </c>
      <c r="AL1081" s="13" t="s">
        <v>7381</v>
      </c>
    </row>
    <row r="1082">
      <c r="A1082" s="5" t="s">
        <v>7448</v>
      </c>
      <c r="B1082" s="5" t="s">
        <v>7449</v>
      </c>
      <c r="C1082" s="5" t="s">
        <v>7384</v>
      </c>
      <c r="D1082" s="5" t="s">
        <v>8</v>
      </c>
      <c r="E1082" s="6"/>
      <c r="F1082" s="6"/>
      <c r="G1082" s="7" t="s">
        <v>7450</v>
      </c>
      <c r="I1082" s="8" t="s">
        <v>7451</v>
      </c>
      <c r="J1082" s="9">
        <v>45.0</v>
      </c>
      <c r="K1082" s="10" t="s">
        <v>11</v>
      </c>
      <c r="L1082" s="6"/>
      <c r="M1082" s="11" t="s">
        <v>17</v>
      </c>
      <c r="N1082" s="6"/>
      <c r="O1082" s="6" t="s">
        <v>7452</v>
      </c>
      <c r="P1082" s="10" t="s">
        <v>15</v>
      </c>
      <c r="Q1082" s="6"/>
      <c r="R1082" s="6"/>
      <c r="S1082" s="6"/>
      <c r="T1082" s="6" t="s">
        <v>16</v>
      </c>
      <c r="U1082" s="9" t="s">
        <v>17</v>
      </c>
      <c r="AI1082" s="6" t="s">
        <v>7379</v>
      </c>
      <c r="AJ1082" s="12" t="s">
        <v>7453</v>
      </c>
      <c r="AL1082" s="13" t="s">
        <v>7381</v>
      </c>
    </row>
    <row r="1083">
      <c r="A1083" s="5" t="s">
        <v>7454</v>
      </c>
      <c r="B1083" s="5" t="s">
        <v>7455</v>
      </c>
      <c r="C1083" s="5" t="s">
        <v>7384</v>
      </c>
      <c r="D1083" s="5" t="s">
        <v>507</v>
      </c>
      <c r="E1083" s="6"/>
      <c r="F1083" s="6"/>
      <c r="G1083" s="7" t="s">
        <v>7456</v>
      </c>
      <c r="I1083" s="8" t="s">
        <v>7457</v>
      </c>
      <c r="J1083" s="9">
        <v>54.31</v>
      </c>
      <c r="K1083" s="10" t="s">
        <v>11</v>
      </c>
      <c r="L1083" s="6"/>
      <c r="M1083" s="11" t="s">
        <v>17</v>
      </c>
      <c r="N1083" s="6"/>
      <c r="O1083" s="6" t="s">
        <v>7458</v>
      </c>
      <c r="P1083" s="10" t="s">
        <v>15</v>
      </c>
      <c r="Q1083" s="6"/>
      <c r="R1083" s="6"/>
      <c r="S1083" s="6"/>
      <c r="T1083" s="6" t="s">
        <v>16</v>
      </c>
      <c r="U1083" s="9" t="s">
        <v>17</v>
      </c>
      <c r="AI1083" s="6" t="s">
        <v>7379</v>
      </c>
      <c r="AJ1083" s="12" t="s">
        <v>7459</v>
      </c>
      <c r="AL1083" s="13" t="s">
        <v>7381</v>
      </c>
    </row>
    <row r="1084">
      <c r="A1084" s="5" t="s">
        <v>7460</v>
      </c>
      <c r="B1084" s="5" t="s">
        <v>7461</v>
      </c>
      <c r="C1084" s="5" t="s">
        <v>7384</v>
      </c>
      <c r="D1084" s="5" t="s">
        <v>8</v>
      </c>
      <c r="E1084" s="6"/>
      <c r="F1084" s="6"/>
      <c r="G1084" s="7" t="s">
        <v>7462</v>
      </c>
      <c r="I1084" s="8" t="s">
        <v>7463</v>
      </c>
      <c r="J1084" s="9">
        <v>29.9</v>
      </c>
      <c r="K1084" s="10" t="s">
        <v>11</v>
      </c>
      <c r="L1084" s="6"/>
      <c r="M1084" s="11" t="s">
        <v>17</v>
      </c>
      <c r="N1084" s="6"/>
      <c r="O1084" s="6" t="s">
        <v>7464</v>
      </c>
      <c r="P1084" s="10" t="s">
        <v>15</v>
      </c>
      <c r="Q1084" s="6"/>
      <c r="R1084" s="6"/>
      <c r="S1084" s="6"/>
      <c r="T1084" s="6" t="s">
        <v>16</v>
      </c>
      <c r="U1084" s="9" t="s">
        <v>17</v>
      </c>
      <c r="AI1084" s="6" t="s">
        <v>7379</v>
      </c>
      <c r="AJ1084" s="12" t="s">
        <v>7465</v>
      </c>
      <c r="AL1084" s="13" t="s">
        <v>7381</v>
      </c>
    </row>
    <row r="1085">
      <c r="A1085" s="5" t="s">
        <v>7466</v>
      </c>
      <c r="B1085" s="5" t="s">
        <v>7467</v>
      </c>
      <c r="C1085" s="5" t="s">
        <v>7443</v>
      </c>
      <c r="D1085" s="5" t="s">
        <v>8</v>
      </c>
      <c r="E1085" s="6"/>
      <c r="F1085" s="6"/>
      <c r="G1085" s="7" t="s">
        <v>7468</v>
      </c>
      <c r="I1085" s="8" t="s">
        <v>7469</v>
      </c>
      <c r="J1085" s="9">
        <v>22.0</v>
      </c>
      <c r="K1085" s="10" t="s">
        <v>11</v>
      </c>
      <c r="L1085" s="6"/>
      <c r="M1085" s="11" t="s">
        <v>17</v>
      </c>
      <c r="N1085" s="6"/>
      <c r="O1085" s="6" t="s">
        <v>7470</v>
      </c>
      <c r="P1085" s="10" t="s">
        <v>15</v>
      </c>
      <c r="Q1085" s="6"/>
      <c r="R1085" s="6"/>
      <c r="S1085" s="6"/>
      <c r="T1085" s="6" t="s">
        <v>16</v>
      </c>
      <c r="U1085" s="9" t="s">
        <v>17</v>
      </c>
      <c r="AI1085" s="6" t="s">
        <v>7379</v>
      </c>
      <c r="AJ1085" s="12" t="s">
        <v>7471</v>
      </c>
      <c r="AL1085" s="13" t="s">
        <v>7381</v>
      </c>
    </row>
    <row r="1086">
      <c r="A1086" s="5" t="s">
        <v>7472</v>
      </c>
      <c r="B1086" s="5" t="s">
        <v>7473</v>
      </c>
      <c r="C1086" s="5" t="s">
        <v>7384</v>
      </c>
      <c r="D1086" s="5" t="s">
        <v>507</v>
      </c>
      <c r="E1086" s="6"/>
      <c r="F1086" s="6"/>
      <c r="G1086" s="7" t="s">
        <v>7474</v>
      </c>
      <c r="I1086" s="8" t="s">
        <v>7475</v>
      </c>
      <c r="J1086" s="9">
        <v>35.5</v>
      </c>
      <c r="K1086" s="10" t="s">
        <v>11</v>
      </c>
      <c r="L1086" s="6"/>
      <c r="M1086" s="11" t="s">
        <v>17</v>
      </c>
      <c r="N1086" s="6"/>
      <c r="O1086" s="6" t="s">
        <v>7476</v>
      </c>
      <c r="P1086" s="10" t="s">
        <v>15</v>
      </c>
      <c r="Q1086" s="6"/>
      <c r="R1086" s="6"/>
      <c r="S1086" s="6"/>
      <c r="T1086" s="6" t="s">
        <v>16</v>
      </c>
      <c r="U1086" s="9" t="s">
        <v>17</v>
      </c>
      <c r="AI1086" s="6" t="s">
        <v>7379</v>
      </c>
      <c r="AJ1086" s="12" t="s">
        <v>7477</v>
      </c>
      <c r="AL1086" s="13" t="s">
        <v>7381</v>
      </c>
    </row>
    <row r="1087">
      <c r="A1087" s="5" t="s">
        <v>7478</v>
      </c>
      <c r="B1087" s="5" t="s">
        <v>7479</v>
      </c>
      <c r="C1087" s="5" t="s">
        <v>7480</v>
      </c>
      <c r="D1087" s="5" t="s">
        <v>507</v>
      </c>
      <c r="E1087" s="6"/>
      <c r="F1087" s="6"/>
      <c r="G1087" s="7" t="s">
        <v>7481</v>
      </c>
      <c r="I1087" s="8" t="s">
        <v>7482</v>
      </c>
      <c r="J1087" s="9">
        <v>19.9</v>
      </c>
      <c r="K1087" s="10" t="s">
        <v>11</v>
      </c>
      <c r="L1087" s="6"/>
      <c r="M1087" s="11" t="s">
        <v>17</v>
      </c>
      <c r="N1087" s="6"/>
      <c r="O1087" s="6" t="s">
        <v>7483</v>
      </c>
      <c r="P1087" s="10" t="s">
        <v>15</v>
      </c>
      <c r="Q1087" s="6"/>
      <c r="R1087" s="6"/>
      <c r="S1087" s="6"/>
      <c r="T1087" s="6" t="s">
        <v>16</v>
      </c>
      <c r="U1087" s="9" t="s">
        <v>17</v>
      </c>
      <c r="AI1087" s="6" t="s">
        <v>7379</v>
      </c>
      <c r="AJ1087" s="12" t="s">
        <v>7484</v>
      </c>
      <c r="AL1087" s="13" t="s">
        <v>7381</v>
      </c>
    </row>
    <row r="1088">
      <c r="A1088" s="5" t="s">
        <v>7485</v>
      </c>
      <c r="B1088" s="5" t="s">
        <v>7486</v>
      </c>
      <c r="C1088" s="5" t="s">
        <v>7480</v>
      </c>
      <c r="D1088" s="5" t="s">
        <v>8</v>
      </c>
      <c r="E1088" s="6"/>
      <c r="F1088" s="6"/>
      <c r="G1088" s="7" t="s">
        <v>7487</v>
      </c>
      <c r="I1088" s="8" t="s">
        <v>7488</v>
      </c>
      <c r="J1088" s="9">
        <v>27.79</v>
      </c>
      <c r="K1088" s="10" t="s">
        <v>11</v>
      </c>
      <c r="L1088" s="6"/>
      <c r="M1088" s="11" t="s">
        <v>17</v>
      </c>
      <c r="N1088" s="6"/>
      <c r="O1088" s="6" t="s">
        <v>7489</v>
      </c>
      <c r="P1088" s="10" t="s">
        <v>15</v>
      </c>
      <c r="Q1088" s="6"/>
      <c r="R1088" s="6"/>
      <c r="S1088" s="6"/>
      <c r="T1088" s="6" t="s">
        <v>16</v>
      </c>
      <c r="U1088" s="9" t="s">
        <v>17</v>
      </c>
      <c r="AI1088" s="6" t="s">
        <v>7379</v>
      </c>
      <c r="AJ1088" s="12" t="s">
        <v>7484</v>
      </c>
      <c r="AL1088" s="13" t="s">
        <v>7381</v>
      </c>
    </row>
    <row r="1089">
      <c r="A1089" s="5" t="s">
        <v>7490</v>
      </c>
      <c r="B1089" s="5" t="s">
        <v>7491</v>
      </c>
      <c r="C1089" s="5" t="s">
        <v>7480</v>
      </c>
      <c r="D1089" s="5" t="s">
        <v>8</v>
      </c>
      <c r="E1089" s="6"/>
      <c r="F1089" s="6"/>
      <c r="G1089" s="7" t="s">
        <v>7492</v>
      </c>
      <c r="I1089" s="8" t="s">
        <v>7493</v>
      </c>
      <c r="J1089" s="9">
        <v>27.79</v>
      </c>
      <c r="K1089" s="10" t="s">
        <v>11</v>
      </c>
      <c r="L1089" s="6"/>
      <c r="M1089" s="11" t="s">
        <v>17</v>
      </c>
      <c r="N1089" s="6"/>
      <c r="O1089" s="6" t="s">
        <v>7494</v>
      </c>
      <c r="P1089" s="10" t="s">
        <v>15</v>
      </c>
      <c r="Q1089" s="6"/>
      <c r="R1089" s="6"/>
      <c r="S1089" s="6"/>
      <c r="T1089" s="6" t="s">
        <v>16</v>
      </c>
      <c r="U1089" s="9" t="s">
        <v>17</v>
      </c>
      <c r="AI1089" s="6" t="s">
        <v>7379</v>
      </c>
      <c r="AJ1089" s="12" t="s">
        <v>7484</v>
      </c>
      <c r="AL1089" s="13" t="s">
        <v>7381</v>
      </c>
    </row>
    <row r="1090">
      <c r="A1090" s="5" t="s">
        <v>7495</v>
      </c>
      <c r="B1090" s="5" t="s">
        <v>7496</v>
      </c>
      <c r="C1090" s="5" t="s">
        <v>7480</v>
      </c>
      <c r="D1090" s="5" t="s">
        <v>8</v>
      </c>
      <c r="E1090" s="6"/>
      <c r="F1090" s="6"/>
      <c r="G1090" s="7" t="s">
        <v>7497</v>
      </c>
      <c r="I1090" s="8" t="s">
        <v>7498</v>
      </c>
      <c r="J1090" s="9">
        <v>29.41</v>
      </c>
      <c r="K1090" s="10" t="s">
        <v>11</v>
      </c>
      <c r="L1090" s="6"/>
      <c r="M1090" s="11" t="s">
        <v>17</v>
      </c>
      <c r="N1090" s="6"/>
      <c r="O1090" s="6" t="s">
        <v>7499</v>
      </c>
      <c r="P1090" s="10" t="s">
        <v>15</v>
      </c>
      <c r="Q1090" s="6"/>
      <c r="R1090" s="6"/>
      <c r="S1090" s="6"/>
      <c r="T1090" s="6" t="s">
        <v>16</v>
      </c>
      <c r="U1090" s="9" t="s">
        <v>17</v>
      </c>
      <c r="AI1090" s="6" t="s">
        <v>7379</v>
      </c>
      <c r="AJ1090" s="12" t="s">
        <v>7484</v>
      </c>
      <c r="AL1090" s="13" t="s">
        <v>7381</v>
      </c>
    </row>
    <row r="1091">
      <c r="A1091" s="5" t="s">
        <v>7500</v>
      </c>
      <c r="B1091" s="5" t="s">
        <v>7501</v>
      </c>
      <c r="C1091" s="5" t="s">
        <v>7480</v>
      </c>
      <c r="D1091" s="5" t="s">
        <v>8</v>
      </c>
      <c r="E1091" s="6"/>
      <c r="F1091" s="6"/>
      <c r="G1091" s="7" t="s">
        <v>7502</v>
      </c>
      <c r="I1091" s="8" t="s">
        <v>7503</v>
      </c>
      <c r="J1091" s="9">
        <v>25.0</v>
      </c>
      <c r="K1091" s="10" t="s">
        <v>11</v>
      </c>
      <c r="L1091" s="6"/>
      <c r="M1091" s="11" t="s">
        <v>17</v>
      </c>
      <c r="N1091" s="6"/>
      <c r="O1091" s="6" t="s">
        <v>7504</v>
      </c>
      <c r="P1091" s="10" t="s">
        <v>15</v>
      </c>
      <c r="Q1091" s="6"/>
      <c r="R1091" s="6"/>
      <c r="S1091" s="6"/>
      <c r="T1091" s="6" t="s">
        <v>16</v>
      </c>
      <c r="U1091" s="9" t="s">
        <v>17</v>
      </c>
      <c r="AI1091" s="6" t="s">
        <v>7379</v>
      </c>
      <c r="AJ1091" s="12" t="s">
        <v>7484</v>
      </c>
      <c r="AL1091" s="13" t="s">
        <v>7381</v>
      </c>
    </row>
    <row r="1092">
      <c r="A1092" s="5" t="s">
        <v>7505</v>
      </c>
      <c r="B1092" s="5" t="s">
        <v>7506</v>
      </c>
      <c r="C1092" s="5" t="s">
        <v>7480</v>
      </c>
      <c r="D1092" s="5" t="s">
        <v>8</v>
      </c>
      <c r="E1092" s="6"/>
      <c r="F1092" s="6"/>
      <c r="G1092" s="7" t="s">
        <v>7507</v>
      </c>
      <c r="I1092" s="8" t="s">
        <v>7508</v>
      </c>
      <c r="J1092" s="9">
        <v>25.36</v>
      </c>
      <c r="K1092" s="10" t="s">
        <v>11</v>
      </c>
      <c r="L1092" s="6"/>
      <c r="M1092" s="11" t="s">
        <v>17</v>
      </c>
      <c r="N1092" s="6"/>
      <c r="O1092" s="6" t="s">
        <v>7509</v>
      </c>
      <c r="P1092" s="10" t="s">
        <v>15</v>
      </c>
      <c r="Q1092" s="6"/>
      <c r="R1092" s="6"/>
      <c r="S1092" s="6"/>
      <c r="T1092" s="6" t="s">
        <v>16</v>
      </c>
      <c r="U1092" s="9" t="s">
        <v>17</v>
      </c>
      <c r="AI1092" s="6" t="s">
        <v>7379</v>
      </c>
      <c r="AJ1092" s="12" t="s">
        <v>7484</v>
      </c>
      <c r="AL1092" s="13" t="s">
        <v>7381</v>
      </c>
    </row>
    <row r="1093">
      <c r="A1093" s="5" t="s">
        <v>7510</v>
      </c>
      <c r="B1093" s="5" t="s">
        <v>7511</v>
      </c>
      <c r="C1093" s="5" t="s">
        <v>7480</v>
      </c>
      <c r="D1093" s="5" t="s">
        <v>8</v>
      </c>
      <c r="E1093" s="6"/>
      <c r="F1093" s="6"/>
      <c r="G1093" s="7" t="s">
        <v>7512</v>
      </c>
      <c r="I1093" s="8" t="s">
        <v>7513</v>
      </c>
      <c r="J1093" s="9">
        <v>32.45</v>
      </c>
      <c r="K1093" s="10" t="s">
        <v>11</v>
      </c>
      <c r="L1093" s="6"/>
      <c r="M1093" s="11" t="s">
        <v>17</v>
      </c>
      <c r="N1093" s="6"/>
      <c r="O1093" s="6" t="s">
        <v>7514</v>
      </c>
      <c r="P1093" s="10" t="s">
        <v>15</v>
      </c>
      <c r="Q1093" s="6"/>
      <c r="R1093" s="6"/>
      <c r="S1093" s="6"/>
      <c r="T1093" s="6" t="s">
        <v>16</v>
      </c>
      <c r="U1093" s="9" t="s">
        <v>17</v>
      </c>
      <c r="AI1093" s="6" t="s">
        <v>7379</v>
      </c>
      <c r="AJ1093" s="12" t="s">
        <v>7484</v>
      </c>
      <c r="AL1093" s="13" t="s">
        <v>7381</v>
      </c>
    </row>
    <row r="1094">
      <c r="A1094" s="5" t="s">
        <v>7515</v>
      </c>
      <c r="B1094" s="5" t="s">
        <v>7516</v>
      </c>
      <c r="C1094" s="5" t="s">
        <v>7480</v>
      </c>
      <c r="D1094" s="5" t="s">
        <v>8</v>
      </c>
      <c r="E1094" s="6"/>
      <c r="F1094" s="6"/>
      <c r="G1094" s="7" t="s">
        <v>7517</v>
      </c>
      <c r="I1094" s="8" t="s">
        <v>7518</v>
      </c>
      <c r="J1094" s="9">
        <v>29.41</v>
      </c>
      <c r="K1094" s="10" t="s">
        <v>11</v>
      </c>
      <c r="L1094" s="6"/>
      <c r="M1094" s="11" t="s">
        <v>17</v>
      </c>
      <c r="N1094" s="6"/>
      <c r="O1094" s="6" t="s">
        <v>7519</v>
      </c>
      <c r="P1094" s="10" t="s">
        <v>15</v>
      </c>
      <c r="Q1094" s="6"/>
      <c r="R1094" s="6"/>
      <c r="S1094" s="6"/>
      <c r="T1094" s="6" t="s">
        <v>16</v>
      </c>
      <c r="U1094" s="9" t="s">
        <v>17</v>
      </c>
      <c r="AI1094" s="6" t="s">
        <v>7379</v>
      </c>
      <c r="AJ1094" s="12" t="s">
        <v>7484</v>
      </c>
      <c r="AL1094" s="13" t="s">
        <v>7381</v>
      </c>
    </row>
    <row r="1095">
      <c r="A1095" s="5" t="s">
        <v>7520</v>
      </c>
      <c r="B1095" s="5" t="s">
        <v>7521</v>
      </c>
      <c r="C1095" s="5" t="s">
        <v>7522</v>
      </c>
      <c r="D1095" s="5" t="s">
        <v>8</v>
      </c>
      <c r="E1095" s="6"/>
      <c r="F1095" s="6"/>
      <c r="G1095" s="7" t="s">
        <v>7523</v>
      </c>
      <c r="I1095" s="8" t="s">
        <v>7524</v>
      </c>
      <c r="J1095" s="9">
        <v>25.0</v>
      </c>
      <c r="K1095" s="10" t="s">
        <v>11</v>
      </c>
      <c r="L1095" s="6"/>
      <c r="M1095" s="11" t="s">
        <v>17</v>
      </c>
      <c r="N1095" s="6"/>
      <c r="O1095" s="6" t="s">
        <v>7525</v>
      </c>
      <c r="P1095" s="10" t="s">
        <v>15</v>
      </c>
      <c r="Q1095" s="6"/>
      <c r="R1095" s="6"/>
      <c r="S1095" s="6"/>
      <c r="T1095" s="6" t="s">
        <v>16</v>
      </c>
      <c r="U1095" s="9" t="s">
        <v>17</v>
      </c>
      <c r="AI1095" s="6" t="s">
        <v>7379</v>
      </c>
      <c r="AJ1095" s="12" t="s">
        <v>7526</v>
      </c>
      <c r="AL1095" s="13" t="s">
        <v>7381</v>
      </c>
    </row>
    <row r="1096">
      <c r="A1096" s="5" t="s">
        <v>7527</v>
      </c>
      <c r="B1096" s="5" t="s">
        <v>7528</v>
      </c>
      <c r="C1096" s="5" t="s">
        <v>7529</v>
      </c>
      <c r="D1096" s="5" t="s">
        <v>8</v>
      </c>
      <c r="E1096" s="6"/>
      <c r="F1096" s="6"/>
      <c r="G1096" s="7" t="s">
        <v>7530</v>
      </c>
      <c r="I1096" s="8" t="s">
        <v>7531</v>
      </c>
      <c r="J1096" s="9">
        <v>53.0</v>
      </c>
      <c r="K1096" s="10" t="s">
        <v>11</v>
      </c>
      <c r="L1096" s="6"/>
      <c r="M1096" s="11" t="s">
        <v>17</v>
      </c>
      <c r="N1096" s="6"/>
      <c r="O1096" s="6" t="s">
        <v>7532</v>
      </c>
      <c r="P1096" s="10" t="s">
        <v>15</v>
      </c>
      <c r="Q1096" s="6"/>
      <c r="R1096" s="6"/>
      <c r="S1096" s="6"/>
      <c r="T1096" s="6" t="s">
        <v>16</v>
      </c>
      <c r="U1096" s="9" t="s">
        <v>17</v>
      </c>
      <c r="AI1096" s="6" t="s">
        <v>7379</v>
      </c>
      <c r="AJ1096" s="12" t="s">
        <v>7533</v>
      </c>
      <c r="AL1096" s="13" t="s">
        <v>7381</v>
      </c>
    </row>
    <row r="1097">
      <c r="A1097" s="5" t="s">
        <v>7534</v>
      </c>
      <c r="B1097" s="5" t="s">
        <v>7535</v>
      </c>
      <c r="C1097" s="5" t="s">
        <v>7536</v>
      </c>
      <c r="D1097" s="5" t="s">
        <v>507</v>
      </c>
      <c r="E1097" s="6"/>
      <c r="F1097" s="6"/>
      <c r="G1097" s="7" t="s">
        <v>7537</v>
      </c>
      <c r="I1097" s="8" t="s">
        <v>7538</v>
      </c>
      <c r="J1097" s="9">
        <v>24.9</v>
      </c>
      <c r="K1097" s="10" t="s">
        <v>11</v>
      </c>
      <c r="L1097" s="6"/>
      <c r="M1097" s="11" t="s">
        <v>17</v>
      </c>
      <c r="N1097" s="6"/>
      <c r="O1097" s="6" t="s">
        <v>7539</v>
      </c>
      <c r="P1097" s="10" t="s">
        <v>15</v>
      </c>
      <c r="Q1097" s="6"/>
      <c r="R1097" s="6"/>
      <c r="S1097" s="6"/>
      <c r="T1097" s="6" t="s">
        <v>16</v>
      </c>
      <c r="U1097" s="9" t="s">
        <v>17</v>
      </c>
      <c r="AI1097" s="6" t="s">
        <v>7379</v>
      </c>
      <c r="AJ1097" s="12" t="s">
        <v>7540</v>
      </c>
      <c r="AL1097" s="13" t="s">
        <v>7381</v>
      </c>
    </row>
    <row r="1098">
      <c r="A1098" s="5" t="s">
        <v>7541</v>
      </c>
      <c r="B1098" s="5" t="s">
        <v>7542</v>
      </c>
      <c r="C1098" s="5" t="s">
        <v>7384</v>
      </c>
      <c r="D1098" s="5" t="s">
        <v>507</v>
      </c>
      <c r="E1098" s="6"/>
      <c r="F1098" s="6"/>
      <c r="G1098" s="7" t="s">
        <v>7543</v>
      </c>
      <c r="I1098" s="8" t="s">
        <v>7544</v>
      </c>
      <c r="J1098" s="9">
        <v>22.0</v>
      </c>
      <c r="K1098" s="10" t="s">
        <v>11</v>
      </c>
      <c r="L1098" s="6"/>
      <c r="M1098" s="11" t="s">
        <v>17</v>
      </c>
      <c r="N1098" s="6"/>
      <c r="O1098" s="6" t="s">
        <v>7545</v>
      </c>
      <c r="P1098" s="10" t="s">
        <v>15</v>
      </c>
      <c r="Q1098" s="6"/>
      <c r="R1098" s="6"/>
      <c r="S1098" s="6"/>
      <c r="T1098" s="6" t="s">
        <v>16</v>
      </c>
      <c r="U1098" s="9" t="s">
        <v>17</v>
      </c>
      <c r="AI1098" s="6" t="s">
        <v>7379</v>
      </c>
      <c r="AJ1098" s="12" t="s">
        <v>7546</v>
      </c>
      <c r="AL1098" s="13" t="s">
        <v>7381</v>
      </c>
    </row>
    <row r="1099">
      <c r="A1099" s="5" t="s">
        <v>7547</v>
      </c>
      <c r="B1099" s="5" t="s">
        <v>7548</v>
      </c>
      <c r="C1099" s="5" t="s">
        <v>7384</v>
      </c>
      <c r="D1099" s="5" t="s">
        <v>8</v>
      </c>
      <c r="E1099" s="6"/>
      <c r="F1099" s="6"/>
      <c r="G1099" s="7" t="s">
        <v>7549</v>
      </c>
      <c r="I1099" s="8" t="s">
        <v>7550</v>
      </c>
      <c r="J1099" s="9">
        <v>27.79</v>
      </c>
      <c r="K1099" s="10" t="s">
        <v>11</v>
      </c>
      <c r="L1099" s="6"/>
      <c r="M1099" s="11" t="s">
        <v>17</v>
      </c>
      <c r="N1099" s="6"/>
      <c r="O1099" s="6" t="s">
        <v>7551</v>
      </c>
      <c r="P1099" s="10" t="s">
        <v>15</v>
      </c>
      <c r="Q1099" s="6"/>
      <c r="R1099" s="6"/>
      <c r="S1099" s="6"/>
      <c r="T1099" s="6" t="s">
        <v>16</v>
      </c>
      <c r="U1099" s="9" t="s">
        <v>17</v>
      </c>
      <c r="AI1099" s="6" t="s">
        <v>7379</v>
      </c>
      <c r="AJ1099" s="12" t="s">
        <v>7414</v>
      </c>
      <c r="AL1099" s="13" t="s">
        <v>7381</v>
      </c>
    </row>
    <row r="1100">
      <c r="A1100" s="5" t="s">
        <v>7552</v>
      </c>
      <c r="B1100" s="5" t="s">
        <v>7553</v>
      </c>
      <c r="C1100" s="5" t="s">
        <v>7554</v>
      </c>
      <c r="D1100" s="5" t="s">
        <v>507</v>
      </c>
      <c r="E1100" s="6"/>
      <c r="F1100" s="6"/>
      <c r="G1100" s="7" t="s">
        <v>7555</v>
      </c>
      <c r="I1100" s="8" t="s">
        <v>7556</v>
      </c>
      <c r="J1100" s="9">
        <v>28.0</v>
      </c>
      <c r="K1100" s="10" t="s">
        <v>11</v>
      </c>
      <c r="L1100" s="6"/>
      <c r="M1100" s="11" t="s">
        <v>17</v>
      </c>
      <c r="N1100" s="6"/>
      <c r="O1100" s="6" t="s">
        <v>7557</v>
      </c>
      <c r="P1100" s="10" t="s">
        <v>15</v>
      </c>
      <c r="Q1100" s="6"/>
      <c r="R1100" s="6"/>
      <c r="S1100" s="6"/>
      <c r="T1100" s="6" t="s">
        <v>16</v>
      </c>
      <c r="U1100" s="9" t="s">
        <v>17</v>
      </c>
      <c r="AI1100" s="6" t="s">
        <v>7379</v>
      </c>
      <c r="AJ1100" s="12" t="s">
        <v>7558</v>
      </c>
      <c r="AL1100" s="13" t="s">
        <v>7381</v>
      </c>
    </row>
    <row r="1101">
      <c r="A1101" s="5" t="s">
        <v>7559</v>
      </c>
      <c r="B1101" s="5" t="s">
        <v>7560</v>
      </c>
      <c r="C1101" s="5" t="s">
        <v>7561</v>
      </c>
      <c r="D1101" s="5" t="s">
        <v>8</v>
      </c>
      <c r="E1101" s="6"/>
      <c r="F1101" s="6"/>
      <c r="G1101" s="7" t="s">
        <v>7562</v>
      </c>
      <c r="I1101" s="8" t="s">
        <v>7563</v>
      </c>
      <c r="J1101" s="9">
        <v>24.5</v>
      </c>
      <c r="K1101" s="10" t="s">
        <v>11</v>
      </c>
      <c r="L1101" s="6"/>
      <c r="M1101" s="11" t="s">
        <v>17</v>
      </c>
      <c r="N1101" s="6"/>
      <c r="O1101" s="6" t="s">
        <v>7564</v>
      </c>
      <c r="P1101" s="10" t="s">
        <v>15</v>
      </c>
      <c r="Q1101" s="6"/>
      <c r="R1101" s="6"/>
      <c r="S1101" s="6"/>
      <c r="T1101" s="6" t="s">
        <v>16</v>
      </c>
      <c r="U1101" s="9" t="s">
        <v>17</v>
      </c>
      <c r="AI1101" s="6" t="s">
        <v>7379</v>
      </c>
      <c r="AJ1101" s="12" t="s">
        <v>7565</v>
      </c>
      <c r="AL1101" s="13" t="s">
        <v>7381</v>
      </c>
    </row>
    <row r="1102">
      <c r="A1102" s="5" t="s">
        <v>7566</v>
      </c>
      <c r="B1102" s="5" t="s">
        <v>7567</v>
      </c>
      <c r="C1102" s="5" t="s">
        <v>7568</v>
      </c>
      <c r="D1102" s="5" t="s">
        <v>8</v>
      </c>
      <c r="E1102" s="6"/>
      <c r="F1102" s="6"/>
      <c r="G1102" s="7" t="s">
        <v>7569</v>
      </c>
      <c r="I1102" s="8" t="s">
        <v>7570</v>
      </c>
      <c r="J1102" s="9">
        <v>20.29</v>
      </c>
      <c r="K1102" s="10" t="s">
        <v>11</v>
      </c>
      <c r="L1102" s="6"/>
      <c r="M1102" s="11" t="s">
        <v>17</v>
      </c>
      <c r="N1102" s="6"/>
      <c r="O1102" s="6" t="s">
        <v>7571</v>
      </c>
      <c r="P1102" s="10" t="s">
        <v>15</v>
      </c>
      <c r="Q1102" s="6"/>
      <c r="R1102" s="6"/>
      <c r="S1102" s="6"/>
      <c r="T1102" s="6" t="s">
        <v>16</v>
      </c>
      <c r="U1102" s="9" t="s">
        <v>17</v>
      </c>
      <c r="AI1102" s="6" t="s">
        <v>7379</v>
      </c>
      <c r="AJ1102" s="12" t="s">
        <v>7572</v>
      </c>
      <c r="AL1102" s="13" t="s">
        <v>7381</v>
      </c>
    </row>
    <row r="1103">
      <c r="A1103" s="5" t="s">
        <v>7573</v>
      </c>
      <c r="B1103" s="5" t="s">
        <v>7574</v>
      </c>
      <c r="C1103" s="5" t="s">
        <v>7443</v>
      </c>
      <c r="D1103" s="5" t="s">
        <v>507</v>
      </c>
      <c r="E1103" s="6"/>
      <c r="F1103" s="6"/>
      <c r="G1103" s="7" t="s">
        <v>7575</v>
      </c>
      <c r="I1103" s="8" t="s">
        <v>7576</v>
      </c>
      <c r="J1103" s="9">
        <v>32.0</v>
      </c>
      <c r="K1103" s="10" t="s">
        <v>11</v>
      </c>
      <c r="L1103" s="6"/>
      <c r="M1103" s="11" t="s">
        <v>17</v>
      </c>
      <c r="N1103" s="6"/>
      <c r="O1103" s="6" t="s">
        <v>7577</v>
      </c>
      <c r="P1103" s="10" t="s">
        <v>15</v>
      </c>
      <c r="Q1103" s="6"/>
      <c r="R1103" s="6"/>
      <c r="S1103" s="6"/>
      <c r="T1103" s="6" t="s">
        <v>16</v>
      </c>
      <c r="U1103" s="9" t="s">
        <v>17</v>
      </c>
      <c r="AI1103" s="6" t="s">
        <v>7379</v>
      </c>
      <c r="AJ1103" s="12" t="s">
        <v>7578</v>
      </c>
      <c r="AL1103" s="13" t="s">
        <v>7381</v>
      </c>
    </row>
    <row r="1104">
      <c r="A1104" s="5" t="s">
        <v>7579</v>
      </c>
      <c r="B1104" s="5" t="s">
        <v>7580</v>
      </c>
      <c r="C1104" s="5" t="s">
        <v>7581</v>
      </c>
      <c r="D1104" s="5" t="s">
        <v>8</v>
      </c>
      <c r="E1104" s="6"/>
      <c r="F1104" s="6"/>
      <c r="G1104" s="7" t="s">
        <v>7582</v>
      </c>
      <c r="I1104" s="8" t="s">
        <v>7583</v>
      </c>
      <c r="J1104" s="9">
        <v>38.0</v>
      </c>
      <c r="K1104" s="10" t="s">
        <v>11</v>
      </c>
      <c r="L1104" s="6"/>
      <c r="M1104" s="11" t="s">
        <v>17</v>
      </c>
      <c r="N1104" s="6"/>
      <c r="O1104" s="6" t="s">
        <v>7584</v>
      </c>
      <c r="P1104" s="10" t="s">
        <v>15</v>
      </c>
      <c r="Q1104" s="6"/>
      <c r="R1104" s="6"/>
      <c r="S1104" s="6"/>
      <c r="T1104" s="6" t="s">
        <v>16</v>
      </c>
      <c r="U1104" s="9" t="s">
        <v>17</v>
      </c>
      <c r="AI1104" s="6" t="s">
        <v>7379</v>
      </c>
      <c r="AJ1104" s="12" t="s">
        <v>7585</v>
      </c>
      <c r="AL1104" s="13" t="s">
        <v>7381</v>
      </c>
    </row>
    <row r="1105">
      <c r="A1105" s="5" t="s">
        <v>7586</v>
      </c>
      <c r="B1105" s="5" t="s">
        <v>7587</v>
      </c>
      <c r="C1105" s="5" t="s">
        <v>7588</v>
      </c>
      <c r="D1105" s="5" t="s">
        <v>8</v>
      </c>
      <c r="E1105" s="6"/>
      <c r="F1105" s="6"/>
      <c r="G1105" s="7" t="s">
        <v>7589</v>
      </c>
      <c r="I1105" s="8" t="s">
        <v>7590</v>
      </c>
      <c r="J1105" s="9">
        <v>54.16</v>
      </c>
      <c r="K1105" s="10" t="s">
        <v>11</v>
      </c>
      <c r="L1105" s="6"/>
      <c r="M1105" s="11" t="s">
        <v>17</v>
      </c>
      <c r="N1105" s="6"/>
      <c r="O1105" s="6" t="s">
        <v>7591</v>
      </c>
      <c r="P1105" s="10" t="s">
        <v>15</v>
      </c>
      <c r="Q1105" s="6"/>
      <c r="R1105" s="6"/>
      <c r="S1105" s="6"/>
      <c r="T1105" s="6" t="s">
        <v>16</v>
      </c>
      <c r="U1105" s="9" t="s">
        <v>17</v>
      </c>
      <c r="AI1105" s="6" t="s">
        <v>7379</v>
      </c>
      <c r="AJ1105" s="12" t="s">
        <v>7592</v>
      </c>
      <c r="AL1105" s="13" t="s">
        <v>7381</v>
      </c>
    </row>
    <row r="1106">
      <c r="A1106" s="5" t="s">
        <v>7593</v>
      </c>
      <c r="B1106" s="5" t="s">
        <v>7594</v>
      </c>
      <c r="C1106" s="5" t="s">
        <v>7595</v>
      </c>
      <c r="D1106" s="5" t="s">
        <v>8</v>
      </c>
      <c r="E1106" s="6"/>
      <c r="F1106" s="6"/>
      <c r="G1106" s="7" t="s">
        <v>7596</v>
      </c>
      <c r="I1106" s="8" t="s">
        <v>7597</v>
      </c>
      <c r="J1106" s="9">
        <v>23.33</v>
      </c>
      <c r="K1106" s="10" t="s">
        <v>11</v>
      </c>
      <c r="L1106" s="6"/>
      <c r="M1106" s="11" t="s">
        <v>17</v>
      </c>
      <c r="N1106" s="6"/>
      <c r="O1106" s="6" t="s">
        <v>7598</v>
      </c>
      <c r="P1106" s="10" t="s">
        <v>15</v>
      </c>
      <c r="Q1106" s="6"/>
      <c r="R1106" s="6"/>
      <c r="S1106" s="6"/>
      <c r="T1106" s="6" t="s">
        <v>16</v>
      </c>
      <c r="U1106" s="9" t="s">
        <v>17</v>
      </c>
      <c r="AI1106" s="6" t="s">
        <v>7379</v>
      </c>
      <c r="AJ1106" s="12" t="s">
        <v>7599</v>
      </c>
      <c r="AL1106" s="13" t="s">
        <v>7381</v>
      </c>
    </row>
    <row r="1107">
      <c r="A1107" s="5" t="s">
        <v>7600</v>
      </c>
      <c r="B1107" s="5" t="s">
        <v>7601</v>
      </c>
      <c r="C1107" s="5" t="s">
        <v>7602</v>
      </c>
      <c r="D1107" s="5" t="s">
        <v>8</v>
      </c>
      <c r="E1107" s="6"/>
      <c r="F1107" s="6"/>
      <c r="G1107" s="7" t="s">
        <v>7603</v>
      </c>
      <c r="I1107" s="8" t="s">
        <v>7604</v>
      </c>
      <c r="J1107" s="9">
        <v>35.0</v>
      </c>
      <c r="K1107" s="10" t="s">
        <v>11</v>
      </c>
      <c r="L1107" s="6"/>
      <c r="M1107" s="11" t="s">
        <v>17</v>
      </c>
      <c r="N1107" s="6"/>
      <c r="O1107" s="6" t="s">
        <v>7605</v>
      </c>
      <c r="P1107" s="10" t="s">
        <v>15</v>
      </c>
      <c r="Q1107" s="6"/>
      <c r="R1107" s="6"/>
      <c r="S1107" s="6"/>
      <c r="T1107" s="6" t="s">
        <v>16</v>
      </c>
      <c r="U1107" s="9" t="s">
        <v>17</v>
      </c>
      <c r="AI1107" s="6" t="s">
        <v>7379</v>
      </c>
      <c r="AJ1107" s="12" t="s">
        <v>7606</v>
      </c>
      <c r="AL1107" s="13" t="s">
        <v>7381</v>
      </c>
    </row>
    <row r="1108">
      <c r="A1108" s="5" t="s">
        <v>7607</v>
      </c>
      <c r="B1108" s="5" t="s">
        <v>7608</v>
      </c>
      <c r="C1108" s="5" t="s">
        <v>7609</v>
      </c>
      <c r="D1108" s="5" t="s">
        <v>507</v>
      </c>
      <c r="E1108" s="6"/>
      <c r="F1108" s="6"/>
      <c r="G1108" s="7" t="s">
        <v>7610</v>
      </c>
      <c r="I1108" s="8" t="s">
        <v>7611</v>
      </c>
      <c r="J1108" s="9">
        <v>32.0</v>
      </c>
      <c r="K1108" s="10" t="s">
        <v>11</v>
      </c>
      <c r="L1108" s="6"/>
      <c r="M1108" s="11" t="s">
        <v>17</v>
      </c>
      <c r="N1108" s="6"/>
      <c r="O1108" s="6" t="s">
        <v>7612</v>
      </c>
      <c r="P1108" s="10" t="s">
        <v>15</v>
      </c>
      <c r="Q1108" s="6"/>
      <c r="R1108" s="6"/>
      <c r="S1108" s="6"/>
      <c r="T1108" s="6" t="s">
        <v>16</v>
      </c>
      <c r="U1108" s="9" t="s">
        <v>17</v>
      </c>
      <c r="AI1108" s="6" t="s">
        <v>7379</v>
      </c>
      <c r="AJ1108" s="12" t="s">
        <v>7613</v>
      </c>
      <c r="AL1108" s="13" t="s">
        <v>7381</v>
      </c>
    </row>
    <row r="1109">
      <c r="A1109" s="5" t="s">
        <v>7614</v>
      </c>
      <c r="B1109" s="5" t="s">
        <v>7615</v>
      </c>
      <c r="C1109" s="5" t="s">
        <v>7616</v>
      </c>
      <c r="D1109" s="5" t="s">
        <v>507</v>
      </c>
      <c r="E1109" s="6"/>
      <c r="F1109" s="6"/>
      <c r="G1109" s="7" t="s">
        <v>7617</v>
      </c>
      <c r="I1109" s="8" t="s">
        <v>7618</v>
      </c>
      <c r="J1109" s="9">
        <v>65.0</v>
      </c>
      <c r="K1109" s="10" t="s">
        <v>11</v>
      </c>
      <c r="L1109" s="6"/>
      <c r="M1109" s="11" t="s">
        <v>17</v>
      </c>
      <c r="N1109" s="6"/>
      <c r="O1109" s="6" t="s">
        <v>7619</v>
      </c>
      <c r="P1109" s="10" t="s">
        <v>15</v>
      </c>
      <c r="Q1109" s="6"/>
      <c r="R1109" s="6"/>
      <c r="S1109" s="6"/>
      <c r="T1109" s="6" t="s">
        <v>16</v>
      </c>
      <c r="U1109" s="9" t="s">
        <v>17</v>
      </c>
      <c r="AI1109" s="6" t="s">
        <v>7379</v>
      </c>
      <c r="AJ1109" s="12" t="s">
        <v>7620</v>
      </c>
      <c r="AL1109" s="13" t="s">
        <v>7381</v>
      </c>
    </row>
    <row r="1110">
      <c r="A1110" s="5" t="s">
        <v>7621</v>
      </c>
      <c r="B1110" s="5" t="s">
        <v>7622</v>
      </c>
      <c r="C1110" s="5" t="s">
        <v>7623</v>
      </c>
      <c r="D1110" s="5" t="s">
        <v>8</v>
      </c>
      <c r="E1110" s="6"/>
      <c r="F1110" s="6"/>
      <c r="G1110" s="7" t="s">
        <v>7624</v>
      </c>
      <c r="I1110" s="8" t="s">
        <v>7625</v>
      </c>
      <c r="J1110" s="9">
        <v>35.0</v>
      </c>
      <c r="K1110" s="10" t="s">
        <v>11</v>
      </c>
      <c r="L1110" s="6"/>
      <c r="M1110" s="11" t="s">
        <v>17</v>
      </c>
      <c r="N1110" s="6"/>
      <c r="O1110" s="6" t="s">
        <v>7626</v>
      </c>
      <c r="P1110" s="10" t="s">
        <v>15</v>
      </c>
      <c r="Q1110" s="6"/>
      <c r="R1110" s="6"/>
      <c r="S1110" s="6"/>
      <c r="T1110" s="6" t="s">
        <v>16</v>
      </c>
      <c r="U1110" s="9" t="s">
        <v>17</v>
      </c>
      <c r="AI1110" s="6" t="s">
        <v>7379</v>
      </c>
      <c r="AJ1110" s="12" t="s">
        <v>7627</v>
      </c>
      <c r="AL1110" s="13" t="s">
        <v>7381</v>
      </c>
    </row>
    <row r="1111">
      <c r="A1111" s="5" t="s">
        <v>7628</v>
      </c>
      <c r="B1111" s="5" t="s">
        <v>7629</v>
      </c>
      <c r="C1111" s="5" t="s">
        <v>7630</v>
      </c>
      <c r="D1111" s="5" t="s">
        <v>507</v>
      </c>
      <c r="E1111" s="6"/>
      <c r="F1111" s="6"/>
      <c r="G1111" s="7" t="s">
        <v>7631</v>
      </c>
      <c r="I1111" s="8" t="s">
        <v>7632</v>
      </c>
      <c r="J1111" s="9">
        <v>24.9</v>
      </c>
      <c r="K1111" s="10" t="s">
        <v>11</v>
      </c>
      <c r="L1111" s="6"/>
      <c r="M1111" s="11" t="s">
        <v>17</v>
      </c>
      <c r="N1111" s="6"/>
      <c r="O1111" s="6" t="s">
        <v>7633</v>
      </c>
      <c r="P1111" s="10" t="s">
        <v>15</v>
      </c>
      <c r="Q1111" s="6"/>
      <c r="R1111" s="6"/>
      <c r="S1111" s="6"/>
      <c r="T1111" s="6" t="s">
        <v>16</v>
      </c>
      <c r="U1111" s="9" t="s">
        <v>17</v>
      </c>
      <c r="AI1111" s="6" t="s">
        <v>7379</v>
      </c>
      <c r="AJ1111" s="12" t="s">
        <v>7634</v>
      </c>
      <c r="AL1111" s="13" t="s">
        <v>7381</v>
      </c>
    </row>
    <row r="1112">
      <c r="A1112" s="5" t="s">
        <v>7635</v>
      </c>
      <c r="B1112" s="5" t="s">
        <v>7636</v>
      </c>
      <c r="C1112" s="5" t="s">
        <v>7637</v>
      </c>
      <c r="D1112" s="5" t="s">
        <v>507</v>
      </c>
      <c r="E1112" s="6"/>
      <c r="F1112" s="6"/>
      <c r="G1112" s="7" t="s">
        <v>7638</v>
      </c>
      <c r="I1112" s="8" t="s">
        <v>7639</v>
      </c>
      <c r="J1112" s="9">
        <v>88.0</v>
      </c>
      <c r="K1112" s="10" t="s">
        <v>11</v>
      </c>
      <c r="L1112" s="6"/>
      <c r="M1112" s="11" t="s">
        <v>17</v>
      </c>
      <c r="N1112" s="6"/>
      <c r="O1112" s="6" t="s">
        <v>7640</v>
      </c>
      <c r="P1112" s="10" t="s">
        <v>15</v>
      </c>
      <c r="Q1112" s="6"/>
      <c r="R1112" s="6"/>
      <c r="S1112" s="6"/>
      <c r="T1112" s="6" t="s">
        <v>16</v>
      </c>
      <c r="U1112" s="9" t="s">
        <v>17</v>
      </c>
      <c r="AI1112" s="6" t="s">
        <v>7379</v>
      </c>
      <c r="AJ1112" s="12" t="s">
        <v>7641</v>
      </c>
      <c r="AL1112" s="13" t="s">
        <v>7381</v>
      </c>
    </row>
    <row r="1113">
      <c r="A1113" s="5" t="s">
        <v>7642</v>
      </c>
      <c r="B1113" s="5" t="s">
        <v>7643</v>
      </c>
      <c r="C1113" s="5" t="s">
        <v>7644</v>
      </c>
      <c r="D1113" s="5" t="s">
        <v>8</v>
      </c>
      <c r="E1113" s="6"/>
      <c r="F1113" s="6"/>
      <c r="G1113" s="7" t="s">
        <v>7645</v>
      </c>
      <c r="I1113" s="8" t="s">
        <v>7646</v>
      </c>
      <c r="J1113" s="9">
        <v>37.0</v>
      </c>
      <c r="K1113" s="10" t="s">
        <v>11</v>
      </c>
      <c r="L1113" s="6"/>
      <c r="M1113" s="11" t="s">
        <v>17</v>
      </c>
      <c r="N1113" s="6"/>
      <c r="O1113" s="6" t="s">
        <v>7647</v>
      </c>
      <c r="P1113" s="10" t="s">
        <v>15</v>
      </c>
      <c r="Q1113" s="6"/>
      <c r="R1113" s="6"/>
      <c r="S1113" s="6"/>
      <c r="T1113" s="6" t="s">
        <v>16</v>
      </c>
      <c r="U1113" s="9" t="s">
        <v>17</v>
      </c>
      <c r="AI1113" s="6" t="s">
        <v>7379</v>
      </c>
      <c r="AJ1113" s="12" t="s">
        <v>7648</v>
      </c>
      <c r="AL1113" s="13" t="s">
        <v>7381</v>
      </c>
    </row>
    <row r="1114">
      <c r="A1114" s="5" t="s">
        <v>7649</v>
      </c>
      <c r="B1114" s="5" t="s">
        <v>7650</v>
      </c>
      <c r="C1114" s="5" t="s">
        <v>7651</v>
      </c>
      <c r="D1114" s="5" t="s">
        <v>507</v>
      </c>
      <c r="E1114" s="6"/>
      <c r="F1114" s="6"/>
      <c r="G1114" s="7" t="s">
        <v>7652</v>
      </c>
      <c r="I1114" s="8" t="s">
        <v>7653</v>
      </c>
      <c r="J1114" s="9">
        <v>21.0</v>
      </c>
      <c r="K1114" s="10" t="s">
        <v>11</v>
      </c>
      <c r="L1114" s="6"/>
      <c r="M1114" s="11" t="s">
        <v>17</v>
      </c>
      <c r="N1114" s="6"/>
      <c r="O1114" s="6" t="s">
        <v>7654</v>
      </c>
      <c r="P1114" s="10" t="s">
        <v>15</v>
      </c>
      <c r="Q1114" s="6"/>
      <c r="R1114" s="6"/>
      <c r="S1114" s="6"/>
      <c r="T1114" s="6" t="s">
        <v>16</v>
      </c>
      <c r="U1114" s="9" t="s">
        <v>17</v>
      </c>
      <c r="AI1114" s="6" t="s">
        <v>7379</v>
      </c>
      <c r="AJ1114" s="12" t="s">
        <v>7655</v>
      </c>
      <c r="AL1114" s="13" t="s">
        <v>7381</v>
      </c>
    </row>
    <row r="1115">
      <c r="A1115" s="5" t="s">
        <v>7656</v>
      </c>
      <c r="B1115" s="5" t="s">
        <v>7657</v>
      </c>
      <c r="C1115" s="5" t="s">
        <v>7658</v>
      </c>
      <c r="D1115" s="5" t="s">
        <v>8</v>
      </c>
      <c r="E1115" s="6"/>
      <c r="F1115" s="6"/>
      <c r="G1115" s="7" t="s">
        <v>7659</v>
      </c>
      <c r="I1115" s="8" t="s">
        <v>7660</v>
      </c>
      <c r="J1115" s="9">
        <v>19.9</v>
      </c>
      <c r="K1115" s="10" t="s">
        <v>11</v>
      </c>
      <c r="L1115" s="6"/>
      <c r="M1115" s="11" t="s">
        <v>17</v>
      </c>
      <c r="N1115" s="6"/>
      <c r="O1115" s="6" t="s">
        <v>7661</v>
      </c>
      <c r="P1115" s="10" t="s">
        <v>15</v>
      </c>
      <c r="Q1115" s="6"/>
      <c r="R1115" s="6"/>
      <c r="S1115" s="6"/>
      <c r="T1115" s="6" t="s">
        <v>16</v>
      </c>
      <c r="U1115" s="9" t="s">
        <v>17</v>
      </c>
      <c r="AI1115" s="6" t="s">
        <v>7379</v>
      </c>
      <c r="AJ1115" s="12" t="s">
        <v>7662</v>
      </c>
      <c r="AL1115" s="13" t="s">
        <v>7381</v>
      </c>
    </row>
    <row r="1116">
      <c r="A1116" s="5" t="s">
        <v>7663</v>
      </c>
      <c r="B1116" s="5" t="s">
        <v>7664</v>
      </c>
      <c r="C1116" s="5" t="s">
        <v>7665</v>
      </c>
      <c r="D1116" s="5" t="s">
        <v>507</v>
      </c>
      <c r="E1116" s="6"/>
      <c r="F1116" s="6"/>
      <c r="G1116" s="7" t="s">
        <v>7666</v>
      </c>
      <c r="I1116" s="8" t="s">
        <v>7667</v>
      </c>
      <c r="J1116" s="9">
        <v>22.0</v>
      </c>
      <c r="K1116" s="10" t="s">
        <v>11</v>
      </c>
      <c r="L1116" s="6"/>
      <c r="M1116" s="11" t="s">
        <v>17</v>
      </c>
      <c r="N1116" s="6"/>
      <c r="O1116" s="6" t="s">
        <v>7668</v>
      </c>
      <c r="P1116" s="10" t="s">
        <v>15</v>
      </c>
      <c r="Q1116" s="6"/>
      <c r="R1116" s="6"/>
      <c r="S1116" s="6"/>
      <c r="T1116" s="6" t="s">
        <v>16</v>
      </c>
      <c r="U1116" s="9" t="s">
        <v>17</v>
      </c>
      <c r="AI1116" s="6" t="s">
        <v>7379</v>
      </c>
      <c r="AJ1116" s="12" t="s">
        <v>7669</v>
      </c>
      <c r="AL1116" s="13" t="s">
        <v>7381</v>
      </c>
    </row>
    <row r="1117">
      <c r="A1117" s="5" t="s">
        <v>7670</v>
      </c>
      <c r="B1117" s="5" t="s">
        <v>7671</v>
      </c>
      <c r="C1117" s="5" t="s">
        <v>7672</v>
      </c>
      <c r="D1117" s="5" t="s">
        <v>8</v>
      </c>
      <c r="E1117" s="6"/>
      <c r="F1117" s="6"/>
      <c r="G1117" s="7" t="s">
        <v>7673</v>
      </c>
      <c r="I1117" s="8" t="s">
        <v>7674</v>
      </c>
      <c r="J1117" s="9">
        <v>26.0</v>
      </c>
      <c r="K1117" s="10" t="s">
        <v>11</v>
      </c>
      <c r="L1117" s="6"/>
      <c r="M1117" s="11" t="s">
        <v>17</v>
      </c>
      <c r="N1117" s="6"/>
      <c r="O1117" s="6" t="s">
        <v>7675</v>
      </c>
      <c r="P1117" s="10" t="s">
        <v>15</v>
      </c>
      <c r="Q1117" s="6"/>
      <c r="R1117" s="6"/>
      <c r="S1117" s="6"/>
      <c r="T1117" s="6" t="s">
        <v>16</v>
      </c>
      <c r="U1117" s="9" t="s">
        <v>17</v>
      </c>
      <c r="AI1117" s="6" t="s">
        <v>7379</v>
      </c>
      <c r="AJ1117" s="12" t="s">
        <v>7676</v>
      </c>
      <c r="AL1117" s="13" t="s">
        <v>7381</v>
      </c>
    </row>
    <row r="1118">
      <c r="A1118" s="5" t="s">
        <v>7677</v>
      </c>
      <c r="B1118" s="5" t="s">
        <v>7678</v>
      </c>
      <c r="C1118" s="5" t="s">
        <v>7679</v>
      </c>
      <c r="D1118" s="5" t="s">
        <v>8</v>
      </c>
      <c r="E1118" s="6"/>
      <c r="F1118" s="6"/>
      <c r="G1118" s="7" t="s">
        <v>7680</v>
      </c>
      <c r="I1118" s="8" t="s">
        <v>7681</v>
      </c>
      <c r="J1118" s="9">
        <v>26.0</v>
      </c>
      <c r="K1118" s="10" t="s">
        <v>11</v>
      </c>
      <c r="L1118" s="6"/>
      <c r="M1118" s="11" t="s">
        <v>17</v>
      </c>
      <c r="N1118" s="6"/>
      <c r="O1118" s="6" t="s">
        <v>7682</v>
      </c>
      <c r="P1118" s="10" t="s">
        <v>15</v>
      </c>
      <c r="Q1118" s="6"/>
      <c r="R1118" s="6"/>
      <c r="S1118" s="6"/>
      <c r="T1118" s="6" t="s">
        <v>16</v>
      </c>
      <c r="U1118" s="9" t="s">
        <v>17</v>
      </c>
      <c r="AI1118" s="6" t="s">
        <v>7379</v>
      </c>
      <c r="AJ1118" s="12" t="s">
        <v>7683</v>
      </c>
      <c r="AL1118" s="13" t="s">
        <v>7381</v>
      </c>
    </row>
    <row r="1119">
      <c r="A1119" s="5" t="s">
        <v>7684</v>
      </c>
      <c r="B1119" s="5" t="s">
        <v>7685</v>
      </c>
      <c r="C1119" s="5" t="s">
        <v>7686</v>
      </c>
      <c r="D1119" s="5" t="s">
        <v>8</v>
      </c>
      <c r="E1119" s="6"/>
      <c r="F1119" s="6"/>
      <c r="G1119" s="7" t="s">
        <v>7687</v>
      </c>
      <c r="I1119" s="8" t="s">
        <v>7688</v>
      </c>
      <c r="J1119" s="9">
        <v>26.0</v>
      </c>
      <c r="K1119" s="10" t="s">
        <v>11</v>
      </c>
      <c r="L1119" s="6"/>
      <c r="M1119" s="11" t="s">
        <v>17</v>
      </c>
      <c r="N1119" s="6"/>
      <c r="O1119" s="6" t="s">
        <v>7689</v>
      </c>
      <c r="P1119" s="10" t="s">
        <v>15</v>
      </c>
      <c r="Q1119" s="6"/>
      <c r="R1119" s="6"/>
      <c r="S1119" s="6"/>
      <c r="T1119" s="6" t="s">
        <v>16</v>
      </c>
      <c r="U1119" s="9" t="s">
        <v>17</v>
      </c>
      <c r="AI1119" s="6" t="s">
        <v>7379</v>
      </c>
      <c r="AJ1119" s="12" t="s">
        <v>7690</v>
      </c>
      <c r="AL1119" s="13" t="s">
        <v>7381</v>
      </c>
    </row>
    <row r="1120">
      <c r="A1120" s="5" t="s">
        <v>7691</v>
      </c>
      <c r="B1120" s="5" t="s">
        <v>7692</v>
      </c>
      <c r="C1120" s="5" t="s">
        <v>7693</v>
      </c>
      <c r="D1120" s="5" t="s">
        <v>507</v>
      </c>
      <c r="E1120" s="6"/>
      <c r="F1120" s="6"/>
      <c r="G1120" s="7" t="s">
        <v>7694</v>
      </c>
      <c r="I1120" s="8" t="s">
        <v>7695</v>
      </c>
      <c r="J1120" s="9">
        <v>22.3</v>
      </c>
      <c r="K1120" s="10" t="s">
        <v>11</v>
      </c>
      <c r="L1120" s="6"/>
      <c r="M1120" s="11" t="s">
        <v>17</v>
      </c>
      <c r="N1120" s="6"/>
      <c r="O1120" s="6" t="s">
        <v>7696</v>
      </c>
      <c r="P1120" s="10" t="s">
        <v>15</v>
      </c>
      <c r="Q1120" s="6"/>
      <c r="R1120" s="6"/>
      <c r="S1120" s="6"/>
      <c r="T1120" s="6" t="s">
        <v>16</v>
      </c>
      <c r="U1120" s="9" t="s">
        <v>17</v>
      </c>
      <c r="AI1120" s="6" t="s">
        <v>7379</v>
      </c>
      <c r="AJ1120" s="12" t="s">
        <v>7697</v>
      </c>
      <c r="AL1120" s="13" t="s">
        <v>7381</v>
      </c>
    </row>
    <row r="1121">
      <c r="A1121" s="5" t="s">
        <v>7698</v>
      </c>
      <c r="B1121" s="5" t="s">
        <v>7699</v>
      </c>
      <c r="C1121" s="5" t="s">
        <v>7700</v>
      </c>
      <c r="D1121" s="5" t="s">
        <v>8</v>
      </c>
      <c r="E1121" s="6"/>
      <c r="F1121" s="6"/>
      <c r="G1121" s="7" t="s">
        <v>7701</v>
      </c>
      <c r="I1121" s="8" t="s">
        <v>7702</v>
      </c>
      <c r="J1121" s="9">
        <v>24.34</v>
      </c>
      <c r="K1121" s="10" t="s">
        <v>11</v>
      </c>
      <c r="L1121" s="6"/>
      <c r="M1121" s="11" t="s">
        <v>17</v>
      </c>
      <c r="N1121" s="6"/>
      <c r="O1121" s="6" t="s">
        <v>7703</v>
      </c>
      <c r="P1121" s="10" t="s">
        <v>15</v>
      </c>
      <c r="Q1121" s="6"/>
      <c r="R1121" s="6"/>
      <c r="S1121" s="6"/>
      <c r="T1121" s="6" t="s">
        <v>16</v>
      </c>
      <c r="U1121" s="9" t="s">
        <v>17</v>
      </c>
      <c r="AI1121" s="6" t="s">
        <v>7379</v>
      </c>
      <c r="AJ1121" s="12" t="s">
        <v>7704</v>
      </c>
      <c r="AL1121" s="13" t="s">
        <v>7381</v>
      </c>
    </row>
    <row r="1122">
      <c r="A1122" s="5" t="s">
        <v>7705</v>
      </c>
      <c r="B1122" s="5" t="s">
        <v>7706</v>
      </c>
      <c r="C1122" s="5" t="s">
        <v>7707</v>
      </c>
      <c r="D1122" s="5" t="s">
        <v>8</v>
      </c>
      <c r="E1122" s="6"/>
      <c r="F1122" s="6"/>
      <c r="G1122" s="7" t="s">
        <v>7708</v>
      </c>
      <c r="I1122" s="8" t="s">
        <v>7709</v>
      </c>
      <c r="J1122" s="9">
        <v>22.0</v>
      </c>
      <c r="K1122" s="10" t="s">
        <v>11</v>
      </c>
      <c r="L1122" s="6"/>
      <c r="M1122" s="11" t="s">
        <v>17</v>
      </c>
      <c r="N1122" s="6"/>
      <c r="O1122" s="6" t="s">
        <v>7710</v>
      </c>
      <c r="P1122" s="10" t="s">
        <v>15</v>
      </c>
      <c r="Q1122" s="6"/>
      <c r="R1122" s="6"/>
      <c r="S1122" s="6"/>
      <c r="T1122" s="6" t="s">
        <v>16</v>
      </c>
      <c r="U1122" s="9" t="s">
        <v>17</v>
      </c>
      <c r="AI1122" s="6" t="s">
        <v>7379</v>
      </c>
      <c r="AJ1122" s="12" t="s">
        <v>7711</v>
      </c>
      <c r="AL1122" s="13" t="s">
        <v>7381</v>
      </c>
    </row>
    <row r="1123">
      <c r="A1123" s="5" t="s">
        <v>7712</v>
      </c>
      <c r="B1123" s="5" t="s">
        <v>7713</v>
      </c>
      <c r="C1123" s="5" t="s">
        <v>7714</v>
      </c>
      <c r="D1123" s="5" t="s">
        <v>8</v>
      </c>
      <c r="E1123" s="6"/>
      <c r="F1123" s="6"/>
      <c r="G1123" s="7" t="s">
        <v>7715</v>
      </c>
      <c r="I1123" s="8" t="s">
        <v>7716</v>
      </c>
      <c r="J1123" s="9">
        <v>18.25</v>
      </c>
      <c r="K1123" s="10" t="s">
        <v>11</v>
      </c>
      <c r="L1123" s="6"/>
      <c r="M1123" s="11" t="s">
        <v>17</v>
      </c>
      <c r="N1123" s="6"/>
      <c r="O1123" s="6" t="s">
        <v>7717</v>
      </c>
      <c r="P1123" s="10" t="s">
        <v>15</v>
      </c>
      <c r="Q1123" s="6"/>
      <c r="R1123" s="6"/>
      <c r="S1123" s="6"/>
      <c r="T1123" s="6" t="s">
        <v>16</v>
      </c>
      <c r="U1123" s="9" t="s">
        <v>17</v>
      </c>
      <c r="AI1123" s="6" t="s">
        <v>7379</v>
      </c>
      <c r="AJ1123" s="12" t="s">
        <v>7718</v>
      </c>
      <c r="AL1123" s="13" t="s">
        <v>7381</v>
      </c>
    </row>
    <row r="1124">
      <c r="A1124" s="5" t="s">
        <v>7719</v>
      </c>
      <c r="B1124" s="5" t="s">
        <v>7720</v>
      </c>
      <c r="C1124" s="5" t="s">
        <v>7721</v>
      </c>
      <c r="D1124" s="5" t="s">
        <v>8</v>
      </c>
      <c r="E1124" s="6"/>
      <c r="F1124" s="6"/>
      <c r="G1124" s="7" t="s">
        <v>7722</v>
      </c>
      <c r="I1124" s="8" t="s">
        <v>7723</v>
      </c>
      <c r="J1124" s="9">
        <v>22.9</v>
      </c>
      <c r="K1124" s="10" t="s">
        <v>11</v>
      </c>
      <c r="L1124" s="6"/>
      <c r="M1124" s="11" t="s">
        <v>17</v>
      </c>
      <c r="N1124" s="6"/>
      <c r="O1124" s="6" t="s">
        <v>7724</v>
      </c>
      <c r="P1124" s="10" t="s">
        <v>15</v>
      </c>
      <c r="Q1124" s="6"/>
      <c r="R1124" s="6"/>
      <c r="S1124" s="6"/>
      <c r="T1124" s="6" t="s">
        <v>16</v>
      </c>
      <c r="U1124" s="9" t="s">
        <v>17</v>
      </c>
      <c r="AI1124" s="6" t="s">
        <v>7379</v>
      </c>
      <c r="AJ1124" s="12" t="s">
        <v>7725</v>
      </c>
      <c r="AL1124" s="13" t="s">
        <v>7381</v>
      </c>
    </row>
    <row r="1125">
      <c r="A1125" s="5" t="s">
        <v>7726</v>
      </c>
      <c r="B1125" s="5" t="s">
        <v>7727</v>
      </c>
      <c r="C1125" s="5" t="s">
        <v>7728</v>
      </c>
      <c r="D1125" s="5" t="s">
        <v>507</v>
      </c>
      <c r="E1125" s="6"/>
      <c r="F1125" s="6"/>
      <c r="G1125" s="7" t="s">
        <v>7729</v>
      </c>
      <c r="I1125" s="8" t="s">
        <v>7730</v>
      </c>
      <c r="J1125" s="9">
        <v>20.29</v>
      </c>
      <c r="K1125" s="10" t="s">
        <v>11</v>
      </c>
      <c r="L1125" s="6"/>
      <c r="M1125" s="11" t="s">
        <v>17</v>
      </c>
      <c r="N1125" s="6"/>
      <c r="O1125" s="6" t="s">
        <v>7731</v>
      </c>
      <c r="P1125" s="10" t="s">
        <v>15</v>
      </c>
      <c r="Q1125" s="6"/>
      <c r="R1125" s="6"/>
      <c r="S1125" s="6"/>
      <c r="T1125" s="6" t="s">
        <v>16</v>
      </c>
      <c r="U1125" s="9" t="s">
        <v>17</v>
      </c>
      <c r="AI1125" s="6" t="s">
        <v>7379</v>
      </c>
      <c r="AJ1125" s="12" t="s">
        <v>7732</v>
      </c>
      <c r="AL1125" s="13" t="s">
        <v>7381</v>
      </c>
    </row>
    <row r="1126">
      <c r="A1126" s="5" t="s">
        <v>7733</v>
      </c>
      <c r="B1126" s="5" t="s">
        <v>7734</v>
      </c>
      <c r="C1126" s="5" t="s">
        <v>7735</v>
      </c>
      <c r="D1126" s="5" t="s">
        <v>8</v>
      </c>
      <c r="E1126" s="6"/>
      <c r="F1126" s="6"/>
      <c r="G1126" s="7" t="s">
        <v>7736</v>
      </c>
      <c r="I1126" s="8" t="s">
        <v>7737</v>
      </c>
      <c r="J1126" s="9">
        <v>20.0</v>
      </c>
      <c r="K1126" s="10" t="s">
        <v>11</v>
      </c>
      <c r="L1126" s="6"/>
      <c r="M1126" s="11" t="s">
        <v>17</v>
      </c>
      <c r="N1126" s="6"/>
      <c r="O1126" s="6" t="s">
        <v>7738</v>
      </c>
      <c r="P1126" s="10" t="s">
        <v>15</v>
      </c>
      <c r="Q1126" s="6"/>
      <c r="R1126" s="6"/>
      <c r="S1126" s="6"/>
      <c r="T1126" s="6" t="s">
        <v>16</v>
      </c>
      <c r="U1126" s="9" t="s">
        <v>17</v>
      </c>
      <c r="AI1126" s="6" t="s">
        <v>7379</v>
      </c>
      <c r="AJ1126" s="12" t="s">
        <v>7739</v>
      </c>
      <c r="AL1126" s="13" t="s">
        <v>7381</v>
      </c>
    </row>
    <row r="1127">
      <c r="A1127" s="5" t="s">
        <v>7740</v>
      </c>
      <c r="B1127" s="5" t="s">
        <v>7741</v>
      </c>
      <c r="C1127" s="5" t="s">
        <v>7742</v>
      </c>
      <c r="D1127" s="5" t="s">
        <v>507</v>
      </c>
      <c r="E1127" s="6"/>
      <c r="F1127" s="6"/>
      <c r="G1127" s="7" t="s">
        <v>7743</v>
      </c>
      <c r="I1127" s="8" t="s">
        <v>7744</v>
      </c>
      <c r="J1127" s="9">
        <v>22.0</v>
      </c>
      <c r="K1127" s="10" t="s">
        <v>11</v>
      </c>
      <c r="L1127" s="6"/>
      <c r="M1127" s="11" t="s">
        <v>17</v>
      </c>
      <c r="N1127" s="6"/>
      <c r="O1127" s="6" t="s">
        <v>7745</v>
      </c>
      <c r="P1127" s="10" t="s">
        <v>15</v>
      </c>
      <c r="Q1127" s="6"/>
      <c r="R1127" s="6"/>
      <c r="S1127" s="6"/>
      <c r="T1127" s="6" t="s">
        <v>16</v>
      </c>
      <c r="U1127" s="9" t="s">
        <v>17</v>
      </c>
      <c r="AI1127" s="6" t="s">
        <v>7379</v>
      </c>
      <c r="AJ1127" s="12" t="s">
        <v>7746</v>
      </c>
      <c r="AL1127" s="13" t="s">
        <v>7381</v>
      </c>
    </row>
    <row r="1128">
      <c r="A1128" s="5" t="s">
        <v>7747</v>
      </c>
      <c r="B1128" s="5" t="s">
        <v>7748</v>
      </c>
      <c r="C1128" s="5" t="s">
        <v>7581</v>
      </c>
      <c r="D1128" s="5" t="s">
        <v>8</v>
      </c>
      <c r="E1128" s="6"/>
      <c r="F1128" s="6"/>
      <c r="G1128" s="7" t="s">
        <v>7749</v>
      </c>
      <c r="I1128" s="8" t="s">
        <v>7750</v>
      </c>
      <c r="J1128" s="9">
        <v>38.0</v>
      </c>
      <c r="K1128" s="10" t="s">
        <v>11</v>
      </c>
      <c r="L1128" s="6"/>
      <c r="M1128" s="11" t="s">
        <v>17</v>
      </c>
      <c r="N1128" s="6"/>
      <c r="O1128" s="6" t="s">
        <v>7751</v>
      </c>
      <c r="P1128" s="10" t="s">
        <v>15</v>
      </c>
      <c r="Q1128" s="6"/>
      <c r="R1128" s="6"/>
      <c r="S1128" s="6"/>
      <c r="T1128" s="6" t="s">
        <v>16</v>
      </c>
      <c r="U1128" s="9" t="s">
        <v>17</v>
      </c>
      <c r="AI1128" s="6" t="s">
        <v>7379</v>
      </c>
      <c r="AJ1128" s="12" t="s">
        <v>7752</v>
      </c>
      <c r="AL1128" s="13" t="s">
        <v>7381</v>
      </c>
    </row>
    <row r="1129">
      <c r="A1129" s="5" t="s">
        <v>7753</v>
      </c>
      <c r="B1129" s="5" t="s">
        <v>7754</v>
      </c>
      <c r="C1129" s="5" t="s">
        <v>7755</v>
      </c>
      <c r="D1129" s="5" t="s">
        <v>8</v>
      </c>
      <c r="E1129" s="6"/>
      <c r="F1129" s="6"/>
      <c r="G1129" s="7" t="s">
        <v>7756</v>
      </c>
      <c r="I1129" s="8" t="s">
        <v>7757</v>
      </c>
      <c r="J1129" s="9">
        <v>18.0</v>
      </c>
      <c r="K1129" s="10" t="s">
        <v>11</v>
      </c>
      <c r="L1129" s="6"/>
      <c r="M1129" s="11" t="s">
        <v>17</v>
      </c>
      <c r="N1129" s="6"/>
      <c r="O1129" s="6" t="s">
        <v>7758</v>
      </c>
      <c r="P1129" s="10" t="s">
        <v>15</v>
      </c>
      <c r="Q1129" s="6"/>
      <c r="R1129" s="6"/>
      <c r="S1129" s="6"/>
      <c r="T1129" s="6" t="s">
        <v>16</v>
      </c>
      <c r="U1129" s="9" t="s">
        <v>17</v>
      </c>
      <c r="AI1129" s="6" t="s">
        <v>7379</v>
      </c>
      <c r="AJ1129" s="12" t="s">
        <v>7759</v>
      </c>
      <c r="AL1129" s="13" t="s">
        <v>7381</v>
      </c>
    </row>
    <row r="1130">
      <c r="A1130" s="5" t="s">
        <v>7760</v>
      </c>
      <c r="B1130" s="5" t="s">
        <v>7761</v>
      </c>
      <c r="C1130" s="5" t="s">
        <v>7762</v>
      </c>
      <c r="D1130" s="5" t="s">
        <v>8</v>
      </c>
      <c r="E1130" s="6"/>
      <c r="F1130" s="6"/>
      <c r="G1130" s="7" t="s">
        <v>7763</v>
      </c>
      <c r="I1130" s="8" t="s">
        <v>7764</v>
      </c>
      <c r="J1130" s="9">
        <v>27.0</v>
      </c>
      <c r="K1130" s="10" t="s">
        <v>11</v>
      </c>
      <c r="L1130" s="6"/>
      <c r="M1130" s="11" t="s">
        <v>17</v>
      </c>
      <c r="N1130" s="6"/>
      <c r="O1130" s="6" t="s">
        <v>7765</v>
      </c>
      <c r="P1130" s="10" t="s">
        <v>15</v>
      </c>
      <c r="Q1130" s="6"/>
      <c r="R1130" s="6"/>
      <c r="S1130" s="6"/>
      <c r="T1130" s="6" t="s">
        <v>16</v>
      </c>
      <c r="U1130" s="9" t="s">
        <v>17</v>
      </c>
      <c r="AI1130" s="6" t="s">
        <v>7379</v>
      </c>
      <c r="AJ1130" s="12" t="s">
        <v>7766</v>
      </c>
      <c r="AL1130" s="13" t="s">
        <v>7381</v>
      </c>
    </row>
    <row r="1131">
      <c r="A1131" s="5" t="s">
        <v>7767</v>
      </c>
      <c r="B1131" s="5" t="s">
        <v>7768</v>
      </c>
      <c r="C1131" s="5" t="s">
        <v>7769</v>
      </c>
      <c r="D1131" s="5" t="s">
        <v>8</v>
      </c>
      <c r="E1131" s="6"/>
      <c r="F1131" s="6"/>
      <c r="G1131" s="7" t="s">
        <v>7770</v>
      </c>
      <c r="I1131" s="8" t="s">
        <v>7771</v>
      </c>
      <c r="J1131" s="9">
        <v>21.3</v>
      </c>
      <c r="K1131" s="10" t="s">
        <v>11</v>
      </c>
      <c r="L1131" s="6"/>
      <c r="M1131" s="11" t="s">
        <v>17</v>
      </c>
      <c r="N1131" s="6"/>
      <c r="O1131" s="6" t="s">
        <v>7772</v>
      </c>
      <c r="P1131" s="10" t="s">
        <v>15</v>
      </c>
      <c r="Q1131" s="6"/>
      <c r="R1131" s="6"/>
      <c r="S1131" s="6"/>
      <c r="T1131" s="6" t="s">
        <v>16</v>
      </c>
      <c r="U1131" s="9" t="s">
        <v>17</v>
      </c>
      <c r="AI1131" s="6" t="s">
        <v>7379</v>
      </c>
      <c r="AJ1131" s="12" t="s">
        <v>7773</v>
      </c>
      <c r="AL1131" s="13" t="s">
        <v>7381</v>
      </c>
    </row>
    <row r="1132">
      <c r="A1132" s="5" t="s">
        <v>7774</v>
      </c>
      <c r="B1132" s="5" t="s">
        <v>7775</v>
      </c>
      <c r="C1132" s="5" t="s">
        <v>7776</v>
      </c>
      <c r="D1132" s="5" t="s">
        <v>8</v>
      </c>
      <c r="E1132" s="6"/>
      <c r="F1132" s="6"/>
      <c r="G1132" s="7" t="s">
        <v>7777</v>
      </c>
      <c r="I1132" s="8" t="s">
        <v>7778</v>
      </c>
      <c r="J1132" s="9">
        <v>34.9</v>
      </c>
      <c r="K1132" s="10" t="s">
        <v>11</v>
      </c>
      <c r="L1132" s="6"/>
      <c r="M1132" s="11" t="s">
        <v>17</v>
      </c>
      <c r="N1132" s="6"/>
      <c r="O1132" s="6" t="s">
        <v>7779</v>
      </c>
      <c r="P1132" s="10" t="s">
        <v>15</v>
      </c>
      <c r="Q1132" s="6"/>
      <c r="R1132" s="6"/>
      <c r="S1132" s="6"/>
      <c r="T1132" s="6" t="s">
        <v>16</v>
      </c>
      <c r="U1132" s="9" t="s">
        <v>17</v>
      </c>
      <c r="AI1132" s="6" t="s">
        <v>7379</v>
      </c>
      <c r="AJ1132" s="12" t="s">
        <v>7780</v>
      </c>
      <c r="AL1132" s="13" t="s">
        <v>7381</v>
      </c>
    </row>
    <row r="1133">
      <c r="A1133" s="5" t="s">
        <v>7781</v>
      </c>
      <c r="B1133" s="5" t="s">
        <v>7782</v>
      </c>
      <c r="C1133" s="5" t="s">
        <v>7783</v>
      </c>
      <c r="D1133" s="5" t="s">
        <v>507</v>
      </c>
      <c r="E1133" s="6"/>
      <c r="F1133" s="6"/>
      <c r="G1133" s="7" t="s">
        <v>7784</v>
      </c>
      <c r="I1133" s="8" t="s">
        <v>7785</v>
      </c>
      <c r="J1133" s="9">
        <v>29.0</v>
      </c>
      <c r="K1133" s="10" t="s">
        <v>11</v>
      </c>
      <c r="L1133" s="6"/>
      <c r="M1133" s="11" t="s">
        <v>17</v>
      </c>
      <c r="N1133" s="6"/>
      <c r="O1133" s="6" t="s">
        <v>7786</v>
      </c>
      <c r="P1133" s="10" t="s">
        <v>15</v>
      </c>
      <c r="Q1133" s="6"/>
      <c r="R1133" s="6"/>
      <c r="S1133" s="6"/>
      <c r="T1133" s="6" t="s">
        <v>16</v>
      </c>
      <c r="U1133" s="9" t="s">
        <v>17</v>
      </c>
      <c r="AI1133" s="6" t="s">
        <v>7379</v>
      </c>
      <c r="AJ1133" s="12" t="s">
        <v>7787</v>
      </c>
      <c r="AL1133" s="13" t="s">
        <v>7381</v>
      </c>
    </row>
    <row r="1134">
      <c r="A1134" s="5" t="s">
        <v>7788</v>
      </c>
      <c r="B1134" s="5" t="s">
        <v>7789</v>
      </c>
      <c r="C1134" s="5" t="s">
        <v>7790</v>
      </c>
      <c r="D1134" s="5" t="s">
        <v>8</v>
      </c>
      <c r="E1134" s="6"/>
      <c r="F1134" s="6"/>
      <c r="G1134" s="7" t="s">
        <v>7791</v>
      </c>
      <c r="I1134" s="8" t="s">
        <v>7792</v>
      </c>
      <c r="J1134" s="9">
        <v>29.0</v>
      </c>
      <c r="K1134" s="10" t="s">
        <v>11</v>
      </c>
      <c r="L1134" s="6"/>
      <c r="M1134" s="11" t="s">
        <v>17</v>
      </c>
      <c r="N1134" s="6"/>
      <c r="O1134" s="6" t="s">
        <v>7793</v>
      </c>
      <c r="P1134" s="10" t="s">
        <v>15</v>
      </c>
      <c r="Q1134" s="6"/>
      <c r="R1134" s="6"/>
      <c r="S1134" s="6"/>
      <c r="T1134" s="6" t="s">
        <v>16</v>
      </c>
      <c r="U1134" s="9" t="s">
        <v>17</v>
      </c>
      <c r="AI1134" s="6" t="s">
        <v>7379</v>
      </c>
      <c r="AJ1134" s="12" t="s">
        <v>7794</v>
      </c>
      <c r="AL1134" s="13" t="s">
        <v>7381</v>
      </c>
    </row>
    <row r="1135">
      <c r="A1135" s="5" t="s">
        <v>7795</v>
      </c>
      <c r="B1135" s="5" t="s">
        <v>7796</v>
      </c>
      <c r="C1135" s="5" t="s">
        <v>7797</v>
      </c>
      <c r="D1135" s="5" t="s">
        <v>8</v>
      </c>
      <c r="E1135" s="6"/>
      <c r="F1135" s="6"/>
      <c r="G1135" s="7" t="s">
        <v>7798</v>
      </c>
      <c r="I1135" s="8" t="s">
        <v>7799</v>
      </c>
      <c r="J1135" s="9">
        <v>35.0</v>
      </c>
      <c r="K1135" s="10" t="s">
        <v>11</v>
      </c>
      <c r="L1135" s="6"/>
      <c r="M1135" s="11" t="s">
        <v>17</v>
      </c>
      <c r="N1135" s="6"/>
      <c r="O1135" s="6" t="s">
        <v>7800</v>
      </c>
      <c r="P1135" s="10" t="s">
        <v>15</v>
      </c>
      <c r="Q1135" s="6"/>
      <c r="R1135" s="6"/>
      <c r="S1135" s="6"/>
      <c r="T1135" s="6" t="s">
        <v>16</v>
      </c>
      <c r="U1135" s="9" t="s">
        <v>17</v>
      </c>
      <c r="AI1135" s="6" t="s">
        <v>7379</v>
      </c>
      <c r="AJ1135" s="12" t="s">
        <v>7801</v>
      </c>
      <c r="AL1135" s="13" t="s">
        <v>7381</v>
      </c>
    </row>
    <row r="1136">
      <c r="A1136" s="5" t="s">
        <v>7802</v>
      </c>
      <c r="B1136" s="5" t="s">
        <v>7803</v>
      </c>
      <c r="C1136" s="5" t="s">
        <v>7644</v>
      </c>
      <c r="D1136" s="5" t="s">
        <v>8</v>
      </c>
      <c r="E1136" s="6"/>
      <c r="F1136" s="6"/>
      <c r="G1136" s="7" t="s">
        <v>7804</v>
      </c>
      <c r="I1136" s="8" t="s">
        <v>7805</v>
      </c>
      <c r="J1136" s="9">
        <v>37.0</v>
      </c>
      <c r="K1136" s="10" t="s">
        <v>11</v>
      </c>
      <c r="L1136" s="6"/>
      <c r="M1136" s="11" t="s">
        <v>17</v>
      </c>
      <c r="N1136" s="6"/>
      <c r="O1136" s="6" t="s">
        <v>7806</v>
      </c>
      <c r="P1136" s="10" t="s">
        <v>15</v>
      </c>
      <c r="Q1136" s="6"/>
      <c r="R1136" s="6"/>
      <c r="S1136" s="6"/>
      <c r="T1136" s="6" t="s">
        <v>16</v>
      </c>
      <c r="U1136" s="9" t="s">
        <v>17</v>
      </c>
      <c r="AI1136" s="6" t="s">
        <v>7379</v>
      </c>
      <c r="AJ1136" s="12" t="s">
        <v>7807</v>
      </c>
      <c r="AL1136" s="13" t="s">
        <v>7381</v>
      </c>
    </row>
    <row r="1137">
      <c r="A1137" s="5" t="s">
        <v>7808</v>
      </c>
      <c r="B1137" s="5" t="s">
        <v>7809</v>
      </c>
      <c r="C1137" s="5" t="s">
        <v>7609</v>
      </c>
      <c r="D1137" s="5" t="s">
        <v>8</v>
      </c>
      <c r="E1137" s="6"/>
      <c r="F1137" s="6"/>
      <c r="G1137" s="7" t="s">
        <v>7810</v>
      </c>
      <c r="I1137" s="8" t="s">
        <v>7811</v>
      </c>
      <c r="J1137" s="9">
        <v>35.0</v>
      </c>
      <c r="K1137" s="10" t="s">
        <v>11</v>
      </c>
      <c r="L1137" s="6"/>
      <c r="M1137" s="11" t="s">
        <v>17</v>
      </c>
      <c r="N1137" s="6"/>
      <c r="O1137" s="6" t="s">
        <v>7812</v>
      </c>
      <c r="P1137" s="10" t="s">
        <v>15</v>
      </c>
      <c r="Q1137" s="6"/>
      <c r="R1137" s="6"/>
      <c r="S1137" s="6"/>
      <c r="T1137" s="6" t="s">
        <v>16</v>
      </c>
      <c r="U1137" s="9" t="s">
        <v>17</v>
      </c>
      <c r="AI1137" s="6" t="s">
        <v>7379</v>
      </c>
      <c r="AJ1137" s="12" t="s">
        <v>7813</v>
      </c>
      <c r="AL1137" s="13" t="s">
        <v>7381</v>
      </c>
    </row>
    <row r="1138">
      <c r="A1138" s="5" t="s">
        <v>7814</v>
      </c>
      <c r="B1138" s="5" t="s">
        <v>7815</v>
      </c>
      <c r="C1138" s="5" t="s">
        <v>7816</v>
      </c>
      <c r="D1138" s="5" t="s">
        <v>8</v>
      </c>
      <c r="E1138" s="6"/>
      <c r="F1138" s="6"/>
      <c r="G1138" s="7" t="s">
        <v>7817</v>
      </c>
      <c r="I1138" s="8" t="s">
        <v>7818</v>
      </c>
      <c r="J1138" s="9">
        <v>23.9</v>
      </c>
      <c r="K1138" s="10" t="s">
        <v>11</v>
      </c>
      <c r="L1138" s="6"/>
      <c r="M1138" s="11" t="s">
        <v>17</v>
      </c>
      <c r="N1138" s="6"/>
      <c r="O1138" s="6" t="s">
        <v>7819</v>
      </c>
      <c r="P1138" s="10" t="s">
        <v>15</v>
      </c>
      <c r="Q1138" s="6"/>
      <c r="R1138" s="6"/>
      <c r="S1138" s="6"/>
      <c r="T1138" s="6" t="s">
        <v>16</v>
      </c>
      <c r="U1138" s="9" t="s">
        <v>17</v>
      </c>
      <c r="AI1138" s="6" t="s">
        <v>7379</v>
      </c>
      <c r="AJ1138" s="12" t="s">
        <v>7820</v>
      </c>
      <c r="AL1138" s="13" t="s">
        <v>7381</v>
      </c>
    </row>
    <row r="1139">
      <c r="A1139" s="5" t="s">
        <v>7821</v>
      </c>
      <c r="B1139" s="5" t="s">
        <v>7822</v>
      </c>
      <c r="C1139" s="5" t="s">
        <v>7823</v>
      </c>
      <c r="D1139" s="5" t="s">
        <v>507</v>
      </c>
      <c r="E1139" s="6"/>
      <c r="F1139" s="6"/>
      <c r="G1139" s="7" t="s">
        <v>7824</v>
      </c>
      <c r="I1139" s="8" t="s">
        <v>7825</v>
      </c>
      <c r="J1139" s="9">
        <v>23.0</v>
      </c>
      <c r="K1139" s="10" t="s">
        <v>11</v>
      </c>
      <c r="L1139" s="6"/>
      <c r="M1139" s="11" t="s">
        <v>17</v>
      </c>
      <c r="N1139" s="6"/>
      <c r="O1139" s="6" t="s">
        <v>7826</v>
      </c>
      <c r="P1139" s="10" t="s">
        <v>15</v>
      </c>
      <c r="Q1139" s="6"/>
      <c r="R1139" s="6"/>
      <c r="S1139" s="6"/>
      <c r="T1139" s="6" t="s">
        <v>16</v>
      </c>
      <c r="U1139" s="9" t="s">
        <v>17</v>
      </c>
      <c r="AI1139" s="6" t="s">
        <v>7379</v>
      </c>
      <c r="AJ1139" s="12" t="s">
        <v>7827</v>
      </c>
      <c r="AL1139" s="13" t="s">
        <v>7381</v>
      </c>
    </row>
    <row r="1140">
      <c r="A1140" s="5" t="s">
        <v>7828</v>
      </c>
      <c r="B1140" s="5" t="s">
        <v>7829</v>
      </c>
      <c r="C1140" s="5" t="s">
        <v>7830</v>
      </c>
      <c r="D1140" s="5" t="s">
        <v>507</v>
      </c>
      <c r="E1140" s="6"/>
      <c r="F1140" s="6"/>
      <c r="G1140" s="7" t="s">
        <v>7831</v>
      </c>
      <c r="I1140" s="8" t="s">
        <v>7832</v>
      </c>
      <c r="J1140" s="9">
        <v>22.31</v>
      </c>
      <c r="K1140" s="10" t="s">
        <v>11</v>
      </c>
      <c r="L1140" s="6"/>
      <c r="M1140" s="11" t="s">
        <v>17</v>
      </c>
      <c r="N1140" s="6"/>
      <c r="O1140" s="6" t="s">
        <v>7833</v>
      </c>
      <c r="P1140" s="10" t="s">
        <v>15</v>
      </c>
      <c r="Q1140" s="6"/>
      <c r="R1140" s="6"/>
      <c r="S1140" s="6"/>
      <c r="T1140" s="6" t="s">
        <v>16</v>
      </c>
      <c r="U1140" s="9" t="s">
        <v>17</v>
      </c>
      <c r="AI1140" s="6" t="s">
        <v>7379</v>
      </c>
      <c r="AJ1140" s="12" t="s">
        <v>7834</v>
      </c>
      <c r="AL1140" s="13" t="s">
        <v>7381</v>
      </c>
    </row>
    <row r="1141">
      <c r="A1141" s="5" t="s">
        <v>7835</v>
      </c>
      <c r="B1141" s="5" t="s">
        <v>7836</v>
      </c>
      <c r="C1141" s="5" t="s">
        <v>7837</v>
      </c>
      <c r="D1141" s="5" t="s">
        <v>8</v>
      </c>
      <c r="E1141" s="6"/>
      <c r="F1141" s="6"/>
      <c r="G1141" s="7" t="s">
        <v>7838</v>
      </c>
      <c r="I1141" s="8" t="s">
        <v>7839</v>
      </c>
      <c r="J1141" s="9">
        <v>16.9</v>
      </c>
      <c r="K1141" s="10" t="s">
        <v>11</v>
      </c>
      <c r="L1141" s="6"/>
      <c r="M1141" s="11" t="s">
        <v>17</v>
      </c>
      <c r="N1141" s="6"/>
      <c r="O1141" s="6" t="s">
        <v>7840</v>
      </c>
      <c r="P1141" s="10" t="s">
        <v>15</v>
      </c>
      <c r="Q1141" s="6"/>
      <c r="R1141" s="6"/>
      <c r="S1141" s="6"/>
      <c r="T1141" s="6" t="s">
        <v>16</v>
      </c>
      <c r="U1141" s="9" t="s">
        <v>17</v>
      </c>
      <c r="AI1141" s="6" t="s">
        <v>7379</v>
      </c>
      <c r="AJ1141" s="12" t="s">
        <v>7841</v>
      </c>
      <c r="AL1141" s="13" t="s">
        <v>7381</v>
      </c>
    </row>
    <row r="1142">
      <c r="A1142" s="5" t="s">
        <v>7842</v>
      </c>
      <c r="B1142" s="5" t="s">
        <v>7843</v>
      </c>
      <c r="C1142" s="5" t="s">
        <v>7844</v>
      </c>
      <c r="D1142" s="5" t="s">
        <v>507</v>
      </c>
      <c r="E1142" s="6"/>
      <c r="F1142" s="6"/>
      <c r="G1142" s="7" t="s">
        <v>7845</v>
      </c>
      <c r="I1142" s="16" t="s">
        <v>7846</v>
      </c>
      <c r="J1142" s="9">
        <v>32.0</v>
      </c>
      <c r="K1142" s="10" t="s">
        <v>11</v>
      </c>
      <c r="L1142" s="6"/>
      <c r="M1142" s="11" t="s">
        <v>17</v>
      </c>
      <c r="N1142" s="6"/>
      <c r="O1142" s="6" t="s">
        <v>7847</v>
      </c>
      <c r="P1142" s="10" t="s">
        <v>15</v>
      </c>
      <c r="Q1142" s="6"/>
      <c r="R1142" s="6"/>
      <c r="S1142" s="6"/>
      <c r="T1142" s="6" t="s">
        <v>16</v>
      </c>
      <c r="U1142" s="9" t="s">
        <v>17</v>
      </c>
      <c r="AI1142" s="6" t="s">
        <v>7379</v>
      </c>
      <c r="AJ1142" s="12" t="s">
        <v>7848</v>
      </c>
      <c r="AL1142" s="13" t="s">
        <v>7381</v>
      </c>
    </row>
    <row r="1143">
      <c r="A1143" s="5" t="s">
        <v>7849</v>
      </c>
      <c r="B1143" s="5" t="s">
        <v>7850</v>
      </c>
      <c r="C1143" s="5" t="s">
        <v>7851</v>
      </c>
      <c r="D1143" s="5" t="s">
        <v>8</v>
      </c>
      <c r="E1143" s="6"/>
      <c r="F1143" s="6"/>
      <c r="G1143" s="7" t="s">
        <v>7852</v>
      </c>
      <c r="I1143" s="8" t="s">
        <v>7853</v>
      </c>
      <c r="J1143" s="9">
        <v>18.0</v>
      </c>
      <c r="K1143" s="10" t="s">
        <v>11</v>
      </c>
      <c r="L1143" s="6"/>
      <c r="M1143" s="11" t="s">
        <v>17</v>
      </c>
      <c r="N1143" s="6"/>
      <c r="O1143" s="6" t="s">
        <v>7854</v>
      </c>
      <c r="P1143" s="10" t="s">
        <v>15</v>
      </c>
      <c r="Q1143" s="6"/>
      <c r="R1143" s="6"/>
      <c r="S1143" s="6"/>
      <c r="T1143" s="6" t="s">
        <v>16</v>
      </c>
      <c r="U1143" s="9" t="s">
        <v>17</v>
      </c>
      <c r="AI1143" s="6" t="s">
        <v>7379</v>
      </c>
      <c r="AJ1143" s="12" t="s">
        <v>7855</v>
      </c>
      <c r="AL1143" s="13" t="s">
        <v>7381</v>
      </c>
    </row>
    <row r="1144">
      <c r="A1144" s="5" t="s">
        <v>7856</v>
      </c>
      <c r="B1144" s="5" t="s">
        <v>7857</v>
      </c>
      <c r="C1144" s="5" t="s">
        <v>7714</v>
      </c>
      <c r="D1144" s="5" t="s">
        <v>8</v>
      </c>
      <c r="E1144" s="6"/>
      <c r="F1144" s="6"/>
      <c r="G1144" s="7" t="s">
        <v>7858</v>
      </c>
      <c r="I1144" s="8" t="s">
        <v>7859</v>
      </c>
      <c r="J1144" s="9">
        <v>18.26</v>
      </c>
      <c r="K1144" s="10" t="s">
        <v>11</v>
      </c>
      <c r="L1144" s="6"/>
      <c r="M1144" s="11" t="s">
        <v>17</v>
      </c>
      <c r="N1144" s="6"/>
      <c r="O1144" s="6" t="s">
        <v>7860</v>
      </c>
      <c r="P1144" s="10" t="s">
        <v>15</v>
      </c>
      <c r="Q1144" s="6"/>
      <c r="R1144" s="6"/>
      <c r="S1144" s="6"/>
      <c r="T1144" s="6" t="s">
        <v>16</v>
      </c>
      <c r="U1144" s="9" t="s">
        <v>17</v>
      </c>
      <c r="AI1144" s="6" t="s">
        <v>7379</v>
      </c>
      <c r="AJ1144" s="12" t="s">
        <v>7861</v>
      </c>
      <c r="AL1144" s="13" t="s">
        <v>7381</v>
      </c>
    </row>
    <row r="1145">
      <c r="A1145" s="5" t="s">
        <v>7862</v>
      </c>
      <c r="B1145" s="5" t="s">
        <v>7863</v>
      </c>
      <c r="C1145" s="5" t="s">
        <v>7686</v>
      </c>
      <c r="D1145" s="5" t="s">
        <v>507</v>
      </c>
      <c r="E1145" s="6"/>
      <c r="F1145" s="6"/>
      <c r="G1145" s="7" t="s">
        <v>7864</v>
      </c>
      <c r="I1145" s="8" t="s">
        <v>7865</v>
      </c>
      <c r="J1145" s="9">
        <v>16.23</v>
      </c>
      <c r="K1145" s="10" t="s">
        <v>11</v>
      </c>
      <c r="L1145" s="6"/>
      <c r="M1145" s="11" t="s">
        <v>17</v>
      </c>
      <c r="N1145" s="6"/>
      <c r="O1145" s="6" t="s">
        <v>7866</v>
      </c>
      <c r="P1145" s="10" t="s">
        <v>15</v>
      </c>
      <c r="Q1145" s="6"/>
      <c r="R1145" s="6"/>
      <c r="S1145" s="6"/>
      <c r="T1145" s="6" t="s">
        <v>16</v>
      </c>
      <c r="U1145" s="9" t="s">
        <v>17</v>
      </c>
      <c r="AI1145" s="6" t="s">
        <v>7379</v>
      </c>
      <c r="AJ1145" s="12" t="s">
        <v>7867</v>
      </c>
      <c r="AL1145" s="13" t="s">
        <v>7381</v>
      </c>
    </row>
    <row r="1146">
      <c r="A1146" s="5" t="s">
        <v>7868</v>
      </c>
      <c r="B1146" s="5" t="s">
        <v>7869</v>
      </c>
      <c r="C1146" s="5" t="s">
        <v>7686</v>
      </c>
      <c r="D1146" s="5" t="s">
        <v>507</v>
      </c>
      <c r="E1146" s="6"/>
      <c r="F1146" s="6"/>
      <c r="G1146" s="7" t="s">
        <v>7870</v>
      </c>
      <c r="I1146" s="8" t="s">
        <v>7871</v>
      </c>
      <c r="J1146" s="9">
        <v>16.23</v>
      </c>
      <c r="K1146" s="10" t="s">
        <v>11</v>
      </c>
      <c r="L1146" s="6"/>
      <c r="M1146" s="11" t="s">
        <v>17</v>
      </c>
      <c r="N1146" s="6"/>
      <c r="O1146" s="6" t="s">
        <v>7872</v>
      </c>
      <c r="P1146" s="10" t="s">
        <v>15</v>
      </c>
      <c r="Q1146" s="6"/>
      <c r="R1146" s="6"/>
      <c r="S1146" s="6"/>
      <c r="T1146" s="6" t="s">
        <v>16</v>
      </c>
      <c r="U1146" s="9" t="s">
        <v>17</v>
      </c>
      <c r="AI1146" s="6" t="s">
        <v>7379</v>
      </c>
      <c r="AJ1146" s="12" t="s">
        <v>7873</v>
      </c>
      <c r="AL1146" s="13" t="s">
        <v>7381</v>
      </c>
    </row>
    <row r="1147">
      <c r="A1147" s="5" t="s">
        <v>7874</v>
      </c>
      <c r="B1147" s="5" t="s">
        <v>7875</v>
      </c>
      <c r="C1147" s="5" t="s">
        <v>7876</v>
      </c>
      <c r="D1147" s="5" t="s">
        <v>507</v>
      </c>
      <c r="E1147" s="6"/>
      <c r="F1147" s="6"/>
      <c r="G1147" s="7" t="s">
        <v>7877</v>
      </c>
      <c r="I1147" s="8" t="s">
        <v>7878</v>
      </c>
      <c r="J1147" s="9">
        <v>40.0</v>
      </c>
      <c r="K1147" s="10" t="s">
        <v>11</v>
      </c>
      <c r="L1147" s="6"/>
      <c r="M1147" s="11" t="s">
        <v>17</v>
      </c>
      <c r="N1147" s="6"/>
      <c r="O1147" s="6" t="s">
        <v>7879</v>
      </c>
      <c r="P1147" s="10" t="s">
        <v>15</v>
      </c>
      <c r="Q1147" s="6"/>
      <c r="R1147" s="6"/>
      <c r="S1147" s="6"/>
      <c r="T1147" s="6" t="s">
        <v>16</v>
      </c>
      <c r="U1147" s="9" t="s">
        <v>17</v>
      </c>
      <c r="AI1147" s="6" t="s">
        <v>7379</v>
      </c>
      <c r="AJ1147" s="12" t="s">
        <v>7880</v>
      </c>
      <c r="AL1147" s="13" t="s">
        <v>7381</v>
      </c>
    </row>
    <row r="1148">
      <c r="A1148" s="5" t="s">
        <v>7881</v>
      </c>
      <c r="B1148" s="5" t="s">
        <v>7882</v>
      </c>
      <c r="C1148" s="5" t="s">
        <v>7883</v>
      </c>
      <c r="D1148" s="5" t="s">
        <v>507</v>
      </c>
      <c r="E1148" s="6"/>
      <c r="F1148" s="6"/>
      <c r="G1148" s="7" t="s">
        <v>7884</v>
      </c>
      <c r="I1148" s="8" t="s">
        <v>7885</v>
      </c>
      <c r="J1148" s="9">
        <v>125.0</v>
      </c>
      <c r="K1148" s="10" t="s">
        <v>11</v>
      </c>
      <c r="L1148" s="6"/>
      <c r="M1148" s="11" t="s">
        <v>17</v>
      </c>
      <c r="N1148" s="6"/>
      <c r="O1148" s="6" t="s">
        <v>7886</v>
      </c>
      <c r="P1148" s="10" t="s">
        <v>15</v>
      </c>
      <c r="Q1148" s="6"/>
      <c r="R1148" s="6"/>
      <c r="S1148" s="6"/>
      <c r="T1148" s="6" t="s">
        <v>16</v>
      </c>
      <c r="U1148" s="9" t="s">
        <v>17</v>
      </c>
      <c r="AI1148" s="6" t="s">
        <v>7379</v>
      </c>
      <c r="AJ1148" s="12" t="s">
        <v>7887</v>
      </c>
      <c r="AL1148" s="13" t="s">
        <v>7381</v>
      </c>
    </row>
    <row r="1149">
      <c r="A1149" s="5" t="s">
        <v>7888</v>
      </c>
      <c r="B1149" s="5" t="s">
        <v>7889</v>
      </c>
      <c r="C1149" s="5" t="s">
        <v>7890</v>
      </c>
      <c r="D1149" s="5" t="s">
        <v>8</v>
      </c>
      <c r="E1149" s="6"/>
      <c r="F1149" s="6"/>
      <c r="G1149" s="7" t="s">
        <v>7891</v>
      </c>
      <c r="I1149" s="8" t="s">
        <v>7892</v>
      </c>
      <c r="J1149" s="9">
        <v>98.0</v>
      </c>
      <c r="K1149" s="10" t="s">
        <v>11</v>
      </c>
      <c r="L1149" s="6"/>
      <c r="M1149" s="11" t="s">
        <v>17</v>
      </c>
      <c r="N1149" s="6"/>
      <c r="O1149" s="6" t="s">
        <v>7893</v>
      </c>
      <c r="P1149" s="10" t="s">
        <v>15</v>
      </c>
      <c r="Q1149" s="6"/>
      <c r="R1149" s="6"/>
      <c r="S1149" s="6"/>
      <c r="T1149" s="6" t="s">
        <v>16</v>
      </c>
      <c r="U1149" s="9" t="s">
        <v>17</v>
      </c>
      <c r="AI1149" s="6" t="s">
        <v>7379</v>
      </c>
      <c r="AJ1149" s="12" t="s">
        <v>7894</v>
      </c>
      <c r="AL1149" s="13" t="s">
        <v>7381</v>
      </c>
    </row>
    <row r="1150">
      <c r="A1150" s="5" t="s">
        <v>7895</v>
      </c>
      <c r="B1150" s="5" t="s">
        <v>7896</v>
      </c>
      <c r="C1150" s="5" t="s">
        <v>7883</v>
      </c>
      <c r="D1150" s="5" t="s">
        <v>507</v>
      </c>
      <c r="E1150" s="6"/>
      <c r="F1150" s="6"/>
      <c r="G1150" s="7" t="s">
        <v>7897</v>
      </c>
      <c r="I1150" s="8" t="s">
        <v>7898</v>
      </c>
      <c r="J1150" s="9">
        <v>85.0</v>
      </c>
      <c r="K1150" s="10" t="s">
        <v>11</v>
      </c>
      <c r="L1150" s="6"/>
      <c r="M1150" s="11" t="s">
        <v>17</v>
      </c>
      <c r="N1150" s="6"/>
      <c r="O1150" s="6" t="s">
        <v>7899</v>
      </c>
      <c r="P1150" s="10" t="s">
        <v>15</v>
      </c>
      <c r="Q1150" s="6"/>
      <c r="R1150" s="6"/>
      <c r="S1150" s="6"/>
      <c r="T1150" s="6" t="s">
        <v>16</v>
      </c>
      <c r="U1150" s="9" t="s">
        <v>17</v>
      </c>
      <c r="AI1150" s="6" t="s">
        <v>7379</v>
      </c>
      <c r="AJ1150" s="12" t="s">
        <v>7900</v>
      </c>
      <c r="AL1150" s="13" t="s">
        <v>7381</v>
      </c>
    </row>
    <row r="1151">
      <c r="A1151" s="5" t="s">
        <v>7901</v>
      </c>
      <c r="B1151" s="5" t="s">
        <v>7902</v>
      </c>
      <c r="C1151" s="5" t="s">
        <v>7665</v>
      </c>
      <c r="D1151" s="5" t="s">
        <v>8</v>
      </c>
      <c r="E1151" s="6"/>
      <c r="F1151" s="6"/>
      <c r="G1151" s="7" t="s">
        <v>7903</v>
      </c>
      <c r="I1151" s="8" t="s">
        <v>7904</v>
      </c>
      <c r="J1151" s="9">
        <v>24.92</v>
      </c>
      <c r="K1151" s="10" t="s">
        <v>11</v>
      </c>
      <c r="L1151" s="6"/>
      <c r="M1151" s="11" t="s">
        <v>17</v>
      </c>
      <c r="N1151" s="6"/>
      <c r="O1151" s="6" t="s">
        <v>7905</v>
      </c>
      <c r="P1151" s="10" t="s">
        <v>15</v>
      </c>
      <c r="Q1151" s="6"/>
      <c r="R1151" s="6"/>
      <c r="S1151" s="6"/>
      <c r="T1151" s="6" t="s">
        <v>16</v>
      </c>
      <c r="U1151" s="9" t="s">
        <v>17</v>
      </c>
      <c r="AI1151" s="6" t="s">
        <v>7379</v>
      </c>
      <c r="AJ1151" s="12" t="s">
        <v>7906</v>
      </c>
      <c r="AL1151" s="13" t="s">
        <v>7381</v>
      </c>
    </row>
    <row r="1152">
      <c r="A1152" s="5" t="s">
        <v>7907</v>
      </c>
      <c r="B1152" s="5" t="s">
        <v>7908</v>
      </c>
      <c r="C1152" s="5" t="s">
        <v>7909</v>
      </c>
      <c r="D1152" s="5" t="s">
        <v>507</v>
      </c>
      <c r="E1152" s="6"/>
      <c r="F1152" s="6"/>
      <c r="G1152" s="7" t="s">
        <v>7910</v>
      </c>
      <c r="I1152" s="8" t="s">
        <v>7911</v>
      </c>
      <c r="J1152" s="9">
        <v>116.63</v>
      </c>
      <c r="K1152" s="10" t="s">
        <v>11</v>
      </c>
      <c r="L1152" s="6"/>
      <c r="M1152" s="11" t="s">
        <v>17</v>
      </c>
      <c r="N1152" s="6"/>
      <c r="O1152" s="6" t="s">
        <v>7912</v>
      </c>
      <c r="P1152" s="10" t="s">
        <v>15</v>
      </c>
      <c r="Q1152" s="6"/>
      <c r="R1152" s="6"/>
      <c r="S1152" s="6"/>
      <c r="T1152" s="6" t="s">
        <v>16</v>
      </c>
      <c r="U1152" s="9" t="s">
        <v>17</v>
      </c>
      <c r="AI1152" s="6" t="s">
        <v>7379</v>
      </c>
      <c r="AJ1152" s="12" t="s">
        <v>7913</v>
      </c>
      <c r="AL1152" s="13" t="s">
        <v>7381</v>
      </c>
    </row>
    <row r="1153">
      <c r="A1153" s="5" t="s">
        <v>7914</v>
      </c>
      <c r="B1153" s="5" t="s">
        <v>7915</v>
      </c>
      <c r="C1153" s="5" t="s">
        <v>7916</v>
      </c>
      <c r="D1153" s="5" t="s">
        <v>8</v>
      </c>
      <c r="E1153" s="6"/>
      <c r="F1153" s="6"/>
      <c r="G1153" s="7" t="s">
        <v>7917</v>
      </c>
      <c r="I1153" s="8" t="s">
        <v>7918</v>
      </c>
      <c r="J1153" s="9">
        <v>65.0</v>
      </c>
      <c r="K1153" s="10" t="s">
        <v>11</v>
      </c>
      <c r="L1153" s="6"/>
      <c r="M1153" s="11" t="s">
        <v>17</v>
      </c>
      <c r="N1153" s="6"/>
      <c r="O1153" s="6" t="s">
        <v>7919</v>
      </c>
      <c r="P1153" s="10" t="s">
        <v>15</v>
      </c>
      <c r="Q1153" s="6"/>
      <c r="R1153" s="6"/>
      <c r="S1153" s="6"/>
      <c r="T1153" s="6" t="s">
        <v>16</v>
      </c>
      <c r="U1153" s="9" t="s">
        <v>17</v>
      </c>
      <c r="AI1153" s="6" t="s">
        <v>7379</v>
      </c>
      <c r="AJ1153" s="12" t="s">
        <v>7920</v>
      </c>
      <c r="AL1153" s="13" t="s">
        <v>7381</v>
      </c>
    </row>
    <row r="1154">
      <c r="A1154" s="5" t="s">
        <v>7921</v>
      </c>
      <c r="B1154" s="5" t="s">
        <v>7922</v>
      </c>
      <c r="C1154" s="5" t="s">
        <v>7923</v>
      </c>
      <c r="D1154" s="5" t="s">
        <v>8</v>
      </c>
      <c r="E1154" s="6"/>
      <c r="F1154" s="6"/>
      <c r="G1154" s="7" t="s">
        <v>7924</v>
      </c>
      <c r="I1154" s="8" t="s">
        <v>7925</v>
      </c>
      <c r="J1154" s="9">
        <v>17.0</v>
      </c>
      <c r="K1154" s="10" t="s">
        <v>11</v>
      </c>
      <c r="L1154" s="6"/>
      <c r="M1154" s="11" t="s">
        <v>17</v>
      </c>
      <c r="N1154" s="6"/>
      <c r="O1154" s="6" t="s">
        <v>7926</v>
      </c>
      <c r="P1154" s="10" t="s">
        <v>15</v>
      </c>
      <c r="Q1154" s="6"/>
      <c r="R1154" s="6"/>
      <c r="S1154" s="6"/>
      <c r="T1154" s="6" t="s">
        <v>16</v>
      </c>
      <c r="U1154" s="9" t="s">
        <v>17</v>
      </c>
      <c r="AI1154" s="6" t="s">
        <v>7379</v>
      </c>
      <c r="AJ1154" s="12" t="s">
        <v>7927</v>
      </c>
      <c r="AL1154" s="13" t="s">
        <v>7381</v>
      </c>
    </row>
    <row r="1155">
      <c r="A1155" s="5" t="s">
        <v>7928</v>
      </c>
      <c r="B1155" s="5" t="s">
        <v>7929</v>
      </c>
      <c r="C1155" s="5" t="s">
        <v>7930</v>
      </c>
      <c r="D1155" s="5" t="s">
        <v>507</v>
      </c>
      <c r="E1155" s="6"/>
      <c r="F1155" s="6"/>
      <c r="G1155" s="7" t="s">
        <v>7931</v>
      </c>
      <c r="I1155" s="8" t="s">
        <v>7932</v>
      </c>
      <c r="J1155" s="9">
        <v>16.0</v>
      </c>
      <c r="K1155" s="10" t="s">
        <v>11</v>
      </c>
      <c r="L1155" s="6"/>
      <c r="M1155" s="11" t="s">
        <v>17</v>
      </c>
      <c r="N1155" s="6"/>
      <c r="O1155" s="6" t="s">
        <v>7933</v>
      </c>
      <c r="P1155" s="10" t="s">
        <v>15</v>
      </c>
      <c r="Q1155" s="6"/>
      <c r="R1155" s="6"/>
      <c r="S1155" s="6"/>
      <c r="T1155" s="6" t="s">
        <v>16</v>
      </c>
      <c r="U1155" s="9" t="s">
        <v>17</v>
      </c>
      <c r="AI1155" s="6" t="s">
        <v>7379</v>
      </c>
      <c r="AJ1155" s="12" t="s">
        <v>7934</v>
      </c>
      <c r="AL1155" s="13" t="s">
        <v>7381</v>
      </c>
    </row>
    <row r="1156">
      <c r="A1156" s="5" t="s">
        <v>7935</v>
      </c>
      <c r="B1156" s="5" t="s">
        <v>7936</v>
      </c>
      <c r="C1156" s="5" t="s">
        <v>7937</v>
      </c>
      <c r="D1156" s="5" t="s">
        <v>8</v>
      </c>
      <c r="E1156" s="6"/>
      <c r="F1156" s="6"/>
      <c r="G1156" s="7" t="s">
        <v>7938</v>
      </c>
      <c r="I1156" s="8" t="s">
        <v>7939</v>
      </c>
      <c r="J1156" s="9">
        <v>25.0</v>
      </c>
      <c r="K1156" s="10" t="s">
        <v>11</v>
      </c>
      <c r="L1156" s="6"/>
      <c r="M1156" s="11" t="s">
        <v>17</v>
      </c>
      <c r="N1156" s="6"/>
      <c r="O1156" s="6" t="s">
        <v>7940</v>
      </c>
      <c r="P1156" s="10" t="s">
        <v>15</v>
      </c>
      <c r="Q1156" s="6"/>
      <c r="R1156" s="6"/>
      <c r="S1156" s="6"/>
      <c r="T1156" s="6" t="s">
        <v>16</v>
      </c>
      <c r="U1156" s="9" t="s">
        <v>17</v>
      </c>
      <c r="AI1156" s="6" t="s">
        <v>7379</v>
      </c>
      <c r="AJ1156" s="12" t="s">
        <v>7941</v>
      </c>
      <c r="AL1156" s="13" t="s">
        <v>7381</v>
      </c>
    </row>
    <row r="1157">
      <c r="A1157" s="5" t="s">
        <v>7942</v>
      </c>
      <c r="B1157" s="5" t="s">
        <v>7943</v>
      </c>
      <c r="C1157" s="5" t="s">
        <v>7944</v>
      </c>
      <c r="D1157" s="5" t="s">
        <v>8</v>
      </c>
      <c r="E1157" s="6"/>
      <c r="F1157" s="6"/>
      <c r="G1157" s="7" t="s">
        <v>7945</v>
      </c>
      <c r="I1157" s="8" t="s">
        <v>7946</v>
      </c>
      <c r="J1157" s="9">
        <v>17.0</v>
      </c>
      <c r="K1157" s="10" t="s">
        <v>11</v>
      </c>
      <c r="L1157" s="6"/>
      <c r="M1157" s="11" t="s">
        <v>17</v>
      </c>
      <c r="N1157" s="6"/>
      <c r="O1157" s="6" t="s">
        <v>7947</v>
      </c>
      <c r="P1157" s="10" t="s">
        <v>15</v>
      </c>
      <c r="Q1157" s="6"/>
      <c r="R1157" s="6"/>
      <c r="S1157" s="6"/>
      <c r="T1157" s="6" t="s">
        <v>16</v>
      </c>
      <c r="U1157" s="9" t="s">
        <v>17</v>
      </c>
      <c r="AI1157" s="6" t="s">
        <v>7379</v>
      </c>
      <c r="AJ1157" s="12" t="s">
        <v>7948</v>
      </c>
      <c r="AL1157" s="13" t="s">
        <v>7381</v>
      </c>
    </row>
    <row r="1158">
      <c r="A1158" s="5" t="s">
        <v>7949</v>
      </c>
      <c r="B1158" s="5" t="s">
        <v>7950</v>
      </c>
      <c r="C1158" s="5" t="s">
        <v>7951</v>
      </c>
      <c r="D1158" s="17" t="s">
        <v>507</v>
      </c>
      <c r="E1158" s="6"/>
      <c r="F1158" s="6"/>
      <c r="G1158" s="7" t="s">
        <v>7952</v>
      </c>
      <c r="I1158" s="8" t="s">
        <v>7953</v>
      </c>
      <c r="J1158" s="9">
        <v>12.0</v>
      </c>
      <c r="K1158" s="10" t="s">
        <v>11</v>
      </c>
      <c r="L1158" s="6"/>
      <c r="M1158" s="11" t="s">
        <v>17</v>
      </c>
      <c r="N1158" s="6"/>
      <c r="O1158" s="6" t="s">
        <v>7954</v>
      </c>
      <c r="P1158" s="10" t="s">
        <v>15</v>
      </c>
      <c r="Q1158" s="6"/>
      <c r="R1158" s="6"/>
      <c r="S1158" s="6"/>
      <c r="T1158" s="6" t="s">
        <v>16</v>
      </c>
      <c r="U1158" s="9" t="s">
        <v>17</v>
      </c>
      <c r="AI1158" s="6" t="s">
        <v>7379</v>
      </c>
      <c r="AJ1158" s="12" t="s">
        <v>7955</v>
      </c>
      <c r="AL1158" s="13" t="s">
        <v>7381</v>
      </c>
    </row>
    <row r="1159">
      <c r="A1159" s="5" t="s">
        <v>7956</v>
      </c>
      <c r="B1159" s="5" t="s">
        <v>7957</v>
      </c>
      <c r="C1159" s="5" t="s">
        <v>7958</v>
      </c>
      <c r="D1159" s="5" t="s">
        <v>507</v>
      </c>
      <c r="E1159" s="6"/>
      <c r="F1159" s="6"/>
      <c r="G1159" s="7" t="s">
        <v>7959</v>
      </c>
      <c r="I1159" s="8" t="s">
        <v>7960</v>
      </c>
      <c r="J1159" s="9">
        <v>22.3</v>
      </c>
      <c r="K1159" s="10" t="s">
        <v>11</v>
      </c>
      <c r="L1159" s="6"/>
      <c r="M1159" s="11" t="s">
        <v>17</v>
      </c>
      <c r="N1159" s="6"/>
      <c r="O1159" s="6" t="s">
        <v>7961</v>
      </c>
      <c r="P1159" s="10" t="s">
        <v>15</v>
      </c>
      <c r="Q1159" s="6"/>
      <c r="R1159" s="6"/>
      <c r="S1159" s="6"/>
      <c r="T1159" s="6" t="s">
        <v>16</v>
      </c>
      <c r="U1159" s="9" t="s">
        <v>17</v>
      </c>
      <c r="AI1159" s="6" t="s">
        <v>7379</v>
      </c>
      <c r="AJ1159" s="12" t="s">
        <v>7962</v>
      </c>
      <c r="AL1159" s="13" t="s">
        <v>7381</v>
      </c>
    </row>
    <row r="1160">
      <c r="A1160" s="5" t="s">
        <v>7963</v>
      </c>
      <c r="B1160" s="5" t="s">
        <v>7964</v>
      </c>
      <c r="C1160" s="5" t="s">
        <v>7965</v>
      </c>
      <c r="D1160" s="5" t="s">
        <v>507</v>
      </c>
      <c r="E1160" s="6"/>
      <c r="F1160" s="6"/>
      <c r="G1160" s="7" t="s">
        <v>7966</v>
      </c>
      <c r="I1160" s="8" t="s">
        <v>7967</v>
      </c>
      <c r="J1160" s="9">
        <v>20.0</v>
      </c>
      <c r="K1160" s="10" t="s">
        <v>11</v>
      </c>
      <c r="L1160" s="6"/>
      <c r="M1160" s="11" t="s">
        <v>17</v>
      </c>
      <c r="N1160" s="6"/>
      <c r="O1160" s="6" t="s">
        <v>7968</v>
      </c>
      <c r="P1160" s="10" t="s">
        <v>15</v>
      </c>
      <c r="Q1160" s="6"/>
      <c r="R1160" s="6"/>
      <c r="S1160" s="6"/>
      <c r="T1160" s="6" t="s">
        <v>16</v>
      </c>
      <c r="U1160" s="9" t="s">
        <v>17</v>
      </c>
      <c r="AI1160" s="6" t="s">
        <v>7379</v>
      </c>
      <c r="AJ1160" s="12" t="s">
        <v>7969</v>
      </c>
      <c r="AL1160" s="13" t="s">
        <v>7381</v>
      </c>
    </row>
    <row r="1161">
      <c r="A1161" s="5" t="s">
        <v>7970</v>
      </c>
      <c r="B1161" s="5" t="s">
        <v>7971</v>
      </c>
      <c r="C1161" s="5" t="s">
        <v>7965</v>
      </c>
      <c r="D1161" s="5" t="s">
        <v>8</v>
      </c>
      <c r="E1161" s="6"/>
      <c r="F1161" s="6"/>
      <c r="G1161" s="7" t="s">
        <v>7972</v>
      </c>
      <c r="I1161" s="8" t="s">
        <v>7973</v>
      </c>
      <c r="J1161" s="9">
        <v>19.0</v>
      </c>
      <c r="K1161" s="10" t="s">
        <v>11</v>
      </c>
      <c r="L1161" s="6"/>
      <c r="M1161" s="11" t="s">
        <v>17</v>
      </c>
      <c r="N1161" s="6"/>
      <c r="O1161" s="6" t="s">
        <v>7974</v>
      </c>
      <c r="P1161" s="10" t="s">
        <v>15</v>
      </c>
      <c r="Q1161" s="6"/>
      <c r="R1161" s="6"/>
      <c r="S1161" s="6"/>
      <c r="T1161" s="6" t="s">
        <v>16</v>
      </c>
      <c r="U1161" s="9" t="s">
        <v>17</v>
      </c>
      <c r="AI1161" s="6" t="s">
        <v>7379</v>
      </c>
      <c r="AJ1161" s="12" t="s">
        <v>7969</v>
      </c>
      <c r="AL1161" s="13" t="s">
        <v>7381</v>
      </c>
    </row>
    <row r="1162">
      <c r="A1162" s="5" t="s">
        <v>7975</v>
      </c>
      <c r="B1162" s="5" t="s">
        <v>7976</v>
      </c>
      <c r="C1162" s="5" t="s">
        <v>7977</v>
      </c>
      <c r="D1162" s="5" t="s">
        <v>507</v>
      </c>
      <c r="E1162" s="6"/>
      <c r="F1162" s="6"/>
      <c r="G1162" s="7" t="s">
        <v>7978</v>
      </c>
      <c r="I1162" s="8" t="s">
        <v>7979</v>
      </c>
      <c r="J1162" s="9">
        <v>25.0</v>
      </c>
      <c r="K1162" s="10" t="s">
        <v>11</v>
      </c>
      <c r="L1162" s="6"/>
      <c r="M1162" s="11" t="s">
        <v>17</v>
      </c>
      <c r="N1162" s="6"/>
      <c r="O1162" s="6" t="s">
        <v>7980</v>
      </c>
      <c r="P1162" s="10" t="s">
        <v>15</v>
      </c>
      <c r="Q1162" s="6"/>
      <c r="R1162" s="6"/>
      <c r="S1162" s="6"/>
      <c r="T1162" s="6" t="s">
        <v>16</v>
      </c>
      <c r="U1162" s="9" t="s">
        <v>17</v>
      </c>
      <c r="AI1162" s="6" t="s">
        <v>7379</v>
      </c>
      <c r="AJ1162" s="12" t="s">
        <v>7981</v>
      </c>
      <c r="AL1162" s="13" t="s">
        <v>7381</v>
      </c>
    </row>
    <row r="1163">
      <c r="A1163" s="5" t="s">
        <v>7982</v>
      </c>
      <c r="B1163" s="5" t="s">
        <v>7983</v>
      </c>
      <c r="C1163" s="5" t="s">
        <v>7984</v>
      </c>
      <c r="D1163" s="5" t="s">
        <v>507</v>
      </c>
      <c r="E1163" s="6"/>
      <c r="F1163" s="6"/>
      <c r="G1163" s="7" t="s">
        <v>7985</v>
      </c>
      <c r="I1163" s="8" t="s">
        <v>7986</v>
      </c>
      <c r="J1163" s="9">
        <v>18.0</v>
      </c>
      <c r="K1163" s="10" t="s">
        <v>11</v>
      </c>
      <c r="L1163" s="6"/>
      <c r="M1163" s="11" t="s">
        <v>17</v>
      </c>
      <c r="N1163" s="6"/>
      <c r="O1163" s="6" t="s">
        <v>7987</v>
      </c>
      <c r="P1163" s="10" t="s">
        <v>15</v>
      </c>
      <c r="Q1163" s="6"/>
      <c r="R1163" s="6"/>
      <c r="S1163" s="6"/>
      <c r="T1163" s="6" t="s">
        <v>16</v>
      </c>
      <c r="U1163" s="9" t="s">
        <v>17</v>
      </c>
      <c r="AI1163" s="6" t="s">
        <v>7379</v>
      </c>
      <c r="AJ1163" s="12" t="s">
        <v>7988</v>
      </c>
      <c r="AL1163" s="13" t="s">
        <v>7381</v>
      </c>
    </row>
    <row r="1164">
      <c r="A1164" s="5" t="s">
        <v>7989</v>
      </c>
      <c r="B1164" s="5" t="s">
        <v>7990</v>
      </c>
      <c r="C1164" s="5" t="s">
        <v>7991</v>
      </c>
      <c r="D1164" s="5" t="s">
        <v>8</v>
      </c>
      <c r="E1164" s="6"/>
      <c r="F1164" s="6"/>
      <c r="G1164" s="7" t="s">
        <v>7992</v>
      </c>
      <c r="I1164" s="8" t="s">
        <v>7993</v>
      </c>
      <c r="J1164" s="9">
        <v>20.0</v>
      </c>
      <c r="K1164" s="10" t="s">
        <v>11</v>
      </c>
      <c r="L1164" s="6"/>
      <c r="M1164" s="11" t="s">
        <v>17</v>
      </c>
      <c r="N1164" s="6"/>
      <c r="O1164" s="6" t="s">
        <v>7994</v>
      </c>
      <c r="P1164" s="10" t="s">
        <v>15</v>
      </c>
      <c r="Q1164" s="6"/>
      <c r="R1164" s="6"/>
      <c r="S1164" s="6"/>
      <c r="T1164" s="6" t="s">
        <v>16</v>
      </c>
      <c r="U1164" s="9" t="s">
        <v>17</v>
      </c>
      <c r="AI1164" s="6" t="s">
        <v>7379</v>
      </c>
      <c r="AJ1164" s="12" t="s">
        <v>7995</v>
      </c>
      <c r="AL1164" s="13" t="s">
        <v>7381</v>
      </c>
    </row>
    <row r="1165">
      <c r="A1165" s="5" t="s">
        <v>7996</v>
      </c>
      <c r="B1165" s="5" t="s">
        <v>7997</v>
      </c>
      <c r="C1165" s="5" t="s">
        <v>7998</v>
      </c>
      <c r="D1165" s="5" t="s">
        <v>507</v>
      </c>
      <c r="E1165" s="6"/>
      <c r="F1165" s="6"/>
      <c r="G1165" s="7" t="s">
        <v>7999</v>
      </c>
      <c r="I1165" s="8" t="s">
        <v>8000</v>
      </c>
      <c r="J1165" s="9">
        <v>18.0</v>
      </c>
      <c r="K1165" s="10" t="s">
        <v>11</v>
      </c>
      <c r="L1165" s="6"/>
      <c r="M1165" s="11" t="s">
        <v>17</v>
      </c>
      <c r="N1165" s="6"/>
      <c r="O1165" s="6" t="s">
        <v>8001</v>
      </c>
      <c r="P1165" s="10" t="s">
        <v>15</v>
      </c>
      <c r="Q1165" s="6"/>
      <c r="R1165" s="6"/>
      <c r="S1165" s="6"/>
      <c r="T1165" s="6" t="s">
        <v>16</v>
      </c>
      <c r="U1165" s="9" t="s">
        <v>17</v>
      </c>
      <c r="AI1165" s="6" t="s">
        <v>7379</v>
      </c>
      <c r="AJ1165" s="12" t="s">
        <v>8002</v>
      </c>
      <c r="AL1165" s="13" t="s">
        <v>7381</v>
      </c>
    </row>
    <row r="1166">
      <c r="A1166" s="5" t="s">
        <v>8003</v>
      </c>
      <c r="B1166" s="5" t="s">
        <v>8004</v>
      </c>
      <c r="C1166" s="5" t="s">
        <v>8005</v>
      </c>
      <c r="D1166" s="5" t="s">
        <v>8</v>
      </c>
      <c r="E1166" s="6"/>
      <c r="F1166" s="6"/>
      <c r="G1166" s="7" t="s">
        <v>8006</v>
      </c>
      <c r="I1166" s="8" t="s">
        <v>8007</v>
      </c>
      <c r="J1166" s="9">
        <v>20.0</v>
      </c>
      <c r="K1166" s="10" t="s">
        <v>11</v>
      </c>
      <c r="L1166" s="6"/>
      <c r="M1166" s="11" t="s">
        <v>17</v>
      </c>
      <c r="N1166" s="6"/>
      <c r="O1166" s="6" t="s">
        <v>8008</v>
      </c>
      <c r="P1166" s="10" t="s">
        <v>15</v>
      </c>
      <c r="Q1166" s="6"/>
      <c r="R1166" s="6"/>
      <c r="S1166" s="6"/>
      <c r="T1166" s="6" t="s">
        <v>16</v>
      </c>
      <c r="U1166" s="9" t="s">
        <v>17</v>
      </c>
      <c r="AI1166" s="6" t="s">
        <v>7379</v>
      </c>
      <c r="AJ1166" s="12" t="s">
        <v>8009</v>
      </c>
      <c r="AL1166" s="13" t="s">
        <v>7381</v>
      </c>
    </row>
    <row r="1167">
      <c r="A1167" s="5" t="s">
        <v>8010</v>
      </c>
      <c r="B1167" s="5" t="s">
        <v>8011</v>
      </c>
      <c r="C1167" s="5" t="s">
        <v>8012</v>
      </c>
      <c r="D1167" s="5" t="s">
        <v>8</v>
      </c>
      <c r="E1167" s="6"/>
      <c r="F1167" s="6"/>
      <c r="G1167" s="7" t="s">
        <v>8013</v>
      </c>
      <c r="I1167" s="8" t="s">
        <v>8014</v>
      </c>
      <c r="J1167" s="9">
        <v>35.0</v>
      </c>
      <c r="K1167" s="10" t="s">
        <v>11</v>
      </c>
      <c r="L1167" s="6"/>
      <c r="M1167" s="11" t="s">
        <v>17</v>
      </c>
      <c r="N1167" s="6"/>
      <c r="O1167" s="6" t="s">
        <v>8015</v>
      </c>
      <c r="P1167" s="10" t="s">
        <v>15</v>
      </c>
      <c r="Q1167" s="6"/>
      <c r="R1167" s="6"/>
      <c r="S1167" s="6"/>
      <c r="T1167" s="6" t="s">
        <v>16</v>
      </c>
      <c r="U1167" s="9" t="s">
        <v>17</v>
      </c>
      <c r="AI1167" s="6" t="s">
        <v>7379</v>
      </c>
      <c r="AJ1167" s="12" t="s">
        <v>8016</v>
      </c>
      <c r="AL1167" s="13" t="s">
        <v>7381</v>
      </c>
    </row>
    <row r="1168">
      <c r="A1168" s="5" t="s">
        <v>8017</v>
      </c>
      <c r="B1168" s="5" t="s">
        <v>8018</v>
      </c>
      <c r="C1168" s="5" t="s">
        <v>8012</v>
      </c>
      <c r="D1168" s="5" t="s">
        <v>8</v>
      </c>
      <c r="E1168" s="6"/>
      <c r="F1168" s="6"/>
      <c r="G1168" s="7" t="s">
        <v>8019</v>
      </c>
      <c r="I1168" s="8" t="s">
        <v>8020</v>
      </c>
      <c r="J1168" s="9">
        <v>27.0</v>
      </c>
      <c r="K1168" s="10" t="s">
        <v>11</v>
      </c>
      <c r="L1168" s="6"/>
      <c r="M1168" s="11" t="s">
        <v>17</v>
      </c>
      <c r="N1168" s="6"/>
      <c r="O1168" s="6" t="s">
        <v>8021</v>
      </c>
      <c r="P1168" s="10" t="s">
        <v>15</v>
      </c>
      <c r="Q1168" s="6"/>
      <c r="R1168" s="6"/>
      <c r="S1168" s="6"/>
      <c r="T1168" s="6" t="s">
        <v>16</v>
      </c>
      <c r="U1168" s="9" t="s">
        <v>17</v>
      </c>
      <c r="AI1168" s="6" t="s">
        <v>7379</v>
      </c>
      <c r="AJ1168" s="12" t="s">
        <v>8016</v>
      </c>
      <c r="AL1168" s="13" t="s">
        <v>7381</v>
      </c>
    </row>
    <row r="1169">
      <c r="A1169" s="5" t="s">
        <v>8022</v>
      </c>
      <c r="B1169" s="5" t="s">
        <v>8023</v>
      </c>
      <c r="C1169" s="5" t="s">
        <v>8012</v>
      </c>
      <c r="D1169" s="5" t="s">
        <v>8</v>
      </c>
      <c r="E1169" s="6"/>
      <c r="F1169" s="6"/>
      <c r="G1169" s="7" t="s">
        <v>8024</v>
      </c>
      <c r="I1169" s="8" t="s">
        <v>8025</v>
      </c>
      <c r="J1169" s="9">
        <v>25.0</v>
      </c>
      <c r="K1169" s="10" t="s">
        <v>11</v>
      </c>
      <c r="L1169" s="6"/>
      <c r="M1169" s="11" t="s">
        <v>17</v>
      </c>
      <c r="N1169" s="6"/>
      <c r="O1169" s="6" t="s">
        <v>8026</v>
      </c>
      <c r="P1169" s="10" t="s">
        <v>15</v>
      </c>
      <c r="Q1169" s="6"/>
      <c r="R1169" s="6"/>
      <c r="S1169" s="6"/>
      <c r="T1169" s="6" t="s">
        <v>16</v>
      </c>
      <c r="U1169" s="9" t="s">
        <v>17</v>
      </c>
      <c r="AI1169" s="6" t="s">
        <v>7379</v>
      </c>
      <c r="AJ1169" s="12" t="s">
        <v>8016</v>
      </c>
      <c r="AL1169" s="13" t="s">
        <v>7381</v>
      </c>
    </row>
    <row r="1170">
      <c r="A1170" s="5" t="s">
        <v>8027</v>
      </c>
      <c r="B1170" s="5" t="s">
        <v>8028</v>
      </c>
      <c r="C1170" s="5" t="s">
        <v>8029</v>
      </c>
      <c r="D1170" s="5" t="s">
        <v>507</v>
      </c>
      <c r="E1170" s="6"/>
      <c r="F1170" s="6"/>
      <c r="G1170" s="7" t="s">
        <v>8030</v>
      </c>
      <c r="I1170" s="8" t="s">
        <v>8031</v>
      </c>
      <c r="J1170" s="9">
        <v>49.0</v>
      </c>
      <c r="K1170" s="10" t="s">
        <v>11</v>
      </c>
      <c r="L1170" s="6"/>
      <c r="M1170" s="11" t="s">
        <v>17</v>
      </c>
      <c r="N1170" s="6"/>
      <c r="O1170" s="6" t="s">
        <v>8032</v>
      </c>
      <c r="P1170" s="10" t="s">
        <v>15</v>
      </c>
      <c r="Q1170" s="6"/>
      <c r="R1170" s="6"/>
      <c r="S1170" s="6"/>
      <c r="T1170" s="6" t="s">
        <v>16</v>
      </c>
      <c r="U1170" s="9" t="s">
        <v>17</v>
      </c>
      <c r="AI1170" s="6" t="s">
        <v>7379</v>
      </c>
      <c r="AJ1170" s="12" t="s">
        <v>8033</v>
      </c>
      <c r="AL1170" s="13" t="s">
        <v>7381</v>
      </c>
    </row>
    <row r="1171">
      <c r="A1171" s="5" t="s">
        <v>8034</v>
      </c>
      <c r="B1171" s="5" t="s">
        <v>8035</v>
      </c>
      <c r="C1171" s="5" t="s">
        <v>8036</v>
      </c>
      <c r="D1171" s="5" t="s">
        <v>8</v>
      </c>
      <c r="E1171" s="6"/>
      <c r="F1171" s="6"/>
      <c r="G1171" s="7" t="s">
        <v>8037</v>
      </c>
      <c r="I1171" s="8" t="s">
        <v>8038</v>
      </c>
      <c r="J1171" s="9">
        <v>24.5</v>
      </c>
      <c r="K1171" s="10" t="s">
        <v>11</v>
      </c>
      <c r="L1171" s="6"/>
      <c r="M1171" s="11" t="s">
        <v>17</v>
      </c>
      <c r="N1171" s="6"/>
      <c r="O1171" s="6" t="s">
        <v>8039</v>
      </c>
      <c r="P1171" s="10" t="s">
        <v>15</v>
      </c>
      <c r="Q1171" s="6"/>
      <c r="R1171" s="6"/>
      <c r="S1171" s="6"/>
      <c r="T1171" s="6" t="s">
        <v>16</v>
      </c>
      <c r="U1171" s="9" t="s">
        <v>17</v>
      </c>
      <c r="AI1171" s="6" t="s">
        <v>7379</v>
      </c>
      <c r="AJ1171" s="12" t="s">
        <v>8040</v>
      </c>
      <c r="AL1171" s="13" t="s">
        <v>7381</v>
      </c>
    </row>
    <row r="1172">
      <c r="A1172" s="5" t="s">
        <v>8041</v>
      </c>
      <c r="B1172" s="5" t="s">
        <v>8042</v>
      </c>
      <c r="C1172" s="5" t="s">
        <v>8043</v>
      </c>
      <c r="D1172" s="5" t="s">
        <v>507</v>
      </c>
      <c r="E1172" s="6"/>
      <c r="F1172" s="6"/>
      <c r="G1172" s="7" t="s">
        <v>8044</v>
      </c>
      <c r="I1172" s="8" t="s">
        <v>8045</v>
      </c>
      <c r="J1172" s="9">
        <v>10.4</v>
      </c>
      <c r="K1172" s="10" t="s">
        <v>11</v>
      </c>
      <c r="L1172" s="6"/>
      <c r="M1172" s="11" t="s">
        <v>17</v>
      </c>
      <c r="N1172" s="6"/>
      <c r="O1172" s="6" t="s">
        <v>8046</v>
      </c>
      <c r="P1172" s="10" t="s">
        <v>15</v>
      </c>
      <c r="Q1172" s="6"/>
      <c r="R1172" s="6"/>
      <c r="S1172" s="6"/>
      <c r="T1172" s="6" t="s">
        <v>16</v>
      </c>
      <c r="U1172" s="9" t="s">
        <v>17</v>
      </c>
      <c r="AI1172" s="6" t="s">
        <v>7379</v>
      </c>
      <c r="AJ1172" s="12" t="s">
        <v>8047</v>
      </c>
      <c r="AL1172" s="13" t="s">
        <v>7381</v>
      </c>
    </row>
    <row r="1173">
      <c r="A1173" s="5" t="s">
        <v>8048</v>
      </c>
      <c r="B1173" s="5" t="s">
        <v>8049</v>
      </c>
      <c r="C1173" s="5" t="s">
        <v>8050</v>
      </c>
      <c r="D1173" s="5" t="s">
        <v>507</v>
      </c>
      <c r="E1173" s="6"/>
      <c r="F1173" s="6"/>
      <c r="G1173" s="7" t="s">
        <v>8051</v>
      </c>
      <c r="I1173" s="8" t="s">
        <v>8052</v>
      </c>
      <c r="J1173" s="9">
        <v>20.0</v>
      </c>
      <c r="K1173" s="10" t="s">
        <v>11</v>
      </c>
      <c r="L1173" s="6"/>
      <c r="M1173" s="11" t="s">
        <v>17</v>
      </c>
      <c r="N1173" s="6"/>
      <c r="O1173" s="6" t="s">
        <v>8053</v>
      </c>
      <c r="P1173" s="10" t="s">
        <v>15</v>
      </c>
      <c r="Q1173" s="6"/>
      <c r="R1173" s="6"/>
      <c r="S1173" s="6"/>
      <c r="T1173" s="6" t="s">
        <v>16</v>
      </c>
      <c r="U1173" s="9" t="s">
        <v>17</v>
      </c>
      <c r="AI1173" s="6" t="s">
        <v>7379</v>
      </c>
      <c r="AJ1173" s="12" t="s">
        <v>8054</v>
      </c>
      <c r="AL1173" s="13" t="s">
        <v>7381</v>
      </c>
    </row>
    <row r="1174">
      <c r="A1174" s="5" t="s">
        <v>8055</v>
      </c>
      <c r="B1174" s="5" t="s">
        <v>8056</v>
      </c>
      <c r="C1174" s="5" t="s">
        <v>8057</v>
      </c>
      <c r="D1174" s="5" t="s">
        <v>507</v>
      </c>
      <c r="E1174" s="6"/>
      <c r="F1174" s="6"/>
      <c r="G1174" s="7" t="s">
        <v>8058</v>
      </c>
      <c r="I1174" s="8" t="s">
        <v>8059</v>
      </c>
      <c r="J1174" s="9">
        <v>20.0</v>
      </c>
      <c r="K1174" s="10" t="s">
        <v>11</v>
      </c>
      <c r="L1174" s="6"/>
      <c r="M1174" s="11" t="s">
        <v>17</v>
      </c>
      <c r="N1174" s="6"/>
      <c r="O1174" s="6" t="s">
        <v>8060</v>
      </c>
      <c r="P1174" s="10" t="s">
        <v>15</v>
      </c>
      <c r="Q1174" s="6"/>
      <c r="R1174" s="6"/>
      <c r="S1174" s="6"/>
      <c r="T1174" s="6" t="s">
        <v>16</v>
      </c>
      <c r="U1174" s="9" t="s">
        <v>17</v>
      </c>
      <c r="AI1174" s="6" t="s">
        <v>7379</v>
      </c>
      <c r="AJ1174" s="12" t="s">
        <v>8061</v>
      </c>
      <c r="AL1174" s="13" t="s">
        <v>7381</v>
      </c>
    </row>
    <row r="1175">
      <c r="A1175" s="5" t="s">
        <v>8062</v>
      </c>
      <c r="B1175" s="5" t="s">
        <v>8063</v>
      </c>
      <c r="C1175" s="5" t="s">
        <v>8064</v>
      </c>
      <c r="D1175" s="5" t="s">
        <v>507</v>
      </c>
      <c r="E1175" s="6"/>
      <c r="F1175" s="6"/>
      <c r="G1175" s="7" t="s">
        <v>8065</v>
      </c>
      <c r="I1175" s="8" t="s">
        <v>8066</v>
      </c>
      <c r="J1175" s="9">
        <v>18.0</v>
      </c>
      <c r="K1175" s="10" t="s">
        <v>11</v>
      </c>
      <c r="L1175" s="6"/>
      <c r="M1175" s="11" t="s">
        <v>17</v>
      </c>
      <c r="N1175" s="6"/>
      <c r="O1175" s="6" t="s">
        <v>8067</v>
      </c>
      <c r="P1175" s="10" t="s">
        <v>15</v>
      </c>
      <c r="Q1175" s="6"/>
      <c r="R1175" s="6"/>
      <c r="S1175" s="6"/>
      <c r="T1175" s="6" t="s">
        <v>16</v>
      </c>
      <c r="U1175" s="9" t="s">
        <v>17</v>
      </c>
      <c r="AI1175" s="6" t="s">
        <v>7379</v>
      </c>
      <c r="AJ1175" s="12" t="s">
        <v>8068</v>
      </c>
      <c r="AL1175" s="13" t="s">
        <v>7381</v>
      </c>
    </row>
    <row r="1176">
      <c r="A1176" s="5" t="s">
        <v>8069</v>
      </c>
      <c r="B1176" s="5" t="s">
        <v>8070</v>
      </c>
      <c r="C1176" s="5" t="s">
        <v>8071</v>
      </c>
      <c r="D1176" s="5" t="s">
        <v>8</v>
      </c>
      <c r="E1176" s="6"/>
      <c r="F1176" s="6"/>
      <c r="G1176" s="7" t="s">
        <v>8072</v>
      </c>
      <c r="I1176" s="8" t="s">
        <v>8073</v>
      </c>
      <c r="J1176" s="9">
        <v>19.0</v>
      </c>
      <c r="K1176" s="10" t="s">
        <v>11</v>
      </c>
      <c r="L1176" s="6"/>
      <c r="M1176" s="11" t="s">
        <v>17</v>
      </c>
      <c r="N1176" s="6"/>
      <c r="O1176" s="6" t="s">
        <v>8074</v>
      </c>
      <c r="P1176" s="10" t="s">
        <v>15</v>
      </c>
      <c r="Q1176" s="6"/>
      <c r="R1176" s="6"/>
      <c r="S1176" s="6"/>
      <c r="T1176" s="6" t="s">
        <v>16</v>
      </c>
      <c r="U1176" s="9" t="s">
        <v>17</v>
      </c>
      <c r="AI1176" s="6" t="s">
        <v>7379</v>
      </c>
      <c r="AJ1176" s="12" t="s">
        <v>8075</v>
      </c>
      <c r="AL1176" s="13" t="s">
        <v>7381</v>
      </c>
    </row>
    <row r="1177">
      <c r="A1177" s="5" t="s">
        <v>8076</v>
      </c>
      <c r="B1177" s="5" t="s">
        <v>8077</v>
      </c>
      <c r="C1177" s="5" t="s">
        <v>8078</v>
      </c>
      <c r="D1177" s="5" t="s">
        <v>507</v>
      </c>
      <c r="E1177" s="6"/>
      <c r="F1177" s="6"/>
      <c r="G1177" s="7" t="s">
        <v>8079</v>
      </c>
      <c r="I1177" s="8" t="s">
        <v>8080</v>
      </c>
      <c r="J1177" s="9">
        <v>14.9</v>
      </c>
      <c r="K1177" s="10" t="s">
        <v>11</v>
      </c>
      <c r="L1177" s="6"/>
      <c r="M1177" s="11" t="s">
        <v>17</v>
      </c>
      <c r="N1177" s="6"/>
      <c r="O1177" s="6" t="s">
        <v>8081</v>
      </c>
      <c r="P1177" s="10" t="s">
        <v>15</v>
      </c>
      <c r="Q1177" s="6"/>
      <c r="R1177" s="6"/>
      <c r="S1177" s="6"/>
      <c r="T1177" s="6" t="s">
        <v>16</v>
      </c>
      <c r="U1177" s="9" t="s">
        <v>17</v>
      </c>
      <c r="AI1177" s="6" t="s">
        <v>7379</v>
      </c>
      <c r="AJ1177" s="12" t="s">
        <v>8082</v>
      </c>
      <c r="AL1177" s="13" t="s">
        <v>7381</v>
      </c>
    </row>
    <row r="1178">
      <c r="A1178" s="5" t="s">
        <v>8083</v>
      </c>
      <c r="B1178" s="5" t="s">
        <v>8084</v>
      </c>
      <c r="C1178" s="5" t="s">
        <v>8085</v>
      </c>
      <c r="D1178" s="5" t="s">
        <v>8</v>
      </c>
      <c r="E1178" s="6"/>
      <c r="F1178" s="6"/>
      <c r="G1178" s="7" t="s">
        <v>8086</v>
      </c>
      <c r="I1178" s="8" t="s">
        <v>8087</v>
      </c>
      <c r="J1178" s="9">
        <v>23.0</v>
      </c>
      <c r="K1178" s="10" t="s">
        <v>11</v>
      </c>
      <c r="L1178" s="6"/>
      <c r="M1178" s="11" t="s">
        <v>17</v>
      </c>
      <c r="N1178" s="6"/>
      <c r="O1178" s="6" t="s">
        <v>8088</v>
      </c>
      <c r="P1178" s="10" t="s">
        <v>15</v>
      </c>
      <c r="Q1178" s="6"/>
      <c r="R1178" s="6"/>
      <c r="S1178" s="6"/>
      <c r="T1178" s="6" t="s">
        <v>16</v>
      </c>
      <c r="U1178" s="9" t="s">
        <v>17</v>
      </c>
      <c r="AI1178" s="6" t="s">
        <v>7379</v>
      </c>
      <c r="AJ1178" s="12" t="s">
        <v>8089</v>
      </c>
      <c r="AL1178" s="13" t="s">
        <v>7381</v>
      </c>
    </row>
    <row r="1179">
      <c r="A1179" s="5" t="s">
        <v>8090</v>
      </c>
      <c r="B1179" s="5" t="s">
        <v>8091</v>
      </c>
      <c r="C1179" s="5" t="s">
        <v>8092</v>
      </c>
      <c r="D1179" s="5" t="s">
        <v>507</v>
      </c>
      <c r="E1179" s="6"/>
      <c r="F1179" s="6"/>
      <c r="G1179" s="7" t="s">
        <v>8093</v>
      </c>
      <c r="I1179" s="8" t="s">
        <v>8094</v>
      </c>
      <c r="J1179" s="9">
        <v>31.9</v>
      </c>
      <c r="K1179" s="10" t="s">
        <v>11</v>
      </c>
      <c r="L1179" s="6"/>
      <c r="M1179" s="11" t="s">
        <v>17</v>
      </c>
      <c r="N1179" s="6"/>
      <c r="O1179" s="6" t="s">
        <v>8095</v>
      </c>
      <c r="P1179" s="10" t="s">
        <v>15</v>
      </c>
      <c r="Q1179" s="6"/>
      <c r="R1179" s="6"/>
      <c r="S1179" s="6"/>
      <c r="T1179" s="6" t="s">
        <v>16</v>
      </c>
      <c r="U1179" s="9" t="s">
        <v>17</v>
      </c>
      <c r="AI1179" s="6" t="s">
        <v>7379</v>
      </c>
      <c r="AJ1179" s="12" t="s">
        <v>8096</v>
      </c>
      <c r="AL1179" s="13" t="s">
        <v>7381</v>
      </c>
    </row>
    <row r="1180">
      <c r="A1180" s="5" t="s">
        <v>8097</v>
      </c>
      <c r="B1180" s="5" t="s">
        <v>8098</v>
      </c>
      <c r="C1180" s="5" t="s">
        <v>8099</v>
      </c>
      <c r="D1180" s="5" t="s">
        <v>8</v>
      </c>
      <c r="E1180" s="6"/>
      <c r="F1180" s="6"/>
      <c r="G1180" s="7" t="s">
        <v>8100</v>
      </c>
      <c r="I1180" s="8" t="s">
        <v>8101</v>
      </c>
      <c r="J1180" s="9">
        <v>24.0</v>
      </c>
      <c r="K1180" s="10" t="s">
        <v>11</v>
      </c>
      <c r="L1180" s="6"/>
      <c r="M1180" s="11" t="s">
        <v>17</v>
      </c>
      <c r="N1180" s="6"/>
      <c r="O1180" s="6" t="s">
        <v>8102</v>
      </c>
      <c r="P1180" s="10" t="s">
        <v>15</v>
      </c>
      <c r="Q1180" s="6"/>
      <c r="R1180" s="6"/>
      <c r="S1180" s="6"/>
      <c r="T1180" s="6" t="s">
        <v>16</v>
      </c>
      <c r="U1180" s="9" t="s">
        <v>17</v>
      </c>
      <c r="AI1180" s="6" t="s">
        <v>7379</v>
      </c>
      <c r="AJ1180" s="12" t="s">
        <v>8103</v>
      </c>
      <c r="AL1180" s="13" t="s">
        <v>7381</v>
      </c>
    </row>
    <row r="1181">
      <c r="A1181" s="5" t="s">
        <v>8104</v>
      </c>
      <c r="B1181" s="5" t="s">
        <v>8105</v>
      </c>
      <c r="C1181" s="5" t="s">
        <v>8106</v>
      </c>
      <c r="D1181" s="5" t="s">
        <v>8</v>
      </c>
      <c r="E1181" s="6"/>
      <c r="F1181" s="6"/>
      <c r="G1181" s="7" t="s">
        <v>8107</v>
      </c>
      <c r="I1181" s="8" t="s">
        <v>8108</v>
      </c>
      <c r="J1181" s="9">
        <v>27.0</v>
      </c>
      <c r="K1181" s="10" t="s">
        <v>11</v>
      </c>
      <c r="L1181" s="6"/>
      <c r="M1181" s="11" t="s">
        <v>17</v>
      </c>
      <c r="N1181" s="6"/>
      <c r="O1181" s="6" t="s">
        <v>8109</v>
      </c>
      <c r="P1181" s="10" t="s">
        <v>15</v>
      </c>
      <c r="Q1181" s="6"/>
      <c r="R1181" s="6"/>
      <c r="S1181" s="6"/>
      <c r="T1181" s="6" t="s">
        <v>16</v>
      </c>
      <c r="U1181" s="9" t="s">
        <v>17</v>
      </c>
      <c r="AI1181" s="6" t="s">
        <v>7379</v>
      </c>
      <c r="AJ1181" s="12" t="s">
        <v>8110</v>
      </c>
      <c r="AL1181" s="13" t="s">
        <v>7381</v>
      </c>
    </row>
    <row r="1182">
      <c r="A1182" s="5" t="s">
        <v>8111</v>
      </c>
      <c r="B1182" s="5" t="s">
        <v>8112</v>
      </c>
      <c r="C1182" s="5" t="s">
        <v>8106</v>
      </c>
      <c r="D1182" s="5" t="s">
        <v>507</v>
      </c>
      <c r="E1182" s="6"/>
      <c r="F1182" s="6"/>
      <c r="G1182" s="7" t="s">
        <v>8113</v>
      </c>
      <c r="I1182" s="8" t="s">
        <v>8114</v>
      </c>
      <c r="J1182" s="9">
        <v>20.0</v>
      </c>
      <c r="K1182" s="10" t="s">
        <v>11</v>
      </c>
      <c r="L1182" s="6"/>
      <c r="M1182" s="11" t="s">
        <v>17</v>
      </c>
      <c r="N1182" s="6"/>
      <c r="O1182" s="6" t="s">
        <v>8115</v>
      </c>
      <c r="P1182" s="10" t="s">
        <v>15</v>
      </c>
      <c r="Q1182" s="6"/>
      <c r="R1182" s="6"/>
      <c r="S1182" s="6"/>
      <c r="T1182" s="6" t="s">
        <v>16</v>
      </c>
      <c r="U1182" s="9" t="s">
        <v>17</v>
      </c>
      <c r="AI1182" s="6" t="s">
        <v>7379</v>
      </c>
      <c r="AJ1182" s="12" t="s">
        <v>8116</v>
      </c>
      <c r="AL1182" s="13" t="s">
        <v>7381</v>
      </c>
    </row>
    <row r="1183">
      <c r="A1183" s="5" t="s">
        <v>8117</v>
      </c>
      <c r="B1183" s="5" t="s">
        <v>8118</v>
      </c>
      <c r="C1183" s="5" t="s">
        <v>8119</v>
      </c>
      <c r="D1183" s="5" t="s">
        <v>507</v>
      </c>
      <c r="E1183" s="6"/>
      <c r="F1183" s="6"/>
      <c r="G1183" s="7" t="s">
        <v>8120</v>
      </c>
      <c r="I1183" s="8" t="s">
        <v>8121</v>
      </c>
      <c r="J1183" s="9">
        <v>29.0</v>
      </c>
      <c r="K1183" s="10" t="s">
        <v>11</v>
      </c>
      <c r="L1183" s="6"/>
      <c r="M1183" s="11" t="s">
        <v>17</v>
      </c>
      <c r="N1183" s="6"/>
      <c r="O1183" s="6" t="s">
        <v>8122</v>
      </c>
      <c r="P1183" s="10" t="s">
        <v>15</v>
      </c>
      <c r="Q1183" s="6"/>
      <c r="R1183" s="6"/>
      <c r="S1183" s="6"/>
      <c r="T1183" s="6" t="s">
        <v>16</v>
      </c>
      <c r="U1183" s="9" t="s">
        <v>17</v>
      </c>
      <c r="AI1183" s="6" t="s">
        <v>7379</v>
      </c>
      <c r="AJ1183" s="12" t="s">
        <v>8123</v>
      </c>
      <c r="AL1183" s="13" t="s">
        <v>7381</v>
      </c>
    </row>
    <row r="1184">
      <c r="A1184" s="5" t="s">
        <v>8124</v>
      </c>
      <c r="B1184" s="5" t="s">
        <v>8125</v>
      </c>
      <c r="C1184" s="5" t="s">
        <v>8126</v>
      </c>
      <c r="D1184" s="5" t="s">
        <v>8</v>
      </c>
      <c r="E1184" s="6"/>
      <c r="F1184" s="6"/>
      <c r="G1184" s="7" t="s">
        <v>8127</v>
      </c>
      <c r="I1184" s="8" t="s">
        <v>8128</v>
      </c>
      <c r="J1184" s="9">
        <v>32.0</v>
      </c>
      <c r="K1184" s="10" t="s">
        <v>11</v>
      </c>
      <c r="L1184" s="6"/>
      <c r="M1184" s="11" t="s">
        <v>17</v>
      </c>
      <c r="N1184" s="6"/>
      <c r="O1184" s="6" t="s">
        <v>8129</v>
      </c>
      <c r="P1184" s="10" t="s">
        <v>15</v>
      </c>
      <c r="Q1184" s="6"/>
      <c r="R1184" s="6"/>
      <c r="S1184" s="6"/>
      <c r="T1184" s="6" t="s">
        <v>16</v>
      </c>
      <c r="U1184" s="9" t="s">
        <v>17</v>
      </c>
      <c r="AI1184" s="6" t="s">
        <v>7379</v>
      </c>
      <c r="AJ1184" s="12" t="s">
        <v>8130</v>
      </c>
      <c r="AL1184" s="13" t="s">
        <v>7381</v>
      </c>
    </row>
    <row r="1185">
      <c r="A1185" s="5" t="s">
        <v>8131</v>
      </c>
      <c r="B1185" s="5" t="s">
        <v>8132</v>
      </c>
      <c r="C1185" s="5" t="s">
        <v>8133</v>
      </c>
      <c r="D1185" s="5" t="s">
        <v>8</v>
      </c>
      <c r="E1185" s="6"/>
      <c r="F1185" s="6"/>
      <c r="G1185" s="7" t="s">
        <v>8134</v>
      </c>
      <c r="I1185" s="8" t="s">
        <v>8135</v>
      </c>
      <c r="J1185" s="9">
        <v>37.0</v>
      </c>
      <c r="K1185" s="10" t="s">
        <v>11</v>
      </c>
      <c r="L1185" s="6"/>
      <c r="M1185" s="11" t="s">
        <v>17</v>
      </c>
      <c r="N1185" s="6"/>
      <c r="O1185" s="6" t="s">
        <v>8136</v>
      </c>
      <c r="P1185" s="10" t="s">
        <v>15</v>
      </c>
      <c r="Q1185" s="6"/>
      <c r="R1185" s="6"/>
      <c r="S1185" s="6"/>
      <c r="T1185" s="6" t="s">
        <v>16</v>
      </c>
      <c r="U1185" s="9" t="s">
        <v>17</v>
      </c>
      <c r="AI1185" s="6" t="s">
        <v>7379</v>
      </c>
      <c r="AJ1185" s="12" t="s">
        <v>8137</v>
      </c>
      <c r="AL1185" s="13" t="s">
        <v>7381</v>
      </c>
    </row>
    <row r="1186">
      <c r="A1186" s="5" t="s">
        <v>8138</v>
      </c>
      <c r="B1186" s="5" t="s">
        <v>8139</v>
      </c>
      <c r="C1186" s="5" t="s">
        <v>8140</v>
      </c>
      <c r="D1186" s="5" t="s">
        <v>8</v>
      </c>
      <c r="E1186" s="6"/>
      <c r="F1186" s="6"/>
      <c r="G1186" s="7" t="s">
        <v>8141</v>
      </c>
      <c r="I1186" s="8" t="s">
        <v>8142</v>
      </c>
      <c r="J1186" s="9">
        <v>35.0</v>
      </c>
      <c r="K1186" s="10" t="s">
        <v>11</v>
      </c>
      <c r="L1186" s="6"/>
      <c r="M1186" s="11" t="s">
        <v>17</v>
      </c>
      <c r="N1186" s="6"/>
      <c r="O1186" s="6" t="s">
        <v>8143</v>
      </c>
      <c r="P1186" s="10" t="s">
        <v>15</v>
      </c>
      <c r="Q1186" s="6"/>
      <c r="R1186" s="6"/>
      <c r="S1186" s="6"/>
      <c r="T1186" s="6" t="s">
        <v>16</v>
      </c>
      <c r="U1186" s="9" t="s">
        <v>17</v>
      </c>
      <c r="AI1186" s="6" t="s">
        <v>7379</v>
      </c>
      <c r="AJ1186" s="12" t="s">
        <v>8144</v>
      </c>
      <c r="AL1186" s="13" t="s">
        <v>7381</v>
      </c>
    </row>
    <row r="1187">
      <c r="A1187" s="5" t="s">
        <v>8145</v>
      </c>
      <c r="B1187" s="5" t="s">
        <v>8146</v>
      </c>
      <c r="C1187" s="5" t="s">
        <v>8147</v>
      </c>
      <c r="D1187" s="5" t="s">
        <v>507</v>
      </c>
      <c r="E1187" s="6"/>
      <c r="F1187" s="6"/>
      <c r="G1187" s="7" t="s">
        <v>8148</v>
      </c>
      <c r="I1187" s="8" t="s">
        <v>8149</v>
      </c>
      <c r="J1187" s="9">
        <v>23.9</v>
      </c>
      <c r="K1187" s="10" t="s">
        <v>11</v>
      </c>
      <c r="L1187" s="6"/>
      <c r="M1187" s="11" t="s">
        <v>17</v>
      </c>
      <c r="N1187" s="6"/>
      <c r="O1187" s="6" t="s">
        <v>8150</v>
      </c>
      <c r="P1187" s="10" t="s">
        <v>15</v>
      </c>
      <c r="Q1187" s="6"/>
      <c r="R1187" s="6"/>
      <c r="S1187" s="6"/>
      <c r="T1187" s="6" t="s">
        <v>16</v>
      </c>
      <c r="U1187" s="9" t="s">
        <v>17</v>
      </c>
      <c r="AI1187" s="6" t="s">
        <v>7379</v>
      </c>
      <c r="AJ1187" s="12" t="s">
        <v>8151</v>
      </c>
      <c r="AL1187" s="13" t="s">
        <v>7381</v>
      </c>
    </row>
    <row r="1188">
      <c r="A1188" s="5" t="s">
        <v>8152</v>
      </c>
      <c r="B1188" s="5" t="s">
        <v>8153</v>
      </c>
      <c r="C1188" s="5" t="s">
        <v>8154</v>
      </c>
      <c r="D1188" s="5" t="s">
        <v>507</v>
      </c>
      <c r="E1188" s="6"/>
      <c r="F1188" s="6"/>
      <c r="G1188" s="7" t="s">
        <v>8155</v>
      </c>
      <c r="I1188" s="8" t="s">
        <v>8156</v>
      </c>
      <c r="J1188" s="9">
        <v>22.9</v>
      </c>
      <c r="K1188" s="10" t="s">
        <v>11</v>
      </c>
      <c r="L1188" s="6"/>
      <c r="M1188" s="11" t="s">
        <v>17</v>
      </c>
      <c r="N1188" s="6"/>
      <c r="O1188" s="6" t="s">
        <v>8157</v>
      </c>
      <c r="P1188" s="10" t="s">
        <v>15</v>
      </c>
      <c r="Q1188" s="6"/>
      <c r="R1188" s="6"/>
      <c r="S1188" s="6"/>
      <c r="T1188" s="6" t="s">
        <v>16</v>
      </c>
      <c r="U1188" s="9" t="s">
        <v>17</v>
      </c>
      <c r="AI1188" s="6" t="s">
        <v>7379</v>
      </c>
      <c r="AJ1188" s="12" t="s">
        <v>8158</v>
      </c>
      <c r="AL1188" s="13" t="s">
        <v>7381</v>
      </c>
    </row>
    <row r="1189">
      <c r="A1189" s="5" t="s">
        <v>8159</v>
      </c>
      <c r="B1189" s="5" t="s">
        <v>8160</v>
      </c>
      <c r="C1189" s="5" t="s">
        <v>8161</v>
      </c>
      <c r="D1189" s="5" t="s">
        <v>507</v>
      </c>
      <c r="E1189" s="6"/>
      <c r="F1189" s="6"/>
      <c r="G1189" s="7" t="s">
        <v>8162</v>
      </c>
      <c r="I1189" s="8" t="s">
        <v>8163</v>
      </c>
      <c r="J1189" s="9">
        <v>14.0</v>
      </c>
      <c r="K1189" s="10" t="s">
        <v>11</v>
      </c>
      <c r="L1189" s="6"/>
      <c r="M1189" s="11" t="s">
        <v>17</v>
      </c>
      <c r="N1189" s="6"/>
      <c r="O1189" s="6" t="s">
        <v>8164</v>
      </c>
      <c r="P1189" s="10" t="s">
        <v>15</v>
      </c>
      <c r="Q1189" s="6"/>
      <c r="R1189" s="6"/>
      <c r="S1189" s="6"/>
      <c r="T1189" s="6" t="s">
        <v>16</v>
      </c>
      <c r="U1189" s="9" t="s">
        <v>17</v>
      </c>
      <c r="AI1189" s="6" t="s">
        <v>7379</v>
      </c>
      <c r="AJ1189" s="12" t="s">
        <v>8165</v>
      </c>
      <c r="AL1189" s="13" t="s">
        <v>7381</v>
      </c>
    </row>
    <row r="1190">
      <c r="A1190" s="5" t="s">
        <v>8166</v>
      </c>
      <c r="B1190" s="5" t="s">
        <v>8167</v>
      </c>
      <c r="C1190" s="5" t="s">
        <v>8154</v>
      </c>
      <c r="D1190" s="5" t="s">
        <v>507</v>
      </c>
      <c r="E1190" s="6"/>
      <c r="F1190" s="6"/>
      <c r="G1190" s="7" t="s">
        <v>8168</v>
      </c>
      <c r="I1190" s="8" t="s">
        <v>8169</v>
      </c>
      <c r="J1190" s="9">
        <v>23.9</v>
      </c>
      <c r="K1190" s="10" t="s">
        <v>11</v>
      </c>
      <c r="L1190" s="6"/>
      <c r="M1190" s="11" t="s">
        <v>17</v>
      </c>
      <c r="N1190" s="6"/>
      <c r="O1190" s="6" t="s">
        <v>8170</v>
      </c>
      <c r="P1190" s="10" t="s">
        <v>15</v>
      </c>
      <c r="Q1190" s="6"/>
      <c r="R1190" s="6"/>
      <c r="S1190" s="6"/>
      <c r="T1190" s="6" t="s">
        <v>16</v>
      </c>
      <c r="U1190" s="9" t="s">
        <v>17</v>
      </c>
      <c r="AI1190" s="6" t="s">
        <v>7379</v>
      </c>
      <c r="AJ1190" s="12" t="s">
        <v>8171</v>
      </c>
      <c r="AL1190" s="13" t="s">
        <v>7381</v>
      </c>
    </row>
    <row r="1191">
      <c r="A1191" s="5" t="s">
        <v>8172</v>
      </c>
      <c r="B1191" s="5" t="s">
        <v>8173</v>
      </c>
      <c r="C1191" s="5" t="s">
        <v>7790</v>
      </c>
      <c r="D1191" s="5" t="s">
        <v>8</v>
      </c>
      <c r="E1191" s="6"/>
      <c r="F1191" s="6"/>
      <c r="G1191" s="7" t="s">
        <v>8174</v>
      </c>
      <c r="I1191" s="8" t="s">
        <v>8175</v>
      </c>
      <c r="J1191" s="9">
        <v>35.0</v>
      </c>
      <c r="K1191" s="10" t="s">
        <v>11</v>
      </c>
      <c r="L1191" s="6"/>
      <c r="M1191" s="11" t="s">
        <v>17</v>
      </c>
      <c r="N1191" s="6"/>
      <c r="O1191" s="6" t="s">
        <v>8176</v>
      </c>
      <c r="P1191" s="10" t="s">
        <v>15</v>
      </c>
      <c r="Q1191" s="6"/>
      <c r="R1191" s="6"/>
      <c r="S1191" s="6"/>
      <c r="T1191" s="6" t="s">
        <v>16</v>
      </c>
      <c r="U1191" s="9" t="s">
        <v>17</v>
      </c>
      <c r="AI1191" s="6" t="s">
        <v>7379</v>
      </c>
      <c r="AJ1191" s="12" t="s">
        <v>8177</v>
      </c>
      <c r="AL1191" s="13" t="s">
        <v>7381</v>
      </c>
    </row>
    <row r="1192">
      <c r="A1192" s="5" t="s">
        <v>8178</v>
      </c>
      <c r="B1192" s="5" t="s">
        <v>8179</v>
      </c>
      <c r="C1192" s="5" t="s">
        <v>8180</v>
      </c>
      <c r="D1192" s="5" t="s">
        <v>8</v>
      </c>
      <c r="E1192" s="6"/>
      <c r="F1192" s="6"/>
      <c r="G1192" s="7" t="s">
        <v>8181</v>
      </c>
      <c r="I1192" s="8" t="s">
        <v>8182</v>
      </c>
      <c r="J1192" s="9">
        <v>33.0</v>
      </c>
      <c r="K1192" s="10" t="s">
        <v>11</v>
      </c>
      <c r="L1192" s="6"/>
      <c r="M1192" s="11" t="s">
        <v>17</v>
      </c>
      <c r="N1192" s="6"/>
      <c r="O1192" s="6" t="s">
        <v>8183</v>
      </c>
      <c r="P1192" s="10" t="s">
        <v>15</v>
      </c>
      <c r="Q1192" s="6"/>
      <c r="R1192" s="6"/>
      <c r="S1192" s="6"/>
      <c r="T1192" s="6" t="s">
        <v>16</v>
      </c>
      <c r="U1192" s="9" t="s">
        <v>17</v>
      </c>
      <c r="AI1192" s="6" t="s">
        <v>7379</v>
      </c>
      <c r="AJ1192" s="12" t="s">
        <v>8184</v>
      </c>
      <c r="AL1192" s="13" t="s">
        <v>7381</v>
      </c>
    </row>
    <row r="1193">
      <c r="A1193" s="5" t="s">
        <v>8185</v>
      </c>
      <c r="B1193" s="5" t="s">
        <v>8186</v>
      </c>
      <c r="C1193" s="5" t="s">
        <v>8187</v>
      </c>
      <c r="D1193" s="5" t="s">
        <v>8</v>
      </c>
      <c r="E1193" s="6"/>
      <c r="F1193" s="6"/>
      <c r="G1193" s="7" t="s">
        <v>8188</v>
      </c>
      <c r="I1193" s="8" t="s">
        <v>8189</v>
      </c>
      <c r="J1193" s="9">
        <v>33.0</v>
      </c>
      <c r="K1193" s="10" t="s">
        <v>11</v>
      </c>
      <c r="L1193" s="6"/>
      <c r="M1193" s="11" t="s">
        <v>17</v>
      </c>
      <c r="N1193" s="6"/>
      <c r="O1193" s="6" t="s">
        <v>8190</v>
      </c>
      <c r="P1193" s="10" t="s">
        <v>15</v>
      </c>
      <c r="Q1193" s="6"/>
      <c r="R1193" s="6"/>
      <c r="S1193" s="6"/>
      <c r="T1193" s="6" t="s">
        <v>16</v>
      </c>
      <c r="U1193" s="9" t="s">
        <v>17</v>
      </c>
      <c r="AI1193" s="6" t="s">
        <v>7379</v>
      </c>
      <c r="AJ1193" s="12" t="s">
        <v>8191</v>
      </c>
      <c r="AL1193" s="13" t="s">
        <v>7381</v>
      </c>
    </row>
    <row r="1194">
      <c r="A1194" s="5" t="s">
        <v>8192</v>
      </c>
      <c r="B1194" s="5" t="s">
        <v>8193</v>
      </c>
      <c r="C1194" s="5" t="s">
        <v>8194</v>
      </c>
      <c r="D1194" s="5" t="s">
        <v>8</v>
      </c>
      <c r="E1194" s="6"/>
      <c r="F1194" s="6"/>
      <c r="G1194" s="7" t="s">
        <v>8195</v>
      </c>
      <c r="I1194" s="8" t="s">
        <v>8196</v>
      </c>
      <c r="J1194" s="9">
        <v>37.0</v>
      </c>
      <c r="K1194" s="10" t="s">
        <v>11</v>
      </c>
      <c r="L1194" s="6"/>
      <c r="M1194" s="11" t="s">
        <v>17</v>
      </c>
      <c r="N1194" s="6"/>
      <c r="O1194" s="6" t="s">
        <v>8197</v>
      </c>
      <c r="P1194" s="10" t="s">
        <v>15</v>
      </c>
      <c r="Q1194" s="6"/>
      <c r="R1194" s="6"/>
      <c r="S1194" s="6"/>
      <c r="T1194" s="6" t="s">
        <v>16</v>
      </c>
      <c r="U1194" s="9" t="s">
        <v>17</v>
      </c>
      <c r="AI1194" s="6" t="s">
        <v>7379</v>
      </c>
      <c r="AJ1194" s="12" t="s">
        <v>8198</v>
      </c>
      <c r="AL1194" s="13" t="s">
        <v>7381</v>
      </c>
    </row>
    <row r="1195">
      <c r="A1195" s="5" t="s">
        <v>8199</v>
      </c>
      <c r="B1195" s="5" t="s">
        <v>8200</v>
      </c>
      <c r="C1195" s="5" t="s">
        <v>8201</v>
      </c>
      <c r="D1195" s="5" t="s">
        <v>507</v>
      </c>
      <c r="E1195" s="6"/>
      <c r="F1195" s="6"/>
      <c r="G1195" s="7" t="s">
        <v>8202</v>
      </c>
      <c r="I1195" s="8" t="s">
        <v>8203</v>
      </c>
      <c r="J1195" s="9">
        <v>94.05</v>
      </c>
      <c r="K1195" s="10" t="s">
        <v>11</v>
      </c>
      <c r="L1195" s="6"/>
      <c r="M1195" s="11" t="s">
        <v>17</v>
      </c>
      <c r="N1195" s="6"/>
      <c r="O1195" s="6" t="s">
        <v>8204</v>
      </c>
      <c r="P1195" s="10" t="s">
        <v>15</v>
      </c>
      <c r="Q1195" s="6"/>
      <c r="R1195" s="6"/>
      <c r="S1195" s="6"/>
      <c r="T1195" s="6" t="s">
        <v>16</v>
      </c>
      <c r="U1195" s="9" t="s">
        <v>17</v>
      </c>
      <c r="AI1195" s="6" t="s">
        <v>7379</v>
      </c>
      <c r="AJ1195" s="12" t="s">
        <v>8205</v>
      </c>
      <c r="AL1195" s="13" t="s">
        <v>7381</v>
      </c>
    </row>
    <row r="1196">
      <c r="A1196" s="5" t="s">
        <v>8206</v>
      </c>
      <c r="B1196" s="5" t="s">
        <v>8207</v>
      </c>
      <c r="C1196" s="5" t="s">
        <v>8208</v>
      </c>
      <c r="D1196" s="5" t="s">
        <v>8</v>
      </c>
      <c r="E1196" s="6"/>
      <c r="F1196" s="6"/>
      <c r="G1196" s="7" t="s">
        <v>8209</v>
      </c>
      <c r="I1196" s="8" t="s">
        <v>8210</v>
      </c>
      <c r="J1196" s="9">
        <v>85.0</v>
      </c>
      <c r="K1196" s="10" t="s">
        <v>11</v>
      </c>
      <c r="L1196" s="6"/>
      <c r="M1196" s="11" t="s">
        <v>17</v>
      </c>
      <c r="N1196" s="6"/>
      <c r="O1196" s="6" t="s">
        <v>8211</v>
      </c>
      <c r="P1196" s="10" t="s">
        <v>15</v>
      </c>
      <c r="Q1196" s="6"/>
      <c r="R1196" s="6"/>
      <c r="S1196" s="6"/>
      <c r="T1196" s="6" t="s">
        <v>16</v>
      </c>
      <c r="U1196" s="9" t="s">
        <v>17</v>
      </c>
      <c r="AI1196" s="6" t="s">
        <v>7379</v>
      </c>
      <c r="AJ1196" s="12" t="s">
        <v>8212</v>
      </c>
      <c r="AL1196" s="13" t="s">
        <v>7381</v>
      </c>
    </row>
    <row r="1197">
      <c r="A1197" s="5" t="s">
        <v>8213</v>
      </c>
      <c r="B1197" s="5" t="s">
        <v>8214</v>
      </c>
      <c r="C1197" s="5" t="s">
        <v>8215</v>
      </c>
      <c r="D1197" s="5" t="s">
        <v>8</v>
      </c>
      <c r="E1197" s="6"/>
      <c r="F1197" s="6"/>
      <c r="G1197" s="7" t="s">
        <v>8216</v>
      </c>
      <c r="I1197" s="8" t="s">
        <v>8217</v>
      </c>
      <c r="J1197" s="9">
        <v>14.9</v>
      </c>
      <c r="K1197" s="10" t="s">
        <v>11</v>
      </c>
      <c r="L1197" s="6"/>
      <c r="M1197" s="11" t="s">
        <v>17</v>
      </c>
      <c r="N1197" s="6"/>
      <c r="O1197" s="6" t="s">
        <v>8218</v>
      </c>
      <c r="P1197" s="10" t="s">
        <v>15</v>
      </c>
      <c r="Q1197" s="6"/>
      <c r="R1197" s="6"/>
      <c r="S1197" s="6"/>
      <c r="T1197" s="6" t="s">
        <v>16</v>
      </c>
      <c r="U1197" s="9" t="s">
        <v>17</v>
      </c>
      <c r="AI1197" s="6" t="s">
        <v>7379</v>
      </c>
      <c r="AJ1197" s="12" t="s">
        <v>8219</v>
      </c>
      <c r="AL1197" s="13" t="s">
        <v>7381</v>
      </c>
    </row>
    <row r="1198">
      <c r="A1198" s="5" t="s">
        <v>8220</v>
      </c>
      <c r="B1198" s="5" t="s">
        <v>8221</v>
      </c>
      <c r="C1198" s="5" t="s">
        <v>8222</v>
      </c>
      <c r="D1198" s="5" t="s">
        <v>8</v>
      </c>
      <c r="E1198" s="6"/>
      <c r="F1198" s="6"/>
      <c r="G1198" s="7" t="s">
        <v>8223</v>
      </c>
      <c r="I1198" s="8" t="s">
        <v>8224</v>
      </c>
      <c r="J1198" s="9">
        <v>22.0</v>
      </c>
      <c r="K1198" s="10" t="s">
        <v>11</v>
      </c>
      <c r="L1198" s="6"/>
      <c r="M1198" s="11" t="s">
        <v>17</v>
      </c>
      <c r="N1198" s="6"/>
      <c r="O1198" s="6" t="s">
        <v>8225</v>
      </c>
      <c r="P1198" s="10" t="s">
        <v>15</v>
      </c>
      <c r="Q1198" s="6"/>
      <c r="R1198" s="6"/>
      <c r="S1198" s="6"/>
      <c r="T1198" s="6" t="s">
        <v>16</v>
      </c>
      <c r="U1198" s="9" t="s">
        <v>17</v>
      </c>
      <c r="AI1198" s="6" t="s">
        <v>7379</v>
      </c>
      <c r="AJ1198" s="12" t="s">
        <v>8226</v>
      </c>
      <c r="AL1198" s="13" t="s">
        <v>7381</v>
      </c>
    </row>
    <row r="1199">
      <c r="A1199" s="5" t="s">
        <v>8227</v>
      </c>
      <c r="B1199" s="5" t="s">
        <v>8228</v>
      </c>
      <c r="C1199" s="5" t="s">
        <v>8229</v>
      </c>
      <c r="D1199" s="5" t="s">
        <v>8</v>
      </c>
      <c r="E1199" s="6"/>
      <c r="F1199" s="6"/>
      <c r="G1199" s="7" t="s">
        <v>8230</v>
      </c>
      <c r="I1199" s="8" t="s">
        <v>8231</v>
      </c>
      <c r="J1199" s="9">
        <v>26.0</v>
      </c>
      <c r="K1199" s="10" t="s">
        <v>11</v>
      </c>
      <c r="L1199" s="6"/>
      <c r="M1199" s="11" t="s">
        <v>17</v>
      </c>
      <c r="N1199" s="6"/>
      <c r="O1199" s="6" t="s">
        <v>8232</v>
      </c>
      <c r="P1199" s="10" t="s">
        <v>15</v>
      </c>
      <c r="Q1199" s="6"/>
      <c r="R1199" s="6"/>
      <c r="S1199" s="6"/>
      <c r="T1199" s="6" t="s">
        <v>16</v>
      </c>
      <c r="U1199" s="9" t="s">
        <v>17</v>
      </c>
      <c r="AI1199" s="6" t="s">
        <v>7379</v>
      </c>
      <c r="AJ1199" s="12" t="s">
        <v>8233</v>
      </c>
      <c r="AL1199" s="13" t="s">
        <v>7381</v>
      </c>
    </row>
    <row r="1200">
      <c r="A1200" s="5" t="s">
        <v>8234</v>
      </c>
      <c r="B1200" s="5" t="s">
        <v>8235</v>
      </c>
      <c r="C1200" s="5" t="s">
        <v>8236</v>
      </c>
      <c r="D1200" s="5" t="s">
        <v>8</v>
      </c>
      <c r="E1200" s="6"/>
      <c r="F1200" s="6"/>
      <c r="G1200" s="7" t="s">
        <v>8237</v>
      </c>
      <c r="I1200" s="8" t="s">
        <v>8238</v>
      </c>
      <c r="J1200" s="9">
        <v>20.0</v>
      </c>
      <c r="K1200" s="10" t="s">
        <v>11</v>
      </c>
      <c r="L1200" s="6"/>
      <c r="M1200" s="11" t="s">
        <v>17</v>
      </c>
      <c r="N1200" s="6"/>
      <c r="O1200" s="6" t="s">
        <v>8239</v>
      </c>
      <c r="P1200" s="10" t="s">
        <v>15</v>
      </c>
      <c r="Q1200" s="6"/>
      <c r="R1200" s="6"/>
      <c r="S1200" s="6"/>
      <c r="T1200" s="6" t="s">
        <v>16</v>
      </c>
      <c r="U1200" s="9" t="s">
        <v>17</v>
      </c>
      <c r="AI1200" s="6" t="s">
        <v>7379</v>
      </c>
      <c r="AJ1200" s="12" t="s">
        <v>8240</v>
      </c>
      <c r="AL1200" s="13" t="s">
        <v>7381</v>
      </c>
    </row>
    <row r="1201">
      <c r="A1201" s="5" t="s">
        <v>8241</v>
      </c>
      <c r="B1201" s="5" t="s">
        <v>8242</v>
      </c>
      <c r="C1201" s="5" t="s">
        <v>8243</v>
      </c>
      <c r="D1201" s="5" t="s">
        <v>8</v>
      </c>
      <c r="E1201" s="6"/>
      <c r="F1201" s="6"/>
      <c r="G1201" s="7" t="s">
        <v>8244</v>
      </c>
      <c r="I1201" s="8" t="s">
        <v>8245</v>
      </c>
      <c r="J1201" s="9">
        <v>56.0</v>
      </c>
      <c r="K1201" s="10" t="s">
        <v>11</v>
      </c>
      <c r="L1201" s="6"/>
      <c r="M1201" s="11" t="s">
        <v>17</v>
      </c>
      <c r="N1201" s="6"/>
      <c r="O1201" s="6" t="s">
        <v>8246</v>
      </c>
      <c r="P1201" s="10" t="s">
        <v>15</v>
      </c>
      <c r="Q1201" s="6"/>
      <c r="R1201" s="6"/>
      <c r="S1201" s="6"/>
      <c r="T1201" s="6" t="s">
        <v>16</v>
      </c>
      <c r="U1201" s="9" t="s">
        <v>17</v>
      </c>
      <c r="AI1201" s="6" t="s">
        <v>7379</v>
      </c>
      <c r="AJ1201" s="12" t="s">
        <v>8247</v>
      </c>
      <c r="AL1201" s="13" t="s">
        <v>7381</v>
      </c>
    </row>
    <row r="1202">
      <c r="A1202" s="5" t="s">
        <v>8248</v>
      </c>
      <c r="B1202" s="5" t="s">
        <v>8249</v>
      </c>
      <c r="C1202" s="5" t="s">
        <v>8250</v>
      </c>
      <c r="D1202" s="5" t="s">
        <v>8</v>
      </c>
      <c r="E1202" s="6"/>
      <c r="F1202" s="6"/>
      <c r="G1202" s="7" t="s">
        <v>8251</v>
      </c>
      <c r="I1202" s="8" t="s">
        <v>8252</v>
      </c>
      <c r="J1202" s="9">
        <v>79.5</v>
      </c>
      <c r="K1202" s="10" t="s">
        <v>11</v>
      </c>
      <c r="L1202" s="6"/>
      <c r="M1202" s="11" t="s">
        <v>17</v>
      </c>
      <c r="N1202" s="6"/>
      <c r="O1202" s="6" t="s">
        <v>8253</v>
      </c>
      <c r="P1202" s="10" t="s">
        <v>15</v>
      </c>
      <c r="Q1202" s="6"/>
      <c r="R1202" s="6"/>
      <c r="S1202" s="6"/>
      <c r="T1202" s="6" t="s">
        <v>16</v>
      </c>
      <c r="U1202" s="9" t="s">
        <v>17</v>
      </c>
      <c r="AI1202" s="6" t="s">
        <v>7379</v>
      </c>
      <c r="AJ1202" s="12" t="s">
        <v>8254</v>
      </c>
      <c r="AL1202" s="13" t="s">
        <v>7381</v>
      </c>
    </row>
    <row r="1203">
      <c r="A1203" s="5" t="s">
        <v>8255</v>
      </c>
      <c r="B1203" s="5" t="s">
        <v>8256</v>
      </c>
      <c r="C1203" s="5" t="s">
        <v>8257</v>
      </c>
      <c r="D1203" s="5" t="s">
        <v>507</v>
      </c>
      <c r="E1203" s="6"/>
      <c r="F1203" s="6"/>
      <c r="G1203" s="7" t="s">
        <v>8258</v>
      </c>
      <c r="I1203" s="8" t="s">
        <v>8259</v>
      </c>
      <c r="J1203" s="9">
        <v>38.8</v>
      </c>
      <c r="K1203" s="10" t="s">
        <v>11</v>
      </c>
      <c r="L1203" s="6"/>
      <c r="M1203" s="11" t="s">
        <v>17</v>
      </c>
      <c r="N1203" s="6"/>
      <c r="O1203" s="6" t="s">
        <v>8260</v>
      </c>
      <c r="P1203" s="10" t="s">
        <v>15</v>
      </c>
      <c r="Q1203" s="6"/>
      <c r="R1203" s="6"/>
      <c r="S1203" s="6"/>
      <c r="T1203" s="6" t="s">
        <v>16</v>
      </c>
      <c r="U1203" s="9" t="s">
        <v>17</v>
      </c>
      <c r="AI1203" s="6" t="s">
        <v>7379</v>
      </c>
      <c r="AJ1203" s="12" t="s">
        <v>8261</v>
      </c>
      <c r="AL1203" s="13" t="s">
        <v>7381</v>
      </c>
    </row>
    <row r="1204">
      <c r="A1204" s="5" t="s">
        <v>8262</v>
      </c>
      <c r="B1204" s="5" t="s">
        <v>8263</v>
      </c>
      <c r="C1204" s="5" t="s">
        <v>8264</v>
      </c>
      <c r="D1204" s="5" t="s">
        <v>8</v>
      </c>
      <c r="E1204" s="6"/>
      <c r="F1204" s="6"/>
      <c r="G1204" s="7" t="s">
        <v>8265</v>
      </c>
      <c r="I1204" s="8" t="s">
        <v>8266</v>
      </c>
      <c r="J1204" s="9">
        <v>90.0</v>
      </c>
      <c r="K1204" s="10" t="s">
        <v>11</v>
      </c>
      <c r="L1204" s="6"/>
      <c r="M1204" s="11" t="s">
        <v>17</v>
      </c>
      <c r="N1204" s="6"/>
      <c r="O1204" s="6" t="s">
        <v>8267</v>
      </c>
      <c r="P1204" s="10" t="s">
        <v>15</v>
      </c>
      <c r="Q1204" s="6"/>
      <c r="R1204" s="6"/>
      <c r="S1204" s="6"/>
      <c r="T1204" s="6" t="s">
        <v>16</v>
      </c>
      <c r="U1204" s="9" t="s">
        <v>17</v>
      </c>
      <c r="AI1204" s="6" t="s">
        <v>7379</v>
      </c>
      <c r="AJ1204" s="12" t="s">
        <v>8268</v>
      </c>
      <c r="AL1204" s="13" t="s">
        <v>7381</v>
      </c>
    </row>
    <row r="1205">
      <c r="A1205" s="5" t="s">
        <v>8269</v>
      </c>
      <c r="B1205" s="5" t="s">
        <v>8270</v>
      </c>
      <c r="C1205" s="5" t="s">
        <v>8271</v>
      </c>
      <c r="D1205" s="5" t="s">
        <v>8</v>
      </c>
      <c r="E1205" s="6"/>
      <c r="F1205" s="6"/>
      <c r="G1205" s="7" t="s">
        <v>8272</v>
      </c>
      <c r="I1205" s="8" t="s">
        <v>8273</v>
      </c>
      <c r="J1205" s="9">
        <v>36.0</v>
      </c>
      <c r="K1205" s="10" t="s">
        <v>11</v>
      </c>
      <c r="L1205" s="6"/>
      <c r="M1205" s="11" t="s">
        <v>17</v>
      </c>
      <c r="N1205" s="6"/>
      <c r="O1205" s="6" t="s">
        <v>8274</v>
      </c>
      <c r="P1205" s="10" t="s">
        <v>15</v>
      </c>
      <c r="Q1205" s="6"/>
      <c r="R1205" s="6"/>
      <c r="S1205" s="6"/>
      <c r="T1205" s="6" t="s">
        <v>16</v>
      </c>
      <c r="U1205" s="9" t="s">
        <v>17</v>
      </c>
      <c r="AI1205" s="6" t="s">
        <v>7379</v>
      </c>
      <c r="AJ1205" s="12" t="s">
        <v>8275</v>
      </c>
      <c r="AL1205" s="13" t="s">
        <v>7381</v>
      </c>
    </row>
    <row r="1206">
      <c r="A1206" s="5" t="s">
        <v>8276</v>
      </c>
      <c r="B1206" s="5" t="s">
        <v>8277</v>
      </c>
      <c r="C1206" s="5" t="s">
        <v>8278</v>
      </c>
      <c r="D1206" s="5" t="s">
        <v>8</v>
      </c>
      <c r="E1206" s="6"/>
      <c r="F1206" s="6"/>
      <c r="G1206" s="7" t="s">
        <v>8279</v>
      </c>
      <c r="I1206" s="8" t="s">
        <v>8280</v>
      </c>
      <c r="J1206" s="9">
        <v>29.0</v>
      </c>
      <c r="K1206" s="10" t="s">
        <v>11</v>
      </c>
      <c r="L1206" s="6"/>
      <c r="M1206" s="11" t="s">
        <v>17</v>
      </c>
      <c r="N1206" s="6"/>
      <c r="O1206" s="6" t="s">
        <v>8281</v>
      </c>
      <c r="P1206" s="10" t="s">
        <v>15</v>
      </c>
      <c r="Q1206" s="6"/>
      <c r="R1206" s="6"/>
      <c r="S1206" s="6"/>
      <c r="T1206" s="6" t="s">
        <v>16</v>
      </c>
      <c r="U1206" s="9" t="s">
        <v>17</v>
      </c>
      <c r="AI1206" s="6" t="s">
        <v>7379</v>
      </c>
      <c r="AJ1206" s="12" t="s">
        <v>8282</v>
      </c>
      <c r="AL1206" s="13" t="s">
        <v>7381</v>
      </c>
    </row>
    <row r="1207">
      <c r="A1207" s="5" t="s">
        <v>8283</v>
      </c>
      <c r="B1207" s="5" t="s">
        <v>8284</v>
      </c>
      <c r="C1207" s="5" t="s">
        <v>8285</v>
      </c>
      <c r="D1207" s="5" t="s">
        <v>507</v>
      </c>
      <c r="E1207" s="6"/>
      <c r="F1207" s="6"/>
      <c r="G1207" s="7" t="s">
        <v>8286</v>
      </c>
      <c r="I1207" s="8" t="s">
        <v>8287</v>
      </c>
      <c r="J1207" s="9">
        <v>35.0</v>
      </c>
      <c r="K1207" s="10" t="s">
        <v>11</v>
      </c>
      <c r="L1207" s="6"/>
      <c r="M1207" s="11" t="s">
        <v>17</v>
      </c>
      <c r="N1207" s="6"/>
      <c r="O1207" s="6" t="s">
        <v>8288</v>
      </c>
      <c r="P1207" s="10" t="s">
        <v>15</v>
      </c>
      <c r="Q1207" s="6"/>
      <c r="R1207" s="6"/>
      <c r="S1207" s="6"/>
      <c r="T1207" s="6" t="s">
        <v>16</v>
      </c>
      <c r="U1207" s="9" t="s">
        <v>17</v>
      </c>
      <c r="AI1207" s="6" t="s">
        <v>7379</v>
      </c>
      <c r="AJ1207" s="12" t="s">
        <v>8289</v>
      </c>
      <c r="AL1207" s="13" t="s">
        <v>7381</v>
      </c>
    </row>
    <row r="1208">
      <c r="A1208" s="5" t="s">
        <v>8290</v>
      </c>
      <c r="B1208" s="5" t="s">
        <v>8291</v>
      </c>
      <c r="C1208" s="5" t="s">
        <v>8292</v>
      </c>
      <c r="D1208" s="5" t="s">
        <v>8</v>
      </c>
      <c r="E1208" s="6"/>
      <c r="F1208" s="6"/>
      <c r="G1208" s="7" t="s">
        <v>8293</v>
      </c>
      <c r="I1208" s="8" t="s">
        <v>8294</v>
      </c>
      <c r="J1208" s="9">
        <v>20.0</v>
      </c>
      <c r="K1208" s="10" t="s">
        <v>11</v>
      </c>
      <c r="L1208" s="6"/>
      <c r="M1208" s="11" t="s">
        <v>17</v>
      </c>
      <c r="N1208" s="6"/>
      <c r="O1208" s="6" t="s">
        <v>8295</v>
      </c>
      <c r="P1208" s="10" t="s">
        <v>15</v>
      </c>
      <c r="Q1208" s="6"/>
      <c r="R1208" s="6"/>
      <c r="S1208" s="6"/>
      <c r="T1208" s="6" t="s">
        <v>16</v>
      </c>
      <c r="U1208" s="9" t="s">
        <v>17</v>
      </c>
      <c r="AI1208" s="6" t="s">
        <v>7379</v>
      </c>
      <c r="AJ1208" s="12" t="s">
        <v>8296</v>
      </c>
      <c r="AL1208" s="13" t="s">
        <v>7381</v>
      </c>
    </row>
    <row r="1209">
      <c r="A1209" s="5" t="s">
        <v>8297</v>
      </c>
      <c r="B1209" s="5" t="s">
        <v>8298</v>
      </c>
      <c r="C1209" s="5" t="s">
        <v>8299</v>
      </c>
      <c r="D1209" s="5" t="s">
        <v>8</v>
      </c>
      <c r="E1209" s="6"/>
      <c r="F1209" s="6"/>
      <c r="G1209" s="7" t="s">
        <v>8300</v>
      </c>
      <c r="I1209" s="8" t="s">
        <v>8301</v>
      </c>
      <c r="J1209" s="9">
        <v>36.9</v>
      </c>
      <c r="K1209" s="10" t="s">
        <v>11</v>
      </c>
      <c r="L1209" s="6"/>
      <c r="M1209" s="11" t="s">
        <v>17</v>
      </c>
      <c r="N1209" s="6"/>
      <c r="O1209" s="6" t="s">
        <v>8302</v>
      </c>
      <c r="P1209" s="10" t="s">
        <v>15</v>
      </c>
      <c r="Q1209" s="6"/>
      <c r="R1209" s="6"/>
      <c r="S1209" s="6"/>
      <c r="T1209" s="6" t="s">
        <v>16</v>
      </c>
      <c r="U1209" s="9" t="s">
        <v>17</v>
      </c>
      <c r="AI1209" s="6" t="s">
        <v>7379</v>
      </c>
      <c r="AJ1209" s="12" t="s">
        <v>8303</v>
      </c>
      <c r="AL1209" s="13" t="s">
        <v>7381</v>
      </c>
    </row>
    <row r="1210">
      <c r="A1210" s="5" t="s">
        <v>8304</v>
      </c>
      <c r="B1210" s="5" t="s">
        <v>8305</v>
      </c>
      <c r="C1210" s="5" t="s">
        <v>8285</v>
      </c>
      <c r="D1210" s="5" t="s">
        <v>507</v>
      </c>
      <c r="E1210" s="6"/>
      <c r="F1210" s="6"/>
      <c r="G1210" s="7" t="s">
        <v>8306</v>
      </c>
      <c r="I1210" s="8" t="s">
        <v>8307</v>
      </c>
      <c r="J1210" s="9">
        <v>99.0</v>
      </c>
      <c r="K1210" s="10" t="s">
        <v>11</v>
      </c>
      <c r="L1210" s="6"/>
      <c r="M1210" s="11" t="s">
        <v>17</v>
      </c>
      <c r="N1210" s="6"/>
      <c r="O1210" s="6" t="s">
        <v>8308</v>
      </c>
      <c r="P1210" s="10" t="s">
        <v>15</v>
      </c>
      <c r="Q1210" s="6"/>
      <c r="R1210" s="6"/>
      <c r="S1210" s="6"/>
      <c r="T1210" s="6" t="s">
        <v>16</v>
      </c>
      <c r="U1210" s="9" t="s">
        <v>17</v>
      </c>
      <c r="AI1210" s="6" t="s">
        <v>7379</v>
      </c>
      <c r="AJ1210" s="12" t="s">
        <v>8309</v>
      </c>
      <c r="AL1210" s="13" t="s">
        <v>7381</v>
      </c>
    </row>
    <row r="1211">
      <c r="A1211" s="5" t="s">
        <v>8310</v>
      </c>
      <c r="B1211" s="5" t="s">
        <v>8311</v>
      </c>
      <c r="C1211" s="5" t="s">
        <v>8312</v>
      </c>
      <c r="D1211" s="5" t="s">
        <v>507</v>
      </c>
      <c r="E1211" s="6"/>
      <c r="F1211" s="6"/>
      <c r="G1211" s="7" t="s">
        <v>8313</v>
      </c>
      <c r="I1211" s="8" t="s">
        <v>8314</v>
      </c>
      <c r="J1211" s="9">
        <v>14.9</v>
      </c>
      <c r="K1211" s="10" t="s">
        <v>11</v>
      </c>
      <c r="L1211" s="6"/>
      <c r="M1211" s="11" t="s">
        <v>17</v>
      </c>
      <c r="N1211" s="6"/>
      <c r="O1211" s="6" t="s">
        <v>8315</v>
      </c>
      <c r="P1211" s="10" t="s">
        <v>15</v>
      </c>
      <c r="Q1211" s="6"/>
      <c r="R1211" s="6"/>
      <c r="S1211" s="6"/>
      <c r="T1211" s="6" t="s">
        <v>16</v>
      </c>
      <c r="U1211" s="9" t="s">
        <v>17</v>
      </c>
      <c r="AI1211" s="6" t="s">
        <v>7379</v>
      </c>
      <c r="AJ1211" s="12" t="s">
        <v>8316</v>
      </c>
      <c r="AL1211" s="13" t="s">
        <v>7381</v>
      </c>
    </row>
    <row r="1212">
      <c r="A1212" s="5" t="s">
        <v>8317</v>
      </c>
      <c r="B1212" s="5" t="s">
        <v>8318</v>
      </c>
      <c r="C1212" s="5" t="s">
        <v>8319</v>
      </c>
      <c r="D1212" s="5" t="s">
        <v>8</v>
      </c>
      <c r="E1212" s="6"/>
      <c r="F1212" s="6"/>
      <c r="G1212" s="7" t="s">
        <v>8320</v>
      </c>
      <c r="I1212" s="8" t="s">
        <v>8321</v>
      </c>
      <c r="J1212" s="9">
        <v>10.0</v>
      </c>
      <c r="K1212" s="10" t="s">
        <v>11</v>
      </c>
      <c r="L1212" s="6"/>
      <c r="M1212" s="11" t="s">
        <v>17</v>
      </c>
      <c r="N1212" s="6"/>
      <c r="O1212" s="6" t="s">
        <v>8322</v>
      </c>
      <c r="P1212" s="10" t="s">
        <v>15</v>
      </c>
      <c r="Q1212" s="6"/>
      <c r="R1212" s="6"/>
      <c r="S1212" s="6"/>
      <c r="T1212" s="6" t="s">
        <v>16</v>
      </c>
      <c r="U1212" s="9" t="s">
        <v>17</v>
      </c>
      <c r="AI1212" s="6" t="s">
        <v>7379</v>
      </c>
      <c r="AJ1212" s="12" t="s">
        <v>8323</v>
      </c>
      <c r="AL1212" s="13" t="s">
        <v>7381</v>
      </c>
    </row>
    <row r="1213">
      <c r="A1213" s="5" t="s">
        <v>8324</v>
      </c>
      <c r="B1213" s="5" t="s">
        <v>8325</v>
      </c>
      <c r="C1213" s="5" t="s">
        <v>8326</v>
      </c>
      <c r="D1213" s="5" t="s">
        <v>8</v>
      </c>
      <c r="E1213" s="6"/>
      <c r="F1213" s="6"/>
      <c r="G1213" s="7" t="s">
        <v>8327</v>
      </c>
      <c r="I1213" s="8" t="s">
        <v>8328</v>
      </c>
      <c r="J1213" s="9">
        <v>34.0</v>
      </c>
      <c r="K1213" s="10" t="s">
        <v>11</v>
      </c>
      <c r="L1213" s="6"/>
      <c r="M1213" s="11" t="s">
        <v>17</v>
      </c>
      <c r="N1213" s="6"/>
      <c r="O1213" s="6" t="s">
        <v>8329</v>
      </c>
      <c r="P1213" s="10" t="s">
        <v>15</v>
      </c>
      <c r="Q1213" s="6"/>
      <c r="R1213" s="6"/>
      <c r="S1213" s="6"/>
      <c r="T1213" s="6" t="s">
        <v>16</v>
      </c>
      <c r="U1213" s="9" t="s">
        <v>17</v>
      </c>
      <c r="AI1213" s="6" t="s">
        <v>7379</v>
      </c>
      <c r="AJ1213" s="12" t="s">
        <v>8330</v>
      </c>
      <c r="AL1213" s="13" t="s">
        <v>7381</v>
      </c>
    </row>
    <row r="1214">
      <c r="A1214" s="5" t="s">
        <v>8331</v>
      </c>
      <c r="B1214" s="5" t="s">
        <v>8332</v>
      </c>
      <c r="C1214" s="5" t="s">
        <v>8333</v>
      </c>
      <c r="D1214" s="5" t="s">
        <v>8</v>
      </c>
      <c r="E1214" s="6"/>
      <c r="F1214" s="6"/>
      <c r="G1214" s="7" t="s">
        <v>8334</v>
      </c>
      <c r="I1214" s="8" t="s">
        <v>8335</v>
      </c>
      <c r="J1214" s="9">
        <v>65.0</v>
      </c>
      <c r="K1214" s="10" t="s">
        <v>11</v>
      </c>
      <c r="L1214" s="6"/>
      <c r="M1214" s="11" t="s">
        <v>17</v>
      </c>
      <c r="N1214" s="6"/>
      <c r="O1214" s="6" t="s">
        <v>8336</v>
      </c>
      <c r="P1214" s="10" t="s">
        <v>15</v>
      </c>
      <c r="Q1214" s="6"/>
      <c r="R1214" s="6"/>
      <c r="S1214" s="6"/>
      <c r="T1214" s="6" t="s">
        <v>16</v>
      </c>
      <c r="U1214" s="9" t="s">
        <v>17</v>
      </c>
      <c r="AI1214" s="6" t="s">
        <v>7379</v>
      </c>
      <c r="AJ1214" s="12" t="s">
        <v>8337</v>
      </c>
      <c r="AL1214" s="13" t="s">
        <v>7381</v>
      </c>
    </row>
    <row r="1215">
      <c r="A1215" s="5" t="s">
        <v>8338</v>
      </c>
      <c r="B1215" s="5" t="s">
        <v>8339</v>
      </c>
      <c r="C1215" s="5" t="s">
        <v>8264</v>
      </c>
      <c r="D1215" s="5" t="s">
        <v>507</v>
      </c>
      <c r="E1215" s="6"/>
      <c r="F1215" s="6"/>
      <c r="G1215" s="7" t="s">
        <v>8340</v>
      </c>
      <c r="I1215" s="8" t="s">
        <v>8341</v>
      </c>
      <c r="J1215" s="9">
        <v>70.0</v>
      </c>
      <c r="K1215" s="10" t="s">
        <v>11</v>
      </c>
      <c r="L1215" s="6"/>
      <c r="M1215" s="11" t="s">
        <v>17</v>
      </c>
      <c r="N1215" s="6"/>
      <c r="O1215" s="6" t="s">
        <v>8342</v>
      </c>
      <c r="P1215" s="10" t="s">
        <v>15</v>
      </c>
      <c r="Q1215" s="6"/>
      <c r="R1215" s="6"/>
      <c r="S1215" s="6"/>
      <c r="T1215" s="6" t="s">
        <v>16</v>
      </c>
      <c r="U1215" s="9" t="s">
        <v>17</v>
      </c>
      <c r="AI1215" s="6" t="s">
        <v>7379</v>
      </c>
      <c r="AJ1215" s="12" t="s">
        <v>8343</v>
      </c>
      <c r="AL1215" s="13" t="s">
        <v>7381</v>
      </c>
    </row>
    <row r="1216">
      <c r="A1216" s="5" t="s">
        <v>8344</v>
      </c>
      <c r="B1216" s="5" t="s">
        <v>8345</v>
      </c>
      <c r="C1216" s="5" t="s">
        <v>8346</v>
      </c>
      <c r="D1216" s="5" t="s">
        <v>8</v>
      </c>
      <c r="E1216" s="6"/>
      <c r="F1216" s="6"/>
      <c r="G1216" s="7" t="s">
        <v>8347</v>
      </c>
      <c r="I1216" s="8" t="s">
        <v>8348</v>
      </c>
      <c r="J1216" s="9">
        <v>29.95</v>
      </c>
      <c r="K1216" s="10" t="s">
        <v>11</v>
      </c>
      <c r="L1216" s="6"/>
      <c r="M1216" s="11" t="s">
        <v>17</v>
      </c>
      <c r="N1216" s="6"/>
      <c r="O1216" s="6" t="s">
        <v>8349</v>
      </c>
      <c r="P1216" s="10" t="s">
        <v>15</v>
      </c>
      <c r="Q1216" s="6"/>
      <c r="R1216" s="6"/>
      <c r="S1216" s="6"/>
      <c r="T1216" s="6" t="s">
        <v>16</v>
      </c>
      <c r="U1216" s="9" t="s">
        <v>17</v>
      </c>
      <c r="AI1216" s="6" t="s">
        <v>7379</v>
      </c>
      <c r="AJ1216" s="12" t="s">
        <v>8350</v>
      </c>
      <c r="AL1216" s="13" t="s">
        <v>7381</v>
      </c>
    </row>
    <row r="1217">
      <c r="A1217" s="5" t="s">
        <v>8351</v>
      </c>
      <c r="B1217" s="5" t="s">
        <v>8352</v>
      </c>
      <c r="C1217" s="5" t="s">
        <v>8264</v>
      </c>
      <c r="D1217" s="5" t="s">
        <v>507</v>
      </c>
      <c r="E1217" s="6"/>
      <c r="F1217" s="6"/>
      <c r="G1217" s="7" t="s">
        <v>8353</v>
      </c>
      <c r="I1217" s="8" t="s">
        <v>8354</v>
      </c>
      <c r="J1217" s="9">
        <v>20.0</v>
      </c>
      <c r="K1217" s="10" t="s">
        <v>11</v>
      </c>
      <c r="L1217" s="6"/>
      <c r="M1217" s="11" t="s">
        <v>17</v>
      </c>
      <c r="N1217" s="6"/>
      <c r="O1217" s="6" t="s">
        <v>8355</v>
      </c>
      <c r="P1217" s="10" t="s">
        <v>15</v>
      </c>
      <c r="Q1217" s="6"/>
      <c r="R1217" s="6"/>
      <c r="S1217" s="6"/>
      <c r="T1217" s="6" t="s">
        <v>16</v>
      </c>
      <c r="U1217" s="9" t="s">
        <v>17</v>
      </c>
      <c r="AI1217" s="6" t="s">
        <v>7379</v>
      </c>
      <c r="AJ1217" s="12" t="s">
        <v>8356</v>
      </c>
      <c r="AL1217" s="13" t="s">
        <v>7381</v>
      </c>
    </row>
    <row r="1218">
      <c r="A1218" s="5" t="s">
        <v>8357</v>
      </c>
      <c r="B1218" s="5" t="s">
        <v>8358</v>
      </c>
      <c r="C1218" s="5" t="s">
        <v>8359</v>
      </c>
      <c r="D1218" s="5" t="s">
        <v>8</v>
      </c>
      <c r="E1218" s="6"/>
      <c r="F1218" s="6"/>
      <c r="G1218" s="7" t="s">
        <v>8360</v>
      </c>
      <c r="I1218" s="8" t="s">
        <v>8361</v>
      </c>
      <c r="J1218" s="9">
        <v>22.0</v>
      </c>
      <c r="K1218" s="10" t="s">
        <v>11</v>
      </c>
      <c r="L1218" s="6"/>
      <c r="M1218" s="11" t="s">
        <v>17</v>
      </c>
      <c r="N1218" s="6"/>
      <c r="O1218" s="6" t="s">
        <v>8362</v>
      </c>
      <c r="P1218" s="10" t="s">
        <v>15</v>
      </c>
      <c r="Q1218" s="6"/>
      <c r="R1218" s="6"/>
      <c r="S1218" s="6"/>
      <c r="T1218" s="6" t="s">
        <v>16</v>
      </c>
      <c r="U1218" s="9" t="s">
        <v>17</v>
      </c>
      <c r="AI1218" s="6" t="s">
        <v>7379</v>
      </c>
      <c r="AJ1218" s="12" t="s">
        <v>8363</v>
      </c>
      <c r="AL1218" s="13" t="s">
        <v>7381</v>
      </c>
    </row>
    <row r="1219">
      <c r="A1219" s="5" t="s">
        <v>8364</v>
      </c>
      <c r="B1219" s="5" t="s">
        <v>8365</v>
      </c>
      <c r="C1219" s="5" t="s">
        <v>8264</v>
      </c>
      <c r="D1219" s="5" t="s">
        <v>8</v>
      </c>
      <c r="E1219" s="6"/>
      <c r="F1219" s="6"/>
      <c r="G1219" s="7" t="s">
        <v>8366</v>
      </c>
      <c r="I1219" s="8" t="s">
        <v>8367</v>
      </c>
      <c r="J1219" s="9">
        <v>20.0</v>
      </c>
      <c r="K1219" s="10" t="s">
        <v>11</v>
      </c>
      <c r="L1219" s="6"/>
      <c r="M1219" s="11" t="s">
        <v>17</v>
      </c>
      <c r="N1219" s="6"/>
      <c r="O1219" s="6" t="s">
        <v>8368</v>
      </c>
      <c r="P1219" s="10" t="s">
        <v>15</v>
      </c>
      <c r="Q1219" s="6"/>
      <c r="R1219" s="6"/>
      <c r="S1219" s="6"/>
      <c r="T1219" s="6" t="s">
        <v>16</v>
      </c>
      <c r="U1219" s="9" t="s">
        <v>17</v>
      </c>
      <c r="AI1219" s="6" t="s">
        <v>7379</v>
      </c>
      <c r="AJ1219" s="12" t="s">
        <v>8369</v>
      </c>
      <c r="AL1219" s="13" t="s">
        <v>7381</v>
      </c>
    </row>
    <row r="1220">
      <c r="A1220" s="5" t="s">
        <v>8370</v>
      </c>
      <c r="B1220" s="5" t="s">
        <v>8371</v>
      </c>
      <c r="C1220" s="5" t="s">
        <v>8264</v>
      </c>
      <c r="D1220" s="5" t="s">
        <v>8</v>
      </c>
      <c r="E1220" s="6"/>
      <c r="F1220" s="6"/>
      <c r="G1220" s="7" t="s">
        <v>8372</v>
      </c>
      <c r="I1220" s="8" t="s">
        <v>8373</v>
      </c>
      <c r="J1220" s="9">
        <v>12.0</v>
      </c>
      <c r="K1220" s="10" t="s">
        <v>11</v>
      </c>
      <c r="L1220" s="6"/>
      <c r="M1220" s="11" t="s">
        <v>17</v>
      </c>
      <c r="N1220" s="6"/>
      <c r="O1220" s="6" t="s">
        <v>8374</v>
      </c>
      <c r="P1220" s="10" t="s">
        <v>15</v>
      </c>
      <c r="Q1220" s="6"/>
      <c r="R1220" s="6"/>
      <c r="S1220" s="6"/>
      <c r="T1220" s="6" t="s">
        <v>16</v>
      </c>
      <c r="U1220" s="9" t="s">
        <v>17</v>
      </c>
      <c r="AI1220" s="6" t="s">
        <v>7379</v>
      </c>
      <c r="AJ1220" s="12" t="s">
        <v>8375</v>
      </c>
      <c r="AL1220" s="13" t="s">
        <v>7381</v>
      </c>
    </row>
    <row r="1221">
      <c r="A1221" s="5" t="s">
        <v>8376</v>
      </c>
      <c r="B1221" s="5" t="s">
        <v>8377</v>
      </c>
      <c r="C1221" s="5" t="s">
        <v>8264</v>
      </c>
      <c r="D1221" s="5" t="s">
        <v>8</v>
      </c>
      <c r="E1221" s="6"/>
      <c r="F1221" s="6"/>
      <c r="G1221" s="7" t="s">
        <v>8378</v>
      </c>
      <c r="I1221" s="8" t="s">
        <v>8379</v>
      </c>
      <c r="J1221" s="9">
        <v>12.0</v>
      </c>
      <c r="K1221" s="10" t="s">
        <v>11</v>
      </c>
      <c r="L1221" s="6"/>
      <c r="M1221" s="11" t="s">
        <v>17</v>
      </c>
      <c r="N1221" s="6"/>
      <c r="O1221" s="6" t="s">
        <v>8380</v>
      </c>
      <c r="P1221" s="10" t="s">
        <v>15</v>
      </c>
      <c r="Q1221" s="6"/>
      <c r="R1221" s="6"/>
      <c r="S1221" s="6"/>
      <c r="T1221" s="6" t="s">
        <v>16</v>
      </c>
      <c r="U1221" s="9" t="s">
        <v>17</v>
      </c>
      <c r="AI1221" s="6" t="s">
        <v>7379</v>
      </c>
      <c r="AJ1221" s="12" t="s">
        <v>8381</v>
      </c>
      <c r="AL1221" s="13" t="s">
        <v>7381</v>
      </c>
    </row>
    <row r="1222">
      <c r="A1222" s="5" t="s">
        <v>8382</v>
      </c>
      <c r="B1222" s="5" t="s">
        <v>8383</v>
      </c>
      <c r="C1222" s="5" t="s">
        <v>8384</v>
      </c>
      <c r="D1222" s="5" t="s">
        <v>507</v>
      </c>
      <c r="E1222" s="6"/>
      <c r="F1222" s="6"/>
      <c r="G1222" s="7" t="s">
        <v>8385</v>
      </c>
      <c r="I1222" s="8" t="s">
        <v>8386</v>
      </c>
      <c r="J1222" s="9">
        <v>25.0</v>
      </c>
      <c r="K1222" s="10" t="s">
        <v>11</v>
      </c>
      <c r="L1222" s="6"/>
      <c r="M1222" s="11" t="s">
        <v>17</v>
      </c>
      <c r="N1222" s="6"/>
      <c r="O1222" s="6" t="s">
        <v>8387</v>
      </c>
      <c r="P1222" s="10" t="s">
        <v>15</v>
      </c>
      <c r="Q1222" s="6"/>
      <c r="R1222" s="6"/>
      <c r="S1222" s="6"/>
      <c r="T1222" s="6" t="s">
        <v>16</v>
      </c>
      <c r="U1222" s="9" t="s">
        <v>17</v>
      </c>
      <c r="AI1222" s="6" t="s">
        <v>7379</v>
      </c>
      <c r="AJ1222" s="12" t="s">
        <v>8388</v>
      </c>
      <c r="AL1222" s="13" t="s">
        <v>7381</v>
      </c>
    </row>
    <row r="1223">
      <c r="A1223" s="5" t="s">
        <v>8389</v>
      </c>
      <c r="B1223" s="5" t="s">
        <v>8390</v>
      </c>
      <c r="C1223" s="5" t="s">
        <v>8391</v>
      </c>
      <c r="D1223" s="5" t="s">
        <v>8</v>
      </c>
      <c r="E1223" s="6"/>
      <c r="F1223" s="6"/>
      <c r="G1223" s="7" t="s">
        <v>8392</v>
      </c>
      <c r="I1223" s="8" t="s">
        <v>8393</v>
      </c>
      <c r="J1223" s="9">
        <v>19.0</v>
      </c>
      <c r="K1223" s="10">
        <v>19.0</v>
      </c>
      <c r="L1223" s="6"/>
      <c r="M1223" s="11" t="s">
        <v>17</v>
      </c>
      <c r="N1223" s="6"/>
      <c r="O1223" s="6" t="s">
        <v>8394</v>
      </c>
      <c r="P1223" s="10" t="s">
        <v>15</v>
      </c>
      <c r="Q1223" s="6"/>
      <c r="R1223" s="6"/>
      <c r="S1223" s="6"/>
      <c r="T1223" s="6" t="s">
        <v>16</v>
      </c>
      <c r="U1223" s="9" t="s">
        <v>17</v>
      </c>
      <c r="AI1223" s="6" t="s">
        <v>7379</v>
      </c>
      <c r="AJ1223" s="12" t="s">
        <v>8395</v>
      </c>
      <c r="AL1223" s="13" t="s">
        <v>7381</v>
      </c>
    </row>
    <row r="1224">
      <c r="A1224" s="5" t="s">
        <v>8396</v>
      </c>
      <c r="B1224" s="5" t="s">
        <v>8397</v>
      </c>
      <c r="C1224" s="5" t="s">
        <v>8359</v>
      </c>
      <c r="D1224" s="5" t="s">
        <v>8</v>
      </c>
      <c r="E1224" s="6"/>
      <c r="F1224" s="6"/>
      <c r="G1224" s="7" t="s">
        <v>8398</v>
      </c>
      <c r="I1224" s="8" t="s">
        <v>8399</v>
      </c>
      <c r="J1224" s="9">
        <v>21.0</v>
      </c>
      <c r="K1224" s="10" t="s">
        <v>11</v>
      </c>
      <c r="L1224" s="6"/>
      <c r="M1224" s="11" t="s">
        <v>17</v>
      </c>
      <c r="N1224" s="6"/>
      <c r="O1224" s="6" t="s">
        <v>8400</v>
      </c>
      <c r="P1224" s="10" t="s">
        <v>15</v>
      </c>
      <c r="Q1224" s="6"/>
      <c r="R1224" s="6"/>
      <c r="S1224" s="6"/>
      <c r="T1224" s="6" t="s">
        <v>16</v>
      </c>
      <c r="U1224" s="9" t="s">
        <v>17</v>
      </c>
      <c r="AI1224" s="6" t="s">
        <v>7379</v>
      </c>
      <c r="AJ1224" s="12" t="s">
        <v>8401</v>
      </c>
      <c r="AL1224" s="13" t="s">
        <v>7381</v>
      </c>
    </row>
    <row r="1225">
      <c r="A1225" s="5" t="s">
        <v>8402</v>
      </c>
      <c r="B1225" s="5" t="s">
        <v>8403</v>
      </c>
      <c r="C1225" s="5" t="s">
        <v>8404</v>
      </c>
      <c r="D1225" s="5" t="s">
        <v>8</v>
      </c>
      <c r="E1225" s="6"/>
      <c r="F1225" s="6"/>
      <c r="G1225" s="7" t="s">
        <v>8405</v>
      </c>
      <c r="I1225" s="8" t="s">
        <v>8406</v>
      </c>
      <c r="J1225" s="9">
        <v>19.0</v>
      </c>
      <c r="K1225" s="10" t="s">
        <v>11</v>
      </c>
      <c r="L1225" s="6"/>
      <c r="M1225" s="11" t="s">
        <v>17</v>
      </c>
      <c r="N1225" s="6"/>
      <c r="O1225" s="6" t="s">
        <v>8407</v>
      </c>
      <c r="P1225" s="10" t="s">
        <v>15</v>
      </c>
      <c r="Q1225" s="6"/>
      <c r="R1225" s="6"/>
      <c r="S1225" s="6"/>
      <c r="T1225" s="6" t="s">
        <v>16</v>
      </c>
      <c r="U1225" s="9" t="s">
        <v>17</v>
      </c>
      <c r="AI1225" s="6" t="s">
        <v>7379</v>
      </c>
      <c r="AJ1225" s="12" t="s">
        <v>8408</v>
      </c>
      <c r="AL1225" s="13" t="s">
        <v>7381</v>
      </c>
    </row>
    <row r="1226">
      <c r="A1226" s="5" t="s">
        <v>8409</v>
      </c>
      <c r="B1226" s="5" t="s">
        <v>8410</v>
      </c>
      <c r="C1226" s="5" t="s">
        <v>8411</v>
      </c>
      <c r="D1226" s="5" t="s">
        <v>8</v>
      </c>
      <c r="E1226" s="6"/>
      <c r="F1226" s="6"/>
      <c r="G1226" s="7" t="s">
        <v>8412</v>
      </c>
      <c r="I1226" s="8" t="s">
        <v>8413</v>
      </c>
      <c r="J1226" s="9">
        <v>15.0</v>
      </c>
      <c r="K1226" s="10" t="s">
        <v>11</v>
      </c>
      <c r="L1226" s="6"/>
      <c r="M1226" s="11" t="s">
        <v>17</v>
      </c>
      <c r="N1226" s="6"/>
      <c r="O1226" s="6" t="s">
        <v>8414</v>
      </c>
      <c r="P1226" s="10" t="s">
        <v>15</v>
      </c>
      <c r="Q1226" s="6"/>
      <c r="R1226" s="6"/>
      <c r="S1226" s="6"/>
      <c r="T1226" s="6" t="s">
        <v>16</v>
      </c>
      <c r="U1226" s="9" t="s">
        <v>17</v>
      </c>
      <c r="AI1226" s="6" t="s">
        <v>7379</v>
      </c>
      <c r="AJ1226" s="12" t="s">
        <v>8415</v>
      </c>
      <c r="AL1226" s="13" t="s">
        <v>7381</v>
      </c>
    </row>
    <row r="1227">
      <c r="A1227" s="5" t="s">
        <v>8416</v>
      </c>
      <c r="B1227" s="5" t="s">
        <v>8417</v>
      </c>
      <c r="C1227" s="5" t="s">
        <v>8418</v>
      </c>
      <c r="D1227" s="5" t="s">
        <v>8</v>
      </c>
      <c r="E1227" s="6"/>
      <c r="F1227" s="6"/>
      <c r="G1227" s="7" t="s">
        <v>8419</v>
      </c>
      <c r="I1227" s="8" t="s">
        <v>8420</v>
      </c>
      <c r="J1227" s="9">
        <v>28.0</v>
      </c>
      <c r="K1227" s="10" t="s">
        <v>11</v>
      </c>
      <c r="L1227" s="6"/>
      <c r="M1227" s="11" t="s">
        <v>17</v>
      </c>
      <c r="N1227" s="6"/>
      <c r="O1227" s="6" t="s">
        <v>8421</v>
      </c>
      <c r="P1227" s="10" t="s">
        <v>15</v>
      </c>
      <c r="Q1227" s="6"/>
      <c r="R1227" s="6"/>
      <c r="S1227" s="6"/>
      <c r="T1227" s="6" t="s">
        <v>16</v>
      </c>
      <c r="U1227" s="9" t="s">
        <v>17</v>
      </c>
      <c r="AI1227" s="6" t="s">
        <v>7379</v>
      </c>
      <c r="AJ1227" s="12" t="s">
        <v>8422</v>
      </c>
      <c r="AL1227" s="13" t="s">
        <v>7381</v>
      </c>
    </row>
    <row r="1228">
      <c r="A1228" s="5" t="s">
        <v>8423</v>
      </c>
      <c r="B1228" s="5" t="s">
        <v>8424</v>
      </c>
      <c r="C1228" s="5" t="s">
        <v>8250</v>
      </c>
      <c r="D1228" s="5" t="s">
        <v>8</v>
      </c>
      <c r="E1228" s="6"/>
      <c r="F1228" s="6"/>
      <c r="G1228" s="7" t="s">
        <v>8425</v>
      </c>
      <c r="I1228" s="8" t="s">
        <v>8426</v>
      </c>
      <c r="J1228" s="9">
        <v>32.0</v>
      </c>
      <c r="K1228" s="10" t="s">
        <v>11</v>
      </c>
      <c r="L1228" s="6"/>
      <c r="M1228" s="11" t="s">
        <v>17</v>
      </c>
      <c r="N1228" s="6"/>
      <c r="O1228" s="6" t="s">
        <v>8427</v>
      </c>
      <c r="P1228" s="10" t="s">
        <v>15</v>
      </c>
      <c r="Q1228" s="6"/>
      <c r="R1228" s="6"/>
      <c r="S1228" s="6"/>
      <c r="T1228" s="6" t="s">
        <v>16</v>
      </c>
      <c r="U1228" s="9" t="s">
        <v>17</v>
      </c>
      <c r="AI1228" s="6" t="s">
        <v>7379</v>
      </c>
      <c r="AJ1228" s="12" t="s">
        <v>8428</v>
      </c>
      <c r="AL1228" s="13" t="s">
        <v>7381</v>
      </c>
    </row>
    <row r="1229">
      <c r="A1229" s="5" t="s">
        <v>8429</v>
      </c>
      <c r="B1229" s="5" t="s">
        <v>8430</v>
      </c>
      <c r="C1229" s="5" t="s">
        <v>8431</v>
      </c>
      <c r="D1229" s="5" t="s">
        <v>8</v>
      </c>
      <c r="E1229" s="6"/>
      <c r="F1229" s="6"/>
      <c r="G1229" s="7" t="s">
        <v>8432</v>
      </c>
      <c r="I1229" s="8" t="s">
        <v>8433</v>
      </c>
      <c r="J1229" s="9">
        <v>9.3</v>
      </c>
      <c r="K1229" s="10" t="s">
        <v>11</v>
      </c>
      <c r="L1229" s="6"/>
      <c r="M1229" s="11" t="s">
        <v>17</v>
      </c>
      <c r="N1229" s="6"/>
      <c r="O1229" s="6" t="s">
        <v>8434</v>
      </c>
      <c r="P1229" s="10" t="s">
        <v>15</v>
      </c>
      <c r="Q1229" s="6"/>
      <c r="R1229" s="6"/>
      <c r="S1229" s="6" t="s">
        <v>8435</v>
      </c>
      <c r="T1229" s="6" t="s">
        <v>16</v>
      </c>
      <c r="U1229" s="9" t="s">
        <v>17</v>
      </c>
      <c r="AI1229" s="6" t="s">
        <v>8436</v>
      </c>
      <c r="AJ1229" s="12" t="s">
        <v>8437</v>
      </c>
      <c r="AL1229" s="13" t="s">
        <v>8438</v>
      </c>
    </row>
    <row r="1230">
      <c r="A1230" s="5" t="s">
        <v>8439</v>
      </c>
      <c r="B1230" s="5" t="s">
        <v>8440</v>
      </c>
      <c r="C1230" s="5" t="s">
        <v>8441</v>
      </c>
      <c r="D1230" s="5" t="s">
        <v>8</v>
      </c>
      <c r="E1230" s="6"/>
      <c r="F1230" s="6"/>
      <c r="G1230" s="7" t="s">
        <v>8442</v>
      </c>
      <c r="I1230" s="8" t="s">
        <v>8443</v>
      </c>
      <c r="J1230" s="9">
        <v>11.0</v>
      </c>
      <c r="K1230" s="10" t="s">
        <v>11</v>
      </c>
      <c r="L1230" s="6"/>
      <c r="M1230" s="11" t="s">
        <v>17</v>
      </c>
      <c r="N1230" s="6"/>
      <c r="O1230" s="6" t="s">
        <v>8444</v>
      </c>
      <c r="P1230" s="10" t="s">
        <v>15</v>
      </c>
      <c r="Q1230" s="6"/>
      <c r="R1230" s="6"/>
      <c r="S1230" s="6"/>
      <c r="T1230" s="6" t="s">
        <v>16</v>
      </c>
      <c r="U1230" s="9" t="s">
        <v>17</v>
      </c>
      <c r="AI1230" s="6" t="s">
        <v>8436</v>
      </c>
      <c r="AJ1230" s="12" t="s">
        <v>8445</v>
      </c>
      <c r="AL1230" s="13" t="s">
        <v>7381</v>
      </c>
    </row>
    <row r="1231">
      <c r="A1231" s="5" t="s">
        <v>8446</v>
      </c>
      <c r="B1231" s="5" t="s">
        <v>8447</v>
      </c>
      <c r="C1231" s="5" t="s">
        <v>8448</v>
      </c>
      <c r="D1231" s="5" t="s">
        <v>8</v>
      </c>
      <c r="E1231" s="6"/>
      <c r="F1231" s="6"/>
      <c r="G1231" s="7" t="s">
        <v>8449</v>
      </c>
      <c r="I1231" s="8" t="s">
        <v>8450</v>
      </c>
      <c r="J1231" s="9">
        <v>29.0</v>
      </c>
      <c r="K1231" s="10" t="s">
        <v>11</v>
      </c>
      <c r="L1231" s="6"/>
      <c r="M1231" s="11" t="s">
        <v>17</v>
      </c>
      <c r="N1231" s="6"/>
      <c r="O1231" s="6" t="s">
        <v>8451</v>
      </c>
      <c r="P1231" s="10" t="s">
        <v>15</v>
      </c>
      <c r="Q1231" s="6"/>
      <c r="R1231" s="6"/>
      <c r="S1231" s="6"/>
      <c r="T1231" s="6" t="s">
        <v>16</v>
      </c>
      <c r="U1231" s="9" t="s">
        <v>17</v>
      </c>
      <c r="AI1231" s="6" t="s">
        <v>8436</v>
      </c>
      <c r="AJ1231" s="12" t="s">
        <v>8452</v>
      </c>
      <c r="AL1231" s="13" t="s">
        <v>7381</v>
      </c>
    </row>
    <row r="1232">
      <c r="A1232" s="5" t="s">
        <v>8453</v>
      </c>
      <c r="B1232" s="5" t="s">
        <v>8454</v>
      </c>
      <c r="C1232" s="5" t="s">
        <v>5831</v>
      </c>
      <c r="D1232" s="5" t="s">
        <v>507</v>
      </c>
      <c r="E1232" s="6"/>
      <c r="F1232" s="6"/>
      <c r="G1232" s="7" t="s">
        <v>8455</v>
      </c>
      <c r="I1232" s="8" t="s">
        <v>8456</v>
      </c>
      <c r="J1232" s="9">
        <v>2.0</v>
      </c>
      <c r="K1232" s="10" t="s">
        <v>11</v>
      </c>
      <c r="L1232" s="6"/>
      <c r="M1232" s="11" t="s">
        <v>17</v>
      </c>
      <c r="N1232" s="6"/>
      <c r="O1232" s="6" t="s">
        <v>8457</v>
      </c>
      <c r="P1232" s="10" t="s">
        <v>15</v>
      </c>
      <c r="Q1232" s="6"/>
      <c r="R1232" s="6"/>
      <c r="S1232" s="6"/>
      <c r="T1232" s="6" t="s">
        <v>16</v>
      </c>
      <c r="U1232" s="9" t="s">
        <v>17</v>
      </c>
      <c r="AI1232" s="6" t="s">
        <v>8458</v>
      </c>
      <c r="AJ1232" s="12" t="s">
        <v>8459</v>
      </c>
      <c r="AL1232" s="13" t="s">
        <v>8460</v>
      </c>
    </row>
    <row r="1233">
      <c r="A1233" s="5" t="s">
        <v>8461</v>
      </c>
      <c r="B1233" s="5" t="s">
        <v>8462</v>
      </c>
      <c r="C1233" s="5" t="s">
        <v>5831</v>
      </c>
      <c r="D1233" s="5" t="s">
        <v>8</v>
      </c>
      <c r="E1233" s="6"/>
      <c r="F1233" s="6"/>
      <c r="G1233" s="7" t="s">
        <v>8463</v>
      </c>
      <c r="I1233" s="8" t="s">
        <v>8464</v>
      </c>
      <c r="J1233" s="9">
        <v>2.0</v>
      </c>
      <c r="K1233" s="10" t="s">
        <v>11</v>
      </c>
      <c r="L1233" s="6"/>
      <c r="M1233" s="11" t="s">
        <v>17</v>
      </c>
      <c r="N1233" s="6"/>
      <c r="O1233" s="6" t="s">
        <v>8465</v>
      </c>
      <c r="P1233" s="10" t="s">
        <v>15</v>
      </c>
      <c r="Q1233" s="6"/>
      <c r="R1233" s="6"/>
      <c r="S1233" s="6"/>
      <c r="T1233" s="6" t="s">
        <v>16</v>
      </c>
      <c r="U1233" s="9" t="s">
        <v>17</v>
      </c>
      <c r="AI1233" s="6" t="s">
        <v>8458</v>
      </c>
      <c r="AJ1233" s="12" t="s">
        <v>8459</v>
      </c>
      <c r="AL1233" s="13" t="s">
        <v>8460</v>
      </c>
    </row>
    <row r="1234">
      <c r="A1234" s="5" t="s">
        <v>8466</v>
      </c>
      <c r="B1234" s="5" t="s">
        <v>8467</v>
      </c>
      <c r="C1234" s="5" t="s">
        <v>8468</v>
      </c>
      <c r="D1234" s="5" t="s">
        <v>8</v>
      </c>
      <c r="E1234" s="6"/>
      <c r="F1234" s="6"/>
      <c r="G1234" s="7" t="s">
        <v>8469</v>
      </c>
      <c r="I1234" s="8" t="s">
        <v>8470</v>
      </c>
      <c r="J1234" s="9">
        <v>4.5</v>
      </c>
      <c r="K1234" s="10" t="s">
        <v>11</v>
      </c>
      <c r="L1234" s="6"/>
      <c r="M1234" s="11" t="s">
        <v>17</v>
      </c>
      <c r="N1234" s="6"/>
      <c r="O1234" s="6" t="s">
        <v>8471</v>
      </c>
      <c r="P1234" s="10" t="s">
        <v>15</v>
      </c>
      <c r="Q1234" s="6"/>
      <c r="R1234" s="6"/>
      <c r="S1234" s="6"/>
      <c r="T1234" s="6" t="s">
        <v>16</v>
      </c>
      <c r="U1234" s="9" t="s">
        <v>17</v>
      </c>
      <c r="AI1234" s="6" t="s">
        <v>8436</v>
      </c>
      <c r="AJ1234" s="12" t="s">
        <v>8472</v>
      </c>
      <c r="AL1234" s="13" t="s">
        <v>8438</v>
      </c>
    </row>
    <row r="1235">
      <c r="A1235" s="5" t="s">
        <v>8473</v>
      </c>
      <c r="B1235" s="5" t="s">
        <v>8474</v>
      </c>
      <c r="C1235" s="5" t="s">
        <v>8475</v>
      </c>
      <c r="D1235" s="5" t="s">
        <v>8</v>
      </c>
      <c r="E1235" s="6"/>
      <c r="F1235" s="6"/>
      <c r="G1235" s="7" t="s">
        <v>8476</v>
      </c>
      <c r="I1235" s="8" t="s">
        <v>8477</v>
      </c>
      <c r="J1235" s="9">
        <v>7.3</v>
      </c>
      <c r="K1235" s="10" t="s">
        <v>11</v>
      </c>
      <c r="L1235" s="6"/>
      <c r="M1235" s="11" t="s">
        <v>17</v>
      </c>
      <c r="N1235" s="6"/>
      <c r="O1235" s="6" t="s">
        <v>8478</v>
      </c>
      <c r="P1235" s="10" t="s">
        <v>15</v>
      </c>
      <c r="Q1235" s="6"/>
      <c r="R1235" s="6"/>
      <c r="S1235" s="6"/>
      <c r="T1235" s="6" t="s">
        <v>16</v>
      </c>
      <c r="U1235" s="9" t="s">
        <v>17</v>
      </c>
      <c r="AI1235" s="6" t="s">
        <v>8436</v>
      </c>
      <c r="AJ1235" s="12" t="s">
        <v>8479</v>
      </c>
      <c r="AL1235" s="13" t="s">
        <v>8438</v>
      </c>
    </row>
    <row r="1236">
      <c r="A1236" s="5" t="s">
        <v>8480</v>
      </c>
      <c r="B1236" s="5" t="s">
        <v>8481</v>
      </c>
      <c r="C1236" s="5" t="s">
        <v>5831</v>
      </c>
      <c r="D1236" s="5" t="s">
        <v>8</v>
      </c>
      <c r="E1236" s="6"/>
      <c r="F1236" s="6"/>
      <c r="G1236" s="7" t="s">
        <v>8482</v>
      </c>
      <c r="I1236" s="8" t="s">
        <v>8483</v>
      </c>
      <c r="J1236" s="9">
        <v>3.6</v>
      </c>
      <c r="K1236" s="10" t="s">
        <v>11</v>
      </c>
      <c r="L1236" s="6"/>
      <c r="M1236" s="11" t="s">
        <v>17</v>
      </c>
      <c r="N1236" s="6"/>
      <c r="O1236" s="6" t="s">
        <v>8484</v>
      </c>
      <c r="P1236" s="10" t="s">
        <v>15</v>
      </c>
      <c r="Q1236" s="6"/>
      <c r="R1236" s="6"/>
      <c r="S1236" s="6"/>
      <c r="T1236" s="6" t="s">
        <v>16</v>
      </c>
      <c r="U1236" s="9" t="s">
        <v>17</v>
      </c>
      <c r="AI1236" s="6" t="s">
        <v>8436</v>
      </c>
      <c r="AJ1236" s="12" t="s">
        <v>8485</v>
      </c>
      <c r="AL1236" s="13" t="s">
        <v>8460</v>
      </c>
    </row>
    <row r="1237">
      <c r="A1237" s="5" t="s">
        <v>8486</v>
      </c>
      <c r="B1237" s="5" t="s">
        <v>8487</v>
      </c>
      <c r="C1237" s="5" t="s">
        <v>8488</v>
      </c>
      <c r="D1237" s="5" t="s">
        <v>8</v>
      </c>
      <c r="E1237" s="6"/>
      <c r="F1237" s="6"/>
      <c r="G1237" s="7" t="s">
        <v>8489</v>
      </c>
      <c r="I1237" s="8" t="s">
        <v>8490</v>
      </c>
      <c r="J1237" s="9">
        <v>17.8</v>
      </c>
      <c r="K1237" s="10" t="s">
        <v>11</v>
      </c>
      <c r="L1237" s="6"/>
      <c r="M1237" s="11" t="s">
        <v>17</v>
      </c>
      <c r="N1237" s="6"/>
      <c r="O1237" s="6" t="s">
        <v>8491</v>
      </c>
      <c r="P1237" s="10" t="s">
        <v>15</v>
      </c>
      <c r="Q1237" s="6"/>
      <c r="R1237" s="6"/>
      <c r="S1237" s="6"/>
      <c r="T1237" s="6" t="s">
        <v>16</v>
      </c>
      <c r="U1237" s="9" t="s">
        <v>17</v>
      </c>
      <c r="AI1237" s="6" t="s">
        <v>8436</v>
      </c>
      <c r="AJ1237" s="12" t="s">
        <v>8492</v>
      </c>
      <c r="AL1237" s="13" t="s">
        <v>8460</v>
      </c>
    </row>
    <row r="1238">
      <c r="A1238" s="5" t="s">
        <v>8493</v>
      </c>
      <c r="B1238" s="5" t="s">
        <v>8494</v>
      </c>
      <c r="C1238" s="5" t="s">
        <v>8495</v>
      </c>
      <c r="D1238" s="5" t="s">
        <v>8</v>
      </c>
      <c r="E1238" s="6"/>
      <c r="F1238" s="6"/>
      <c r="G1238" s="7" t="s">
        <v>8496</v>
      </c>
      <c r="I1238" s="8" t="s">
        <v>8497</v>
      </c>
      <c r="J1238" s="9">
        <v>4.5</v>
      </c>
      <c r="K1238" s="10" t="s">
        <v>11</v>
      </c>
      <c r="L1238" s="6"/>
      <c r="M1238" s="11" t="s">
        <v>17</v>
      </c>
      <c r="N1238" s="6"/>
      <c r="O1238" s="6" t="s">
        <v>8498</v>
      </c>
      <c r="P1238" s="10" t="s">
        <v>15</v>
      </c>
      <c r="Q1238" s="6"/>
      <c r="R1238" s="6"/>
      <c r="S1238" s="6"/>
      <c r="T1238" s="6" t="s">
        <v>16</v>
      </c>
      <c r="U1238" s="9" t="s">
        <v>17</v>
      </c>
      <c r="AI1238" s="6" t="s">
        <v>8499</v>
      </c>
      <c r="AJ1238" s="12" t="s">
        <v>8500</v>
      </c>
      <c r="AL1238" s="13" t="s">
        <v>8460</v>
      </c>
    </row>
    <row r="1239">
      <c r="A1239" s="5" t="s">
        <v>8501</v>
      </c>
      <c r="B1239" s="5" t="s">
        <v>8502</v>
      </c>
      <c r="C1239" s="5" t="s">
        <v>5831</v>
      </c>
      <c r="D1239" s="5" t="s">
        <v>507</v>
      </c>
      <c r="E1239" s="6"/>
      <c r="F1239" s="6"/>
      <c r="G1239" s="7" t="s">
        <v>8503</v>
      </c>
      <c r="I1239" s="8" t="s">
        <v>8504</v>
      </c>
      <c r="J1239" s="9">
        <v>3.4</v>
      </c>
      <c r="K1239" s="10" t="s">
        <v>11</v>
      </c>
      <c r="L1239" s="6"/>
      <c r="M1239" s="11" t="s">
        <v>17</v>
      </c>
      <c r="N1239" s="6"/>
      <c r="O1239" s="6" t="s">
        <v>8505</v>
      </c>
      <c r="P1239" s="10" t="s">
        <v>15</v>
      </c>
      <c r="Q1239" s="6"/>
      <c r="R1239" s="6"/>
      <c r="S1239" s="6" t="s">
        <v>8506</v>
      </c>
      <c r="T1239" s="6" t="s">
        <v>16</v>
      </c>
      <c r="U1239" s="9" t="s">
        <v>17</v>
      </c>
      <c r="AI1239" s="6" t="s">
        <v>8458</v>
      </c>
      <c r="AJ1239" s="12" t="s">
        <v>8507</v>
      </c>
      <c r="AL1239" s="13" t="s">
        <v>8460</v>
      </c>
    </row>
    <row r="1240">
      <c r="A1240" s="5" t="s">
        <v>8508</v>
      </c>
      <c r="B1240" s="5" t="s">
        <v>8509</v>
      </c>
      <c r="C1240" s="5" t="s">
        <v>8510</v>
      </c>
      <c r="D1240" s="5" t="s">
        <v>8</v>
      </c>
      <c r="E1240" s="6"/>
      <c r="F1240" s="6"/>
      <c r="G1240" s="7" t="s">
        <v>8511</v>
      </c>
      <c r="I1240" s="8" t="s">
        <v>8512</v>
      </c>
      <c r="J1240" s="9">
        <v>2.9</v>
      </c>
      <c r="K1240" s="10" t="s">
        <v>11</v>
      </c>
      <c r="L1240" s="6"/>
      <c r="M1240" s="11" t="s">
        <v>17</v>
      </c>
      <c r="N1240" s="6"/>
      <c r="O1240" s="6" t="s">
        <v>8513</v>
      </c>
      <c r="P1240" s="10" t="s">
        <v>15</v>
      </c>
      <c r="Q1240" s="6"/>
      <c r="R1240" s="6"/>
      <c r="S1240" s="6"/>
      <c r="T1240" s="6" t="s">
        <v>16</v>
      </c>
      <c r="U1240" s="9" t="s">
        <v>17</v>
      </c>
      <c r="AI1240" s="6" t="s">
        <v>8514</v>
      </c>
      <c r="AJ1240" s="12" t="s">
        <v>8515</v>
      </c>
      <c r="AL1240" s="13" t="s">
        <v>8460</v>
      </c>
    </row>
    <row r="1241">
      <c r="A1241" s="5" t="s">
        <v>8516</v>
      </c>
      <c r="B1241" s="5" t="s">
        <v>8517</v>
      </c>
      <c r="C1241" s="5" t="s">
        <v>8510</v>
      </c>
      <c r="D1241" s="5" t="s">
        <v>8</v>
      </c>
      <c r="E1241" s="6"/>
      <c r="F1241" s="6"/>
      <c r="G1241" s="7" t="s">
        <v>8518</v>
      </c>
      <c r="I1241" s="8" t="s">
        <v>8512</v>
      </c>
      <c r="J1241" s="9">
        <v>29.0</v>
      </c>
      <c r="K1241" s="10" t="s">
        <v>11</v>
      </c>
      <c r="L1241" s="6"/>
      <c r="M1241" s="11" t="s">
        <v>17</v>
      </c>
      <c r="N1241" s="6"/>
      <c r="O1241" s="6" t="s">
        <v>8519</v>
      </c>
      <c r="P1241" s="10" t="s">
        <v>15</v>
      </c>
      <c r="Q1241" s="6"/>
      <c r="R1241" s="6"/>
      <c r="S1241" s="6"/>
      <c r="T1241" s="6" t="s">
        <v>16</v>
      </c>
      <c r="U1241" s="9" t="s">
        <v>17</v>
      </c>
      <c r="AI1241" s="6" t="s">
        <v>8514</v>
      </c>
      <c r="AJ1241" s="12" t="s">
        <v>8515</v>
      </c>
      <c r="AL1241" s="13" t="s">
        <v>8460</v>
      </c>
    </row>
    <row r="1242">
      <c r="A1242" s="5" t="s">
        <v>8520</v>
      </c>
      <c r="B1242" s="5" t="s">
        <v>8521</v>
      </c>
      <c r="C1242" s="5" t="s">
        <v>8510</v>
      </c>
      <c r="D1242" s="5" t="s">
        <v>8</v>
      </c>
      <c r="E1242" s="6"/>
      <c r="F1242" s="6"/>
      <c r="G1242" s="7" t="s">
        <v>8522</v>
      </c>
      <c r="I1242" s="8" t="s">
        <v>8523</v>
      </c>
      <c r="J1242" s="9">
        <v>2.9</v>
      </c>
      <c r="K1242" s="10" t="s">
        <v>11</v>
      </c>
      <c r="L1242" s="6"/>
      <c r="M1242" s="11" t="s">
        <v>17</v>
      </c>
      <c r="N1242" s="6"/>
      <c r="O1242" s="6" t="s">
        <v>8524</v>
      </c>
      <c r="P1242" s="10" t="s">
        <v>15</v>
      </c>
      <c r="Q1242" s="6"/>
      <c r="R1242" s="6"/>
      <c r="S1242" s="6"/>
      <c r="T1242" s="6" t="s">
        <v>16</v>
      </c>
      <c r="U1242" s="9" t="s">
        <v>17</v>
      </c>
      <c r="AI1242" s="6" t="s">
        <v>8514</v>
      </c>
      <c r="AJ1242" s="12" t="s">
        <v>8525</v>
      </c>
      <c r="AL1242" s="13" t="s">
        <v>8460</v>
      </c>
    </row>
    <row r="1243">
      <c r="A1243" s="5" t="s">
        <v>8526</v>
      </c>
      <c r="B1243" s="5" t="s">
        <v>8527</v>
      </c>
      <c r="C1243" s="5" t="s">
        <v>8510</v>
      </c>
      <c r="D1243" s="5" t="s">
        <v>8</v>
      </c>
      <c r="E1243" s="6"/>
      <c r="F1243" s="6"/>
      <c r="G1243" s="7" t="s">
        <v>8528</v>
      </c>
      <c r="I1243" s="8" t="s">
        <v>8523</v>
      </c>
      <c r="J1243" s="9">
        <v>29.0</v>
      </c>
      <c r="K1243" s="10" t="s">
        <v>11</v>
      </c>
      <c r="L1243" s="6"/>
      <c r="M1243" s="11" t="s">
        <v>17</v>
      </c>
      <c r="N1243" s="6"/>
      <c r="O1243" s="6" t="s">
        <v>8529</v>
      </c>
      <c r="P1243" s="10" t="s">
        <v>15</v>
      </c>
      <c r="Q1243" s="6"/>
      <c r="R1243" s="6"/>
      <c r="S1243" s="6"/>
      <c r="T1243" s="6" t="s">
        <v>16</v>
      </c>
      <c r="U1243" s="9" t="s">
        <v>17</v>
      </c>
      <c r="AI1243" s="6" t="s">
        <v>8514</v>
      </c>
      <c r="AJ1243" s="12" t="s">
        <v>8525</v>
      </c>
      <c r="AL1243" s="13" t="s">
        <v>8460</v>
      </c>
    </row>
    <row r="1244">
      <c r="A1244" s="5" t="s">
        <v>8530</v>
      </c>
      <c r="B1244" s="5" t="s">
        <v>8531</v>
      </c>
      <c r="C1244" s="5" t="s">
        <v>8510</v>
      </c>
      <c r="D1244" s="5" t="s">
        <v>507</v>
      </c>
      <c r="E1244" s="6"/>
      <c r="F1244" s="6"/>
      <c r="G1244" s="7" t="s">
        <v>8532</v>
      </c>
      <c r="I1244" s="8" t="s">
        <v>8533</v>
      </c>
      <c r="J1244" s="9">
        <v>2.9</v>
      </c>
      <c r="K1244" s="10" t="s">
        <v>11</v>
      </c>
      <c r="L1244" s="6"/>
      <c r="M1244" s="11" t="s">
        <v>17</v>
      </c>
      <c r="N1244" s="6"/>
      <c r="O1244" s="6" t="s">
        <v>8534</v>
      </c>
      <c r="P1244" s="10" t="s">
        <v>15</v>
      </c>
      <c r="Q1244" s="6"/>
      <c r="R1244" s="6"/>
      <c r="S1244" s="6" t="s">
        <v>8533</v>
      </c>
      <c r="T1244" s="6" t="s">
        <v>16</v>
      </c>
      <c r="U1244" s="9" t="s">
        <v>17</v>
      </c>
      <c r="AI1244" s="6" t="s">
        <v>8514</v>
      </c>
      <c r="AJ1244" s="12" t="s">
        <v>8535</v>
      </c>
      <c r="AL1244" s="13" t="s">
        <v>8460</v>
      </c>
    </row>
    <row r="1245">
      <c r="A1245" s="5" t="s">
        <v>8536</v>
      </c>
      <c r="B1245" s="5" t="s">
        <v>8537</v>
      </c>
      <c r="C1245" s="5" t="s">
        <v>8510</v>
      </c>
      <c r="D1245" s="5" t="s">
        <v>507</v>
      </c>
      <c r="E1245" s="6"/>
      <c r="F1245" s="6"/>
      <c r="G1245" s="7" t="s">
        <v>8538</v>
      </c>
      <c r="I1245" s="8" t="s">
        <v>8533</v>
      </c>
      <c r="J1245" s="9">
        <v>29.0</v>
      </c>
      <c r="K1245" s="10" t="s">
        <v>11</v>
      </c>
      <c r="L1245" s="6"/>
      <c r="M1245" s="11" t="s">
        <v>17</v>
      </c>
      <c r="N1245" s="6"/>
      <c r="O1245" s="6" t="s">
        <v>8539</v>
      </c>
      <c r="P1245" s="10" t="s">
        <v>15</v>
      </c>
      <c r="Q1245" s="6"/>
      <c r="R1245" s="6"/>
      <c r="S1245" s="6" t="s">
        <v>8533</v>
      </c>
      <c r="T1245" s="6" t="s">
        <v>16</v>
      </c>
      <c r="U1245" s="9" t="s">
        <v>17</v>
      </c>
      <c r="AI1245" s="6" t="s">
        <v>8514</v>
      </c>
      <c r="AJ1245" s="12" t="s">
        <v>8535</v>
      </c>
      <c r="AL1245" s="13" t="s">
        <v>8460</v>
      </c>
    </row>
    <row r="1246">
      <c r="A1246" s="5" t="s">
        <v>8540</v>
      </c>
      <c r="B1246" s="5" t="s">
        <v>8541</v>
      </c>
      <c r="C1246" s="5" t="s">
        <v>8510</v>
      </c>
      <c r="D1246" s="5" t="s">
        <v>8</v>
      </c>
      <c r="E1246" s="6"/>
      <c r="F1246" s="6"/>
      <c r="G1246" s="7" t="s">
        <v>8542</v>
      </c>
      <c r="I1246" s="8" t="s">
        <v>8512</v>
      </c>
      <c r="J1246" s="9">
        <v>2.9</v>
      </c>
      <c r="K1246" s="10" t="s">
        <v>11</v>
      </c>
      <c r="L1246" s="6"/>
      <c r="M1246" s="11" t="s">
        <v>17</v>
      </c>
      <c r="N1246" s="6"/>
      <c r="O1246" s="6" t="s">
        <v>8543</v>
      </c>
      <c r="P1246" s="10" t="s">
        <v>15</v>
      </c>
      <c r="Q1246" s="6"/>
      <c r="R1246" s="6"/>
      <c r="S1246" s="6"/>
      <c r="T1246" s="6" t="s">
        <v>16</v>
      </c>
      <c r="U1246" s="9" t="s">
        <v>17</v>
      </c>
      <c r="AI1246" s="6" t="s">
        <v>8514</v>
      </c>
      <c r="AJ1246" s="12" t="s">
        <v>8544</v>
      </c>
      <c r="AL1246" s="13" t="s">
        <v>8460</v>
      </c>
    </row>
    <row r="1247">
      <c r="A1247" s="5" t="s">
        <v>8545</v>
      </c>
      <c r="B1247" s="5" t="s">
        <v>8546</v>
      </c>
      <c r="C1247" s="5" t="s">
        <v>8510</v>
      </c>
      <c r="D1247" s="5" t="s">
        <v>8</v>
      </c>
      <c r="E1247" s="6"/>
      <c r="F1247" s="6"/>
      <c r="G1247" s="7" t="s">
        <v>8547</v>
      </c>
      <c r="I1247" s="8" t="s">
        <v>8512</v>
      </c>
      <c r="J1247" s="9">
        <v>29.0</v>
      </c>
      <c r="K1247" s="10" t="s">
        <v>11</v>
      </c>
      <c r="L1247" s="6"/>
      <c r="M1247" s="11" t="s">
        <v>17</v>
      </c>
      <c r="N1247" s="6"/>
      <c r="O1247" s="6" t="s">
        <v>8548</v>
      </c>
      <c r="P1247" s="10" t="s">
        <v>15</v>
      </c>
      <c r="Q1247" s="6"/>
      <c r="R1247" s="6"/>
      <c r="S1247" s="6"/>
      <c r="T1247" s="6" t="s">
        <v>16</v>
      </c>
      <c r="U1247" s="9" t="s">
        <v>17</v>
      </c>
      <c r="AI1247" s="6" t="s">
        <v>8514</v>
      </c>
      <c r="AJ1247" s="12" t="s">
        <v>8544</v>
      </c>
      <c r="AL1247" s="13" t="s">
        <v>8460</v>
      </c>
    </row>
    <row r="1248">
      <c r="A1248" s="5" t="s">
        <v>8549</v>
      </c>
      <c r="B1248" s="5" t="s">
        <v>8550</v>
      </c>
      <c r="C1248" s="5" t="s">
        <v>8510</v>
      </c>
      <c r="D1248" s="5" t="s">
        <v>8</v>
      </c>
      <c r="E1248" s="6"/>
      <c r="F1248" s="6"/>
      <c r="G1248" s="7" t="s">
        <v>8551</v>
      </c>
      <c r="I1248" s="8" t="s">
        <v>8523</v>
      </c>
      <c r="J1248" s="9">
        <v>2.9</v>
      </c>
      <c r="K1248" s="10" t="s">
        <v>11</v>
      </c>
      <c r="L1248" s="6"/>
      <c r="M1248" s="11" t="s">
        <v>17</v>
      </c>
      <c r="N1248" s="6"/>
      <c r="O1248" s="6" t="s">
        <v>8552</v>
      </c>
      <c r="P1248" s="10" t="s">
        <v>15</v>
      </c>
      <c r="Q1248" s="6"/>
      <c r="R1248" s="6"/>
      <c r="S1248" s="6"/>
      <c r="T1248" s="6" t="s">
        <v>16</v>
      </c>
      <c r="U1248" s="9" t="s">
        <v>17</v>
      </c>
      <c r="AI1248" s="6" t="s">
        <v>8514</v>
      </c>
      <c r="AJ1248" s="12" t="s">
        <v>8553</v>
      </c>
      <c r="AL1248" s="13" t="s">
        <v>8460</v>
      </c>
    </row>
    <row r="1249">
      <c r="A1249" s="5" t="s">
        <v>8554</v>
      </c>
      <c r="B1249" s="5" t="s">
        <v>8555</v>
      </c>
      <c r="C1249" s="5" t="s">
        <v>8510</v>
      </c>
      <c r="D1249" s="5" t="s">
        <v>8</v>
      </c>
      <c r="E1249" s="6"/>
      <c r="F1249" s="6"/>
      <c r="G1249" s="7" t="s">
        <v>8556</v>
      </c>
      <c r="I1249" s="8" t="s">
        <v>8523</v>
      </c>
      <c r="J1249" s="9">
        <v>29.0</v>
      </c>
      <c r="K1249" s="10" t="s">
        <v>11</v>
      </c>
      <c r="L1249" s="6"/>
      <c r="M1249" s="11" t="s">
        <v>17</v>
      </c>
      <c r="N1249" s="6"/>
      <c r="O1249" s="6" t="s">
        <v>8557</v>
      </c>
      <c r="P1249" s="10" t="s">
        <v>15</v>
      </c>
      <c r="Q1249" s="6"/>
      <c r="R1249" s="6"/>
      <c r="S1249" s="6"/>
      <c r="T1249" s="6" t="s">
        <v>16</v>
      </c>
      <c r="U1249" s="9" t="s">
        <v>17</v>
      </c>
      <c r="AI1249" s="6" t="s">
        <v>8514</v>
      </c>
      <c r="AJ1249" s="12" t="s">
        <v>8553</v>
      </c>
      <c r="AL1249" s="13" t="s">
        <v>8460</v>
      </c>
    </row>
    <row r="1250">
      <c r="A1250" s="5" t="s">
        <v>8558</v>
      </c>
      <c r="B1250" s="5" t="s">
        <v>8559</v>
      </c>
      <c r="C1250" s="5" t="s">
        <v>8510</v>
      </c>
      <c r="D1250" s="5" t="s">
        <v>8</v>
      </c>
      <c r="E1250" s="6"/>
      <c r="F1250" s="6"/>
      <c r="G1250" s="7" t="s">
        <v>8560</v>
      </c>
      <c r="I1250" s="8" t="s">
        <v>8533</v>
      </c>
      <c r="J1250" s="9">
        <v>2.9</v>
      </c>
      <c r="K1250" s="10" t="s">
        <v>11</v>
      </c>
      <c r="L1250" s="6"/>
      <c r="M1250" s="11" t="s">
        <v>17</v>
      </c>
      <c r="N1250" s="6"/>
      <c r="O1250" s="6" t="s">
        <v>8561</v>
      </c>
      <c r="P1250" s="10" t="s">
        <v>15</v>
      </c>
      <c r="Q1250" s="6"/>
      <c r="R1250" s="6"/>
      <c r="S1250" s="6"/>
      <c r="T1250" s="6" t="s">
        <v>16</v>
      </c>
      <c r="U1250" s="9" t="s">
        <v>17</v>
      </c>
      <c r="AI1250" s="6" t="s">
        <v>8514</v>
      </c>
      <c r="AJ1250" s="12" t="s">
        <v>8562</v>
      </c>
      <c r="AL1250" s="13" t="s">
        <v>8460</v>
      </c>
    </row>
    <row r="1251">
      <c r="A1251" s="5" t="s">
        <v>8563</v>
      </c>
      <c r="B1251" s="5" t="s">
        <v>8564</v>
      </c>
      <c r="C1251" s="5" t="s">
        <v>8510</v>
      </c>
      <c r="D1251" s="5" t="s">
        <v>8</v>
      </c>
      <c r="E1251" s="6"/>
      <c r="F1251" s="6"/>
      <c r="G1251" s="7" t="s">
        <v>8565</v>
      </c>
      <c r="I1251" s="8" t="s">
        <v>8533</v>
      </c>
      <c r="J1251" s="9">
        <v>29.0</v>
      </c>
      <c r="K1251" s="10" t="s">
        <v>11</v>
      </c>
      <c r="L1251" s="6"/>
      <c r="M1251" s="11" t="s">
        <v>17</v>
      </c>
      <c r="N1251" s="6"/>
      <c r="O1251" s="6" t="s">
        <v>8566</v>
      </c>
      <c r="P1251" s="10" t="s">
        <v>15</v>
      </c>
      <c r="Q1251" s="6"/>
      <c r="R1251" s="6"/>
      <c r="S1251" s="6"/>
      <c r="T1251" s="6" t="s">
        <v>16</v>
      </c>
      <c r="U1251" s="9" t="s">
        <v>17</v>
      </c>
      <c r="AI1251" s="6" t="s">
        <v>8514</v>
      </c>
      <c r="AJ1251" s="12" t="s">
        <v>8562</v>
      </c>
      <c r="AL1251" s="13" t="s">
        <v>8460</v>
      </c>
    </row>
    <row r="1252">
      <c r="A1252" s="5" t="s">
        <v>8567</v>
      </c>
      <c r="B1252" s="5" t="s">
        <v>8568</v>
      </c>
      <c r="C1252" s="5" t="s">
        <v>8510</v>
      </c>
      <c r="D1252" s="5" t="s">
        <v>8</v>
      </c>
      <c r="E1252" s="6"/>
      <c r="F1252" s="6"/>
      <c r="G1252" s="7" t="s">
        <v>8569</v>
      </c>
      <c r="I1252" s="8" t="s">
        <v>8570</v>
      </c>
      <c r="J1252" s="9">
        <v>2.9</v>
      </c>
      <c r="K1252" s="10" t="s">
        <v>11</v>
      </c>
      <c r="L1252" s="6"/>
      <c r="M1252" s="11" t="s">
        <v>17</v>
      </c>
      <c r="N1252" s="6"/>
      <c r="O1252" s="6" t="s">
        <v>8571</v>
      </c>
      <c r="P1252" s="10" t="s">
        <v>15</v>
      </c>
      <c r="Q1252" s="6"/>
      <c r="R1252" s="6"/>
      <c r="S1252" s="6"/>
      <c r="T1252" s="6" t="s">
        <v>16</v>
      </c>
      <c r="U1252" s="9" t="s">
        <v>17</v>
      </c>
      <c r="AI1252" s="6" t="s">
        <v>8514</v>
      </c>
      <c r="AJ1252" s="12" t="s">
        <v>8572</v>
      </c>
      <c r="AL1252" s="13" t="s">
        <v>8460</v>
      </c>
    </row>
    <row r="1253">
      <c r="A1253" s="5" t="s">
        <v>8573</v>
      </c>
      <c r="B1253" s="5" t="s">
        <v>8574</v>
      </c>
      <c r="C1253" s="5" t="s">
        <v>8510</v>
      </c>
      <c r="D1253" s="5" t="s">
        <v>8</v>
      </c>
      <c r="E1253" s="6"/>
      <c r="F1253" s="6"/>
      <c r="G1253" s="7" t="s">
        <v>8575</v>
      </c>
      <c r="I1253" s="8" t="s">
        <v>8570</v>
      </c>
      <c r="J1253" s="9">
        <v>29.0</v>
      </c>
      <c r="K1253" s="10" t="s">
        <v>11</v>
      </c>
      <c r="L1253" s="6"/>
      <c r="M1253" s="11" t="s">
        <v>17</v>
      </c>
      <c r="N1253" s="6"/>
      <c r="O1253" s="6" t="s">
        <v>8576</v>
      </c>
      <c r="P1253" s="10" t="s">
        <v>15</v>
      </c>
      <c r="Q1253" s="6"/>
      <c r="R1253" s="6"/>
      <c r="S1253" s="6"/>
      <c r="T1253" s="6" t="s">
        <v>16</v>
      </c>
      <c r="U1253" s="9" t="s">
        <v>17</v>
      </c>
      <c r="AI1253" s="6" t="s">
        <v>8514</v>
      </c>
      <c r="AJ1253" s="12" t="s">
        <v>8572</v>
      </c>
      <c r="AL1253" s="13" t="s">
        <v>8460</v>
      </c>
    </row>
    <row r="1254">
      <c r="A1254" s="5" t="s">
        <v>8577</v>
      </c>
      <c r="B1254" s="5" t="s">
        <v>8578</v>
      </c>
      <c r="C1254" s="5" t="s">
        <v>8510</v>
      </c>
      <c r="D1254" s="5" t="s">
        <v>8</v>
      </c>
      <c r="E1254" s="6"/>
      <c r="F1254" s="6"/>
      <c r="G1254" s="7" t="s">
        <v>8579</v>
      </c>
      <c r="I1254" s="8" t="s">
        <v>8533</v>
      </c>
      <c r="J1254" s="9">
        <v>2.9</v>
      </c>
      <c r="K1254" s="10" t="s">
        <v>11</v>
      </c>
      <c r="L1254" s="6"/>
      <c r="M1254" s="11" t="s">
        <v>17</v>
      </c>
      <c r="N1254" s="6"/>
      <c r="O1254" s="6" t="s">
        <v>8580</v>
      </c>
      <c r="P1254" s="10" t="s">
        <v>15</v>
      </c>
      <c r="Q1254" s="6"/>
      <c r="R1254" s="6"/>
      <c r="S1254" s="6"/>
      <c r="T1254" s="6" t="s">
        <v>16</v>
      </c>
      <c r="U1254" s="9" t="s">
        <v>17</v>
      </c>
      <c r="AI1254" s="6" t="s">
        <v>8514</v>
      </c>
      <c r="AJ1254" s="12" t="s">
        <v>8581</v>
      </c>
      <c r="AL1254" s="13" t="s">
        <v>8460</v>
      </c>
    </row>
    <row r="1255">
      <c r="A1255" s="5" t="s">
        <v>8582</v>
      </c>
      <c r="B1255" s="5" t="s">
        <v>8583</v>
      </c>
      <c r="C1255" s="5" t="s">
        <v>8510</v>
      </c>
      <c r="D1255" s="5" t="s">
        <v>8</v>
      </c>
      <c r="E1255" s="6"/>
      <c r="F1255" s="6"/>
      <c r="G1255" s="7" t="s">
        <v>8584</v>
      </c>
      <c r="I1255" s="8" t="s">
        <v>8533</v>
      </c>
      <c r="J1255" s="9">
        <v>29.0</v>
      </c>
      <c r="K1255" s="10" t="s">
        <v>11</v>
      </c>
      <c r="L1255" s="6"/>
      <c r="M1255" s="11" t="s">
        <v>17</v>
      </c>
      <c r="N1255" s="6"/>
      <c r="O1255" s="6" t="s">
        <v>8585</v>
      </c>
      <c r="P1255" s="10" t="s">
        <v>15</v>
      </c>
      <c r="Q1255" s="6"/>
      <c r="R1255" s="6"/>
      <c r="S1255" s="6"/>
      <c r="T1255" s="6" t="s">
        <v>16</v>
      </c>
      <c r="U1255" s="9" t="s">
        <v>17</v>
      </c>
      <c r="AI1255" s="6" t="s">
        <v>8514</v>
      </c>
      <c r="AJ1255" s="12" t="s">
        <v>8581</v>
      </c>
      <c r="AL1255" s="13" t="s">
        <v>8460</v>
      </c>
    </row>
    <row r="1256">
      <c r="A1256" s="5" t="s">
        <v>8586</v>
      </c>
      <c r="B1256" s="5" t="s">
        <v>8587</v>
      </c>
      <c r="C1256" s="5" t="s">
        <v>8510</v>
      </c>
      <c r="D1256" s="5" t="s">
        <v>8</v>
      </c>
      <c r="E1256" s="6"/>
      <c r="F1256" s="6"/>
      <c r="G1256" s="7" t="s">
        <v>8588</v>
      </c>
      <c r="I1256" s="8" t="s">
        <v>8512</v>
      </c>
      <c r="J1256" s="9">
        <v>2.9</v>
      </c>
      <c r="K1256" s="10" t="s">
        <v>11</v>
      </c>
      <c r="L1256" s="6"/>
      <c r="M1256" s="11" t="s">
        <v>17</v>
      </c>
      <c r="N1256" s="6"/>
      <c r="O1256" s="6" t="s">
        <v>8589</v>
      </c>
      <c r="P1256" s="10" t="s">
        <v>15</v>
      </c>
      <c r="Q1256" s="6"/>
      <c r="R1256" s="6"/>
      <c r="S1256" s="6"/>
      <c r="T1256" s="6" t="s">
        <v>16</v>
      </c>
      <c r="U1256" s="9" t="s">
        <v>17</v>
      </c>
      <c r="AI1256" s="6" t="s">
        <v>8514</v>
      </c>
      <c r="AJ1256" s="12" t="s">
        <v>8590</v>
      </c>
      <c r="AL1256" s="13" t="s">
        <v>8460</v>
      </c>
    </row>
    <row r="1257">
      <c r="A1257" s="5" t="s">
        <v>8591</v>
      </c>
      <c r="B1257" s="5" t="s">
        <v>8592</v>
      </c>
      <c r="C1257" s="5" t="s">
        <v>8510</v>
      </c>
      <c r="D1257" s="5" t="s">
        <v>8</v>
      </c>
      <c r="E1257" s="6"/>
      <c r="F1257" s="6"/>
      <c r="G1257" s="7" t="s">
        <v>8593</v>
      </c>
      <c r="I1257" s="8" t="s">
        <v>8512</v>
      </c>
      <c r="J1257" s="9">
        <v>29.0</v>
      </c>
      <c r="K1257" s="10" t="s">
        <v>11</v>
      </c>
      <c r="L1257" s="6"/>
      <c r="M1257" s="11" t="s">
        <v>17</v>
      </c>
      <c r="N1257" s="6"/>
      <c r="O1257" s="6" t="s">
        <v>8594</v>
      </c>
      <c r="P1257" s="10" t="s">
        <v>15</v>
      </c>
      <c r="Q1257" s="6"/>
      <c r="R1257" s="6"/>
      <c r="S1257" s="6"/>
      <c r="T1257" s="6" t="s">
        <v>16</v>
      </c>
      <c r="U1257" s="9" t="s">
        <v>17</v>
      </c>
      <c r="AI1257" s="6" t="s">
        <v>8514</v>
      </c>
      <c r="AJ1257" s="12" t="s">
        <v>8590</v>
      </c>
      <c r="AL1257" s="13" t="s">
        <v>8460</v>
      </c>
    </row>
    <row r="1258">
      <c r="A1258" s="5" t="s">
        <v>8595</v>
      </c>
      <c r="B1258" s="5" t="s">
        <v>8596</v>
      </c>
      <c r="C1258" s="5" t="s">
        <v>8510</v>
      </c>
      <c r="D1258" s="5" t="s">
        <v>8</v>
      </c>
      <c r="E1258" s="6"/>
      <c r="F1258" s="6"/>
      <c r="G1258" s="7" t="s">
        <v>8597</v>
      </c>
      <c r="I1258" s="8" t="s">
        <v>8570</v>
      </c>
      <c r="J1258" s="9">
        <v>2.9</v>
      </c>
      <c r="K1258" s="10" t="s">
        <v>11</v>
      </c>
      <c r="L1258" s="6"/>
      <c r="M1258" s="11" t="s">
        <v>17</v>
      </c>
      <c r="N1258" s="6"/>
      <c r="O1258" s="6" t="s">
        <v>8598</v>
      </c>
      <c r="P1258" s="10" t="s">
        <v>15</v>
      </c>
      <c r="Q1258" s="6"/>
      <c r="R1258" s="6"/>
      <c r="S1258" s="6"/>
      <c r="T1258" s="6" t="s">
        <v>16</v>
      </c>
      <c r="U1258" s="9" t="s">
        <v>17</v>
      </c>
      <c r="AI1258" s="6" t="s">
        <v>8514</v>
      </c>
      <c r="AJ1258" s="12" t="s">
        <v>8599</v>
      </c>
      <c r="AL1258" s="13" t="s">
        <v>8460</v>
      </c>
    </row>
    <row r="1259">
      <c r="A1259" s="5" t="s">
        <v>8600</v>
      </c>
      <c r="B1259" s="5" t="s">
        <v>8601</v>
      </c>
      <c r="C1259" s="5" t="s">
        <v>8510</v>
      </c>
      <c r="D1259" s="5" t="s">
        <v>8</v>
      </c>
      <c r="E1259" s="6"/>
      <c r="F1259" s="6"/>
      <c r="G1259" s="7" t="s">
        <v>8602</v>
      </c>
      <c r="I1259" s="8" t="s">
        <v>8570</v>
      </c>
      <c r="J1259" s="9">
        <v>29.0</v>
      </c>
      <c r="K1259" s="10" t="s">
        <v>11</v>
      </c>
      <c r="L1259" s="6"/>
      <c r="M1259" s="11" t="s">
        <v>17</v>
      </c>
      <c r="N1259" s="6"/>
      <c r="O1259" s="6" t="s">
        <v>8603</v>
      </c>
      <c r="P1259" s="10" t="s">
        <v>15</v>
      </c>
      <c r="Q1259" s="6"/>
      <c r="R1259" s="6"/>
      <c r="S1259" s="6"/>
      <c r="T1259" s="6" t="s">
        <v>16</v>
      </c>
      <c r="U1259" s="9" t="s">
        <v>17</v>
      </c>
      <c r="AI1259" s="6" t="s">
        <v>8514</v>
      </c>
      <c r="AJ1259" s="12" t="s">
        <v>8599</v>
      </c>
      <c r="AL1259" s="13" t="s">
        <v>8460</v>
      </c>
    </row>
    <row r="1260">
      <c r="A1260" s="5" t="s">
        <v>8604</v>
      </c>
      <c r="B1260" s="5" t="s">
        <v>8605</v>
      </c>
      <c r="C1260" s="5" t="s">
        <v>8510</v>
      </c>
      <c r="D1260" s="5" t="s">
        <v>507</v>
      </c>
      <c r="E1260" s="6"/>
      <c r="F1260" s="6"/>
      <c r="G1260" s="7" t="s">
        <v>8606</v>
      </c>
      <c r="I1260" s="8" t="s">
        <v>8523</v>
      </c>
      <c r="J1260" s="9">
        <v>2.9</v>
      </c>
      <c r="K1260" s="10" t="s">
        <v>11</v>
      </c>
      <c r="L1260" s="6"/>
      <c r="M1260" s="11" t="s">
        <v>17</v>
      </c>
      <c r="N1260" s="6"/>
      <c r="O1260" s="6" t="s">
        <v>8607</v>
      </c>
      <c r="P1260" s="10" t="s">
        <v>15</v>
      </c>
      <c r="Q1260" s="6"/>
      <c r="R1260" s="6"/>
      <c r="S1260" s="6" t="s">
        <v>8608</v>
      </c>
      <c r="T1260" s="6" t="s">
        <v>16</v>
      </c>
      <c r="U1260" s="9" t="s">
        <v>17</v>
      </c>
      <c r="AI1260" s="6" t="s">
        <v>8514</v>
      </c>
      <c r="AJ1260" s="12" t="s">
        <v>8609</v>
      </c>
      <c r="AL1260" s="13" t="s">
        <v>8460</v>
      </c>
    </row>
    <row r="1261">
      <c r="A1261" s="5" t="s">
        <v>8610</v>
      </c>
      <c r="B1261" s="5" t="s">
        <v>8611</v>
      </c>
      <c r="C1261" s="5" t="s">
        <v>8510</v>
      </c>
      <c r="D1261" s="5" t="s">
        <v>507</v>
      </c>
      <c r="E1261" s="6"/>
      <c r="F1261" s="6"/>
      <c r="G1261" s="7" t="s">
        <v>8612</v>
      </c>
      <c r="I1261" s="8" t="s">
        <v>8523</v>
      </c>
      <c r="J1261" s="9">
        <v>29.0</v>
      </c>
      <c r="K1261" s="10" t="s">
        <v>11</v>
      </c>
      <c r="L1261" s="6"/>
      <c r="M1261" s="11" t="s">
        <v>17</v>
      </c>
      <c r="N1261" s="6"/>
      <c r="O1261" s="6" t="s">
        <v>8613</v>
      </c>
      <c r="P1261" s="10" t="s">
        <v>15</v>
      </c>
      <c r="Q1261" s="6"/>
      <c r="R1261" s="6"/>
      <c r="S1261" s="6" t="s">
        <v>8608</v>
      </c>
      <c r="T1261" s="6" t="s">
        <v>16</v>
      </c>
      <c r="U1261" s="9" t="s">
        <v>17</v>
      </c>
      <c r="AI1261" s="6" t="s">
        <v>8514</v>
      </c>
      <c r="AJ1261" s="12" t="s">
        <v>8609</v>
      </c>
      <c r="AL1261" s="13" t="s">
        <v>8460</v>
      </c>
    </row>
    <row r="1262">
      <c r="A1262" s="5" t="s">
        <v>8614</v>
      </c>
      <c r="B1262" s="5" t="s">
        <v>8615</v>
      </c>
      <c r="C1262" s="5" t="s">
        <v>8510</v>
      </c>
      <c r="D1262" s="5" t="s">
        <v>8</v>
      </c>
      <c r="E1262" s="6"/>
      <c r="F1262" s="6"/>
      <c r="G1262" s="7" t="s">
        <v>8616</v>
      </c>
      <c r="I1262" s="8" t="s">
        <v>8533</v>
      </c>
      <c r="J1262" s="9">
        <v>2.9</v>
      </c>
      <c r="K1262" s="10" t="s">
        <v>11</v>
      </c>
      <c r="L1262" s="6"/>
      <c r="M1262" s="11" t="s">
        <v>17</v>
      </c>
      <c r="N1262" s="6"/>
      <c r="O1262" s="6" t="s">
        <v>8617</v>
      </c>
      <c r="P1262" s="10" t="s">
        <v>15</v>
      </c>
      <c r="Q1262" s="6"/>
      <c r="R1262" s="6"/>
      <c r="S1262" s="6"/>
      <c r="T1262" s="6" t="s">
        <v>16</v>
      </c>
      <c r="U1262" s="9" t="s">
        <v>17</v>
      </c>
      <c r="AI1262" s="6" t="s">
        <v>8514</v>
      </c>
      <c r="AJ1262" s="12" t="s">
        <v>8618</v>
      </c>
      <c r="AL1262" s="13" t="s">
        <v>8460</v>
      </c>
    </row>
    <row r="1263">
      <c r="A1263" s="5" t="s">
        <v>8619</v>
      </c>
      <c r="B1263" s="5" t="s">
        <v>8620</v>
      </c>
      <c r="C1263" s="5" t="s">
        <v>8510</v>
      </c>
      <c r="D1263" s="5" t="s">
        <v>8</v>
      </c>
      <c r="E1263" s="6"/>
      <c r="F1263" s="6"/>
      <c r="G1263" s="7" t="s">
        <v>8621</v>
      </c>
      <c r="I1263" s="8" t="s">
        <v>8533</v>
      </c>
      <c r="J1263" s="9">
        <v>29.0</v>
      </c>
      <c r="K1263" s="10" t="s">
        <v>11</v>
      </c>
      <c r="L1263" s="6"/>
      <c r="M1263" s="11" t="s">
        <v>17</v>
      </c>
      <c r="N1263" s="6"/>
      <c r="O1263" s="6" t="s">
        <v>8622</v>
      </c>
      <c r="P1263" s="10" t="s">
        <v>15</v>
      </c>
      <c r="Q1263" s="6"/>
      <c r="R1263" s="6"/>
      <c r="S1263" s="6"/>
      <c r="T1263" s="6" t="s">
        <v>16</v>
      </c>
      <c r="U1263" s="9" t="s">
        <v>17</v>
      </c>
      <c r="AI1263" s="6" t="s">
        <v>8514</v>
      </c>
      <c r="AJ1263" s="12" t="s">
        <v>8618</v>
      </c>
      <c r="AL1263" s="13" t="s">
        <v>8460</v>
      </c>
    </row>
    <row r="1264">
      <c r="A1264" s="5" t="s">
        <v>8623</v>
      </c>
      <c r="B1264" s="5" t="s">
        <v>8624</v>
      </c>
      <c r="C1264" s="5" t="s">
        <v>8510</v>
      </c>
      <c r="D1264" s="5" t="s">
        <v>8</v>
      </c>
      <c r="E1264" s="6"/>
      <c r="F1264" s="6"/>
      <c r="G1264" s="7" t="s">
        <v>8625</v>
      </c>
      <c r="I1264" s="8" t="s">
        <v>8626</v>
      </c>
      <c r="J1264" s="9">
        <v>2.9</v>
      </c>
      <c r="K1264" s="10" t="s">
        <v>11</v>
      </c>
      <c r="L1264" s="6"/>
      <c r="M1264" s="11" t="s">
        <v>17</v>
      </c>
      <c r="N1264" s="6"/>
      <c r="O1264" s="6" t="s">
        <v>8627</v>
      </c>
      <c r="P1264" s="10" t="s">
        <v>15</v>
      </c>
      <c r="Q1264" s="6"/>
      <c r="R1264" s="6"/>
      <c r="S1264" s="6" t="s">
        <v>8628</v>
      </c>
      <c r="T1264" s="6" t="s">
        <v>16</v>
      </c>
      <c r="U1264" s="9" t="s">
        <v>17</v>
      </c>
      <c r="AI1264" s="6" t="s">
        <v>8514</v>
      </c>
      <c r="AJ1264" s="12" t="s">
        <v>8629</v>
      </c>
      <c r="AL1264" s="13" t="s">
        <v>8460</v>
      </c>
    </row>
    <row r="1265">
      <c r="A1265" s="5" t="s">
        <v>8630</v>
      </c>
      <c r="B1265" s="5" t="s">
        <v>8631</v>
      </c>
      <c r="C1265" s="5" t="s">
        <v>8510</v>
      </c>
      <c r="D1265" s="5" t="s">
        <v>8</v>
      </c>
      <c r="E1265" s="6"/>
      <c r="F1265" s="6"/>
      <c r="G1265" s="7" t="s">
        <v>8632</v>
      </c>
      <c r="I1265" s="8" t="s">
        <v>8626</v>
      </c>
      <c r="J1265" s="9">
        <v>29.0</v>
      </c>
      <c r="K1265" s="10" t="s">
        <v>11</v>
      </c>
      <c r="L1265" s="6"/>
      <c r="M1265" s="11" t="s">
        <v>17</v>
      </c>
      <c r="N1265" s="6"/>
      <c r="O1265" s="6" t="s">
        <v>8633</v>
      </c>
      <c r="P1265" s="10" t="s">
        <v>15</v>
      </c>
      <c r="Q1265" s="6"/>
      <c r="R1265" s="6"/>
      <c r="S1265" s="6" t="s">
        <v>8628</v>
      </c>
      <c r="T1265" s="6" t="s">
        <v>16</v>
      </c>
      <c r="U1265" s="9" t="s">
        <v>17</v>
      </c>
      <c r="AI1265" s="6" t="s">
        <v>8514</v>
      </c>
      <c r="AJ1265" s="12" t="s">
        <v>8629</v>
      </c>
      <c r="AL1265" s="13" t="s">
        <v>8460</v>
      </c>
    </row>
    <row r="1266">
      <c r="A1266" s="5" t="s">
        <v>8634</v>
      </c>
      <c r="B1266" s="5" t="s">
        <v>8635</v>
      </c>
      <c r="C1266" s="5" t="s">
        <v>8510</v>
      </c>
      <c r="D1266" s="5" t="s">
        <v>8</v>
      </c>
      <c r="E1266" s="6"/>
      <c r="F1266" s="6"/>
      <c r="G1266" s="7" t="s">
        <v>8636</v>
      </c>
      <c r="I1266" s="8" t="s">
        <v>8570</v>
      </c>
      <c r="J1266" s="9">
        <v>2.9</v>
      </c>
      <c r="K1266" s="10" t="s">
        <v>11</v>
      </c>
      <c r="L1266" s="6"/>
      <c r="M1266" s="11" t="s">
        <v>17</v>
      </c>
      <c r="N1266" s="6"/>
      <c r="O1266" s="6" t="s">
        <v>8637</v>
      </c>
      <c r="P1266" s="10" t="s">
        <v>15</v>
      </c>
      <c r="Q1266" s="6"/>
      <c r="R1266" s="6"/>
      <c r="S1266" s="6"/>
      <c r="T1266" s="6" t="s">
        <v>16</v>
      </c>
      <c r="U1266" s="9" t="s">
        <v>17</v>
      </c>
      <c r="AI1266" s="6" t="s">
        <v>8514</v>
      </c>
      <c r="AJ1266" s="12" t="s">
        <v>8638</v>
      </c>
      <c r="AL1266" s="13" t="s">
        <v>8460</v>
      </c>
    </row>
    <row r="1267">
      <c r="A1267" s="5" t="s">
        <v>8639</v>
      </c>
      <c r="B1267" s="5" t="s">
        <v>8640</v>
      </c>
      <c r="C1267" s="5" t="s">
        <v>8510</v>
      </c>
      <c r="D1267" s="5" t="s">
        <v>8</v>
      </c>
      <c r="E1267" s="6"/>
      <c r="F1267" s="6"/>
      <c r="G1267" s="7" t="s">
        <v>8641</v>
      </c>
      <c r="I1267" s="8" t="s">
        <v>8570</v>
      </c>
      <c r="J1267" s="9">
        <v>29.0</v>
      </c>
      <c r="K1267" s="10" t="s">
        <v>11</v>
      </c>
      <c r="L1267" s="6"/>
      <c r="M1267" s="11" t="s">
        <v>17</v>
      </c>
      <c r="N1267" s="6"/>
      <c r="O1267" s="6" t="s">
        <v>8642</v>
      </c>
      <c r="P1267" s="10" t="s">
        <v>15</v>
      </c>
      <c r="Q1267" s="6"/>
      <c r="R1267" s="6"/>
      <c r="S1267" s="6"/>
      <c r="T1267" s="6" t="s">
        <v>16</v>
      </c>
      <c r="U1267" s="9" t="s">
        <v>17</v>
      </c>
      <c r="AI1267" s="6" t="s">
        <v>8514</v>
      </c>
      <c r="AJ1267" s="12" t="s">
        <v>8638</v>
      </c>
      <c r="AL1267" s="13" t="s">
        <v>8460</v>
      </c>
    </row>
    <row r="1268">
      <c r="A1268" s="5" t="s">
        <v>8643</v>
      </c>
      <c r="B1268" s="5" t="s">
        <v>8644</v>
      </c>
      <c r="C1268" s="5" t="s">
        <v>8510</v>
      </c>
      <c r="D1268" s="5" t="s">
        <v>8</v>
      </c>
      <c r="E1268" s="6"/>
      <c r="F1268" s="6"/>
      <c r="G1268" s="7" t="s">
        <v>8645</v>
      </c>
      <c r="I1268" s="8" t="s">
        <v>8646</v>
      </c>
      <c r="J1268" s="9">
        <v>2.9</v>
      </c>
      <c r="K1268" s="10" t="s">
        <v>11</v>
      </c>
      <c r="L1268" s="6"/>
      <c r="M1268" s="11" t="s">
        <v>17</v>
      </c>
      <c r="N1268" s="6"/>
      <c r="O1268" s="6" t="s">
        <v>8647</v>
      </c>
      <c r="P1268" s="10" t="s">
        <v>15</v>
      </c>
      <c r="Q1268" s="6"/>
      <c r="R1268" s="6"/>
      <c r="S1268" s="6"/>
      <c r="T1268" s="6" t="s">
        <v>16</v>
      </c>
      <c r="U1268" s="9" t="s">
        <v>17</v>
      </c>
      <c r="AI1268" s="6" t="s">
        <v>8514</v>
      </c>
      <c r="AJ1268" s="12" t="s">
        <v>8648</v>
      </c>
      <c r="AL1268" s="13" t="s">
        <v>8460</v>
      </c>
    </row>
    <row r="1269">
      <c r="A1269" s="5" t="s">
        <v>8649</v>
      </c>
      <c r="B1269" s="5" t="s">
        <v>8650</v>
      </c>
      <c r="C1269" s="5" t="s">
        <v>8510</v>
      </c>
      <c r="D1269" s="5" t="s">
        <v>8</v>
      </c>
      <c r="E1269" s="6"/>
      <c r="F1269" s="6"/>
      <c r="G1269" s="7" t="s">
        <v>8651</v>
      </c>
      <c r="I1269" s="8" t="s">
        <v>8646</v>
      </c>
      <c r="J1269" s="9">
        <v>29.0</v>
      </c>
      <c r="K1269" s="10" t="s">
        <v>11</v>
      </c>
      <c r="L1269" s="6"/>
      <c r="M1269" s="11" t="s">
        <v>17</v>
      </c>
      <c r="N1269" s="6"/>
      <c r="O1269" s="6" t="s">
        <v>8652</v>
      </c>
      <c r="P1269" s="10" t="s">
        <v>15</v>
      </c>
      <c r="Q1269" s="6"/>
      <c r="R1269" s="6"/>
      <c r="S1269" s="6"/>
      <c r="T1269" s="6" t="s">
        <v>16</v>
      </c>
      <c r="U1269" s="9" t="s">
        <v>17</v>
      </c>
      <c r="AI1269" s="6" t="s">
        <v>8514</v>
      </c>
      <c r="AJ1269" s="12" t="s">
        <v>8648</v>
      </c>
      <c r="AL1269" s="13" t="s">
        <v>8460</v>
      </c>
    </row>
    <row r="1270">
      <c r="A1270" s="5" t="s">
        <v>8653</v>
      </c>
      <c r="B1270" s="5" t="s">
        <v>8654</v>
      </c>
      <c r="C1270" s="5" t="s">
        <v>8510</v>
      </c>
      <c r="D1270" s="5" t="s">
        <v>8</v>
      </c>
      <c r="E1270" s="6"/>
      <c r="F1270" s="6"/>
      <c r="G1270" s="7" t="s">
        <v>8655</v>
      </c>
      <c r="I1270" s="8" t="s">
        <v>8656</v>
      </c>
      <c r="J1270" s="9">
        <v>2.9</v>
      </c>
      <c r="K1270" s="10" t="s">
        <v>11</v>
      </c>
      <c r="L1270" s="6"/>
      <c r="M1270" s="11" t="s">
        <v>17</v>
      </c>
      <c r="N1270" s="6"/>
      <c r="O1270" s="6" t="s">
        <v>8657</v>
      </c>
      <c r="P1270" s="10" t="s">
        <v>15</v>
      </c>
      <c r="Q1270" s="6"/>
      <c r="R1270" s="6"/>
      <c r="S1270" s="6"/>
      <c r="T1270" s="6" t="s">
        <v>16</v>
      </c>
      <c r="U1270" s="9" t="s">
        <v>17</v>
      </c>
      <c r="AI1270" s="6" t="s">
        <v>8514</v>
      </c>
      <c r="AJ1270" s="12" t="s">
        <v>8658</v>
      </c>
      <c r="AL1270" s="13" t="s">
        <v>8460</v>
      </c>
    </row>
    <row r="1271">
      <c r="A1271" s="5" t="s">
        <v>8659</v>
      </c>
      <c r="B1271" s="5" t="s">
        <v>8660</v>
      </c>
      <c r="C1271" s="5" t="s">
        <v>8510</v>
      </c>
      <c r="D1271" s="5" t="s">
        <v>8</v>
      </c>
      <c r="E1271" s="6"/>
      <c r="F1271" s="6"/>
      <c r="G1271" s="7" t="s">
        <v>8661</v>
      </c>
      <c r="I1271" s="8" t="s">
        <v>8656</v>
      </c>
      <c r="J1271" s="9">
        <v>29.0</v>
      </c>
      <c r="K1271" s="10" t="s">
        <v>11</v>
      </c>
      <c r="L1271" s="6"/>
      <c r="M1271" s="11" t="s">
        <v>17</v>
      </c>
      <c r="N1271" s="6"/>
      <c r="O1271" s="6" t="s">
        <v>8662</v>
      </c>
      <c r="P1271" s="10" t="s">
        <v>15</v>
      </c>
      <c r="Q1271" s="6"/>
      <c r="R1271" s="6"/>
      <c r="S1271" s="6"/>
      <c r="T1271" s="6" t="s">
        <v>16</v>
      </c>
      <c r="U1271" s="9" t="s">
        <v>17</v>
      </c>
      <c r="AI1271" s="6" t="s">
        <v>8514</v>
      </c>
      <c r="AJ1271" s="12" t="s">
        <v>8658</v>
      </c>
      <c r="AL1271" s="13" t="s">
        <v>8460</v>
      </c>
    </row>
    <row r="1272">
      <c r="A1272" s="5" t="s">
        <v>8663</v>
      </c>
      <c r="B1272" s="5" t="s">
        <v>8664</v>
      </c>
      <c r="C1272" s="5" t="s">
        <v>8510</v>
      </c>
      <c r="D1272" s="5" t="s">
        <v>8</v>
      </c>
      <c r="E1272" s="6"/>
      <c r="F1272" s="6"/>
      <c r="G1272" s="7" t="s">
        <v>8665</v>
      </c>
      <c r="I1272" s="8" t="s">
        <v>8512</v>
      </c>
      <c r="J1272" s="9">
        <v>2.9</v>
      </c>
      <c r="K1272" s="10" t="s">
        <v>11</v>
      </c>
      <c r="L1272" s="6"/>
      <c r="M1272" s="11" t="s">
        <v>17</v>
      </c>
      <c r="N1272" s="6"/>
      <c r="O1272" s="6" t="s">
        <v>8666</v>
      </c>
      <c r="P1272" s="10" t="s">
        <v>15</v>
      </c>
      <c r="Q1272" s="6"/>
      <c r="R1272" s="6"/>
      <c r="S1272" s="6"/>
      <c r="T1272" s="6" t="s">
        <v>16</v>
      </c>
      <c r="U1272" s="9" t="s">
        <v>17</v>
      </c>
      <c r="AI1272" s="6" t="s">
        <v>8514</v>
      </c>
      <c r="AJ1272" s="12" t="s">
        <v>8667</v>
      </c>
      <c r="AL1272" s="13" t="s">
        <v>8460</v>
      </c>
    </row>
    <row r="1273">
      <c r="A1273" s="5" t="s">
        <v>8668</v>
      </c>
      <c r="B1273" s="5" t="s">
        <v>8669</v>
      </c>
      <c r="C1273" s="5" t="s">
        <v>8510</v>
      </c>
      <c r="D1273" s="5" t="s">
        <v>8</v>
      </c>
      <c r="E1273" s="6"/>
      <c r="F1273" s="6"/>
      <c r="G1273" s="7" t="s">
        <v>8670</v>
      </c>
      <c r="I1273" s="8" t="s">
        <v>8512</v>
      </c>
      <c r="J1273" s="9">
        <v>29.0</v>
      </c>
      <c r="K1273" s="10" t="s">
        <v>11</v>
      </c>
      <c r="L1273" s="6"/>
      <c r="M1273" s="11" t="s">
        <v>17</v>
      </c>
      <c r="N1273" s="6"/>
      <c r="O1273" s="6" t="s">
        <v>8671</v>
      </c>
      <c r="P1273" s="10" t="s">
        <v>15</v>
      </c>
      <c r="Q1273" s="6"/>
      <c r="R1273" s="6"/>
      <c r="S1273" s="6"/>
      <c r="T1273" s="6" t="s">
        <v>16</v>
      </c>
      <c r="U1273" s="9" t="s">
        <v>17</v>
      </c>
      <c r="AI1273" s="6" t="s">
        <v>8514</v>
      </c>
      <c r="AJ1273" s="12" t="s">
        <v>8667</v>
      </c>
      <c r="AL1273" s="13" t="s">
        <v>8460</v>
      </c>
    </row>
    <row r="1274">
      <c r="A1274" s="5" t="s">
        <v>8672</v>
      </c>
      <c r="B1274" s="5" t="s">
        <v>8673</v>
      </c>
      <c r="C1274" s="5" t="s">
        <v>8510</v>
      </c>
      <c r="D1274" s="5" t="s">
        <v>8</v>
      </c>
      <c r="E1274" s="6"/>
      <c r="F1274" s="6"/>
      <c r="G1274" s="7" t="s">
        <v>8674</v>
      </c>
      <c r="I1274" s="8" t="s">
        <v>8675</v>
      </c>
      <c r="J1274" s="9">
        <v>2.9</v>
      </c>
      <c r="K1274" s="10" t="s">
        <v>11</v>
      </c>
      <c r="L1274" s="6"/>
      <c r="M1274" s="11" t="s">
        <v>17</v>
      </c>
      <c r="N1274" s="6"/>
      <c r="O1274" s="6" t="s">
        <v>8676</v>
      </c>
      <c r="P1274" s="10" t="s">
        <v>15</v>
      </c>
      <c r="Q1274" s="6"/>
      <c r="R1274" s="6"/>
      <c r="S1274" s="6" t="s">
        <v>8675</v>
      </c>
      <c r="T1274" s="6" t="s">
        <v>16</v>
      </c>
      <c r="U1274" s="9" t="s">
        <v>17</v>
      </c>
      <c r="AI1274" s="6" t="s">
        <v>8514</v>
      </c>
      <c r="AJ1274" s="12" t="s">
        <v>8677</v>
      </c>
      <c r="AL1274" s="13" t="s">
        <v>8460</v>
      </c>
    </row>
    <row r="1275">
      <c r="A1275" s="5" t="s">
        <v>8678</v>
      </c>
      <c r="B1275" s="5" t="s">
        <v>8679</v>
      </c>
      <c r="C1275" s="5" t="s">
        <v>8510</v>
      </c>
      <c r="D1275" s="5" t="s">
        <v>8</v>
      </c>
      <c r="E1275" s="6"/>
      <c r="F1275" s="6"/>
      <c r="G1275" s="7" t="s">
        <v>8680</v>
      </c>
      <c r="I1275" s="8" t="s">
        <v>8675</v>
      </c>
      <c r="J1275" s="9">
        <v>29.0</v>
      </c>
      <c r="K1275" s="10" t="s">
        <v>11</v>
      </c>
      <c r="L1275" s="6"/>
      <c r="M1275" s="11" t="s">
        <v>17</v>
      </c>
      <c r="N1275" s="6"/>
      <c r="O1275" s="6" t="s">
        <v>8681</v>
      </c>
      <c r="P1275" s="10" t="s">
        <v>15</v>
      </c>
      <c r="Q1275" s="6"/>
      <c r="R1275" s="6"/>
      <c r="S1275" s="6" t="s">
        <v>8675</v>
      </c>
      <c r="T1275" s="6" t="s">
        <v>16</v>
      </c>
      <c r="U1275" s="9" t="s">
        <v>17</v>
      </c>
      <c r="AI1275" s="6" t="s">
        <v>8514</v>
      </c>
      <c r="AJ1275" s="12" t="s">
        <v>8677</v>
      </c>
      <c r="AL1275" s="13" t="s">
        <v>8460</v>
      </c>
    </row>
    <row r="1276">
      <c r="A1276" s="5" t="s">
        <v>8682</v>
      </c>
      <c r="B1276" s="5" t="s">
        <v>8683</v>
      </c>
      <c r="C1276" s="5" t="s">
        <v>8510</v>
      </c>
      <c r="D1276" s="5" t="s">
        <v>507</v>
      </c>
      <c r="E1276" s="6"/>
      <c r="F1276" s="6"/>
      <c r="G1276" s="7" t="s">
        <v>8684</v>
      </c>
      <c r="I1276" s="8" t="s">
        <v>8523</v>
      </c>
      <c r="J1276" s="9">
        <v>2.9</v>
      </c>
      <c r="K1276" s="10" t="s">
        <v>11</v>
      </c>
      <c r="L1276" s="6"/>
      <c r="M1276" s="11" t="s">
        <v>17</v>
      </c>
      <c r="N1276" s="6"/>
      <c r="O1276" s="6" t="s">
        <v>8685</v>
      </c>
      <c r="P1276" s="10" t="s">
        <v>15</v>
      </c>
      <c r="Q1276" s="6"/>
      <c r="R1276" s="6"/>
      <c r="S1276" s="6" t="s">
        <v>8523</v>
      </c>
      <c r="T1276" s="6" t="s">
        <v>16</v>
      </c>
      <c r="U1276" s="9" t="s">
        <v>17</v>
      </c>
      <c r="AI1276" s="6" t="s">
        <v>8514</v>
      </c>
      <c r="AJ1276" s="12" t="s">
        <v>8686</v>
      </c>
      <c r="AL1276" s="13" t="s">
        <v>8460</v>
      </c>
    </row>
    <row r="1277">
      <c r="A1277" s="5" t="s">
        <v>8687</v>
      </c>
      <c r="B1277" s="5" t="s">
        <v>8688</v>
      </c>
      <c r="C1277" s="5" t="s">
        <v>8510</v>
      </c>
      <c r="D1277" s="5" t="s">
        <v>507</v>
      </c>
      <c r="E1277" s="6"/>
      <c r="F1277" s="6"/>
      <c r="G1277" s="7" t="s">
        <v>8689</v>
      </c>
      <c r="I1277" s="8" t="s">
        <v>8523</v>
      </c>
      <c r="J1277" s="9">
        <v>29.0</v>
      </c>
      <c r="K1277" s="10" t="s">
        <v>11</v>
      </c>
      <c r="L1277" s="6"/>
      <c r="M1277" s="11" t="s">
        <v>17</v>
      </c>
      <c r="N1277" s="6"/>
      <c r="O1277" s="6" t="s">
        <v>8690</v>
      </c>
      <c r="P1277" s="10" t="s">
        <v>15</v>
      </c>
      <c r="Q1277" s="6"/>
      <c r="R1277" s="6"/>
      <c r="S1277" s="6" t="s">
        <v>8523</v>
      </c>
      <c r="T1277" s="6" t="s">
        <v>16</v>
      </c>
      <c r="U1277" s="9" t="s">
        <v>17</v>
      </c>
      <c r="AI1277" s="6" t="s">
        <v>8514</v>
      </c>
      <c r="AJ1277" s="12" t="s">
        <v>8686</v>
      </c>
      <c r="AL1277" s="13" t="s">
        <v>8460</v>
      </c>
    </row>
    <row r="1278">
      <c r="A1278" s="5" t="s">
        <v>8691</v>
      </c>
      <c r="B1278" s="5" t="s">
        <v>8692</v>
      </c>
      <c r="C1278" s="5" t="s">
        <v>8510</v>
      </c>
      <c r="D1278" s="5" t="s">
        <v>8</v>
      </c>
      <c r="E1278" s="6"/>
      <c r="F1278" s="6"/>
      <c r="G1278" s="7" t="s">
        <v>8693</v>
      </c>
      <c r="I1278" s="8" t="s">
        <v>8694</v>
      </c>
      <c r="J1278" s="9">
        <v>18.8</v>
      </c>
      <c r="K1278" s="10" t="s">
        <v>11</v>
      </c>
      <c r="L1278" s="6"/>
      <c r="M1278" s="11" t="s">
        <v>17</v>
      </c>
      <c r="N1278" s="6"/>
      <c r="O1278" s="6" t="s">
        <v>8695</v>
      </c>
      <c r="P1278" s="10" t="s">
        <v>15</v>
      </c>
      <c r="Q1278" s="6"/>
      <c r="R1278" s="6"/>
      <c r="S1278" s="6"/>
      <c r="T1278" s="6" t="s">
        <v>16</v>
      </c>
      <c r="U1278" s="9" t="s">
        <v>17</v>
      </c>
      <c r="AI1278" s="6" t="s">
        <v>8514</v>
      </c>
      <c r="AJ1278" s="12" t="s">
        <v>8696</v>
      </c>
      <c r="AL1278" s="13" t="s">
        <v>8460</v>
      </c>
    </row>
    <row r="1279">
      <c r="A1279" s="5" t="s">
        <v>8697</v>
      </c>
      <c r="B1279" s="5" t="s">
        <v>8698</v>
      </c>
      <c r="C1279" s="5" t="s">
        <v>8510</v>
      </c>
      <c r="D1279" s="5" t="s">
        <v>8</v>
      </c>
      <c r="E1279" s="6"/>
      <c r="F1279" s="6"/>
      <c r="G1279" s="7" t="s">
        <v>8699</v>
      </c>
      <c r="I1279" s="8" t="s">
        <v>8694</v>
      </c>
      <c r="J1279" s="9">
        <v>188.0</v>
      </c>
      <c r="K1279" s="10" t="s">
        <v>11</v>
      </c>
      <c r="L1279" s="6"/>
      <c r="M1279" s="11" t="s">
        <v>17</v>
      </c>
      <c r="N1279" s="6"/>
      <c r="O1279" s="6" t="s">
        <v>8700</v>
      </c>
      <c r="P1279" s="10" t="s">
        <v>15</v>
      </c>
      <c r="Q1279" s="6"/>
      <c r="R1279" s="6"/>
      <c r="S1279" s="6"/>
      <c r="T1279" s="6" t="s">
        <v>16</v>
      </c>
      <c r="U1279" s="9" t="s">
        <v>17</v>
      </c>
      <c r="AI1279" s="6" t="s">
        <v>8514</v>
      </c>
      <c r="AJ1279" s="12" t="s">
        <v>8696</v>
      </c>
      <c r="AL1279" s="13" t="s">
        <v>8460</v>
      </c>
    </row>
    <row r="1280">
      <c r="A1280" s="5" t="s">
        <v>8701</v>
      </c>
      <c r="B1280" s="5" t="s">
        <v>8702</v>
      </c>
      <c r="C1280" s="5" t="s">
        <v>5831</v>
      </c>
      <c r="D1280" s="5" t="s">
        <v>8</v>
      </c>
      <c r="E1280" s="6"/>
      <c r="F1280" s="6"/>
      <c r="G1280" s="7" t="s">
        <v>8703</v>
      </c>
      <c r="I1280" s="8" t="s">
        <v>8704</v>
      </c>
      <c r="J1280" s="9">
        <v>3.4</v>
      </c>
      <c r="K1280" s="10" t="s">
        <v>11</v>
      </c>
      <c r="L1280" s="6"/>
      <c r="M1280" s="11" t="s">
        <v>17</v>
      </c>
      <c r="N1280" s="6"/>
      <c r="O1280" s="6" t="s">
        <v>8705</v>
      </c>
      <c r="P1280" s="10" t="s">
        <v>15</v>
      </c>
      <c r="Q1280" s="6"/>
      <c r="R1280" s="6"/>
      <c r="S1280" s="6"/>
      <c r="T1280" s="6" t="s">
        <v>16</v>
      </c>
      <c r="U1280" s="9" t="s">
        <v>17</v>
      </c>
      <c r="AI1280" s="6" t="s">
        <v>8514</v>
      </c>
      <c r="AJ1280" s="12" t="s">
        <v>8706</v>
      </c>
      <c r="AL1280" s="13" t="s">
        <v>8460</v>
      </c>
    </row>
    <row r="1281">
      <c r="A1281" s="5" t="s">
        <v>8707</v>
      </c>
      <c r="B1281" s="5" t="s">
        <v>8708</v>
      </c>
      <c r="C1281" s="5" t="s">
        <v>8510</v>
      </c>
      <c r="D1281" s="5" t="s">
        <v>8</v>
      </c>
      <c r="E1281" s="6"/>
      <c r="F1281" s="6"/>
      <c r="G1281" s="7" t="s">
        <v>8709</v>
      </c>
      <c r="I1281" s="8" t="s">
        <v>8523</v>
      </c>
      <c r="J1281" s="9">
        <v>2.9</v>
      </c>
      <c r="K1281" s="10" t="s">
        <v>11</v>
      </c>
      <c r="L1281" s="6"/>
      <c r="M1281" s="11" t="s">
        <v>17</v>
      </c>
      <c r="N1281" s="6"/>
      <c r="O1281" s="6" t="s">
        <v>8710</v>
      </c>
      <c r="P1281" s="10" t="s">
        <v>15</v>
      </c>
      <c r="Q1281" s="6"/>
      <c r="R1281" s="6"/>
      <c r="S1281" s="6"/>
      <c r="T1281" s="6" t="s">
        <v>16</v>
      </c>
      <c r="U1281" s="9" t="s">
        <v>17</v>
      </c>
      <c r="AI1281" s="6" t="s">
        <v>8514</v>
      </c>
      <c r="AJ1281" s="12" t="s">
        <v>8711</v>
      </c>
      <c r="AL1281" s="13" t="s">
        <v>8460</v>
      </c>
    </row>
    <row r="1282">
      <c r="A1282" s="5" t="s">
        <v>8712</v>
      </c>
      <c r="B1282" s="5" t="s">
        <v>8713</v>
      </c>
      <c r="C1282" s="5" t="s">
        <v>8510</v>
      </c>
      <c r="D1282" s="5" t="s">
        <v>8</v>
      </c>
      <c r="E1282" s="6"/>
      <c r="F1282" s="6"/>
      <c r="G1282" s="7" t="s">
        <v>8714</v>
      </c>
      <c r="I1282" s="8" t="s">
        <v>8523</v>
      </c>
      <c r="J1282" s="9">
        <v>29.0</v>
      </c>
      <c r="K1282" s="10" t="s">
        <v>11</v>
      </c>
      <c r="L1282" s="6"/>
      <c r="M1282" s="11" t="s">
        <v>17</v>
      </c>
      <c r="N1282" s="6"/>
      <c r="O1282" s="6" t="s">
        <v>8715</v>
      </c>
      <c r="P1282" s="10" t="s">
        <v>15</v>
      </c>
      <c r="Q1282" s="6"/>
      <c r="R1282" s="6"/>
      <c r="S1282" s="6"/>
      <c r="T1282" s="6" t="s">
        <v>16</v>
      </c>
      <c r="U1282" s="9" t="s">
        <v>17</v>
      </c>
      <c r="AI1282" s="6" t="s">
        <v>8514</v>
      </c>
      <c r="AJ1282" s="12" t="s">
        <v>8711</v>
      </c>
      <c r="AL1282" s="13" t="s">
        <v>8460</v>
      </c>
    </row>
    <row r="1283">
      <c r="A1283" s="5" t="s">
        <v>8716</v>
      </c>
      <c r="B1283" s="5" t="s">
        <v>8717</v>
      </c>
      <c r="C1283" s="5" t="s">
        <v>8510</v>
      </c>
      <c r="D1283" s="5" t="s">
        <v>8</v>
      </c>
      <c r="E1283" s="6"/>
      <c r="F1283" s="6"/>
      <c r="G1283" s="7" t="s">
        <v>8718</v>
      </c>
      <c r="I1283" s="8" t="s">
        <v>8719</v>
      </c>
      <c r="J1283" s="9">
        <v>2.9</v>
      </c>
      <c r="K1283" s="10" t="s">
        <v>11</v>
      </c>
      <c r="L1283" s="6"/>
      <c r="M1283" s="11" t="s">
        <v>17</v>
      </c>
      <c r="N1283" s="6"/>
      <c r="O1283" s="6" t="s">
        <v>8720</v>
      </c>
      <c r="P1283" s="10" t="s">
        <v>15</v>
      </c>
      <c r="Q1283" s="6"/>
      <c r="R1283" s="6"/>
      <c r="S1283" s="6"/>
      <c r="T1283" s="6" t="s">
        <v>16</v>
      </c>
      <c r="U1283" s="9" t="s">
        <v>17</v>
      </c>
      <c r="AI1283" s="6" t="s">
        <v>8514</v>
      </c>
      <c r="AJ1283" s="12" t="s">
        <v>8721</v>
      </c>
      <c r="AL1283" s="13" t="s">
        <v>8460</v>
      </c>
    </row>
    <row r="1284">
      <c r="A1284" s="5" t="s">
        <v>8722</v>
      </c>
      <c r="B1284" s="5" t="s">
        <v>8723</v>
      </c>
      <c r="C1284" s="5" t="s">
        <v>8510</v>
      </c>
      <c r="D1284" s="5" t="s">
        <v>8</v>
      </c>
      <c r="E1284" s="6"/>
      <c r="F1284" s="6"/>
      <c r="G1284" s="7" t="s">
        <v>8724</v>
      </c>
      <c r="I1284" s="8" t="s">
        <v>8725</v>
      </c>
      <c r="J1284" s="9">
        <v>29.0</v>
      </c>
      <c r="K1284" s="10" t="s">
        <v>11</v>
      </c>
      <c r="L1284" s="6"/>
      <c r="M1284" s="11" t="s">
        <v>17</v>
      </c>
      <c r="N1284" s="6"/>
      <c r="O1284" s="6" t="s">
        <v>8726</v>
      </c>
      <c r="P1284" s="10" t="s">
        <v>15</v>
      </c>
      <c r="Q1284" s="6"/>
      <c r="R1284" s="6"/>
      <c r="S1284" s="6"/>
      <c r="T1284" s="6" t="s">
        <v>16</v>
      </c>
      <c r="U1284" s="9" t="s">
        <v>17</v>
      </c>
      <c r="AI1284" s="6" t="s">
        <v>8514</v>
      </c>
      <c r="AJ1284" s="12" t="s">
        <v>8721</v>
      </c>
      <c r="AL1284" s="13" t="s">
        <v>8460</v>
      </c>
    </row>
    <row r="1285">
      <c r="A1285" s="5" t="s">
        <v>8727</v>
      </c>
      <c r="B1285" s="5" t="s">
        <v>8728</v>
      </c>
      <c r="C1285" s="5" t="s">
        <v>8510</v>
      </c>
      <c r="D1285" s="5" t="s">
        <v>8</v>
      </c>
      <c r="E1285" s="6"/>
      <c r="F1285" s="6"/>
      <c r="G1285" s="7" t="s">
        <v>8729</v>
      </c>
      <c r="I1285" s="8" t="s">
        <v>8533</v>
      </c>
      <c r="J1285" s="9">
        <v>2.9</v>
      </c>
      <c r="K1285" s="10" t="s">
        <v>11</v>
      </c>
      <c r="L1285" s="6"/>
      <c r="M1285" s="11" t="s">
        <v>17</v>
      </c>
      <c r="N1285" s="6"/>
      <c r="O1285" s="6" t="s">
        <v>8730</v>
      </c>
      <c r="P1285" s="10" t="s">
        <v>15</v>
      </c>
      <c r="Q1285" s="6"/>
      <c r="R1285" s="6"/>
      <c r="S1285" s="6"/>
      <c r="T1285" s="6" t="s">
        <v>16</v>
      </c>
      <c r="U1285" s="9" t="s">
        <v>17</v>
      </c>
      <c r="AI1285" s="6" t="s">
        <v>8514</v>
      </c>
      <c r="AJ1285" s="12" t="s">
        <v>8731</v>
      </c>
      <c r="AL1285" s="13" t="s">
        <v>8460</v>
      </c>
    </row>
    <row r="1286">
      <c r="A1286" s="5" t="s">
        <v>8732</v>
      </c>
      <c r="B1286" s="5" t="s">
        <v>8733</v>
      </c>
      <c r="C1286" s="5" t="s">
        <v>8510</v>
      </c>
      <c r="D1286" s="5" t="s">
        <v>8</v>
      </c>
      <c r="E1286" s="6"/>
      <c r="F1286" s="6"/>
      <c r="G1286" s="7" t="s">
        <v>8734</v>
      </c>
      <c r="I1286" s="8" t="s">
        <v>8533</v>
      </c>
      <c r="J1286" s="9">
        <v>29.0</v>
      </c>
      <c r="K1286" s="10" t="s">
        <v>11</v>
      </c>
      <c r="L1286" s="6"/>
      <c r="M1286" s="11" t="s">
        <v>17</v>
      </c>
      <c r="N1286" s="6"/>
      <c r="O1286" s="6" t="s">
        <v>8735</v>
      </c>
      <c r="P1286" s="10" t="s">
        <v>15</v>
      </c>
      <c r="Q1286" s="6"/>
      <c r="R1286" s="6"/>
      <c r="S1286" s="6"/>
      <c r="T1286" s="6" t="s">
        <v>16</v>
      </c>
      <c r="U1286" s="9" t="s">
        <v>17</v>
      </c>
      <c r="AI1286" s="6" t="s">
        <v>8514</v>
      </c>
      <c r="AJ1286" s="12" t="s">
        <v>8731</v>
      </c>
      <c r="AL1286" s="13" t="s">
        <v>8460</v>
      </c>
    </row>
    <row r="1287">
      <c r="A1287" s="5" t="s">
        <v>8736</v>
      </c>
      <c r="B1287" s="5" t="s">
        <v>8737</v>
      </c>
      <c r="C1287" s="5" t="s">
        <v>8510</v>
      </c>
      <c r="D1287" s="5" t="s">
        <v>8</v>
      </c>
      <c r="E1287" s="6"/>
      <c r="F1287" s="6"/>
      <c r="G1287" s="7" t="s">
        <v>8738</v>
      </c>
      <c r="I1287" s="8" t="s">
        <v>8656</v>
      </c>
      <c r="J1287" s="9">
        <v>2.9</v>
      </c>
      <c r="K1287" s="10" t="s">
        <v>11</v>
      </c>
      <c r="L1287" s="6"/>
      <c r="M1287" s="11" t="s">
        <v>17</v>
      </c>
      <c r="N1287" s="6"/>
      <c r="O1287" s="6" t="s">
        <v>8739</v>
      </c>
      <c r="P1287" s="10" t="s">
        <v>15</v>
      </c>
      <c r="Q1287" s="6"/>
      <c r="R1287" s="6"/>
      <c r="S1287" s="6"/>
      <c r="T1287" s="6" t="s">
        <v>16</v>
      </c>
      <c r="U1287" s="9" t="s">
        <v>17</v>
      </c>
      <c r="AI1287" s="6" t="s">
        <v>8514</v>
      </c>
      <c r="AJ1287" s="12" t="s">
        <v>8740</v>
      </c>
      <c r="AL1287" s="13" t="s">
        <v>8460</v>
      </c>
    </row>
    <row r="1288">
      <c r="A1288" s="5" t="s">
        <v>8741</v>
      </c>
      <c r="B1288" s="5" t="s">
        <v>8742</v>
      </c>
      <c r="C1288" s="5" t="s">
        <v>8510</v>
      </c>
      <c r="D1288" s="5" t="s">
        <v>8</v>
      </c>
      <c r="E1288" s="6"/>
      <c r="F1288" s="6"/>
      <c r="G1288" s="7" t="s">
        <v>8743</v>
      </c>
      <c r="I1288" s="8" t="s">
        <v>8656</v>
      </c>
      <c r="J1288" s="9">
        <v>29.0</v>
      </c>
      <c r="K1288" s="10" t="s">
        <v>11</v>
      </c>
      <c r="L1288" s="6"/>
      <c r="M1288" s="11" t="s">
        <v>17</v>
      </c>
      <c r="N1288" s="6"/>
      <c r="O1288" s="6" t="s">
        <v>8744</v>
      </c>
      <c r="P1288" s="10" t="s">
        <v>15</v>
      </c>
      <c r="Q1288" s="6"/>
      <c r="R1288" s="6"/>
      <c r="S1288" s="6"/>
      <c r="T1288" s="6" t="s">
        <v>16</v>
      </c>
      <c r="U1288" s="9" t="s">
        <v>17</v>
      </c>
      <c r="AI1288" s="6" t="s">
        <v>8514</v>
      </c>
      <c r="AJ1288" s="12" t="s">
        <v>8740</v>
      </c>
      <c r="AL1288" s="13" t="s">
        <v>8460</v>
      </c>
    </row>
    <row r="1289">
      <c r="A1289" s="5" t="s">
        <v>8745</v>
      </c>
      <c r="B1289" s="5" t="s">
        <v>8746</v>
      </c>
      <c r="C1289" s="5" t="s">
        <v>8510</v>
      </c>
      <c r="D1289" s="5" t="s">
        <v>507</v>
      </c>
      <c r="E1289" s="6"/>
      <c r="F1289" s="6"/>
      <c r="G1289" s="7" t="s">
        <v>8747</v>
      </c>
      <c r="I1289" s="8" t="s">
        <v>8512</v>
      </c>
      <c r="J1289" s="9">
        <v>2.9</v>
      </c>
      <c r="K1289" s="10" t="s">
        <v>11</v>
      </c>
      <c r="L1289" s="6"/>
      <c r="M1289" s="11" t="s">
        <v>17</v>
      </c>
      <c r="N1289" s="6"/>
      <c r="O1289" s="6" t="s">
        <v>8748</v>
      </c>
      <c r="P1289" s="10" t="s">
        <v>15</v>
      </c>
      <c r="Q1289" s="6"/>
      <c r="R1289" s="6"/>
      <c r="S1289" s="6"/>
      <c r="T1289" s="6" t="s">
        <v>16</v>
      </c>
      <c r="U1289" s="9" t="s">
        <v>17</v>
      </c>
      <c r="AI1289" s="6" t="s">
        <v>8514</v>
      </c>
      <c r="AJ1289" s="12" t="s">
        <v>8749</v>
      </c>
      <c r="AL1289" s="13" t="s">
        <v>8460</v>
      </c>
    </row>
    <row r="1290">
      <c r="A1290" s="5" t="s">
        <v>8750</v>
      </c>
      <c r="B1290" s="5" t="s">
        <v>8751</v>
      </c>
      <c r="C1290" s="5" t="s">
        <v>8510</v>
      </c>
      <c r="D1290" s="5" t="s">
        <v>507</v>
      </c>
      <c r="E1290" s="6"/>
      <c r="F1290" s="6"/>
      <c r="G1290" s="7" t="s">
        <v>8752</v>
      </c>
      <c r="I1290" s="8" t="s">
        <v>8512</v>
      </c>
      <c r="J1290" s="9">
        <v>29.0</v>
      </c>
      <c r="K1290" s="10" t="s">
        <v>11</v>
      </c>
      <c r="L1290" s="6"/>
      <c r="M1290" s="11" t="s">
        <v>17</v>
      </c>
      <c r="N1290" s="6"/>
      <c r="O1290" s="6" t="s">
        <v>8753</v>
      </c>
      <c r="P1290" s="10" t="s">
        <v>15</v>
      </c>
      <c r="Q1290" s="6"/>
      <c r="R1290" s="6"/>
      <c r="S1290" s="6"/>
      <c r="T1290" s="6" t="s">
        <v>16</v>
      </c>
      <c r="U1290" s="9" t="s">
        <v>17</v>
      </c>
      <c r="AI1290" s="6" t="s">
        <v>8514</v>
      </c>
      <c r="AJ1290" s="12" t="s">
        <v>8749</v>
      </c>
      <c r="AL1290" s="13" t="s">
        <v>8460</v>
      </c>
    </row>
    <row r="1291">
      <c r="A1291" s="5" t="s">
        <v>8754</v>
      </c>
      <c r="B1291" s="5" t="s">
        <v>8755</v>
      </c>
      <c r="C1291" s="5" t="s">
        <v>8510</v>
      </c>
      <c r="D1291" s="5" t="s">
        <v>8</v>
      </c>
      <c r="E1291" s="6"/>
      <c r="F1291" s="6"/>
      <c r="G1291" s="7" t="s">
        <v>8756</v>
      </c>
      <c r="I1291" s="8" t="s">
        <v>8570</v>
      </c>
      <c r="J1291" s="9">
        <v>2.9</v>
      </c>
      <c r="K1291" s="10" t="s">
        <v>11</v>
      </c>
      <c r="L1291" s="6"/>
      <c r="M1291" s="11" t="s">
        <v>17</v>
      </c>
      <c r="N1291" s="6"/>
      <c r="O1291" s="6" t="s">
        <v>8757</v>
      </c>
      <c r="P1291" s="10" t="s">
        <v>15</v>
      </c>
      <c r="Q1291" s="6"/>
      <c r="R1291" s="6"/>
      <c r="S1291" s="6"/>
      <c r="T1291" s="6" t="s">
        <v>16</v>
      </c>
      <c r="U1291" s="9" t="s">
        <v>17</v>
      </c>
      <c r="AI1291" s="6" t="s">
        <v>8514</v>
      </c>
      <c r="AJ1291" s="12" t="s">
        <v>8758</v>
      </c>
      <c r="AL1291" s="13" t="s">
        <v>8460</v>
      </c>
    </row>
    <row r="1292">
      <c r="A1292" s="5" t="s">
        <v>8759</v>
      </c>
      <c r="B1292" s="5" t="s">
        <v>8760</v>
      </c>
      <c r="C1292" s="5" t="s">
        <v>8510</v>
      </c>
      <c r="D1292" s="5" t="s">
        <v>8</v>
      </c>
      <c r="E1292" s="6"/>
      <c r="F1292" s="6"/>
      <c r="G1292" s="7" t="s">
        <v>8761</v>
      </c>
      <c r="I1292" s="8" t="s">
        <v>8570</v>
      </c>
      <c r="J1292" s="9">
        <v>29.0</v>
      </c>
      <c r="K1292" s="10" t="s">
        <v>11</v>
      </c>
      <c r="L1292" s="6"/>
      <c r="M1292" s="11" t="s">
        <v>17</v>
      </c>
      <c r="N1292" s="6"/>
      <c r="O1292" s="6" t="s">
        <v>8762</v>
      </c>
      <c r="P1292" s="10" t="s">
        <v>15</v>
      </c>
      <c r="Q1292" s="6"/>
      <c r="R1292" s="6"/>
      <c r="S1292" s="6"/>
      <c r="T1292" s="6" t="s">
        <v>16</v>
      </c>
      <c r="U1292" s="9" t="s">
        <v>17</v>
      </c>
      <c r="AI1292" s="6" t="s">
        <v>8514</v>
      </c>
      <c r="AJ1292" s="12" t="s">
        <v>8758</v>
      </c>
      <c r="AL1292" s="13" t="s">
        <v>8460</v>
      </c>
    </row>
    <row r="1293">
      <c r="A1293" s="5" t="s">
        <v>8763</v>
      </c>
      <c r="B1293" s="5" t="s">
        <v>8764</v>
      </c>
      <c r="C1293" s="5" t="s">
        <v>8510</v>
      </c>
      <c r="D1293" s="5" t="s">
        <v>507</v>
      </c>
      <c r="E1293" s="6"/>
      <c r="F1293" s="6"/>
      <c r="G1293" s="7" t="s">
        <v>8765</v>
      </c>
      <c r="I1293" s="8" t="s">
        <v>8646</v>
      </c>
      <c r="J1293" s="9">
        <v>2.9</v>
      </c>
      <c r="K1293" s="10" t="s">
        <v>11</v>
      </c>
      <c r="L1293" s="6"/>
      <c r="M1293" s="11" t="s">
        <v>17</v>
      </c>
      <c r="N1293" s="6"/>
      <c r="O1293" s="6" t="s">
        <v>8766</v>
      </c>
      <c r="P1293" s="10" t="s">
        <v>15</v>
      </c>
      <c r="Q1293" s="6"/>
      <c r="R1293" s="6"/>
      <c r="S1293" s="6"/>
      <c r="T1293" s="6" t="s">
        <v>16</v>
      </c>
      <c r="U1293" s="9" t="s">
        <v>17</v>
      </c>
      <c r="AI1293" s="6" t="s">
        <v>8514</v>
      </c>
      <c r="AJ1293" s="12" t="s">
        <v>8767</v>
      </c>
      <c r="AL1293" s="13" t="s">
        <v>8460</v>
      </c>
    </row>
    <row r="1294">
      <c r="A1294" s="5" t="s">
        <v>8768</v>
      </c>
      <c r="B1294" s="5" t="s">
        <v>8769</v>
      </c>
      <c r="C1294" s="5" t="s">
        <v>8510</v>
      </c>
      <c r="D1294" s="5" t="s">
        <v>507</v>
      </c>
      <c r="E1294" s="6"/>
      <c r="F1294" s="6"/>
      <c r="G1294" s="7" t="s">
        <v>8770</v>
      </c>
      <c r="I1294" s="8" t="s">
        <v>8646</v>
      </c>
      <c r="J1294" s="9">
        <v>29.0</v>
      </c>
      <c r="K1294" s="10" t="s">
        <v>11</v>
      </c>
      <c r="L1294" s="6"/>
      <c r="M1294" s="11" t="s">
        <v>17</v>
      </c>
      <c r="N1294" s="6"/>
      <c r="O1294" s="6" t="s">
        <v>8771</v>
      </c>
      <c r="P1294" s="10" t="s">
        <v>15</v>
      </c>
      <c r="Q1294" s="6"/>
      <c r="R1294" s="6"/>
      <c r="S1294" s="6"/>
      <c r="T1294" s="6" t="s">
        <v>16</v>
      </c>
      <c r="U1294" s="9" t="s">
        <v>17</v>
      </c>
      <c r="AI1294" s="6" t="s">
        <v>8514</v>
      </c>
      <c r="AJ1294" s="12" t="s">
        <v>8767</v>
      </c>
      <c r="AL1294" s="13" t="s">
        <v>8460</v>
      </c>
    </row>
    <row r="1295">
      <c r="A1295" s="5" t="s">
        <v>8772</v>
      </c>
      <c r="B1295" s="5" t="s">
        <v>8773</v>
      </c>
      <c r="C1295" s="5" t="s">
        <v>8510</v>
      </c>
      <c r="D1295" s="5" t="s">
        <v>507</v>
      </c>
      <c r="E1295" s="6"/>
      <c r="F1295" s="6"/>
      <c r="G1295" s="7" t="s">
        <v>8774</v>
      </c>
      <c r="I1295" s="8" t="s">
        <v>8775</v>
      </c>
      <c r="J1295" s="9">
        <v>2.9</v>
      </c>
      <c r="K1295" s="10" t="s">
        <v>11</v>
      </c>
      <c r="L1295" s="6"/>
      <c r="M1295" s="11" t="s">
        <v>17</v>
      </c>
      <c r="N1295" s="6"/>
      <c r="O1295" s="6" t="s">
        <v>8776</v>
      </c>
      <c r="P1295" s="10" t="s">
        <v>15</v>
      </c>
      <c r="Q1295" s="6"/>
      <c r="R1295" s="6"/>
      <c r="S1295" s="6"/>
      <c r="T1295" s="6" t="s">
        <v>16</v>
      </c>
      <c r="U1295" s="9" t="s">
        <v>17</v>
      </c>
      <c r="AI1295" s="6" t="s">
        <v>8514</v>
      </c>
      <c r="AJ1295" s="12" t="s">
        <v>8777</v>
      </c>
      <c r="AL1295" s="13" t="s">
        <v>8460</v>
      </c>
    </row>
    <row r="1296">
      <c r="A1296" s="5" t="s">
        <v>8778</v>
      </c>
      <c r="B1296" s="5" t="s">
        <v>8779</v>
      </c>
      <c r="C1296" s="5" t="s">
        <v>8510</v>
      </c>
      <c r="D1296" s="5" t="s">
        <v>507</v>
      </c>
      <c r="E1296" s="6"/>
      <c r="F1296" s="6"/>
      <c r="G1296" s="7" t="s">
        <v>8780</v>
      </c>
      <c r="I1296" s="8" t="s">
        <v>8775</v>
      </c>
      <c r="J1296" s="9">
        <v>29.0</v>
      </c>
      <c r="K1296" s="10" t="s">
        <v>11</v>
      </c>
      <c r="L1296" s="6"/>
      <c r="M1296" s="11" t="s">
        <v>17</v>
      </c>
      <c r="N1296" s="6"/>
      <c r="O1296" s="6" t="s">
        <v>8781</v>
      </c>
      <c r="P1296" s="10" t="s">
        <v>15</v>
      </c>
      <c r="Q1296" s="6"/>
      <c r="R1296" s="6"/>
      <c r="S1296" s="6"/>
      <c r="T1296" s="6" t="s">
        <v>16</v>
      </c>
      <c r="U1296" s="9" t="s">
        <v>17</v>
      </c>
      <c r="AI1296" s="6" t="s">
        <v>8514</v>
      </c>
      <c r="AJ1296" s="12" t="s">
        <v>8777</v>
      </c>
      <c r="AL1296" s="13" t="s">
        <v>8460</v>
      </c>
    </row>
    <row r="1297">
      <c r="A1297" s="5" t="s">
        <v>8782</v>
      </c>
      <c r="B1297" s="5" t="s">
        <v>8783</v>
      </c>
      <c r="C1297" s="5" t="s">
        <v>8510</v>
      </c>
      <c r="D1297" s="5" t="s">
        <v>8</v>
      </c>
      <c r="E1297" s="6"/>
      <c r="F1297" s="6"/>
      <c r="G1297" s="7" t="s">
        <v>8784</v>
      </c>
      <c r="I1297" s="8" t="s">
        <v>8785</v>
      </c>
      <c r="J1297" s="9">
        <v>2.9</v>
      </c>
      <c r="K1297" s="10" t="s">
        <v>11</v>
      </c>
      <c r="L1297" s="6"/>
      <c r="M1297" s="11" t="s">
        <v>17</v>
      </c>
      <c r="N1297" s="6"/>
      <c r="O1297" s="6" t="s">
        <v>8786</v>
      </c>
      <c r="P1297" s="10" t="s">
        <v>15</v>
      </c>
      <c r="Q1297" s="6"/>
      <c r="R1297" s="6"/>
      <c r="S1297" s="6"/>
      <c r="T1297" s="6" t="s">
        <v>16</v>
      </c>
      <c r="U1297" s="9" t="s">
        <v>17</v>
      </c>
      <c r="AI1297" s="6" t="s">
        <v>8514</v>
      </c>
      <c r="AJ1297" s="12" t="s">
        <v>8787</v>
      </c>
      <c r="AL1297" s="13" t="s">
        <v>8460</v>
      </c>
    </row>
    <row r="1298">
      <c r="A1298" s="5" t="s">
        <v>8788</v>
      </c>
      <c r="B1298" s="5" t="s">
        <v>8789</v>
      </c>
      <c r="C1298" s="5" t="s">
        <v>8510</v>
      </c>
      <c r="D1298" s="5" t="s">
        <v>8</v>
      </c>
      <c r="E1298" s="6"/>
      <c r="F1298" s="6"/>
      <c r="G1298" s="7" t="s">
        <v>8790</v>
      </c>
      <c r="I1298" s="8" t="s">
        <v>8785</v>
      </c>
      <c r="J1298" s="9">
        <v>29.0</v>
      </c>
      <c r="K1298" s="10" t="s">
        <v>11</v>
      </c>
      <c r="L1298" s="6"/>
      <c r="M1298" s="11" t="s">
        <v>17</v>
      </c>
      <c r="N1298" s="6"/>
      <c r="O1298" s="6" t="s">
        <v>8791</v>
      </c>
      <c r="P1298" s="10" t="s">
        <v>15</v>
      </c>
      <c r="Q1298" s="6"/>
      <c r="R1298" s="6"/>
      <c r="S1298" s="6"/>
      <c r="T1298" s="6" t="s">
        <v>16</v>
      </c>
      <c r="U1298" s="9" t="s">
        <v>17</v>
      </c>
      <c r="AI1298" s="6" t="s">
        <v>8514</v>
      </c>
      <c r="AJ1298" s="12" t="s">
        <v>8787</v>
      </c>
      <c r="AL1298" s="13" t="s">
        <v>8460</v>
      </c>
    </row>
    <row r="1299">
      <c r="A1299" s="5" t="s">
        <v>8792</v>
      </c>
      <c r="B1299" s="5" t="s">
        <v>8793</v>
      </c>
      <c r="C1299" s="5" t="s">
        <v>8510</v>
      </c>
      <c r="D1299" s="5" t="s">
        <v>8</v>
      </c>
      <c r="E1299" s="6"/>
      <c r="F1299" s="6"/>
      <c r="G1299" s="7" t="s">
        <v>8794</v>
      </c>
      <c r="I1299" s="8" t="s">
        <v>8512</v>
      </c>
      <c r="J1299" s="9">
        <v>2.9</v>
      </c>
      <c r="K1299" s="10" t="s">
        <v>11</v>
      </c>
      <c r="L1299" s="6"/>
      <c r="M1299" s="11" t="s">
        <v>17</v>
      </c>
      <c r="N1299" s="6"/>
      <c r="O1299" s="6" t="s">
        <v>8795</v>
      </c>
      <c r="P1299" s="10" t="s">
        <v>15</v>
      </c>
      <c r="Q1299" s="6"/>
      <c r="R1299" s="6"/>
      <c r="S1299" s="6"/>
      <c r="T1299" s="6" t="s">
        <v>16</v>
      </c>
      <c r="U1299" s="9" t="s">
        <v>17</v>
      </c>
      <c r="AI1299" s="6" t="s">
        <v>8514</v>
      </c>
      <c r="AJ1299" s="12" t="s">
        <v>8796</v>
      </c>
      <c r="AL1299" s="13" t="s">
        <v>8460</v>
      </c>
    </row>
    <row r="1300">
      <c r="A1300" s="5" t="s">
        <v>8797</v>
      </c>
      <c r="B1300" s="5" t="s">
        <v>8798</v>
      </c>
      <c r="C1300" s="5" t="s">
        <v>8510</v>
      </c>
      <c r="D1300" s="5" t="s">
        <v>8</v>
      </c>
      <c r="E1300" s="6"/>
      <c r="F1300" s="6"/>
      <c r="G1300" s="7" t="s">
        <v>8799</v>
      </c>
      <c r="I1300" s="8" t="s">
        <v>8512</v>
      </c>
      <c r="J1300" s="9">
        <v>29.0</v>
      </c>
      <c r="K1300" s="10" t="s">
        <v>11</v>
      </c>
      <c r="L1300" s="6"/>
      <c r="M1300" s="11" t="s">
        <v>17</v>
      </c>
      <c r="N1300" s="6"/>
      <c r="O1300" s="6" t="s">
        <v>8800</v>
      </c>
      <c r="P1300" s="10" t="s">
        <v>15</v>
      </c>
      <c r="Q1300" s="6"/>
      <c r="R1300" s="6"/>
      <c r="S1300" s="6"/>
      <c r="T1300" s="6" t="s">
        <v>16</v>
      </c>
      <c r="U1300" s="9" t="s">
        <v>17</v>
      </c>
      <c r="AI1300" s="6" t="s">
        <v>8514</v>
      </c>
      <c r="AJ1300" s="12" t="s">
        <v>8796</v>
      </c>
      <c r="AL1300" s="13" t="s">
        <v>8460</v>
      </c>
    </row>
    <row r="1301">
      <c r="A1301" s="5" t="s">
        <v>8801</v>
      </c>
      <c r="B1301" s="5" t="s">
        <v>8802</v>
      </c>
      <c r="C1301" s="5" t="s">
        <v>8510</v>
      </c>
      <c r="D1301" s="5" t="s">
        <v>507</v>
      </c>
      <c r="E1301" s="6"/>
      <c r="F1301" s="6"/>
      <c r="G1301" s="7" t="s">
        <v>8803</v>
      </c>
      <c r="I1301" s="8" t="s">
        <v>8523</v>
      </c>
      <c r="J1301" s="9">
        <v>2.9</v>
      </c>
      <c r="K1301" s="10" t="s">
        <v>11</v>
      </c>
      <c r="L1301" s="6"/>
      <c r="M1301" s="11" t="s">
        <v>17</v>
      </c>
      <c r="N1301" s="6"/>
      <c r="O1301" s="6" t="s">
        <v>8804</v>
      </c>
      <c r="P1301" s="10" t="s">
        <v>15</v>
      </c>
      <c r="Q1301" s="6"/>
      <c r="R1301" s="6"/>
      <c r="S1301" s="6"/>
      <c r="T1301" s="6" t="s">
        <v>16</v>
      </c>
      <c r="U1301" s="9" t="s">
        <v>17</v>
      </c>
      <c r="AI1301" s="6" t="s">
        <v>8514</v>
      </c>
      <c r="AJ1301" s="12" t="s">
        <v>8805</v>
      </c>
      <c r="AL1301" s="13" t="s">
        <v>8460</v>
      </c>
    </row>
    <row r="1302">
      <c r="A1302" s="5" t="s">
        <v>8806</v>
      </c>
      <c r="B1302" s="5" t="s">
        <v>8807</v>
      </c>
      <c r="C1302" s="5" t="s">
        <v>8510</v>
      </c>
      <c r="D1302" s="5" t="s">
        <v>507</v>
      </c>
      <c r="E1302" s="6"/>
      <c r="F1302" s="6"/>
      <c r="G1302" s="7" t="s">
        <v>8808</v>
      </c>
      <c r="I1302" s="8" t="s">
        <v>8523</v>
      </c>
      <c r="J1302" s="9">
        <v>29.0</v>
      </c>
      <c r="K1302" s="10" t="s">
        <v>11</v>
      </c>
      <c r="L1302" s="6"/>
      <c r="M1302" s="11" t="s">
        <v>17</v>
      </c>
      <c r="N1302" s="6"/>
      <c r="O1302" s="6" t="s">
        <v>8809</v>
      </c>
      <c r="P1302" s="10" t="s">
        <v>15</v>
      </c>
      <c r="Q1302" s="6"/>
      <c r="R1302" s="6"/>
      <c r="S1302" s="6"/>
      <c r="T1302" s="6" t="s">
        <v>16</v>
      </c>
      <c r="U1302" s="9" t="s">
        <v>17</v>
      </c>
      <c r="AI1302" s="6" t="s">
        <v>8514</v>
      </c>
      <c r="AJ1302" s="12" t="s">
        <v>8805</v>
      </c>
      <c r="AL1302" s="13" t="s">
        <v>8460</v>
      </c>
    </row>
    <row r="1303">
      <c r="A1303" s="5" t="s">
        <v>8810</v>
      </c>
      <c r="B1303" s="5" t="s">
        <v>8811</v>
      </c>
      <c r="C1303" s="5" t="s">
        <v>8510</v>
      </c>
      <c r="D1303" s="5" t="s">
        <v>8</v>
      </c>
      <c r="E1303" s="6"/>
      <c r="F1303" s="6"/>
      <c r="G1303" s="7" t="s">
        <v>8812</v>
      </c>
      <c r="I1303" s="8" t="s">
        <v>8646</v>
      </c>
      <c r="J1303" s="9">
        <v>2.9</v>
      </c>
      <c r="K1303" s="10" t="s">
        <v>11</v>
      </c>
      <c r="L1303" s="6"/>
      <c r="M1303" s="11" t="s">
        <v>17</v>
      </c>
      <c r="N1303" s="6"/>
      <c r="O1303" s="6" t="s">
        <v>8813</v>
      </c>
      <c r="P1303" s="10" t="s">
        <v>15</v>
      </c>
      <c r="Q1303" s="6"/>
      <c r="R1303" s="6"/>
      <c r="S1303" s="6"/>
      <c r="T1303" s="6" t="s">
        <v>16</v>
      </c>
      <c r="U1303" s="9" t="s">
        <v>17</v>
      </c>
      <c r="AI1303" s="6" t="s">
        <v>8514</v>
      </c>
      <c r="AJ1303" s="12" t="s">
        <v>8814</v>
      </c>
      <c r="AL1303" s="13" t="s">
        <v>8460</v>
      </c>
    </row>
    <row r="1304">
      <c r="A1304" s="5" t="s">
        <v>8815</v>
      </c>
      <c r="B1304" s="5" t="s">
        <v>8816</v>
      </c>
      <c r="C1304" s="5" t="s">
        <v>8510</v>
      </c>
      <c r="D1304" s="5" t="s">
        <v>8</v>
      </c>
      <c r="E1304" s="6"/>
      <c r="F1304" s="6"/>
      <c r="G1304" s="7" t="s">
        <v>8817</v>
      </c>
      <c r="I1304" s="8" t="s">
        <v>8646</v>
      </c>
      <c r="J1304" s="9">
        <v>29.0</v>
      </c>
      <c r="K1304" s="10" t="s">
        <v>11</v>
      </c>
      <c r="L1304" s="6"/>
      <c r="M1304" s="11" t="s">
        <v>17</v>
      </c>
      <c r="N1304" s="6"/>
      <c r="O1304" s="6" t="s">
        <v>8818</v>
      </c>
      <c r="P1304" s="10" t="s">
        <v>15</v>
      </c>
      <c r="Q1304" s="6"/>
      <c r="R1304" s="6"/>
      <c r="S1304" s="6"/>
      <c r="T1304" s="6" t="s">
        <v>16</v>
      </c>
      <c r="U1304" s="9" t="s">
        <v>17</v>
      </c>
      <c r="AI1304" s="6" t="s">
        <v>8514</v>
      </c>
      <c r="AJ1304" s="12" t="s">
        <v>8814</v>
      </c>
      <c r="AL1304" s="13" t="s">
        <v>8460</v>
      </c>
    </row>
    <row r="1305">
      <c r="A1305" s="5" t="s">
        <v>8819</v>
      </c>
      <c r="B1305" s="5" t="s">
        <v>8820</v>
      </c>
      <c r="C1305" s="5" t="s">
        <v>8510</v>
      </c>
      <c r="D1305" s="5" t="s">
        <v>507</v>
      </c>
      <c r="E1305" s="6"/>
      <c r="F1305" s="6"/>
      <c r="G1305" s="7" t="s">
        <v>8821</v>
      </c>
      <c r="I1305" s="8" t="s">
        <v>8775</v>
      </c>
      <c r="J1305" s="9">
        <v>2.9</v>
      </c>
      <c r="K1305" s="10" t="s">
        <v>11</v>
      </c>
      <c r="L1305" s="6"/>
      <c r="M1305" s="11" t="s">
        <v>17</v>
      </c>
      <c r="N1305" s="6"/>
      <c r="O1305" s="6" t="s">
        <v>8822</v>
      </c>
      <c r="P1305" s="10" t="s">
        <v>15</v>
      </c>
      <c r="Q1305" s="6"/>
      <c r="R1305" s="6"/>
      <c r="S1305" s="6" t="s">
        <v>8775</v>
      </c>
      <c r="T1305" s="6" t="s">
        <v>16</v>
      </c>
      <c r="U1305" s="9" t="s">
        <v>17</v>
      </c>
      <c r="AI1305" s="6" t="s">
        <v>8514</v>
      </c>
      <c r="AJ1305" s="12" t="s">
        <v>8823</v>
      </c>
      <c r="AL1305" s="13" t="s">
        <v>8460</v>
      </c>
    </row>
    <row r="1306">
      <c r="A1306" s="5" t="s">
        <v>8824</v>
      </c>
      <c r="B1306" s="5" t="s">
        <v>8825</v>
      </c>
      <c r="C1306" s="5" t="s">
        <v>8510</v>
      </c>
      <c r="D1306" s="5" t="s">
        <v>507</v>
      </c>
      <c r="E1306" s="6"/>
      <c r="F1306" s="6"/>
      <c r="G1306" s="7" t="s">
        <v>8826</v>
      </c>
      <c r="I1306" s="8" t="s">
        <v>8775</v>
      </c>
      <c r="J1306" s="9">
        <v>29.0</v>
      </c>
      <c r="K1306" s="10" t="s">
        <v>11</v>
      </c>
      <c r="L1306" s="6"/>
      <c r="M1306" s="11" t="s">
        <v>17</v>
      </c>
      <c r="N1306" s="6"/>
      <c r="O1306" s="6" t="s">
        <v>8827</v>
      </c>
      <c r="P1306" s="10" t="s">
        <v>15</v>
      </c>
      <c r="Q1306" s="6"/>
      <c r="R1306" s="6"/>
      <c r="S1306" s="6" t="s">
        <v>8775</v>
      </c>
      <c r="T1306" s="6" t="s">
        <v>16</v>
      </c>
      <c r="U1306" s="9" t="s">
        <v>17</v>
      </c>
      <c r="AI1306" s="6" t="s">
        <v>8514</v>
      </c>
      <c r="AJ1306" s="12" t="s">
        <v>8823</v>
      </c>
      <c r="AL1306" s="13" t="s">
        <v>8460</v>
      </c>
    </row>
    <row r="1307">
      <c r="A1307" s="5" t="s">
        <v>8828</v>
      </c>
      <c r="B1307" s="5" t="s">
        <v>8829</v>
      </c>
      <c r="C1307" s="5" t="s">
        <v>8510</v>
      </c>
      <c r="D1307" s="5" t="s">
        <v>8</v>
      </c>
      <c r="E1307" s="6"/>
      <c r="F1307" s="6"/>
      <c r="G1307" s="7" t="s">
        <v>8830</v>
      </c>
      <c r="I1307" s="8" t="s">
        <v>8785</v>
      </c>
      <c r="J1307" s="9">
        <v>2.9</v>
      </c>
      <c r="K1307" s="10" t="s">
        <v>11</v>
      </c>
      <c r="L1307" s="6"/>
      <c r="M1307" s="11" t="s">
        <v>17</v>
      </c>
      <c r="N1307" s="6"/>
      <c r="O1307" s="6" t="s">
        <v>8831</v>
      </c>
      <c r="P1307" s="10" t="s">
        <v>15</v>
      </c>
      <c r="Q1307" s="6"/>
      <c r="R1307" s="6"/>
      <c r="S1307" s="6"/>
      <c r="T1307" s="6" t="s">
        <v>16</v>
      </c>
      <c r="U1307" s="9" t="s">
        <v>17</v>
      </c>
      <c r="AI1307" s="6" t="s">
        <v>8514</v>
      </c>
      <c r="AJ1307" s="12" t="s">
        <v>8832</v>
      </c>
      <c r="AL1307" s="13" t="s">
        <v>8460</v>
      </c>
    </row>
    <row r="1308">
      <c r="A1308" s="5" t="s">
        <v>8833</v>
      </c>
      <c r="B1308" s="5" t="s">
        <v>8834</v>
      </c>
      <c r="C1308" s="5" t="s">
        <v>8510</v>
      </c>
      <c r="D1308" s="5" t="s">
        <v>8</v>
      </c>
      <c r="E1308" s="6"/>
      <c r="F1308" s="6"/>
      <c r="G1308" s="7" t="s">
        <v>8835</v>
      </c>
      <c r="I1308" s="8" t="s">
        <v>8785</v>
      </c>
      <c r="J1308" s="9">
        <v>29.0</v>
      </c>
      <c r="K1308" s="10" t="s">
        <v>11</v>
      </c>
      <c r="L1308" s="6"/>
      <c r="M1308" s="11" t="s">
        <v>17</v>
      </c>
      <c r="N1308" s="6"/>
      <c r="O1308" s="6" t="s">
        <v>8836</v>
      </c>
      <c r="P1308" s="10" t="s">
        <v>15</v>
      </c>
      <c r="Q1308" s="6"/>
      <c r="R1308" s="6"/>
      <c r="S1308" s="6"/>
      <c r="T1308" s="6" t="s">
        <v>16</v>
      </c>
      <c r="U1308" s="9" t="s">
        <v>17</v>
      </c>
      <c r="AI1308" s="6" t="s">
        <v>8514</v>
      </c>
      <c r="AJ1308" s="12" t="s">
        <v>8832</v>
      </c>
      <c r="AL1308" s="13" t="s">
        <v>8460</v>
      </c>
    </row>
    <row r="1309">
      <c r="A1309" s="5" t="s">
        <v>8837</v>
      </c>
      <c r="B1309" s="5" t="s">
        <v>8838</v>
      </c>
      <c r="C1309" s="5" t="s">
        <v>5831</v>
      </c>
      <c r="D1309" s="5" t="s">
        <v>507</v>
      </c>
      <c r="E1309" s="6"/>
      <c r="F1309" s="6"/>
      <c r="G1309" s="7" t="s">
        <v>8839</v>
      </c>
      <c r="I1309" s="8" t="s">
        <v>8840</v>
      </c>
      <c r="J1309" s="9">
        <v>3.3</v>
      </c>
      <c r="K1309" s="10" t="s">
        <v>11</v>
      </c>
      <c r="L1309" s="6"/>
      <c r="M1309" s="11" t="s">
        <v>17</v>
      </c>
      <c r="N1309" s="6"/>
      <c r="O1309" s="6" t="s">
        <v>8841</v>
      </c>
      <c r="P1309" s="10" t="s">
        <v>15</v>
      </c>
      <c r="Q1309" s="6"/>
      <c r="R1309" s="6"/>
      <c r="S1309" s="6"/>
      <c r="T1309" s="6" t="s">
        <v>16</v>
      </c>
      <c r="U1309" s="9" t="s">
        <v>17</v>
      </c>
      <c r="AI1309" s="6" t="s">
        <v>8842</v>
      </c>
      <c r="AJ1309" s="12" t="s">
        <v>8843</v>
      </c>
      <c r="AL1309" s="13" t="s">
        <v>8460</v>
      </c>
    </row>
    <row r="1310">
      <c r="A1310" s="5" t="s">
        <v>8844</v>
      </c>
      <c r="B1310" s="5" t="s">
        <v>8845</v>
      </c>
      <c r="C1310" s="5" t="s">
        <v>5831</v>
      </c>
      <c r="D1310" s="5" t="s">
        <v>8</v>
      </c>
      <c r="E1310" s="6"/>
      <c r="F1310" s="6"/>
      <c r="G1310" s="7" t="s">
        <v>8846</v>
      </c>
      <c r="I1310" s="8" t="s">
        <v>8847</v>
      </c>
      <c r="J1310" s="9">
        <v>3.1</v>
      </c>
      <c r="K1310" s="10" t="s">
        <v>11</v>
      </c>
      <c r="L1310" s="6"/>
      <c r="M1310" s="11" t="s">
        <v>17</v>
      </c>
      <c r="N1310" s="6"/>
      <c r="O1310" s="6" t="s">
        <v>8848</v>
      </c>
      <c r="P1310" s="10" t="s">
        <v>15</v>
      </c>
      <c r="Q1310" s="6"/>
      <c r="R1310" s="6"/>
      <c r="S1310" s="6"/>
      <c r="T1310" s="6" t="s">
        <v>16</v>
      </c>
      <c r="U1310" s="9" t="s">
        <v>17</v>
      </c>
      <c r="AI1310" s="6" t="s">
        <v>8842</v>
      </c>
      <c r="AJ1310" s="12" t="s">
        <v>8849</v>
      </c>
      <c r="AL1310" s="13" t="s">
        <v>8460</v>
      </c>
    </row>
    <row r="1311">
      <c r="A1311" s="5" t="s">
        <v>8850</v>
      </c>
      <c r="B1311" s="5" t="s">
        <v>8851</v>
      </c>
      <c r="C1311" s="5"/>
      <c r="D1311" s="5" t="s">
        <v>507</v>
      </c>
      <c r="E1311" s="6"/>
      <c r="F1311" s="6"/>
      <c r="G1311" s="7" t="s">
        <v>8852</v>
      </c>
      <c r="I1311" s="8" t="s">
        <v>8853</v>
      </c>
      <c r="J1311" s="9">
        <v>39.9</v>
      </c>
      <c r="K1311" s="10" t="s">
        <v>11</v>
      </c>
      <c r="L1311" s="6"/>
      <c r="M1311" s="11" t="s">
        <v>17</v>
      </c>
      <c r="N1311" s="6"/>
      <c r="O1311" s="6" t="s">
        <v>8854</v>
      </c>
      <c r="P1311" s="10" t="s">
        <v>15</v>
      </c>
      <c r="Q1311" s="6"/>
      <c r="R1311" s="6"/>
      <c r="S1311" s="6"/>
      <c r="T1311" s="6" t="s">
        <v>16</v>
      </c>
      <c r="U1311" s="9" t="s">
        <v>17</v>
      </c>
      <c r="AI1311" s="6" t="s">
        <v>8855</v>
      </c>
      <c r="AJ1311" s="12" t="s">
        <v>8856</v>
      </c>
      <c r="AL1311" s="13" t="s">
        <v>8460</v>
      </c>
    </row>
    <row r="1312">
      <c r="A1312" s="5" t="s">
        <v>8857</v>
      </c>
      <c r="B1312" s="5" t="s">
        <v>8858</v>
      </c>
      <c r="C1312" s="5"/>
      <c r="D1312" s="5" t="s">
        <v>507</v>
      </c>
      <c r="E1312" s="6"/>
      <c r="F1312" s="6"/>
      <c r="G1312" s="7" t="s">
        <v>8859</v>
      </c>
      <c r="I1312" s="8" t="s">
        <v>8860</v>
      </c>
      <c r="J1312" s="9">
        <v>39.9</v>
      </c>
      <c r="K1312" s="10" t="s">
        <v>11</v>
      </c>
      <c r="L1312" s="6"/>
      <c r="M1312" s="11" t="s">
        <v>17</v>
      </c>
      <c r="N1312" s="6"/>
      <c r="O1312" s="6" t="s">
        <v>8861</v>
      </c>
      <c r="P1312" s="10" t="s">
        <v>15</v>
      </c>
      <c r="Q1312" s="6"/>
      <c r="R1312" s="6"/>
      <c r="S1312" s="6"/>
      <c r="T1312" s="6" t="s">
        <v>16</v>
      </c>
      <c r="U1312" s="9" t="s">
        <v>17</v>
      </c>
      <c r="AI1312" s="6" t="s">
        <v>8855</v>
      </c>
      <c r="AJ1312" s="12" t="s">
        <v>8856</v>
      </c>
      <c r="AL1312" s="13" t="s">
        <v>8460</v>
      </c>
    </row>
    <row r="1313">
      <c r="A1313" s="5" t="s">
        <v>8862</v>
      </c>
      <c r="B1313" s="5" t="s">
        <v>8863</v>
      </c>
      <c r="C1313" s="5"/>
      <c r="D1313" s="5" t="s">
        <v>8</v>
      </c>
      <c r="E1313" s="6"/>
      <c r="F1313" s="6"/>
      <c r="G1313" s="7" t="s">
        <v>8864</v>
      </c>
      <c r="I1313" s="8" t="s">
        <v>8865</v>
      </c>
      <c r="J1313" s="9">
        <v>39.9</v>
      </c>
      <c r="K1313" s="10" t="s">
        <v>11</v>
      </c>
      <c r="L1313" s="6"/>
      <c r="M1313" s="11" t="s">
        <v>17</v>
      </c>
      <c r="N1313" s="6"/>
      <c r="O1313" s="6" t="s">
        <v>8866</v>
      </c>
      <c r="P1313" s="10" t="s">
        <v>15</v>
      </c>
      <c r="Q1313" s="6"/>
      <c r="R1313" s="6"/>
      <c r="S1313" s="6"/>
      <c r="T1313" s="6" t="s">
        <v>16</v>
      </c>
      <c r="U1313" s="9" t="s">
        <v>17</v>
      </c>
      <c r="AI1313" s="6" t="s">
        <v>8855</v>
      </c>
      <c r="AJ1313" s="12" t="s">
        <v>8856</v>
      </c>
      <c r="AL1313" s="13" t="s">
        <v>8460</v>
      </c>
    </row>
    <row r="1314">
      <c r="A1314" s="5" t="s">
        <v>8867</v>
      </c>
      <c r="B1314" s="5" t="s">
        <v>8868</v>
      </c>
      <c r="C1314" s="5"/>
      <c r="D1314" s="5" t="s">
        <v>8</v>
      </c>
      <c r="E1314" s="6"/>
      <c r="F1314" s="6"/>
      <c r="G1314" s="7" t="s">
        <v>8869</v>
      </c>
      <c r="I1314" s="8" t="s">
        <v>8870</v>
      </c>
      <c r="J1314" s="9">
        <v>39.9</v>
      </c>
      <c r="K1314" s="10" t="s">
        <v>11</v>
      </c>
      <c r="L1314" s="6"/>
      <c r="M1314" s="11" t="s">
        <v>17</v>
      </c>
      <c r="N1314" s="6"/>
      <c r="O1314" s="6" t="s">
        <v>8871</v>
      </c>
      <c r="P1314" s="10" t="s">
        <v>15</v>
      </c>
      <c r="Q1314" s="6"/>
      <c r="R1314" s="6"/>
      <c r="S1314" s="6"/>
      <c r="T1314" s="6" t="s">
        <v>16</v>
      </c>
      <c r="U1314" s="9" t="s">
        <v>17</v>
      </c>
      <c r="AI1314" s="6" t="s">
        <v>8855</v>
      </c>
      <c r="AJ1314" s="12" t="s">
        <v>8856</v>
      </c>
      <c r="AL1314" s="13" t="s">
        <v>8460</v>
      </c>
    </row>
    <row r="1315">
      <c r="A1315" s="5" t="s">
        <v>8872</v>
      </c>
      <c r="B1315" s="5" t="s">
        <v>8873</v>
      </c>
      <c r="C1315" s="5"/>
      <c r="D1315" s="5" t="s">
        <v>8</v>
      </c>
      <c r="E1315" s="6"/>
      <c r="F1315" s="6"/>
      <c r="G1315" s="7" t="s">
        <v>8874</v>
      </c>
      <c r="I1315" s="8" t="s">
        <v>8875</v>
      </c>
      <c r="J1315" s="9">
        <v>39.9</v>
      </c>
      <c r="K1315" s="10" t="s">
        <v>11</v>
      </c>
      <c r="L1315" s="6"/>
      <c r="M1315" s="11" t="s">
        <v>17</v>
      </c>
      <c r="N1315" s="6"/>
      <c r="O1315" s="6" t="s">
        <v>8876</v>
      </c>
      <c r="P1315" s="10" t="s">
        <v>15</v>
      </c>
      <c r="Q1315" s="6"/>
      <c r="R1315" s="6"/>
      <c r="S1315" s="6"/>
      <c r="T1315" s="6" t="s">
        <v>16</v>
      </c>
      <c r="U1315" s="9" t="s">
        <v>17</v>
      </c>
      <c r="AI1315" s="6" t="s">
        <v>8855</v>
      </c>
      <c r="AJ1315" s="12" t="s">
        <v>8856</v>
      </c>
      <c r="AL1315" s="13" t="s">
        <v>8460</v>
      </c>
    </row>
    <row r="1316">
      <c r="A1316" s="5" t="s">
        <v>8877</v>
      </c>
      <c r="B1316" s="5" t="s">
        <v>8878</v>
      </c>
      <c r="C1316" s="5" t="s">
        <v>8510</v>
      </c>
      <c r="D1316" s="5" t="s">
        <v>8</v>
      </c>
      <c r="E1316" s="6"/>
      <c r="F1316" s="6"/>
      <c r="G1316" s="7" t="s">
        <v>8879</v>
      </c>
      <c r="I1316" s="8" t="s">
        <v>8880</v>
      </c>
      <c r="J1316" s="9">
        <v>30.9</v>
      </c>
      <c r="K1316" s="10" t="s">
        <v>11</v>
      </c>
      <c r="L1316" s="6"/>
      <c r="M1316" s="11" t="s">
        <v>17</v>
      </c>
      <c r="N1316" s="6"/>
      <c r="O1316" s="6" t="s">
        <v>8881</v>
      </c>
      <c r="P1316" s="10" t="s">
        <v>15</v>
      </c>
      <c r="Q1316" s="6"/>
      <c r="R1316" s="6"/>
      <c r="S1316" s="6"/>
      <c r="T1316" s="6" t="s">
        <v>16</v>
      </c>
      <c r="U1316" s="9" t="s">
        <v>17</v>
      </c>
      <c r="AI1316" s="6" t="s">
        <v>8514</v>
      </c>
      <c r="AJ1316" s="12" t="s">
        <v>8882</v>
      </c>
      <c r="AL1316" s="13" t="s">
        <v>8460</v>
      </c>
    </row>
    <row r="1317">
      <c r="A1317" s="5" t="s">
        <v>8883</v>
      </c>
      <c r="B1317" s="5" t="s">
        <v>8884</v>
      </c>
      <c r="C1317" s="5" t="s">
        <v>8510</v>
      </c>
      <c r="D1317" s="5" t="s">
        <v>8</v>
      </c>
      <c r="E1317" s="6"/>
      <c r="F1317" s="6"/>
      <c r="G1317" s="7" t="s">
        <v>8885</v>
      </c>
      <c r="I1317" s="8" t="s">
        <v>8886</v>
      </c>
      <c r="J1317" s="9">
        <v>3.4</v>
      </c>
      <c r="K1317" s="10" t="s">
        <v>11</v>
      </c>
      <c r="L1317" s="6"/>
      <c r="M1317" s="11" t="s">
        <v>17</v>
      </c>
      <c r="N1317" s="6"/>
      <c r="O1317" s="6" t="s">
        <v>8887</v>
      </c>
      <c r="P1317" s="10" t="s">
        <v>15</v>
      </c>
      <c r="Q1317" s="6"/>
      <c r="R1317" s="6"/>
      <c r="S1317" s="6"/>
      <c r="T1317" s="6" t="s">
        <v>16</v>
      </c>
      <c r="U1317" s="9" t="s">
        <v>17</v>
      </c>
      <c r="AI1317" s="6" t="s">
        <v>8514</v>
      </c>
      <c r="AJ1317" s="12" t="s">
        <v>8888</v>
      </c>
      <c r="AL1317" s="13" t="s">
        <v>8460</v>
      </c>
    </row>
    <row r="1318">
      <c r="A1318" s="5" t="s">
        <v>8889</v>
      </c>
      <c r="B1318" s="5" t="s">
        <v>8890</v>
      </c>
      <c r="C1318" s="5" t="s">
        <v>8891</v>
      </c>
      <c r="D1318" s="5" t="s">
        <v>8</v>
      </c>
      <c r="E1318" s="6"/>
      <c r="F1318" s="6"/>
      <c r="G1318" s="7" t="s">
        <v>8892</v>
      </c>
      <c r="I1318" s="8" t="s">
        <v>8893</v>
      </c>
      <c r="J1318" s="9">
        <v>9.9</v>
      </c>
      <c r="K1318" s="10">
        <v>4.95</v>
      </c>
      <c r="L1318" s="6"/>
      <c r="M1318" s="11" t="s">
        <v>17</v>
      </c>
      <c r="N1318" s="6"/>
      <c r="O1318" s="6" t="s">
        <v>8894</v>
      </c>
      <c r="P1318" s="10" t="s">
        <v>15</v>
      </c>
      <c r="Q1318" s="6"/>
      <c r="R1318" s="6"/>
      <c r="S1318" s="6"/>
      <c r="T1318" s="6" t="s">
        <v>16</v>
      </c>
      <c r="U1318" s="9" t="s">
        <v>17</v>
      </c>
      <c r="AI1318" s="6" t="s">
        <v>8895</v>
      </c>
      <c r="AJ1318" s="12" t="s">
        <v>8896</v>
      </c>
      <c r="AL1318" s="13" t="s">
        <v>8460</v>
      </c>
    </row>
    <row r="1319">
      <c r="A1319" s="5" t="s">
        <v>8897</v>
      </c>
      <c r="B1319" s="5" t="s">
        <v>8898</v>
      </c>
      <c r="C1319" s="5" t="s">
        <v>5831</v>
      </c>
      <c r="D1319" s="5" t="s">
        <v>8</v>
      </c>
      <c r="E1319" s="6"/>
      <c r="F1319" s="6"/>
      <c r="G1319" s="7" t="s">
        <v>8899</v>
      </c>
      <c r="I1319" s="8" t="s">
        <v>8900</v>
      </c>
      <c r="J1319" s="9">
        <v>9.9</v>
      </c>
      <c r="K1319" s="10" t="s">
        <v>11</v>
      </c>
      <c r="L1319" s="6"/>
      <c r="M1319" s="11" t="s">
        <v>17</v>
      </c>
      <c r="N1319" s="6"/>
      <c r="O1319" s="6" t="s">
        <v>8901</v>
      </c>
      <c r="P1319" s="10" t="s">
        <v>15</v>
      </c>
      <c r="Q1319" s="6"/>
      <c r="R1319" s="6"/>
      <c r="S1319" s="6"/>
      <c r="T1319" s="6" t="s">
        <v>16</v>
      </c>
      <c r="U1319" s="9" t="s">
        <v>17</v>
      </c>
      <c r="AI1319" s="6" t="s">
        <v>8499</v>
      </c>
      <c r="AJ1319" s="12" t="s">
        <v>8902</v>
      </c>
      <c r="AL1319" s="13" t="s">
        <v>8460</v>
      </c>
    </row>
    <row r="1320">
      <c r="A1320" s="5" t="s">
        <v>8903</v>
      </c>
      <c r="B1320" s="5" t="s">
        <v>8904</v>
      </c>
      <c r="C1320" s="5" t="s">
        <v>5831</v>
      </c>
      <c r="D1320" s="5" t="s">
        <v>8</v>
      </c>
      <c r="E1320" s="6"/>
      <c r="F1320" s="6"/>
      <c r="G1320" s="7" t="s">
        <v>8905</v>
      </c>
      <c r="I1320" s="8" t="s">
        <v>8906</v>
      </c>
      <c r="J1320" s="9">
        <v>6.5</v>
      </c>
      <c r="K1320" s="10" t="s">
        <v>11</v>
      </c>
      <c r="L1320" s="6"/>
      <c r="M1320" s="11" t="s">
        <v>17</v>
      </c>
      <c r="N1320" s="6"/>
      <c r="O1320" s="6" t="s">
        <v>8907</v>
      </c>
      <c r="P1320" s="10" t="s">
        <v>15</v>
      </c>
      <c r="Q1320" s="6"/>
      <c r="R1320" s="6"/>
      <c r="S1320" s="6"/>
      <c r="T1320" s="6" t="s">
        <v>16</v>
      </c>
      <c r="U1320" s="9" t="s">
        <v>17</v>
      </c>
      <c r="AI1320" s="6" t="s">
        <v>8458</v>
      </c>
      <c r="AJ1320" s="12" t="s">
        <v>8908</v>
      </c>
      <c r="AL1320" s="13" t="s">
        <v>8460</v>
      </c>
    </row>
    <row r="1321">
      <c r="A1321" s="5" t="s">
        <v>8909</v>
      </c>
      <c r="B1321" s="5" t="s">
        <v>8904</v>
      </c>
      <c r="C1321" s="5" t="s">
        <v>5831</v>
      </c>
      <c r="D1321" s="5" t="s">
        <v>8</v>
      </c>
      <c r="E1321" s="6"/>
      <c r="F1321" s="6"/>
      <c r="G1321" s="7" t="s">
        <v>8910</v>
      </c>
      <c r="I1321" s="8" t="s">
        <v>8911</v>
      </c>
      <c r="J1321" s="9">
        <v>6.9</v>
      </c>
      <c r="K1321" s="10" t="s">
        <v>11</v>
      </c>
      <c r="L1321" s="6"/>
      <c r="M1321" s="11" t="s">
        <v>17</v>
      </c>
      <c r="N1321" s="6"/>
      <c r="O1321" s="6" t="s">
        <v>8912</v>
      </c>
      <c r="P1321" s="10" t="s">
        <v>15</v>
      </c>
      <c r="Q1321" s="6"/>
      <c r="R1321" s="6"/>
      <c r="S1321" s="6"/>
      <c r="T1321" s="6" t="s">
        <v>16</v>
      </c>
      <c r="U1321" s="9" t="s">
        <v>17</v>
      </c>
      <c r="AI1321" s="6" t="s">
        <v>8458</v>
      </c>
      <c r="AJ1321" s="12" t="s">
        <v>8908</v>
      </c>
      <c r="AL1321" s="13" t="s">
        <v>8460</v>
      </c>
    </row>
    <row r="1322">
      <c r="A1322" s="5" t="s">
        <v>8913</v>
      </c>
      <c r="B1322" s="5" t="s">
        <v>8904</v>
      </c>
      <c r="C1322" s="5" t="s">
        <v>5831</v>
      </c>
      <c r="D1322" s="5" t="s">
        <v>8</v>
      </c>
      <c r="E1322" s="6"/>
      <c r="F1322" s="6"/>
      <c r="G1322" s="7" t="s">
        <v>8914</v>
      </c>
      <c r="I1322" s="8" t="s">
        <v>8915</v>
      </c>
      <c r="J1322" s="9">
        <v>7.3</v>
      </c>
      <c r="K1322" s="10" t="s">
        <v>11</v>
      </c>
      <c r="L1322" s="6"/>
      <c r="M1322" s="11" t="s">
        <v>17</v>
      </c>
      <c r="N1322" s="6"/>
      <c r="O1322" s="6" t="s">
        <v>8916</v>
      </c>
      <c r="P1322" s="10" t="s">
        <v>15</v>
      </c>
      <c r="Q1322" s="6"/>
      <c r="R1322" s="6"/>
      <c r="S1322" s="6"/>
      <c r="T1322" s="6" t="s">
        <v>16</v>
      </c>
      <c r="U1322" s="9" t="s">
        <v>17</v>
      </c>
      <c r="AI1322" s="6" t="s">
        <v>8458</v>
      </c>
      <c r="AJ1322" s="12" t="s">
        <v>8908</v>
      </c>
      <c r="AL1322" s="13" t="s">
        <v>8460</v>
      </c>
    </row>
    <row r="1323">
      <c r="A1323" s="5" t="s">
        <v>8917</v>
      </c>
      <c r="B1323" s="5" t="s">
        <v>8904</v>
      </c>
      <c r="C1323" s="5" t="s">
        <v>5831</v>
      </c>
      <c r="D1323" s="5" t="s">
        <v>8</v>
      </c>
      <c r="E1323" s="6"/>
      <c r="F1323" s="6"/>
      <c r="G1323" s="7" t="s">
        <v>8918</v>
      </c>
      <c r="I1323" s="8" t="s">
        <v>8919</v>
      </c>
      <c r="J1323" s="9">
        <v>7.6</v>
      </c>
      <c r="K1323" s="10" t="s">
        <v>11</v>
      </c>
      <c r="L1323" s="6"/>
      <c r="M1323" s="11" t="s">
        <v>17</v>
      </c>
      <c r="N1323" s="6"/>
      <c r="O1323" s="6" t="s">
        <v>8920</v>
      </c>
      <c r="P1323" s="10" t="s">
        <v>15</v>
      </c>
      <c r="Q1323" s="6"/>
      <c r="R1323" s="6"/>
      <c r="S1323" s="6"/>
      <c r="T1323" s="6" t="s">
        <v>16</v>
      </c>
      <c r="U1323" s="9" t="s">
        <v>17</v>
      </c>
      <c r="AI1323" s="6" t="s">
        <v>8458</v>
      </c>
      <c r="AJ1323" s="12" t="s">
        <v>8908</v>
      </c>
      <c r="AL1323" s="13" t="s">
        <v>8460</v>
      </c>
    </row>
    <row r="1324">
      <c r="A1324" s="5" t="s">
        <v>8921</v>
      </c>
      <c r="B1324" s="5" t="s">
        <v>8904</v>
      </c>
      <c r="C1324" s="5" t="s">
        <v>5831</v>
      </c>
      <c r="D1324" s="5" t="s">
        <v>8</v>
      </c>
      <c r="E1324" s="6"/>
      <c r="F1324" s="6"/>
      <c r="G1324" s="7" t="s">
        <v>8922</v>
      </c>
      <c r="I1324" s="8" t="s">
        <v>8923</v>
      </c>
      <c r="J1324" s="9">
        <v>8.4</v>
      </c>
      <c r="K1324" s="10" t="s">
        <v>11</v>
      </c>
      <c r="L1324" s="6"/>
      <c r="M1324" s="11" t="s">
        <v>17</v>
      </c>
      <c r="N1324" s="6"/>
      <c r="O1324" s="6" t="s">
        <v>8924</v>
      </c>
      <c r="P1324" s="10" t="s">
        <v>15</v>
      </c>
      <c r="Q1324" s="6"/>
      <c r="R1324" s="6"/>
      <c r="S1324" s="6"/>
      <c r="T1324" s="6" t="s">
        <v>16</v>
      </c>
      <c r="U1324" s="9" t="s">
        <v>17</v>
      </c>
      <c r="AI1324" s="6" t="s">
        <v>8458</v>
      </c>
      <c r="AJ1324" s="12" t="s">
        <v>8908</v>
      </c>
      <c r="AL1324" s="13" t="s">
        <v>8460</v>
      </c>
    </row>
    <row r="1325">
      <c r="A1325" s="5" t="s">
        <v>8925</v>
      </c>
      <c r="B1325" s="5" t="s">
        <v>8926</v>
      </c>
      <c r="C1325" s="5" t="s">
        <v>5831</v>
      </c>
      <c r="D1325" s="5" t="s">
        <v>507</v>
      </c>
      <c r="E1325" s="6"/>
      <c r="F1325" s="6"/>
      <c r="G1325" s="7" t="s">
        <v>8927</v>
      </c>
      <c r="I1325" s="8" t="s">
        <v>8928</v>
      </c>
      <c r="J1325" s="9">
        <v>9.9</v>
      </c>
      <c r="K1325" s="10" t="s">
        <v>11</v>
      </c>
      <c r="L1325" s="6"/>
      <c r="M1325" s="11" t="s">
        <v>17</v>
      </c>
      <c r="N1325" s="6"/>
      <c r="O1325" s="6" t="s">
        <v>8929</v>
      </c>
      <c r="P1325" s="10" t="s">
        <v>15</v>
      </c>
      <c r="Q1325" s="6"/>
      <c r="R1325" s="6"/>
      <c r="S1325" s="6"/>
      <c r="T1325" s="6" t="s">
        <v>16</v>
      </c>
      <c r="U1325" s="9" t="s">
        <v>17</v>
      </c>
      <c r="AI1325" s="6" t="s">
        <v>8458</v>
      </c>
      <c r="AJ1325" s="12" t="s">
        <v>8930</v>
      </c>
      <c r="AL1325" s="13" t="s">
        <v>8460</v>
      </c>
    </row>
    <row r="1326">
      <c r="A1326" s="5" t="s">
        <v>8931</v>
      </c>
      <c r="B1326" s="5" t="s">
        <v>8932</v>
      </c>
      <c r="C1326" s="5" t="s">
        <v>8933</v>
      </c>
      <c r="D1326" s="5" t="s">
        <v>8</v>
      </c>
      <c r="E1326" s="6"/>
      <c r="F1326" s="6"/>
      <c r="G1326" s="7" t="s">
        <v>8934</v>
      </c>
      <c r="I1326" s="8" t="s">
        <v>8935</v>
      </c>
      <c r="J1326" s="9">
        <v>18.8</v>
      </c>
      <c r="K1326" s="10" t="s">
        <v>11</v>
      </c>
      <c r="L1326" s="6"/>
      <c r="M1326" s="11" t="s">
        <v>17</v>
      </c>
      <c r="N1326" s="6"/>
      <c r="O1326" s="6" t="s">
        <v>8936</v>
      </c>
      <c r="P1326" s="10" t="s">
        <v>15</v>
      </c>
      <c r="Q1326" s="6"/>
      <c r="R1326" s="6"/>
      <c r="S1326" s="6" t="s">
        <v>8937</v>
      </c>
      <c r="T1326" s="6" t="s">
        <v>16</v>
      </c>
      <c r="U1326" s="9" t="s">
        <v>17</v>
      </c>
      <c r="AI1326" s="6" t="s">
        <v>8514</v>
      </c>
      <c r="AJ1326" s="12" t="s">
        <v>8938</v>
      </c>
      <c r="AL1326" s="13" t="s">
        <v>8460</v>
      </c>
    </row>
    <row r="1327">
      <c r="A1327" s="5" t="s">
        <v>8939</v>
      </c>
      <c r="B1327" s="5" t="s">
        <v>8940</v>
      </c>
      <c r="C1327" s="5" t="s">
        <v>8933</v>
      </c>
      <c r="D1327" s="5" t="s">
        <v>8</v>
      </c>
      <c r="E1327" s="6"/>
      <c r="F1327" s="6"/>
      <c r="G1327" s="7" t="s">
        <v>8941</v>
      </c>
      <c r="I1327" s="8" t="s">
        <v>8935</v>
      </c>
      <c r="J1327" s="9">
        <v>188.0</v>
      </c>
      <c r="K1327" s="10" t="s">
        <v>11</v>
      </c>
      <c r="L1327" s="6"/>
      <c r="M1327" s="11" t="s">
        <v>17</v>
      </c>
      <c r="N1327" s="6"/>
      <c r="O1327" s="6" t="s">
        <v>8942</v>
      </c>
      <c r="P1327" s="10" t="s">
        <v>15</v>
      </c>
      <c r="Q1327" s="6"/>
      <c r="R1327" s="6"/>
      <c r="S1327" s="6" t="s">
        <v>8937</v>
      </c>
      <c r="T1327" s="6" t="s">
        <v>16</v>
      </c>
      <c r="U1327" s="9" t="s">
        <v>17</v>
      </c>
      <c r="AI1327" s="6" t="s">
        <v>8514</v>
      </c>
      <c r="AJ1327" s="12" t="s">
        <v>8938</v>
      </c>
      <c r="AL1327" s="13" t="s">
        <v>8460</v>
      </c>
    </row>
    <row r="1328">
      <c r="A1328" s="5" t="s">
        <v>8943</v>
      </c>
      <c r="B1328" s="5" t="s">
        <v>8944</v>
      </c>
      <c r="C1328" s="5" t="s">
        <v>8933</v>
      </c>
      <c r="D1328" s="5" t="s">
        <v>507</v>
      </c>
      <c r="E1328" s="6"/>
      <c r="F1328" s="6"/>
      <c r="G1328" s="7" t="s">
        <v>8945</v>
      </c>
      <c r="I1328" s="8" t="s">
        <v>8946</v>
      </c>
      <c r="J1328" s="9">
        <v>18.8</v>
      </c>
      <c r="K1328" s="10" t="s">
        <v>11</v>
      </c>
      <c r="L1328" s="6"/>
      <c r="M1328" s="11" t="s">
        <v>17</v>
      </c>
      <c r="N1328" s="6"/>
      <c r="O1328" s="6" t="s">
        <v>8947</v>
      </c>
      <c r="P1328" s="10" t="s">
        <v>15</v>
      </c>
      <c r="Q1328" s="6"/>
      <c r="R1328" s="6"/>
      <c r="S1328" s="6"/>
      <c r="T1328" s="6" t="s">
        <v>16</v>
      </c>
      <c r="U1328" s="9" t="s">
        <v>17</v>
      </c>
      <c r="AI1328" s="6" t="s">
        <v>8514</v>
      </c>
      <c r="AJ1328" s="12" t="s">
        <v>8948</v>
      </c>
      <c r="AL1328" s="13" t="s">
        <v>8460</v>
      </c>
    </row>
    <row r="1329">
      <c r="A1329" s="5" t="s">
        <v>8949</v>
      </c>
      <c r="B1329" s="5" t="s">
        <v>8950</v>
      </c>
      <c r="C1329" s="5" t="s">
        <v>8933</v>
      </c>
      <c r="D1329" s="5" t="s">
        <v>507</v>
      </c>
      <c r="E1329" s="6"/>
      <c r="F1329" s="6"/>
      <c r="G1329" s="7" t="s">
        <v>8951</v>
      </c>
      <c r="I1329" s="8" t="s">
        <v>8946</v>
      </c>
      <c r="J1329" s="9">
        <v>188.0</v>
      </c>
      <c r="K1329" s="10" t="s">
        <v>11</v>
      </c>
      <c r="L1329" s="6"/>
      <c r="M1329" s="11" t="s">
        <v>17</v>
      </c>
      <c r="N1329" s="6"/>
      <c r="O1329" s="6" t="s">
        <v>8952</v>
      </c>
      <c r="P1329" s="10" t="s">
        <v>15</v>
      </c>
      <c r="Q1329" s="6"/>
      <c r="R1329" s="6"/>
      <c r="S1329" s="6"/>
      <c r="T1329" s="6" t="s">
        <v>16</v>
      </c>
      <c r="U1329" s="9" t="s">
        <v>17</v>
      </c>
      <c r="AI1329" s="6" t="s">
        <v>8514</v>
      </c>
      <c r="AJ1329" s="12" t="s">
        <v>8948</v>
      </c>
      <c r="AL1329" s="13" t="s">
        <v>8460</v>
      </c>
    </row>
    <row r="1330">
      <c r="A1330" s="5" t="s">
        <v>8953</v>
      </c>
      <c r="B1330" s="5" t="s">
        <v>8954</v>
      </c>
      <c r="C1330" s="5" t="s">
        <v>8510</v>
      </c>
      <c r="D1330" s="5" t="s">
        <v>507</v>
      </c>
      <c r="E1330" s="6"/>
      <c r="F1330" s="6"/>
      <c r="G1330" s="7" t="s">
        <v>8955</v>
      </c>
      <c r="I1330" s="8" t="s">
        <v>8956</v>
      </c>
      <c r="J1330" s="9">
        <v>18.8</v>
      </c>
      <c r="K1330" s="10" t="s">
        <v>11</v>
      </c>
      <c r="L1330" s="6"/>
      <c r="M1330" s="11" t="s">
        <v>17</v>
      </c>
      <c r="N1330" s="6"/>
      <c r="O1330" s="6" t="s">
        <v>8957</v>
      </c>
      <c r="P1330" s="10" t="s">
        <v>15</v>
      </c>
      <c r="Q1330" s="6"/>
      <c r="R1330" s="6"/>
      <c r="S1330" s="6" t="s">
        <v>8958</v>
      </c>
      <c r="T1330" s="6" t="s">
        <v>16</v>
      </c>
      <c r="U1330" s="9" t="s">
        <v>17</v>
      </c>
      <c r="AI1330" s="6" t="s">
        <v>8514</v>
      </c>
      <c r="AJ1330" s="12" t="s">
        <v>8959</v>
      </c>
      <c r="AL1330" s="13" t="s">
        <v>8460</v>
      </c>
    </row>
    <row r="1331">
      <c r="A1331" s="5" t="s">
        <v>8960</v>
      </c>
      <c r="B1331" s="5" t="s">
        <v>8961</v>
      </c>
      <c r="C1331" s="5" t="s">
        <v>8510</v>
      </c>
      <c r="D1331" s="5" t="s">
        <v>507</v>
      </c>
      <c r="E1331" s="6"/>
      <c r="F1331" s="6"/>
      <c r="G1331" s="7" t="s">
        <v>8962</v>
      </c>
      <c r="I1331" s="8" t="s">
        <v>8956</v>
      </c>
      <c r="J1331" s="9">
        <v>188.0</v>
      </c>
      <c r="K1331" s="10" t="s">
        <v>11</v>
      </c>
      <c r="L1331" s="6"/>
      <c r="M1331" s="11" t="s">
        <v>17</v>
      </c>
      <c r="N1331" s="6"/>
      <c r="O1331" s="6" t="s">
        <v>8963</v>
      </c>
      <c r="P1331" s="10" t="s">
        <v>15</v>
      </c>
      <c r="Q1331" s="6"/>
      <c r="R1331" s="6"/>
      <c r="S1331" s="6" t="s">
        <v>8958</v>
      </c>
      <c r="T1331" s="6" t="s">
        <v>16</v>
      </c>
      <c r="U1331" s="9" t="s">
        <v>17</v>
      </c>
      <c r="AI1331" s="6" t="s">
        <v>8514</v>
      </c>
      <c r="AJ1331" s="12" t="s">
        <v>8959</v>
      </c>
      <c r="AL1331" s="13" t="s">
        <v>8460</v>
      </c>
    </row>
    <row r="1332">
      <c r="A1332" s="5" t="s">
        <v>8964</v>
      </c>
      <c r="B1332" s="5" t="s">
        <v>8965</v>
      </c>
      <c r="C1332" s="5" t="s">
        <v>8933</v>
      </c>
      <c r="D1332" s="5" t="s">
        <v>507</v>
      </c>
      <c r="E1332" s="6"/>
      <c r="F1332" s="6"/>
      <c r="G1332" s="7" t="s">
        <v>8966</v>
      </c>
      <c r="I1332" s="8" t="s">
        <v>8967</v>
      </c>
      <c r="J1332" s="9">
        <v>18.8</v>
      </c>
      <c r="K1332" s="10" t="s">
        <v>11</v>
      </c>
      <c r="L1332" s="6"/>
      <c r="M1332" s="11" t="s">
        <v>17</v>
      </c>
      <c r="N1332" s="6"/>
      <c r="O1332" s="6" t="s">
        <v>8968</v>
      </c>
      <c r="P1332" s="10" t="s">
        <v>15</v>
      </c>
      <c r="Q1332" s="6"/>
      <c r="R1332" s="6"/>
      <c r="S1332" s="6" t="s">
        <v>8969</v>
      </c>
      <c r="T1332" s="6" t="s">
        <v>16</v>
      </c>
      <c r="U1332" s="9" t="s">
        <v>17</v>
      </c>
      <c r="AI1332" s="6" t="s">
        <v>8514</v>
      </c>
      <c r="AJ1332" s="12" t="s">
        <v>8970</v>
      </c>
      <c r="AL1332" s="13" t="s">
        <v>8460</v>
      </c>
    </row>
    <row r="1333">
      <c r="A1333" s="5" t="s">
        <v>8971</v>
      </c>
      <c r="B1333" s="5" t="s">
        <v>8972</v>
      </c>
      <c r="C1333" s="5" t="s">
        <v>8933</v>
      </c>
      <c r="D1333" s="5" t="s">
        <v>507</v>
      </c>
      <c r="E1333" s="6"/>
      <c r="F1333" s="6"/>
      <c r="G1333" s="7" t="s">
        <v>8973</v>
      </c>
      <c r="I1333" s="8" t="s">
        <v>8967</v>
      </c>
      <c r="J1333" s="9">
        <v>188.0</v>
      </c>
      <c r="K1333" s="10" t="s">
        <v>11</v>
      </c>
      <c r="L1333" s="6"/>
      <c r="M1333" s="11" t="s">
        <v>17</v>
      </c>
      <c r="N1333" s="6"/>
      <c r="O1333" s="6" t="s">
        <v>8974</v>
      </c>
      <c r="P1333" s="10" t="s">
        <v>15</v>
      </c>
      <c r="Q1333" s="6"/>
      <c r="R1333" s="6"/>
      <c r="S1333" s="6" t="s">
        <v>8969</v>
      </c>
      <c r="T1333" s="6" t="s">
        <v>16</v>
      </c>
      <c r="U1333" s="9" t="s">
        <v>17</v>
      </c>
      <c r="AI1333" s="6" t="s">
        <v>8514</v>
      </c>
      <c r="AJ1333" s="12" t="s">
        <v>8970</v>
      </c>
      <c r="AL1333" s="13" t="s">
        <v>8460</v>
      </c>
    </row>
    <row r="1334">
      <c r="A1334" s="5" t="s">
        <v>8975</v>
      </c>
      <c r="B1334" s="5" t="s">
        <v>8976</v>
      </c>
      <c r="C1334" s="5" t="s">
        <v>8933</v>
      </c>
      <c r="D1334" s="5" t="s">
        <v>507</v>
      </c>
      <c r="E1334" s="6"/>
      <c r="F1334" s="6"/>
      <c r="G1334" s="7" t="s">
        <v>8977</v>
      </c>
      <c r="I1334" s="8" t="s">
        <v>8978</v>
      </c>
      <c r="J1334" s="9">
        <v>18.8</v>
      </c>
      <c r="K1334" s="10" t="s">
        <v>11</v>
      </c>
      <c r="L1334" s="6"/>
      <c r="M1334" s="11" t="s">
        <v>17</v>
      </c>
      <c r="N1334" s="6"/>
      <c r="O1334" s="6" t="s">
        <v>8979</v>
      </c>
      <c r="P1334" s="10" t="s">
        <v>15</v>
      </c>
      <c r="Q1334" s="6"/>
      <c r="R1334" s="6"/>
      <c r="S1334" s="6" t="s">
        <v>8980</v>
      </c>
      <c r="T1334" s="6" t="s">
        <v>16</v>
      </c>
      <c r="U1334" s="9" t="s">
        <v>17</v>
      </c>
      <c r="AI1334" s="6" t="s">
        <v>8514</v>
      </c>
      <c r="AJ1334" s="12" t="s">
        <v>8981</v>
      </c>
      <c r="AL1334" s="13" t="s">
        <v>8460</v>
      </c>
    </row>
    <row r="1335">
      <c r="A1335" s="5" t="s">
        <v>8982</v>
      </c>
      <c r="B1335" s="5" t="s">
        <v>8983</v>
      </c>
      <c r="C1335" s="5" t="s">
        <v>8933</v>
      </c>
      <c r="D1335" s="5" t="s">
        <v>507</v>
      </c>
      <c r="E1335" s="6"/>
      <c r="F1335" s="6"/>
      <c r="G1335" s="7" t="s">
        <v>8984</v>
      </c>
      <c r="I1335" s="8" t="s">
        <v>8978</v>
      </c>
      <c r="J1335" s="9">
        <v>188.0</v>
      </c>
      <c r="K1335" s="10" t="s">
        <v>11</v>
      </c>
      <c r="L1335" s="6"/>
      <c r="M1335" s="11" t="s">
        <v>17</v>
      </c>
      <c r="N1335" s="6"/>
      <c r="O1335" s="6" t="s">
        <v>8985</v>
      </c>
      <c r="P1335" s="10" t="s">
        <v>15</v>
      </c>
      <c r="Q1335" s="6"/>
      <c r="R1335" s="6"/>
      <c r="S1335" s="6" t="s">
        <v>8980</v>
      </c>
      <c r="T1335" s="6" t="s">
        <v>16</v>
      </c>
      <c r="U1335" s="9" t="s">
        <v>17</v>
      </c>
      <c r="AI1335" s="6" t="s">
        <v>8514</v>
      </c>
      <c r="AJ1335" s="12" t="s">
        <v>8981</v>
      </c>
      <c r="AL1335" s="13" t="s">
        <v>8460</v>
      </c>
    </row>
    <row r="1336">
      <c r="A1336" s="5" t="s">
        <v>8986</v>
      </c>
      <c r="B1336" s="5" t="s">
        <v>8987</v>
      </c>
      <c r="C1336" s="5" t="s">
        <v>8933</v>
      </c>
      <c r="D1336" s="5" t="s">
        <v>507</v>
      </c>
      <c r="E1336" s="6"/>
      <c r="F1336" s="6"/>
      <c r="G1336" s="7" t="s">
        <v>8988</v>
      </c>
      <c r="I1336" s="8" t="s">
        <v>8989</v>
      </c>
      <c r="J1336" s="9">
        <v>18.8</v>
      </c>
      <c r="K1336" s="10" t="s">
        <v>11</v>
      </c>
      <c r="L1336" s="6"/>
      <c r="M1336" s="11" t="s">
        <v>17</v>
      </c>
      <c r="N1336" s="6"/>
      <c r="O1336" s="6" t="s">
        <v>8990</v>
      </c>
      <c r="P1336" s="10" t="s">
        <v>15</v>
      </c>
      <c r="Q1336" s="6"/>
      <c r="R1336" s="6"/>
      <c r="S1336" s="6" t="s">
        <v>8991</v>
      </c>
      <c r="T1336" s="6" t="s">
        <v>16</v>
      </c>
      <c r="U1336" s="9" t="s">
        <v>17</v>
      </c>
      <c r="AI1336" s="6" t="s">
        <v>8514</v>
      </c>
      <c r="AJ1336" s="12" t="s">
        <v>8992</v>
      </c>
      <c r="AL1336" s="13" t="s">
        <v>8460</v>
      </c>
    </row>
    <row r="1337">
      <c r="A1337" s="5" t="s">
        <v>8993</v>
      </c>
      <c r="B1337" s="5" t="s">
        <v>8994</v>
      </c>
      <c r="C1337" s="5" t="s">
        <v>8933</v>
      </c>
      <c r="D1337" s="5" t="s">
        <v>507</v>
      </c>
      <c r="E1337" s="6"/>
      <c r="F1337" s="6"/>
      <c r="G1337" s="7" t="s">
        <v>8995</v>
      </c>
      <c r="I1337" s="8" t="s">
        <v>8989</v>
      </c>
      <c r="J1337" s="9">
        <v>188.0</v>
      </c>
      <c r="K1337" s="10" t="s">
        <v>11</v>
      </c>
      <c r="L1337" s="6"/>
      <c r="M1337" s="11" t="s">
        <v>17</v>
      </c>
      <c r="N1337" s="6"/>
      <c r="O1337" s="6" t="s">
        <v>8996</v>
      </c>
      <c r="P1337" s="10" t="s">
        <v>15</v>
      </c>
      <c r="Q1337" s="6"/>
      <c r="R1337" s="6"/>
      <c r="S1337" s="6" t="s">
        <v>8991</v>
      </c>
      <c r="T1337" s="6" t="s">
        <v>16</v>
      </c>
      <c r="U1337" s="9" t="s">
        <v>17</v>
      </c>
      <c r="AI1337" s="6" t="s">
        <v>8514</v>
      </c>
      <c r="AJ1337" s="12" t="s">
        <v>8992</v>
      </c>
      <c r="AL1337" s="13" t="s">
        <v>8460</v>
      </c>
    </row>
    <row r="1338">
      <c r="A1338" s="5" t="s">
        <v>8997</v>
      </c>
      <c r="B1338" s="5" t="s">
        <v>8998</v>
      </c>
      <c r="C1338" s="5" t="s">
        <v>8933</v>
      </c>
      <c r="D1338" s="5" t="s">
        <v>507</v>
      </c>
      <c r="E1338" s="6"/>
      <c r="F1338" s="6"/>
      <c r="G1338" s="7" t="s">
        <v>8999</v>
      </c>
      <c r="I1338" s="8" t="s">
        <v>9000</v>
      </c>
      <c r="J1338" s="9">
        <v>18.8</v>
      </c>
      <c r="K1338" s="10" t="s">
        <v>11</v>
      </c>
      <c r="L1338" s="6"/>
      <c r="M1338" s="11" t="s">
        <v>17</v>
      </c>
      <c r="N1338" s="6"/>
      <c r="O1338" s="6" t="s">
        <v>9001</v>
      </c>
      <c r="P1338" s="10" t="s">
        <v>15</v>
      </c>
      <c r="Q1338" s="6"/>
      <c r="R1338" s="6"/>
      <c r="S1338" s="6" t="s">
        <v>9002</v>
      </c>
      <c r="T1338" s="6" t="s">
        <v>16</v>
      </c>
      <c r="U1338" s="9" t="s">
        <v>17</v>
      </c>
      <c r="AI1338" s="6" t="s">
        <v>8514</v>
      </c>
      <c r="AJ1338" s="12" t="s">
        <v>9003</v>
      </c>
      <c r="AL1338" s="13" t="s">
        <v>8460</v>
      </c>
    </row>
    <row r="1339">
      <c r="A1339" s="5" t="s">
        <v>9004</v>
      </c>
      <c r="B1339" s="5" t="s">
        <v>9005</v>
      </c>
      <c r="C1339" s="5" t="s">
        <v>8933</v>
      </c>
      <c r="D1339" s="5" t="s">
        <v>507</v>
      </c>
      <c r="E1339" s="6"/>
      <c r="F1339" s="6"/>
      <c r="G1339" s="7" t="s">
        <v>9006</v>
      </c>
      <c r="I1339" s="8" t="s">
        <v>9000</v>
      </c>
      <c r="J1339" s="9">
        <v>188.0</v>
      </c>
      <c r="K1339" s="10" t="s">
        <v>11</v>
      </c>
      <c r="L1339" s="6"/>
      <c r="M1339" s="11" t="s">
        <v>17</v>
      </c>
      <c r="N1339" s="6"/>
      <c r="O1339" s="6" t="s">
        <v>9007</v>
      </c>
      <c r="P1339" s="10" t="s">
        <v>15</v>
      </c>
      <c r="Q1339" s="6"/>
      <c r="R1339" s="6"/>
      <c r="S1339" s="6" t="s">
        <v>9002</v>
      </c>
      <c r="T1339" s="6" t="s">
        <v>16</v>
      </c>
      <c r="U1339" s="9" t="s">
        <v>17</v>
      </c>
      <c r="AI1339" s="6" t="s">
        <v>8514</v>
      </c>
      <c r="AJ1339" s="12" t="s">
        <v>9003</v>
      </c>
      <c r="AL1339" s="13" t="s">
        <v>8460</v>
      </c>
    </row>
    <row r="1340">
      <c r="A1340" s="5" t="s">
        <v>9008</v>
      </c>
      <c r="B1340" s="5" t="s">
        <v>9009</v>
      </c>
      <c r="C1340" s="5" t="s">
        <v>8933</v>
      </c>
      <c r="D1340" s="5" t="s">
        <v>507</v>
      </c>
      <c r="E1340" s="6"/>
      <c r="F1340" s="6"/>
      <c r="G1340" s="7" t="s">
        <v>9010</v>
      </c>
      <c r="I1340" s="8" t="s">
        <v>9011</v>
      </c>
      <c r="J1340" s="9">
        <v>18.8</v>
      </c>
      <c r="K1340" s="10" t="s">
        <v>11</v>
      </c>
      <c r="L1340" s="6"/>
      <c r="M1340" s="11" t="s">
        <v>17</v>
      </c>
      <c r="N1340" s="6"/>
      <c r="O1340" s="6" t="s">
        <v>9012</v>
      </c>
      <c r="P1340" s="10" t="s">
        <v>15</v>
      </c>
      <c r="Q1340" s="6"/>
      <c r="R1340" s="6"/>
      <c r="S1340" s="6" t="s">
        <v>9013</v>
      </c>
      <c r="T1340" s="6" t="s">
        <v>16</v>
      </c>
      <c r="U1340" s="9" t="s">
        <v>17</v>
      </c>
      <c r="AI1340" s="6" t="s">
        <v>8514</v>
      </c>
      <c r="AJ1340" s="12" t="s">
        <v>9014</v>
      </c>
      <c r="AL1340" s="13" t="s">
        <v>8460</v>
      </c>
    </row>
    <row r="1341">
      <c r="A1341" s="5" t="s">
        <v>9015</v>
      </c>
      <c r="B1341" s="5" t="s">
        <v>9016</v>
      </c>
      <c r="C1341" s="5" t="s">
        <v>8933</v>
      </c>
      <c r="D1341" s="5" t="s">
        <v>507</v>
      </c>
      <c r="E1341" s="6"/>
      <c r="F1341" s="6"/>
      <c r="G1341" s="7" t="s">
        <v>9017</v>
      </c>
      <c r="I1341" s="8" t="s">
        <v>9011</v>
      </c>
      <c r="J1341" s="9">
        <v>188.0</v>
      </c>
      <c r="K1341" s="10" t="s">
        <v>11</v>
      </c>
      <c r="L1341" s="6"/>
      <c r="M1341" s="11" t="s">
        <v>17</v>
      </c>
      <c r="N1341" s="6"/>
      <c r="O1341" s="6" t="s">
        <v>9018</v>
      </c>
      <c r="P1341" s="10" t="s">
        <v>15</v>
      </c>
      <c r="Q1341" s="6"/>
      <c r="R1341" s="6"/>
      <c r="S1341" s="6" t="s">
        <v>9013</v>
      </c>
      <c r="T1341" s="6" t="s">
        <v>16</v>
      </c>
      <c r="U1341" s="9" t="s">
        <v>17</v>
      </c>
      <c r="AI1341" s="6" t="s">
        <v>8514</v>
      </c>
      <c r="AJ1341" s="12" t="s">
        <v>9014</v>
      </c>
      <c r="AL1341" s="13" t="s">
        <v>8460</v>
      </c>
    </row>
    <row r="1342">
      <c r="A1342" s="5" t="s">
        <v>9019</v>
      </c>
      <c r="B1342" s="5" t="s">
        <v>9020</v>
      </c>
      <c r="C1342" s="5" t="s">
        <v>8933</v>
      </c>
      <c r="D1342" s="5" t="s">
        <v>507</v>
      </c>
      <c r="E1342" s="6"/>
      <c r="F1342" s="6"/>
      <c r="G1342" s="7" t="s">
        <v>9021</v>
      </c>
      <c r="I1342" s="8" t="s">
        <v>9022</v>
      </c>
      <c r="J1342" s="9">
        <v>18.8</v>
      </c>
      <c r="K1342" s="10" t="s">
        <v>11</v>
      </c>
      <c r="L1342" s="6"/>
      <c r="M1342" s="11" t="s">
        <v>17</v>
      </c>
      <c r="N1342" s="6"/>
      <c r="O1342" s="6" t="s">
        <v>9023</v>
      </c>
      <c r="P1342" s="10" t="s">
        <v>15</v>
      </c>
      <c r="Q1342" s="6"/>
      <c r="R1342" s="6"/>
      <c r="S1342" s="6" t="s">
        <v>9024</v>
      </c>
      <c r="T1342" s="6" t="s">
        <v>16</v>
      </c>
      <c r="U1342" s="9" t="s">
        <v>17</v>
      </c>
      <c r="AI1342" s="6" t="s">
        <v>8514</v>
      </c>
      <c r="AJ1342" s="12" t="s">
        <v>9025</v>
      </c>
      <c r="AL1342" s="13" t="s">
        <v>8460</v>
      </c>
    </row>
    <row r="1343">
      <c r="A1343" s="5" t="s">
        <v>9026</v>
      </c>
      <c r="B1343" s="5" t="s">
        <v>9027</v>
      </c>
      <c r="C1343" s="5" t="s">
        <v>8933</v>
      </c>
      <c r="D1343" s="5" t="s">
        <v>507</v>
      </c>
      <c r="E1343" s="6"/>
      <c r="F1343" s="6"/>
      <c r="G1343" s="7" t="s">
        <v>9028</v>
      </c>
      <c r="I1343" s="8" t="s">
        <v>9022</v>
      </c>
      <c r="J1343" s="9">
        <v>188.0</v>
      </c>
      <c r="K1343" s="10" t="s">
        <v>11</v>
      </c>
      <c r="L1343" s="6"/>
      <c r="M1343" s="11" t="s">
        <v>17</v>
      </c>
      <c r="N1343" s="6"/>
      <c r="O1343" s="6" t="s">
        <v>9029</v>
      </c>
      <c r="P1343" s="10" t="s">
        <v>15</v>
      </c>
      <c r="Q1343" s="6"/>
      <c r="R1343" s="6"/>
      <c r="S1343" s="6" t="s">
        <v>9024</v>
      </c>
      <c r="T1343" s="6" t="s">
        <v>16</v>
      </c>
      <c r="U1343" s="9" t="s">
        <v>17</v>
      </c>
      <c r="AI1343" s="6" t="s">
        <v>8514</v>
      </c>
      <c r="AJ1343" s="12" t="s">
        <v>9025</v>
      </c>
      <c r="AL1343" s="13" t="s">
        <v>8460</v>
      </c>
    </row>
    <row r="1344">
      <c r="A1344" s="5" t="s">
        <v>9030</v>
      </c>
      <c r="B1344" s="5" t="s">
        <v>9031</v>
      </c>
      <c r="C1344" s="5" t="s">
        <v>8933</v>
      </c>
      <c r="D1344" s="5" t="s">
        <v>507</v>
      </c>
      <c r="E1344" s="6"/>
      <c r="F1344" s="6"/>
      <c r="G1344" s="7" t="s">
        <v>9032</v>
      </c>
      <c r="I1344" s="8" t="s">
        <v>9033</v>
      </c>
      <c r="J1344" s="9">
        <v>18.8</v>
      </c>
      <c r="K1344" s="10" t="s">
        <v>11</v>
      </c>
      <c r="L1344" s="6"/>
      <c r="M1344" s="11" t="s">
        <v>17</v>
      </c>
      <c r="N1344" s="6"/>
      <c r="O1344" s="6" t="s">
        <v>9034</v>
      </c>
      <c r="P1344" s="10" t="s">
        <v>15</v>
      </c>
      <c r="Q1344" s="6"/>
      <c r="R1344" s="6"/>
      <c r="S1344" s="6" t="s">
        <v>9035</v>
      </c>
      <c r="T1344" s="6" t="s">
        <v>16</v>
      </c>
      <c r="U1344" s="9" t="s">
        <v>17</v>
      </c>
      <c r="AI1344" s="6" t="s">
        <v>8514</v>
      </c>
      <c r="AJ1344" s="12" t="s">
        <v>9036</v>
      </c>
      <c r="AL1344" s="13" t="s">
        <v>8460</v>
      </c>
    </row>
    <row r="1345">
      <c r="A1345" s="5" t="s">
        <v>9037</v>
      </c>
      <c r="B1345" s="5" t="s">
        <v>9038</v>
      </c>
      <c r="C1345" s="5" t="s">
        <v>8933</v>
      </c>
      <c r="D1345" s="5" t="s">
        <v>507</v>
      </c>
      <c r="E1345" s="6"/>
      <c r="F1345" s="6"/>
      <c r="G1345" s="7" t="s">
        <v>9039</v>
      </c>
      <c r="I1345" s="8" t="s">
        <v>9033</v>
      </c>
      <c r="J1345" s="9">
        <v>188.0</v>
      </c>
      <c r="K1345" s="10" t="s">
        <v>11</v>
      </c>
      <c r="L1345" s="6"/>
      <c r="M1345" s="11" t="s">
        <v>17</v>
      </c>
      <c r="N1345" s="6"/>
      <c r="O1345" s="6" t="s">
        <v>9040</v>
      </c>
      <c r="P1345" s="10" t="s">
        <v>15</v>
      </c>
      <c r="Q1345" s="6"/>
      <c r="R1345" s="6"/>
      <c r="S1345" s="6" t="s">
        <v>9035</v>
      </c>
      <c r="T1345" s="6" t="s">
        <v>16</v>
      </c>
      <c r="U1345" s="9" t="s">
        <v>17</v>
      </c>
      <c r="AI1345" s="6" t="s">
        <v>8514</v>
      </c>
      <c r="AJ1345" s="12" t="s">
        <v>9036</v>
      </c>
      <c r="AL1345" s="13" t="s">
        <v>8460</v>
      </c>
    </row>
    <row r="1346">
      <c r="A1346" s="5" t="s">
        <v>9041</v>
      </c>
      <c r="B1346" s="5" t="s">
        <v>9042</v>
      </c>
      <c r="C1346" s="5" t="s">
        <v>8510</v>
      </c>
      <c r="D1346" s="5" t="s">
        <v>8</v>
      </c>
      <c r="E1346" s="6"/>
      <c r="F1346" s="6"/>
      <c r="G1346" s="7" t="s">
        <v>9043</v>
      </c>
      <c r="I1346" s="8" t="s">
        <v>9044</v>
      </c>
      <c r="J1346" s="9">
        <v>18.8</v>
      </c>
      <c r="K1346" s="10" t="s">
        <v>11</v>
      </c>
      <c r="L1346" s="6"/>
      <c r="M1346" s="11" t="s">
        <v>17</v>
      </c>
      <c r="N1346" s="6"/>
      <c r="O1346" s="6" t="s">
        <v>9045</v>
      </c>
      <c r="P1346" s="10" t="s">
        <v>15</v>
      </c>
      <c r="Q1346" s="6"/>
      <c r="R1346" s="6"/>
      <c r="S1346" s="6" t="s">
        <v>9046</v>
      </c>
      <c r="T1346" s="6" t="s">
        <v>16</v>
      </c>
      <c r="U1346" s="9" t="s">
        <v>17</v>
      </c>
      <c r="AI1346" s="6" t="s">
        <v>8514</v>
      </c>
      <c r="AJ1346" s="12" t="s">
        <v>9047</v>
      </c>
      <c r="AL1346" s="13" t="s">
        <v>8460</v>
      </c>
    </row>
    <row r="1347">
      <c r="A1347" s="5" t="s">
        <v>9048</v>
      </c>
      <c r="B1347" s="5" t="s">
        <v>9049</v>
      </c>
      <c r="C1347" s="5" t="s">
        <v>8510</v>
      </c>
      <c r="D1347" s="5" t="s">
        <v>8</v>
      </c>
      <c r="E1347" s="6"/>
      <c r="F1347" s="6"/>
      <c r="G1347" s="7" t="s">
        <v>9050</v>
      </c>
      <c r="I1347" s="8" t="s">
        <v>9044</v>
      </c>
      <c r="J1347" s="9">
        <v>188.0</v>
      </c>
      <c r="K1347" s="10" t="s">
        <v>11</v>
      </c>
      <c r="L1347" s="6"/>
      <c r="M1347" s="11" t="s">
        <v>17</v>
      </c>
      <c r="N1347" s="6"/>
      <c r="O1347" s="6" t="s">
        <v>9051</v>
      </c>
      <c r="P1347" s="10" t="s">
        <v>15</v>
      </c>
      <c r="Q1347" s="6"/>
      <c r="R1347" s="6"/>
      <c r="S1347" s="6" t="s">
        <v>9046</v>
      </c>
      <c r="T1347" s="6" t="s">
        <v>16</v>
      </c>
      <c r="U1347" s="9" t="s">
        <v>17</v>
      </c>
      <c r="AI1347" s="6" t="s">
        <v>8514</v>
      </c>
      <c r="AJ1347" s="12" t="s">
        <v>9047</v>
      </c>
      <c r="AL1347" s="13" t="s">
        <v>8460</v>
      </c>
    </row>
    <row r="1348">
      <c r="A1348" s="5" t="s">
        <v>9052</v>
      </c>
      <c r="B1348" s="5" t="s">
        <v>9053</v>
      </c>
      <c r="C1348" s="5" t="s">
        <v>8510</v>
      </c>
      <c r="D1348" s="5" t="s">
        <v>507</v>
      </c>
      <c r="E1348" s="6"/>
      <c r="F1348" s="6"/>
      <c r="G1348" s="7" t="s">
        <v>9054</v>
      </c>
      <c r="I1348" s="8" t="s">
        <v>9055</v>
      </c>
      <c r="J1348" s="9">
        <v>18.8</v>
      </c>
      <c r="K1348" s="10" t="s">
        <v>11</v>
      </c>
      <c r="L1348" s="6"/>
      <c r="M1348" s="11" t="s">
        <v>17</v>
      </c>
      <c r="N1348" s="6"/>
      <c r="O1348" s="6" t="s">
        <v>9056</v>
      </c>
      <c r="P1348" s="10" t="s">
        <v>15</v>
      </c>
      <c r="Q1348" s="6"/>
      <c r="R1348" s="6"/>
      <c r="S1348" s="6" t="s">
        <v>9057</v>
      </c>
      <c r="T1348" s="6" t="s">
        <v>16</v>
      </c>
      <c r="U1348" s="9" t="s">
        <v>17</v>
      </c>
      <c r="AI1348" s="6" t="s">
        <v>8514</v>
      </c>
      <c r="AJ1348" s="12" t="s">
        <v>9058</v>
      </c>
      <c r="AL1348" s="13" t="s">
        <v>8460</v>
      </c>
    </row>
    <row r="1349">
      <c r="A1349" s="5" t="s">
        <v>9059</v>
      </c>
      <c r="B1349" s="5" t="s">
        <v>9060</v>
      </c>
      <c r="C1349" s="5" t="s">
        <v>8510</v>
      </c>
      <c r="D1349" s="5" t="s">
        <v>507</v>
      </c>
      <c r="E1349" s="6"/>
      <c r="F1349" s="6"/>
      <c r="G1349" s="7" t="s">
        <v>9061</v>
      </c>
      <c r="I1349" s="8" t="s">
        <v>9055</v>
      </c>
      <c r="J1349" s="9">
        <v>188.0</v>
      </c>
      <c r="K1349" s="10" t="s">
        <v>11</v>
      </c>
      <c r="L1349" s="6"/>
      <c r="M1349" s="11" t="s">
        <v>17</v>
      </c>
      <c r="N1349" s="6"/>
      <c r="O1349" s="6" t="s">
        <v>9062</v>
      </c>
      <c r="P1349" s="10" t="s">
        <v>15</v>
      </c>
      <c r="Q1349" s="6"/>
      <c r="R1349" s="6"/>
      <c r="S1349" s="6" t="s">
        <v>9057</v>
      </c>
      <c r="T1349" s="6" t="s">
        <v>16</v>
      </c>
      <c r="U1349" s="9" t="s">
        <v>17</v>
      </c>
      <c r="AI1349" s="6" t="s">
        <v>8514</v>
      </c>
      <c r="AJ1349" s="12" t="s">
        <v>9058</v>
      </c>
      <c r="AL1349" s="13" t="s">
        <v>8460</v>
      </c>
    </row>
    <row r="1350">
      <c r="A1350" s="5" t="s">
        <v>9063</v>
      </c>
      <c r="B1350" s="5" t="s">
        <v>9064</v>
      </c>
      <c r="C1350" s="5" t="s">
        <v>8933</v>
      </c>
      <c r="D1350" s="5" t="s">
        <v>8</v>
      </c>
      <c r="E1350" s="6"/>
      <c r="F1350" s="6"/>
      <c r="G1350" s="7" t="s">
        <v>9065</v>
      </c>
      <c r="I1350" s="8" t="s">
        <v>9066</v>
      </c>
      <c r="J1350" s="9">
        <v>18.8</v>
      </c>
      <c r="K1350" s="10" t="s">
        <v>11</v>
      </c>
      <c r="L1350" s="6"/>
      <c r="M1350" s="11" t="s">
        <v>17</v>
      </c>
      <c r="N1350" s="6"/>
      <c r="O1350" s="6" t="s">
        <v>9067</v>
      </c>
      <c r="P1350" s="10" t="s">
        <v>15</v>
      </c>
      <c r="Q1350" s="6"/>
      <c r="R1350" s="6"/>
      <c r="S1350" s="6" t="s">
        <v>9068</v>
      </c>
      <c r="T1350" s="6" t="s">
        <v>16</v>
      </c>
      <c r="U1350" s="9" t="s">
        <v>17</v>
      </c>
      <c r="AI1350" s="6" t="s">
        <v>8514</v>
      </c>
      <c r="AJ1350" s="12" t="s">
        <v>9069</v>
      </c>
      <c r="AL1350" s="13" t="s">
        <v>8460</v>
      </c>
    </row>
    <row r="1351">
      <c r="A1351" s="5" t="s">
        <v>9070</v>
      </c>
      <c r="B1351" s="5" t="s">
        <v>9071</v>
      </c>
      <c r="C1351" s="5" t="s">
        <v>5831</v>
      </c>
      <c r="D1351" s="5" t="s">
        <v>8</v>
      </c>
      <c r="E1351" s="6"/>
      <c r="F1351" s="6"/>
      <c r="G1351" s="7" t="s">
        <v>9072</v>
      </c>
      <c r="I1351" s="8" t="s">
        <v>9073</v>
      </c>
      <c r="J1351" s="9">
        <v>6.5</v>
      </c>
      <c r="K1351" s="10" t="s">
        <v>11</v>
      </c>
      <c r="L1351" s="6"/>
      <c r="M1351" s="11" t="s">
        <v>17</v>
      </c>
      <c r="N1351" s="6"/>
      <c r="O1351" s="6" t="s">
        <v>9074</v>
      </c>
      <c r="P1351" s="10" t="s">
        <v>15</v>
      </c>
      <c r="Q1351" s="6"/>
      <c r="R1351" s="6"/>
      <c r="S1351" s="6"/>
      <c r="T1351" s="6" t="s">
        <v>16</v>
      </c>
      <c r="U1351" s="9" t="s">
        <v>17</v>
      </c>
      <c r="AI1351" s="6" t="s">
        <v>8458</v>
      </c>
      <c r="AJ1351" s="12" t="s">
        <v>9075</v>
      </c>
      <c r="AL1351" s="13" t="s">
        <v>8460</v>
      </c>
    </row>
    <row r="1352">
      <c r="A1352" s="5" t="s">
        <v>9076</v>
      </c>
      <c r="B1352" s="5" t="s">
        <v>9071</v>
      </c>
      <c r="C1352" s="5" t="s">
        <v>5831</v>
      </c>
      <c r="D1352" s="5" t="s">
        <v>8</v>
      </c>
      <c r="E1352" s="6"/>
      <c r="F1352" s="6"/>
      <c r="G1352" s="7" t="s">
        <v>9077</v>
      </c>
      <c r="I1352" s="8" t="s">
        <v>9078</v>
      </c>
      <c r="J1352" s="9">
        <v>8.8</v>
      </c>
      <c r="K1352" s="10" t="s">
        <v>11</v>
      </c>
      <c r="L1352" s="6"/>
      <c r="M1352" s="11" t="s">
        <v>17</v>
      </c>
      <c r="N1352" s="6"/>
      <c r="O1352" s="6" t="s">
        <v>9079</v>
      </c>
      <c r="P1352" s="10" t="s">
        <v>15</v>
      </c>
      <c r="Q1352" s="6"/>
      <c r="R1352" s="6"/>
      <c r="S1352" s="6"/>
      <c r="T1352" s="6" t="s">
        <v>16</v>
      </c>
      <c r="U1352" s="9" t="s">
        <v>17</v>
      </c>
      <c r="AI1352" s="6" t="s">
        <v>8458</v>
      </c>
      <c r="AJ1352" s="12" t="s">
        <v>9075</v>
      </c>
      <c r="AL1352" s="13" t="s">
        <v>8460</v>
      </c>
    </row>
    <row r="1353">
      <c r="A1353" s="5" t="s">
        <v>9080</v>
      </c>
      <c r="B1353" s="5" t="s">
        <v>9081</v>
      </c>
      <c r="C1353" s="5" t="s">
        <v>9082</v>
      </c>
      <c r="D1353" s="5" t="s">
        <v>8</v>
      </c>
      <c r="E1353" s="6"/>
      <c r="F1353" s="6"/>
      <c r="G1353" s="7" t="s">
        <v>9083</v>
      </c>
      <c r="I1353" s="8" t="s">
        <v>9084</v>
      </c>
      <c r="J1353" s="9">
        <v>124.0</v>
      </c>
      <c r="K1353" s="10" t="s">
        <v>11</v>
      </c>
      <c r="L1353" s="6"/>
      <c r="M1353" s="11" t="s">
        <v>17</v>
      </c>
      <c r="N1353" s="6"/>
      <c r="O1353" s="6" t="s">
        <v>9085</v>
      </c>
      <c r="P1353" s="10" t="s">
        <v>15</v>
      </c>
      <c r="Q1353" s="6"/>
      <c r="R1353" s="6"/>
      <c r="S1353" s="6"/>
      <c r="T1353" s="6" t="s">
        <v>16</v>
      </c>
      <c r="U1353" s="9" t="s">
        <v>17</v>
      </c>
      <c r="AI1353" s="6" t="s">
        <v>4393</v>
      </c>
      <c r="AJ1353" s="12" t="s">
        <v>9086</v>
      </c>
      <c r="AL1353" s="13" t="s">
        <v>8460</v>
      </c>
    </row>
    <row r="1354">
      <c r="A1354" s="5" t="s">
        <v>9087</v>
      </c>
      <c r="B1354" s="5" t="s">
        <v>9088</v>
      </c>
      <c r="C1354" s="5" t="s">
        <v>8510</v>
      </c>
      <c r="D1354" s="5" t="s">
        <v>8</v>
      </c>
      <c r="E1354" s="6"/>
      <c r="F1354" s="6"/>
      <c r="G1354" s="7" t="s">
        <v>9089</v>
      </c>
      <c r="I1354" s="8" t="s">
        <v>9090</v>
      </c>
      <c r="J1354" s="9">
        <v>13.9</v>
      </c>
      <c r="K1354" s="10" t="s">
        <v>11</v>
      </c>
      <c r="L1354" s="6"/>
      <c r="M1354" s="11" t="s">
        <v>17</v>
      </c>
      <c r="N1354" s="6"/>
      <c r="O1354" s="6" t="s">
        <v>9091</v>
      </c>
      <c r="P1354" s="10" t="s">
        <v>15</v>
      </c>
      <c r="Q1354" s="6"/>
      <c r="R1354" s="6"/>
      <c r="S1354" s="6"/>
      <c r="T1354" s="6" t="s">
        <v>16</v>
      </c>
      <c r="U1354" s="9" t="s">
        <v>17</v>
      </c>
      <c r="AI1354" s="6" t="s">
        <v>8514</v>
      </c>
      <c r="AJ1354" s="12" t="s">
        <v>9092</v>
      </c>
      <c r="AL1354" s="13" t="s">
        <v>8460</v>
      </c>
    </row>
    <row r="1355">
      <c r="A1355" s="5" t="s">
        <v>9093</v>
      </c>
      <c r="B1355" s="5" t="s">
        <v>9094</v>
      </c>
      <c r="C1355" s="5" t="s">
        <v>8510</v>
      </c>
      <c r="D1355" s="5" t="s">
        <v>8</v>
      </c>
      <c r="E1355" s="6"/>
      <c r="F1355" s="6"/>
      <c r="G1355" s="7" t="s">
        <v>9095</v>
      </c>
      <c r="I1355" s="8" t="s">
        <v>9090</v>
      </c>
      <c r="J1355" s="9">
        <v>139.0</v>
      </c>
      <c r="K1355" s="10" t="s">
        <v>11</v>
      </c>
      <c r="L1355" s="6"/>
      <c r="M1355" s="11" t="s">
        <v>17</v>
      </c>
      <c r="N1355" s="6"/>
      <c r="O1355" s="6" t="s">
        <v>9096</v>
      </c>
      <c r="P1355" s="10" t="s">
        <v>15</v>
      </c>
      <c r="Q1355" s="6"/>
      <c r="R1355" s="6"/>
      <c r="S1355" s="6"/>
      <c r="T1355" s="6" t="s">
        <v>16</v>
      </c>
      <c r="U1355" s="9" t="s">
        <v>17</v>
      </c>
      <c r="AI1355" s="6" t="s">
        <v>8514</v>
      </c>
      <c r="AJ1355" s="12" t="s">
        <v>9092</v>
      </c>
      <c r="AL1355" s="13" t="s">
        <v>8460</v>
      </c>
    </row>
    <row r="1356">
      <c r="A1356" s="5" t="s">
        <v>9097</v>
      </c>
      <c r="B1356" s="5" t="s">
        <v>9098</v>
      </c>
      <c r="C1356" s="5" t="s">
        <v>8510</v>
      </c>
      <c r="D1356" s="5" t="s">
        <v>8</v>
      </c>
      <c r="E1356" s="6"/>
      <c r="F1356" s="6"/>
      <c r="G1356" s="7" t="s">
        <v>9099</v>
      </c>
      <c r="I1356" s="8" t="s">
        <v>9100</v>
      </c>
      <c r="J1356" s="9">
        <v>13.9</v>
      </c>
      <c r="K1356" s="10" t="s">
        <v>11</v>
      </c>
      <c r="L1356" s="6"/>
      <c r="M1356" s="11" t="s">
        <v>17</v>
      </c>
      <c r="N1356" s="6"/>
      <c r="O1356" s="6" t="s">
        <v>9101</v>
      </c>
      <c r="P1356" s="10" t="s">
        <v>15</v>
      </c>
      <c r="Q1356" s="6"/>
      <c r="R1356" s="6"/>
      <c r="S1356" s="6"/>
      <c r="T1356" s="6" t="s">
        <v>16</v>
      </c>
      <c r="U1356" s="9" t="s">
        <v>17</v>
      </c>
      <c r="AI1356" s="6" t="s">
        <v>8514</v>
      </c>
      <c r="AJ1356" s="12" t="s">
        <v>9102</v>
      </c>
      <c r="AL1356" s="13" t="s">
        <v>8460</v>
      </c>
    </row>
    <row r="1357">
      <c r="A1357" s="5" t="s">
        <v>9103</v>
      </c>
      <c r="B1357" s="5" t="s">
        <v>9104</v>
      </c>
      <c r="C1357" s="5" t="s">
        <v>8510</v>
      </c>
      <c r="D1357" s="5" t="s">
        <v>8</v>
      </c>
      <c r="E1357" s="6"/>
      <c r="F1357" s="6"/>
      <c r="G1357" s="7" t="s">
        <v>9105</v>
      </c>
      <c r="I1357" s="8" t="s">
        <v>9100</v>
      </c>
      <c r="J1357" s="9">
        <v>139.0</v>
      </c>
      <c r="K1357" s="10" t="s">
        <v>11</v>
      </c>
      <c r="L1357" s="6"/>
      <c r="M1357" s="11" t="s">
        <v>17</v>
      </c>
      <c r="N1357" s="6"/>
      <c r="O1357" s="6" t="s">
        <v>9106</v>
      </c>
      <c r="P1357" s="10" t="s">
        <v>15</v>
      </c>
      <c r="Q1357" s="6"/>
      <c r="R1357" s="6"/>
      <c r="S1357" s="6"/>
      <c r="T1357" s="6" t="s">
        <v>16</v>
      </c>
      <c r="U1357" s="9" t="s">
        <v>17</v>
      </c>
      <c r="AI1357" s="6" t="s">
        <v>8514</v>
      </c>
      <c r="AJ1357" s="12" t="s">
        <v>9102</v>
      </c>
      <c r="AL1357" s="13" t="s">
        <v>8460</v>
      </c>
    </row>
    <row r="1358">
      <c r="A1358" s="5" t="s">
        <v>9107</v>
      </c>
      <c r="B1358" s="5" t="s">
        <v>9108</v>
      </c>
      <c r="C1358" s="5" t="s">
        <v>8510</v>
      </c>
      <c r="D1358" s="5" t="s">
        <v>8</v>
      </c>
      <c r="E1358" s="6"/>
      <c r="F1358" s="6"/>
      <c r="G1358" s="7" t="s">
        <v>9109</v>
      </c>
      <c r="I1358" s="8" t="s">
        <v>9110</v>
      </c>
      <c r="J1358" s="9">
        <v>13.9</v>
      </c>
      <c r="K1358" s="10" t="s">
        <v>11</v>
      </c>
      <c r="L1358" s="6"/>
      <c r="M1358" s="11" t="s">
        <v>17</v>
      </c>
      <c r="N1358" s="6"/>
      <c r="O1358" s="6" t="s">
        <v>9111</v>
      </c>
      <c r="P1358" s="10" t="s">
        <v>15</v>
      </c>
      <c r="Q1358" s="6"/>
      <c r="R1358" s="6"/>
      <c r="S1358" s="6"/>
      <c r="T1358" s="6" t="s">
        <v>16</v>
      </c>
      <c r="U1358" s="9" t="s">
        <v>17</v>
      </c>
      <c r="AI1358" s="6" t="s">
        <v>8514</v>
      </c>
      <c r="AJ1358" s="12" t="s">
        <v>9112</v>
      </c>
      <c r="AL1358" s="13" t="s">
        <v>8460</v>
      </c>
    </row>
    <row r="1359">
      <c r="A1359" s="5" t="s">
        <v>9113</v>
      </c>
      <c r="B1359" s="5" t="s">
        <v>9114</v>
      </c>
      <c r="C1359" s="5" t="s">
        <v>8510</v>
      </c>
      <c r="D1359" s="5" t="s">
        <v>8</v>
      </c>
      <c r="E1359" s="6"/>
      <c r="F1359" s="6"/>
      <c r="G1359" s="7" t="s">
        <v>9115</v>
      </c>
      <c r="I1359" s="8" t="s">
        <v>9110</v>
      </c>
      <c r="J1359" s="9">
        <v>139.0</v>
      </c>
      <c r="K1359" s="10" t="s">
        <v>11</v>
      </c>
      <c r="L1359" s="6"/>
      <c r="M1359" s="11" t="s">
        <v>17</v>
      </c>
      <c r="N1359" s="6"/>
      <c r="O1359" s="6" t="s">
        <v>9116</v>
      </c>
      <c r="P1359" s="10" t="s">
        <v>15</v>
      </c>
      <c r="Q1359" s="6"/>
      <c r="R1359" s="6"/>
      <c r="S1359" s="6"/>
      <c r="T1359" s="6" t="s">
        <v>16</v>
      </c>
      <c r="U1359" s="9" t="s">
        <v>17</v>
      </c>
      <c r="AI1359" s="6" t="s">
        <v>8514</v>
      </c>
      <c r="AJ1359" s="12" t="s">
        <v>9112</v>
      </c>
      <c r="AL1359" s="13" t="s">
        <v>8460</v>
      </c>
    </row>
    <row r="1360">
      <c r="A1360" s="5" t="s">
        <v>9117</v>
      </c>
      <c r="B1360" s="5" t="s">
        <v>9118</v>
      </c>
      <c r="C1360" s="5" t="s">
        <v>8510</v>
      </c>
      <c r="D1360" s="5" t="s">
        <v>8</v>
      </c>
      <c r="E1360" s="6"/>
      <c r="F1360" s="6"/>
      <c r="G1360" s="7" t="s">
        <v>9119</v>
      </c>
      <c r="I1360" s="8" t="s">
        <v>9120</v>
      </c>
      <c r="J1360" s="9">
        <v>13.9</v>
      </c>
      <c r="K1360" s="10" t="s">
        <v>11</v>
      </c>
      <c r="L1360" s="6"/>
      <c r="M1360" s="11" t="s">
        <v>17</v>
      </c>
      <c r="N1360" s="6"/>
      <c r="O1360" s="6" t="s">
        <v>9121</v>
      </c>
      <c r="P1360" s="10" t="s">
        <v>15</v>
      </c>
      <c r="Q1360" s="6"/>
      <c r="R1360" s="6"/>
      <c r="S1360" s="6"/>
      <c r="T1360" s="6" t="s">
        <v>16</v>
      </c>
      <c r="U1360" s="9" t="s">
        <v>17</v>
      </c>
      <c r="AI1360" s="6" t="s">
        <v>8514</v>
      </c>
      <c r="AJ1360" s="12" t="s">
        <v>9122</v>
      </c>
      <c r="AL1360" s="13" t="s">
        <v>8460</v>
      </c>
    </row>
    <row r="1361">
      <c r="A1361" s="5" t="s">
        <v>9123</v>
      </c>
      <c r="B1361" s="5" t="s">
        <v>9124</v>
      </c>
      <c r="C1361" s="5" t="s">
        <v>8510</v>
      </c>
      <c r="D1361" s="5" t="s">
        <v>8</v>
      </c>
      <c r="E1361" s="6"/>
      <c r="F1361" s="6"/>
      <c r="G1361" s="7" t="s">
        <v>9125</v>
      </c>
      <c r="I1361" s="8" t="s">
        <v>9120</v>
      </c>
      <c r="J1361" s="9">
        <v>139.0</v>
      </c>
      <c r="K1361" s="10" t="s">
        <v>11</v>
      </c>
      <c r="L1361" s="6"/>
      <c r="M1361" s="11" t="s">
        <v>17</v>
      </c>
      <c r="N1361" s="6"/>
      <c r="O1361" s="6" t="s">
        <v>9126</v>
      </c>
      <c r="P1361" s="10" t="s">
        <v>15</v>
      </c>
      <c r="Q1361" s="6"/>
      <c r="R1361" s="6"/>
      <c r="S1361" s="6"/>
      <c r="T1361" s="6" t="s">
        <v>16</v>
      </c>
      <c r="U1361" s="9" t="s">
        <v>17</v>
      </c>
      <c r="AI1361" s="6" t="s">
        <v>8514</v>
      </c>
      <c r="AJ1361" s="12" t="s">
        <v>9122</v>
      </c>
      <c r="AL1361" s="13" t="s">
        <v>8460</v>
      </c>
    </row>
    <row r="1362">
      <c r="A1362" s="5" t="s">
        <v>9127</v>
      </c>
      <c r="B1362" s="5" t="s">
        <v>9128</v>
      </c>
      <c r="C1362" s="5" t="s">
        <v>8510</v>
      </c>
      <c r="D1362" s="5" t="s">
        <v>8</v>
      </c>
      <c r="E1362" s="6"/>
      <c r="F1362" s="6"/>
      <c r="G1362" s="7" t="s">
        <v>9129</v>
      </c>
      <c r="I1362" s="8" t="s">
        <v>9130</v>
      </c>
      <c r="J1362" s="9">
        <v>13.9</v>
      </c>
      <c r="K1362" s="10" t="s">
        <v>11</v>
      </c>
      <c r="L1362" s="6"/>
      <c r="M1362" s="11" t="s">
        <v>17</v>
      </c>
      <c r="N1362" s="6"/>
      <c r="O1362" s="6" t="s">
        <v>9131</v>
      </c>
      <c r="P1362" s="10" t="s">
        <v>15</v>
      </c>
      <c r="Q1362" s="6"/>
      <c r="R1362" s="6"/>
      <c r="S1362" s="6"/>
      <c r="T1362" s="6" t="s">
        <v>16</v>
      </c>
      <c r="U1362" s="9" t="s">
        <v>17</v>
      </c>
      <c r="AI1362" s="6" t="s">
        <v>8514</v>
      </c>
      <c r="AJ1362" s="12" t="s">
        <v>9132</v>
      </c>
      <c r="AL1362" s="13" t="s">
        <v>8460</v>
      </c>
    </row>
    <row r="1363">
      <c r="A1363" s="5" t="s">
        <v>9133</v>
      </c>
      <c r="B1363" s="5" t="s">
        <v>9134</v>
      </c>
      <c r="C1363" s="5" t="s">
        <v>8510</v>
      </c>
      <c r="D1363" s="5" t="s">
        <v>8</v>
      </c>
      <c r="E1363" s="6"/>
      <c r="F1363" s="6"/>
      <c r="G1363" s="7" t="s">
        <v>9135</v>
      </c>
      <c r="I1363" s="8" t="s">
        <v>9130</v>
      </c>
      <c r="J1363" s="9">
        <v>139.0</v>
      </c>
      <c r="K1363" s="10" t="s">
        <v>11</v>
      </c>
      <c r="L1363" s="6"/>
      <c r="M1363" s="11" t="s">
        <v>17</v>
      </c>
      <c r="N1363" s="6"/>
      <c r="O1363" s="6" t="s">
        <v>9136</v>
      </c>
      <c r="P1363" s="10" t="s">
        <v>15</v>
      </c>
      <c r="Q1363" s="6"/>
      <c r="R1363" s="6"/>
      <c r="S1363" s="6"/>
      <c r="T1363" s="6" t="s">
        <v>16</v>
      </c>
      <c r="U1363" s="9" t="s">
        <v>17</v>
      </c>
      <c r="AI1363" s="6" t="s">
        <v>8514</v>
      </c>
      <c r="AJ1363" s="12" t="s">
        <v>9132</v>
      </c>
      <c r="AL1363" s="13" t="s">
        <v>8460</v>
      </c>
    </row>
    <row r="1364">
      <c r="A1364" s="5" t="s">
        <v>9137</v>
      </c>
      <c r="B1364" s="5" t="s">
        <v>9138</v>
      </c>
      <c r="C1364" s="5" t="s">
        <v>8510</v>
      </c>
      <c r="D1364" s="5" t="s">
        <v>8</v>
      </c>
      <c r="E1364" s="6"/>
      <c r="F1364" s="6"/>
      <c r="G1364" s="7" t="s">
        <v>9139</v>
      </c>
      <c r="I1364" s="8" t="s">
        <v>9140</v>
      </c>
      <c r="J1364" s="9">
        <v>13.9</v>
      </c>
      <c r="K1364" s="10" t="s">
        <v>11</v>
      </c>
      <c r="L1364" s="6"/>
      <c r="M1364" s="11" t="s">
        <v>17</v>
      </c>
      <c r="N1364" s="6"/>
      <c r="O1364" s="6" t="s">
        <v>9141</v>
      </c>
      <c r="P1364" s="10" t="s">
        <v>15</v>
      </c>
      <c r="Q1364" s="6"/>
      <c r="R1364" s="6"/>
      <c r="S1364" s="6"/>
      <c r="T1364" s="6" t="s">
        <v>16</v>
      </c>
      <c r="U1364" s="9" t="s">
        <v>17</v>
      </c>
      <c r="AI1364" s="6" t="s">
        <v>8514</v>
      </c>
      <c r="AJ1364" s="12" t="s">
        <v>9142</v>
      </c>
      <c r="AL1364" s="13" t="s">
        <v>8460</v>
      </c>
    </row>
    <row r="1365">
      <c r="A1365" s="5" t="s">
        <v>9143</v>
      </c>
      <c r="B1365" s="5" t="s">
        <v>9144</v>
      </c>
      <c r="C1365" s="5" t="s">
        <v>8510</v>
      </c>
      <c r="D1365" s="5" t="s">
        <v>8</v>
      </c>
      <c r="E1365" s="6"/>
      <c r="F1365" s="6"/>
      <c r="G1365" s="7" t="s">
        <v>9145</v>
      </c>
      <c r="I1365" s="8" t="s">
        <v>9140</v>
      </c>
      <c r="J1365" s="9">
        <v>139.0</v>
      </c>
      <c r="K1365" s="10" t="s">
        <v>11</v>
      </c>
      <c r="L1365" s="6"/>
      <c r="M1365" s="11" t="s">
        <v>17</v>
      </c>
      <c r="N1365" s="6"/>
      <c r="O1365" s="6" t="s">
        <v>9146</v>
      </c>
      <c r="P1365" s="10" t="s">
        <v>15</v>
      </c>
      <c r="Q1365" s="6"/>
      <c r="R1365" s="6"/>
      <c r="S1365" s="6"/>
      <c r="T1365" s="6" t="s">
        <v>16</v>
      </c>
      <c r="U1365" s="9" t="s">
        <v>17</v>
      </c>
      <c r="AI1365" s="6" t="s">
        <v>8514</v>
      </c>
      <c r="AJ1365" s="12" t="s">
        <v>9142</v>
      </c>
      <c r="AL1365" s="13" t="s">
        <v>8460</v>
      </c>
    </row>
    <row r="1366">
      <c r="A1366" s="5" t="s">
        <v>9147</v>
      </c>
      <c r="B1366" s="5" t="s">
        <v>9148</v>
      </c>
      <c r="C1366" s="5" t="s">
        <v>8510</v>
      </c>
      <c r="D1366" s="5" t="s">
        <v>8</v>
      </c>
      <c r="E1366" s="6"/>
      <c r="F1366" s="6"/>
      <c r="G1366" s="7" t="s">
        <v>9149</v>
      </c>
      <c r="I1366" s="8" t="s">
        <v>9110</v>
      </c>
      <c r="J1366" s="9">
        <v>13.9</v>
      </c>
      <c r="K1366" s="10" t="s">
        <v>11</v>
      </c>
      <c r="L1366" s="6"/>
      <c r="M1366" s="11" t="s">
        <v>17</v>
      </c>
      <c r="N1366" s="6"/>
      <c r="O1366" s="6" t="s">
        <v>9150</v>
      </c>
      <c r="P1366" s="10" t="s">
        <v>15</v>
      </c>
      <c r="Q1366" s="6"/>
      <c r="R1366" s="6"/>
      <c r="S1366" s="6" t="s">
        <v>9110</v>
      </c>
      <c r="T1366" s="6" t="s">
        <v>16</v>
      </c>
      <c r="U1366" s="9" t="s">
        <v>17</v>
      </c>
      <c r="AI1366" s="6" t="s">
        <v>8514</v>
      </c>
      <c r="AJ1366" s="12" t="s">
        <v>9151</v>
      </c>
      <c r="AL1366" s="13" t="s">
        <v>8460</v>
      </c>
    </row>
    <row r="1367">
      <c r="A1367" s="5" t="s">
        <v>9152</v>
      </c>
      <c r="B1367" s="5" t="s">
        <v>9153</v>
      </c>
      <c r="C1367" s="5" t="s">
        <v>8510</v>
      </c>
      <c r="D1367" s="5" t="s">
        <v>8</v>
      </c>
      <c r="E1367" s="6"/>
      <c r="F1367" s="6"/>
      <c r="G1367" s="7" t="s">
        <v>9154</v>
      </c>
      <c r="I1367" s="8" t="s">
        <v>9110</v>
      </c>
      <c r="J1367" s="9">
        <v>139.0</v>
      </c>
      <c r="K1367" s="10" t="s">
        <v>11</v>
      </c>
      <c r="L1367" s="6"/>
      <c r="M1367" s="11" t="s">
        <v>17</v>
      </c>
      <c r="N1367" s="6"/>
      <c r="O1367" s="6" t="s">
        <v>9155</v>
      </c>
      <c r="P1367" s="10" t="s">
        <v>15</v>
      </c>
      <c r="Q1367" s="6"/>
      <c r="R1367" s="6"/>
      <c r="S1367" s="6" t="s">
        <v>9110</v>
      </c>
      <c r="T1367" s="6" t="s">
        <v>16</v>
      </c>
      <c r="U1367" s="9" t="s">
        <v>17</v>
      </c>
      <c r="AI1367" s="6" t="s">
        <v>8514</v>
      </c>
      <c r="AJ1367" s="12" t="s">
        <v>9151</v>
      </c>
      <c r="AL1367" s="13" t="s">
        <v>8460</v>
      </c>
    </row>
    <row r="1368">
      <c r="A1368" s="5" t="s">
        <v>9156</v>
      </c>
      <c r="B1368" s="5" t="s">
        <v>9157</v>
      </c>
      <c r="C1368" s="5" t="s">
        <v>8510</v>
      </c>
      <c r="D1368" s="5" t="s">
        <v>8</v>
      </c>
      <c r="E1368" s="6"/>
      <c r="F1368" s="6"/>
      <c r="G1368" s="7" t="s">
        <v>9158</v>
      </c>
      <c r="I1368" s="8" t="s">
        <v>9159</v>
      </c>
      <c r="J1368" s="9">
        <v>13.9</v>
      </c>
      <c r="K1368" s="10" t="s">
        <v>11</v>
      </c>
      <c r="L1368" s="6"/>
      <c r="M1368" s="11" t="s">
        <v>17</v>
      </c>
      <c r="N1368" s="6"/>
      <c r="O1368" s="6" t="s">
        <v>9160</v>
      </c>
      <c r="P1368" s="10" t="s">
        <v>15</v>
      </c>
      <c r="Q1368" s="6"/>
      <c r="R1368" s="6"/>
      <c r="S1368" s="6"/>
      <c r="T1368" s="6" t="s">
        <v>16</v>
      </c>
      <c r="U1368" s="9" t="s">
        <v>17</v>
      </c>
      <c r="AI1368" s="6" t="s">
        <v>8514</v>
      </c>
      <c r="AJ1368" s="12" t="s">
        <v>9161</v>
      </c>
      <c r="AL1368" s="13" t="s">
        <v>8460</v>
      </c>
    </row>
    <row r="1369">
      <c r="A1369" s="5" t="s">
        <v>9162</v>
      </c>
      <c r="B1369" s="5" t="s">
        <v>9163</v>
      </c>
      <c r="C1369" s="5" t="s">
        <v>8510</v>
      </c>
      <c r="D1369" s="5" t="s">
        <v>8</v>
      </c>
      <c r="E1369" s="6"/>
      <c r="F1369" s="6"/>
      <c r="G1369" s="7" t="s">
        <v>9164</v>
      </c>
      <c r="I1369" s="8" t="s">
        <v>9159</v>
      </c>
      <c r="J1369" s="9">
        <v>139.0</v>
      </c>
      <c r="K1369" s="10" t="s">
        <v>11</v>
      </c>
      <c r="L1369" s="6"/>
      <c r="M1369" s="11" t="s">
        <v>17</v>
      </c>
      <c r="N1369" s="6"/>
      <c r="O1369" s="6" t="s">
        <v>9165</v>
      </c>
      <c r="P1369" s="10" t="s">
        <v>15</v>
      </c>
      <c r="Q1369" s="6"/>
      <c r="R1369" s="6"/>
      <c r="S1369" s="6"/>
      <c r="T1369" s="6" t="s">
        <v>16</v>
      </c>
      <c r="U1369" s="9" t="s">
        <v>17</v>
      </c>
      <c r="AI1369" s="6" t="s">
        <v>8514</v>
      </c>
      <c r="AJ1369" s="12" t="s">
        <v>9161</v>
      </c>
      <c r="AL1369" s="13" t="s">
        <v>8460</v>
      </c>
    </row>
    <row r="1370">
      <c r="A1370" s="5" t="s">
        <v>9166</v>
      </c>
      <c r="B1370" s="5" t="s">
        <v>9167</v>
      </c>
      <c r="C1370" s="5" t="s">
        <v>8510</v>
      </c>
      <c r="D1370" s="5" t="s">
        <v>8</v>
      </c>
      <c r="E1370" s="6"/>
      <c r="F1370" s="6"/>
      <c r="G1370" s="7" t="s">
        <v>9168</v>
      </c>
      <c r="I1370" s="8" t="s">
        <v>9169</v>
      </c>
      <c r="J1370" s="9">
        <v>13.9</v>
      </c>
      <c r="K1370" s="10" t="s">
        <v>11</v>
      </c>
      <c r="L1370" s="6"/>
      <c r="M1370" s="11" t="s">
        <v>17</v>
      </c>
      <c r="N1370" s="6"/>
      <c r="O1370" s="6" t="s">
        <v>9170</v>
      </c>
      <c r="P1370" s="10" t="s">
        <v>15</v>
      </c>
      <c r="Q1370" s="6"/>
      <c r="R1370" s="6"/>
      <c r="S1370" s="6"/>
      <c r="T1370" s="6" t="s">
        <v>16</v>
      </c>
      <c r="U1370" s="9" t="s">
        <v>17</v>
      </c>
      <c r="AI1370" s="6" t="s">
        <v>8514</v>
      </c>
      <c r="AJ1370" s="12" t="s">
        <v>9171</v>
      </c>
      <c r="AL1370" s="13" t="s">
        <v>8460</v>
      </c>
    </row>
    <row r="1371">
      <c r="A1371" s="5" t="s">
        <v>9172</v>
      </c>
      <c r="B1371" s="5" t="s">
        <v>9173</v>
      </c>
      <c r="C1371" s="5" t="s">
        <v>8510</v>
      </c>
      <c r="D1371" s="5" t="s">
        <v>8</v>
      </c>
      <c r="E1371" s="6"/>
      <c r="F1371" s="6"/>
      <c r="G1371" s="7" t="s">
        <v>9174</v>
      </c>
      <c r="I1371" s="8" t="s">
        <v>9110</v>
      </c>
      <c r="J1371" s="9">
        <v>13.9</v>
      </c>
      <c r="K1371" s="10" t="s">
        <v>11</v>
      </c>
      <c r="L1371" s="6"/>
      <c r="M1371" s="11" t="s">
        <v>17</v>
      </c>
      <c r="N1371" s="6"/>
      <c r="O1371" s="6" t="s">
        <v>9175</v>
      </c>
      <c r="P1371" s="10" t="s">
        <v>15</v>
      </c>
      <c r="Q1371" s="6"/>
      <c r="R1371" s="6"/>
      <c r="S1371" s="6"/>
      <c r="T1371" s="6" t="s">
        <v>16</v>
      </c>
      <c r="U1371" s="9" t="s">
        <v>17</v>
      </c>
      <c r="AI1371" s="6" t="s">
        <v>8514</v>
      </c>
      <c r="AJ1371" s="12" t="s">
        <v>9176</v>
      </c>
      <c r="AL1371" s="13" t="s">
        <v>8460</v>
      </c>
    </row>
    <row r="1372">
      <c r="A1372" s="5" t="s">
        <v>9177</v>
      </c>
      <c r="B1372" s="5" t="s">
        <v>9178</v>
      </c>
      <c r="C1372" s="5" t="s">
        <v>8510</v>
      </c>
      <c r="D1372" s="5" t="s">
        <v>8</v>
      </c>
      <c r="E1372" s="6"/>
      <c r="F1372" s="6"/>
      <c r="G1372" s="7" t="s">
        <v>9179</v>
      </c>
      <c r="I1372" s="8" t="s">
        <v>9110</v>
      </c>
      <c r="J1372" s="9">
        <v>139.0</v>
      </c>
      <c r="K1372" s="10" t="s">
        <v>11</v>
      </c>
      <c r="L1372" s="6"/>
      <c r="M1372" s="11" t="s">
        <v>17</v>
      </c>
      <c r="N1372" s="6"/>
      <c r="O1372" s="6" t="s">
        <v>9180</v>
      </c>
      <c r="P1372" s="10" t="s">
        <v>15</v>
      </c>
      <c r="Q1372" s="6"/>
      <c r="R1372" s="6"/>
      <c r="S1372" s="6"/>
      <c r="T1372" s="6" t="s">
        <v>16</v>
      </c>
      <c r="U1372" s="9" t="s">
        <v>17</v>
      </c>
      <c r="AI1372" s="6" t="s">
        <v>8514</v>
      </c>
      <c r="AJ1372" s="12" t="s">
        <v>9176</v>
      </c>
      <c r="AL1372" s="13" t="s">
        <v>8460</v>
      </c>
    </row>
    <row r="1373">
      <c r="A1373" s="5" t="s">
        <v>9181</v>
      </c>
      <c r="B1373" s="5" t="s">
        <v>9182</v>
      </c>
      <c r="C1373" s="5" t="s">
        <v>8510</v>
      </c>
      <c r="D1373" s="5" t="s">
        <v>8</v>
      </c>
      <c r="E1373" s="6"/>
      <c r="F1373" s="6"/>
      <c r="G1373" s="7" t="s">
        <v>9183</v>
      </c>
      <c r="I1373" s="8" t="s">
        <v>9159</v>
      </c>
      <c r="J1373" s="9">
        <v>13.9</v>
      </c>
      <c r="K1373" s="10" t="s">
        <v>11</v>
      </c>
      <c r="L1373" s="6"/>
      <c r="M1373" s="11" t="s">
        <v>17</v>
      </c>
      <c r="N1373" s="6"/>
      <c r="O1373" s="6" t="s">
        <v>9184</v>
      </c>
      <c r="P1373" s="10" t="s">
        <v>15</v>
      </c>
      <c r="Q1373" s="6"/>
      <c r="R1373" s="6"/>
      <c r="S1373" s="6" t="s">
        <v>9185</v>
      </c>
      <c r="T1373" s="6" t="s">
        <v>16</v>
      </c>
      <c r="U1373" s="9" t="s">
        <v>17</v>
      </c>
      <c r="AI1373" s="6" t="s">
        <v>8514</v>
      </c>
      <c r="AJ1373" s="12" t="s">
        <v>9186</v>
      </c>
      <c r="AL1373" s="13" t="s">
        <v>8460</v>
      </c>
    </row>
    <row r="1374">
      <c r="A1374" s="5" t="s">
        <v>9187</v>
      </c>
      <c r="B1374" s="5" t="s">
        <v>9188</v>
      </c>
      <c r="C1374" s="5" t="s">
        <v>8510</v>
      </c>
      <c r="D1374" s="5" t="s">
        <v>8</v>
      </c>
      <c r="E1374" s="6"/>
      <c r="F1374" s="6"/>
      <c r="G1374" s="7" t="s">
        <v>9189</v>
      </c>
      <c r="I1374" s="8" t="s">
        <v>9159</v>
      </c>
      <c r="J1374" s="9">
        <v>139.0</v>
      </c>
      <c r="K1374" s="10" t="s">
        <v>11</v>
      </c>
      <c r="L1374" s="6"/>
      <c r="M1374" s="11" t="s">
        <v>17</v>
      </c>
      <c r="N1374" s="6"/>
      <c r="O1374" s="6" t="s">
        <v>9190</v>
      </c>
      <c r="P1374" s="10" t="s">
        <v>15</v>
      </c>
      <c r="Q1374" s="6"/>
      <c r="R1374" s="6"/>
      <c r="S1374" s="6" t="s">
        <v>9185</v>
      </c>
      <c r="T1374" s="6" t="s">
        <v>16</v>
      </c>
      <c r="U1374" s="9" t="s">
        <v>17</v>
      </c>
      <c r="AI1374" s="6" t="s">
        <v>8514</v>
      </c>
      <c r="AJ1374" s="12" t="s">
        <v>9186</v>
      </c>
      <c r="AL1374" s="13" t="s">
        <v>8460</v>
      </c>
    </row>
    <row r="1375">
      <c r="A1375" s="5" t="s">
        <v>9191</v>
      </c>
      <c r="B1375" s="5" t="s">
        <v>9192</v>
      </c>
      <c r="C1375" s="5" t="s">
        <v>8510</v>
      </c>
      <c r="D1375" s="5" t="s">
        <v>8</v>
      </c>
      <c r="E1375" s="6"/>
      <c r="F1375" s="6"/>
      <c r="G1375" s="7" t="s">
        <v>9193</v>
      </c>
      <c r="I1375" s="8" t="s">
        <v>9194</v>
      </c>
      <c r="J1375" s="9">
        <v>13.9</v>
      </c>
      <c r="K1375" s="10" t="s">
        <v>11</v>
      </c>
      <c r="L1375" s="6"/>
      <c r="M1375" s="11" t="s">
        <v>17</v>
      </c>
      <c r="N1375" s="6"/>
      <c r="O1375" s="6" t="s">
        <v>9195</v>
      </c>
      <c r="P1375" s="10" t="s">
        <v>15</v>
      </c>
      <c r="Q1375" s="6"/>
      <c r="R1375" s="6"/>
      <c r="S1375" s="6"/>
      <c r="T1375" s="6" t="s">
        <v>16</v>
      </c>
      <c r="U1375" s="9" t="s">
        <v>17</v>
      </c>
      <c r="AI1375" s="6" t="s">
        <v>8514</v>
      </c>
      <c r="AJ1375" s="12" t="s">
        <v>9196</v>
      </c>
      <c r="AL1375" s="13" t="s">
        <v>8460</v>
      </c>
    </row>
    <row r="1376">
      <c r="A1376" s="5" t="s">
        <v>9197</v>
      </c>
      <c r="B1376" s="5" t="s">
        <v>9198</v>
      </c>
      <c r="C1376" s="5" t="s">
        <v>8510</v>
      </c>
      <c r="D1376" s="5" t="s">
        <v>8</v>
      </c>
      <c r="E1376" s="6"/>
      <c r="F1376" s="6"/>
      <c r="G1376" s="7" t="s">
        <v>9199</v>
      </c>
      <c r="I1376" s="8" t="s">
        <v>9194</v>
      </c>
      <c r="J1376" s="9">
        <v>139.0</v>
      </c>
      <c r="K1376" s="10" t="s">
        <v>11</v>
      </c>
      <c r="L1376" s="6"/>
      <c r="M1376" s="11" t="s">
        <v>17</v>
      </c>
      <c r="N1376" s="6"/>
      <c r="O1376" s="6" t="s">
        <v>9200</v>
      </c>
      <c r="P1376" s="10" t="s">
        <v>15</v>
      </c>
      <c r="Q1376" s="6"/>
      <c r="R1376" s="6"/>
      <c r="S1376" s="6"/>
      <c r="T1376" s="6" t="s">
        <v>16</v>
      </c>
      <c r="U1376" s="9" t="s">
        <v>17</v>
      </c>
      <c r="AI1376" s="6" t="s">
        <v>8514</v>
      </c>
      <c r="AJ1376" s="12" t="s">
        <v>9196</v>
      </c>
      <c r="AL1376" s="13" t="s">
        <v>8460</v>
      </c>
    </row>
    <row r="1377">
      <c r="A1377" s="5" t="s">
        <v>9201</v>
      </c>
      <c r="B1377" s="5" t="s">
        <v>9202</v>
      </c>
      <c r="C1377" s="5" t="s">
        <v>8510</v>
      </c>
      <c r="D1377" s="5" t="s">
        <v>507</v>
      </c>
      <c r="E1377" s="6"/>
      <c r="F1377" s="6"/>
      <c r="G1377" s="7" t="s">
        <v>9203</v>
      </c>
      <c r="I1377" s="8" t="s">
        <v>9204</v>
      </c>
      <c r="J1377" s="9">
        <v>13.9</v>
      </c>
      <c r="K1377" s="10" t="s">
        <v>11</v>
      </c>
      <c r="L1377" s="6"/>
      <c r="M1377" s="11" t="s">
        <v>17</v>
      </c>
      <c r="N1377" s="6"/>
      <c r="O1377" s="6" t="s">
        <v>9205</v>
      </c>
      <c r="P1377" s="10" t="s">
        <v>15</v>
      </c>
      <c r="Q1377" s="6"/>
      <c r="R1377" s="6"/>
      <c r="S1377" s="6" t="s">
        <v>9206</v>
      </c>
      <c r="T1377" s="6" t="s">
        <v>16</v>
      </c>
      <c r="U1377" s="9" t="s">
        <v>17</v>
      </c>
      <c r="AI1377" s="6" t="s">
        <v>8514</v>
      </c>
      <c r="AJ1377" s="12" t="s">
        <v>9207</v>
      </c>
      <c r="AL1377" s="13" t="s">
        <v>8460</v>
      </c>
    </row>
    <row r="1378">
      <c r="A1378" s="5" t="s">
        <v>9208</v>
      </c>
      <c r="B1378" s="5" t="s">
        <v>9209</v>
      </c>
      <c r="C1378" s="5" t="s">
        <v>8510</v>
      </c>
      <c r="D1378" s="5" t="s">
        <v>507</v>
      </c>
      <c r="E1378" s="6"/>
      <c r="F1378" s="6"/>
      <c r="G1378" s="7" t="s">
        <v>9210</v>
      </c>
      <c r="I1378" s="8" t="s">
        <v>9204</v>
      </c>
      <c r="J1378" s="9">
        <v>139.0</v>
      </c>
      <c r="K1378" s="10" t="s">
        <v>11</v>
      </c>
      <c r="L1378" s="6"/>
      <c r="M1378" s="11" t="s">
        <v>17</v>
      </c>
      <c r="N1378" s="6"/>
      <c r="O1378" s="6" t="s">
        <v>9211</v>
      </c>
      <c r="P1378" s="10" t="s">
        <v>15</v>
      </c>
      <c r="Q1378" s="6"/>
      <c r="R1378" s="6"/>
      <c r="S1378" s="6" t="s">
        <v>9206</v>
      </c>
      <c r="T1378" s="6" t="s">
        <v>16</v>
      </c>
      <c r="U1378" s="9" t="s">
        <v>17</v>
      </c>
      <c r="AI1378" s="6" t="s">
        <v>8514</v>
      </c>
      <c r="AJ1378" s="12" t="s">
        <v>9207</v>
      </c>
      <c r="AL1378" s="13" t="s">
        <v>8460</v>
      </c>
    </row>
    <row r="1379">
      <c r="A1379" s="5" t="s">
        <v>9212</v>
      </c>
      <c r="B1379" s="5" t="s">
        <v>9213</v>
      </c>
      <c r="C1379" s="5" t="s">
        <v>8510</v>
      </c>
      <c r="D1379" s="5" t="s">
        <v>8</v>
      </c>
      <c r="E1379" s="6"/>
      <c r="F1379" s="6"/>
      <c r="G1379" s="7" t="s">
        <v>9214</v>
      </c>
      <c r="I1379" s="8" t="s">
        <v>9215</v>
      </c>
      <c r="J1379" s="9">
        <v>13.9</v>
      </c>
      <c r="K1379" s="10" t="s">
        <v>11</v>
      </c>
      <c r="L1379" s="6"/>
      <c r="M1379" s="11" t="s">
        <v>17</v>
      </c>
      <c r="N1379" s="6"/>
      <c r="O1379" s="6" t="s">
        <v>9216</v>
      </c>
      <c r="P1379" s="10" t="s">
        <v>15</v>
      </c>
      <c r="Q1379" s="6"/>
      <c r="R1379" s="6"/>
      <c r="S1379" s="6"/>
      <c r="T1379" s="6" t="s">
        <v>16</v>
      </c>
      <c r="U1379" s="9" t="s">
        <v>17</v>
      </c>
      <c r="AI1379" s="6" t="s">
        <v>8514</v>
      </c>
      <c r="AJ1379" s="12" t="s">
        <v>9217</v>
      </c>
      <c r="AL1379" s="13" t="s">
        <v>8460</v>
      </c>
    </row>
    <row r="1380">
      <c r="A1380" s="5" t="s">
        <v>9218</v>
      </c>
      <c r="B1380" s="5" t="s">
        <v>9219</v>
      </c>
      <c r="C1380" s="5" t="s">
        <v>8510</v>
      </c>
      <c r="D1380" s="5" t="s">
        <v>8</v>
      </c>
      <c r="E1380" s="6"/>
      <c r="F1380" s="6"/>
      <c r="G1380" s="7" t="s">
        <v>9220</v>
      </c>
      <c r="I1380" s="8" t="s">
        <v>9215</v>
      </c>
      <c r="J1380" s="9">
        <v>139.0</v>
      </c>
      <c r="K1380" s="10" t="s">
        <v>11</v>
      </c>
      <c r="L1380" s="6"/>
      <c r="M1380" s="11" t="s">
        <v>17</v>
      </c>
      <c r="N1380" s="6"/>
      <c r="O1380" s="6" t="s">
        <v>9221</v>
      </c>
      <c r="P1380" s="10" t="s">
        <v>15</v>
      </c>
      <c r="Q1380" s="6"/>
      <c r="R1380" s="6"/>
      <c r="S1380" s="6"/>
      <c r="T1380" s="6" t="s">
        <v>16</v>
      </c>
      <c r="U1380" s="9" t="s">
        <v>17</v>
      </c>
      <c r="AI1380" s="6" t="s">
        <v>8514</v>
      </c>
      <c r="AJ1380" s="12" t="s">
        <v>9217</v>
      </c>
      <c r="AL1380" s="13" t="s">
        <v>8460</v>
      </c>
    </row>
    <row r="1381">
      <c r="A1381" s="5" t="s">
        <v>9222</v>
      </c>
      <c r="B1381" s="5" t="s">
        <v>9223</v>
      </c>
      <c r="C1381" s="5" t="s">
        <v>8510</v>
      </c>
      <c r="D1381" s="5" t="s">
        <v>8</v>
      </c>
      <c r="E1381" s="6"/>
      <c r="F1381" s="6"/>
      <c r="G1381" s="7" t="s">
        <v>9224</v>
      </c>
      <c r="I1381" s="8" t="s">
        <v>9159</v>
      </c>
      <c r="J1381" s="9">
        <v>13.9</v>
      </c>
      <c r="K1381" s="10" t="s">
        <v>11</v>
      </c>
      <c r="L1381" s="6"/>
      <c r="M1381" s="11" t="s">
        <v>17</v>
      </c>
      <c r="N1381" s="6"/>
      <c r="O1381" s="6" t="s">
        <v>9225</v>
      </c>
      <c r="P1381" s="10" t="s">
        <v>15</v>
      </c>
      <c r="Q1381" s="6"/>
      <c r="R1381" s="6"/>
      <c r="S1381" s="6" t="s">
        <v>9226</v>
      </c>
      <c r="T1381" s="6" t="s">
        <v>16</v>
      </c>
      <c r="U1381" s="9" t="s">
        <v>17</v>
      </c>
      <c r="AI1381" s="6" t="s">
        <v>8514</v>
      </c>
      <c r="AJ1381" s="12" t="s">
        <v>9227</v>
      </c>
      <c r="AL1381" s="13" t="s">
        <v>8460</v>
      </c>
    </row>
    <row r="1382">
      <c r="A1382" s="5" t="s">
        <v>9228</v>
      </c>
      <c r="B1382" s="5" t="s">
        <v>9229</v>
      </c>
      <c r="C1382" s="5" t="s">
        <v>8510</v>
      </c>
      <c r="D1382" s="5" t="s">
        <v>8</v>
      </c>
      <c r="E1382" s="6"/>
      <c r="F1382" s="6"/>
      <c r="G1382" s="7" t="s">
        <v>9230</v>
      </c>
      <c r="I1382" s="8" t="s">
        <v>9159</v>
      </c>
      <c r="J1382" s="9">
        <v>139.0</v>
      </c>
      <c r="K1382" s="10" t="s">
        <v>11</v>
      </c>
      <c r="L1382" s="6"/>
      <c r="M1382" s="11" t="s">
        <v>17</v>
      </c>
      <c r="N1382" s="6"/>
      <c r="O1382" s="6" t="s">
        <v>9231</v>
      </c>
      <c r="P1382" s="10" t="s">
        <v>15</v>
      </c>
      <c r="Q1382" s="6"/>
      <c r="R1382" s="6"/>
      <c r="S1382" s="6" t="s">
        <v>9226</v>
      </c>
      <c r="T1382" s="6" t="s">
        <v>16</v>
      </c>
      <c r="U1382" s="9" t="s">
        <v>17</v>
      </c>
      <c r="AI1382" s="6" t="s">
        <v>8514</v>
      </c>
      <c r="AJ1382" s="12" t="s">
        <v>9227</v>
      </c>
      <c r="AL1382" s="13" t="s">
        <v>8460</v>
      </c>
    </row>
    <row r="1383">
      <c r="A1383" s="5" t="s">
        <v>9232</v>
      </c>
      <c r="B1383" s="5" t="s">
        <v>9233</v>
      </c>
      <c r="C1383" s="5" t="s">
        <v>8510</v>
      </c>
      <c r="D1383" s="5" t="s">
        <v>507</v>
      </c>
      <c r="E1383" s="6"/>
      <c r="F1383" s="6"/>
      <c r="G1383" s="7" t="s">
        <v>9234</v>
      </c>
      <c r="I1383" s="8" t="s">
        <v>9235</v>
      </c>
      <c r="J1383" s="9">
        <v>13.9</v>
      </c>
      <c r="K1383" s="10" t="s">
        <v>11</v>
      </c>
      <c r="L1383" s="6"/>
      <c r="M1383" s="11" t="s">
        <v>17</v>
      </c>
      <c r="N1383" s="6"/>
      <c r="O1383" s="6" t="s">
        <v>9236</v>
      </c>
      <c r="P1383" s="10" t="s">
        <v>15</v>
      </c>
      <c r="Q1383" s="6"/>
      <c r="R1383" s="6"/>
      <c r="S1383" s="6" t="s">
        <v>9235</v>
      </c>
      <c r="T1383" s="6" t="s">
        <v>16</v>
      </c>
      <c r="U1383" s="9" t="s">
        <v>17</v>
      </c>
      <c r="AI1383" s="6" t="s">
        <v>8514</v>
      </c>
      <c r="AJ1383" s="12" t="s">
        <v>9237</v>
      </c>
      <c r="AL1383" s="13" t="s">
        <v>8460</v>
      </c>
    </row>
    <row r="1384">
      <c r="A1384" s="5" t="s">
        <v>9238</v>
      </c>
      <c r="B1384" s="5" t="s">
        <v>9239</v>
      </c>
      <c r="C1384" s="5" t="s">
        <v>8510</v>
      </c>
      <c r="D1384" s="5" t="s">
        <v>507</v>
      </c>
      <c r="E1384" s="6"/>
      <c r="F1384" s="6"/>
      <c r="G1384" s="7" t="s">
        <v>9240</v>
      </c>
      <c r="I1384" s="8" t="s">
        <v>9235</v>
      </c>
      <c r="J1384" s="9">
        <v>139.0</v>
      </c>
      <c r="K1384" s="10" t="s">
        <v>11</v>
      </c>
      <c r="L1384" s="6"/>
      <c r="M1384" s="11" t="s">
        <v>17</v>
      </c>
      <c r="N1384" s="6"/>
      <c r="O1384" s="6" t="s">
        <v>9241</v>
      </c>
      <c r="P1384" s="10" t="s">
        <v>15</v>
      </c>
      <c r="Q1384" s="6"/>
      <c r="R1384" s="6"/>
      <c r="S1384" s="6" t="s">
        <v>9235</v>
      </c>
      <c r="T1384" s="6" t="s">
        <v>16</v>
      </c>
      <c r="U1384" s="9" t="s">
        <v>17</v>
      </c>
      <c r="AI1384" s="6" t="s">
        <v>8514</v>
      </c>
      <c r="AJ1384" s="12" t="s">
        <v>9237</v>
      </c>
      <c r="AL1384" s="13" t="s">
        <v>8460</v>
      </c>
    </row>
    <row r="1385">
      <c r="A1385" s="5" t="s">
        <v>9242</v>
      </c>
      <c r="B1385" s="5" t="s">
        <v>9243</v>
      </c>
      <c r="C1385" s="5" t="s">
        <v>8510</v>
      </c>
      <c r="D1385" s="5" t="s">
        <v>507</v>
      </c>
      <c r="E1385" s="6"/>
      <c r="F1385" s="6"/>
      <c r="G1385" s="7" t="s">
        <v>9244</v>
      </c>
      <c r="I1385" s="8" t="s">
        <v>9245</v>
      </c>
      <c r="J1385" s="9">
        <v>13.9</v>
      </c>
      <c r="K1385" s="10" t="s">
        <v>11</v>
      </c>
      <c r="L1385" s="6"/>
      <c r="M1385" s="11" t="s">
        <v>17</v>
      </c>
      <c r="N1385" s="6"/>
      <c r="O1385" s="6" t="s">
        <v>9246</v>
      </c>
      <c r="P1385" s="10" t="s">
        <v>15</v>
      </c>
      <c r="Q1385" s="6"/>
      <c r="R1385" s="6"/>
      <c r="S1385" s="6"/>
      <c r="T1385" s="6" t="s">
        <v>16</v>
      </c>
      <c r="U1385" s="9" t="s">
        <v>17</v>
      </c>
      <c r="AI1385" s="6" t="s">
        <v>8514</v>
      </c>
      <c r="AJ1385" s="12" t="s">
        <v>9247</v>
      </c>
      <c r="AL1385" s="13" t="s">
        <v>8460</v>
      </c>
    </row>
    <row r="1386">
      <c r="A1386" s="5" t="s">
        <v>9248</v>
      </c>
      <c r="B1386" s="5" t="s">
        <v>9249</v>
      </c>
      <c r="C1386" s="5" t="s">
        <v>8510</v>
      </c>
      <c r="D1386" s="5" t="s">
        <v>507</v>
      </c>
      <c r="E1386" s="6"/>
      <c r="F1386" s="6"/>
      <c r="G1386" s="7" t="s">
        <v>9250</v>
      </c>
      <c r="I1386" s="8" t="s">
        <v>9245</v>
      </c>
      <c r="J1386" s="9">
        <v>139.0</v>
      </c>
      <c r="K1386" s="10" t="s">
        <v>11</v>
      </c>
      <c r="L1386" s="6"/>
      <c r="M1386" s="11" t="s">
        <v>17</v>
      </c>
      <c r="N1386" s="6"/>
      <c r="O1386" s="6" t="s">
        <v>9251</v>
      </c>
      <c r="P1386" s="10" t="s">
        <v>15</v>
      </c>
      <c r="Q1386" s="6"/>
      <c r="R1386" s="6"/>
      <c r="S1386" s="6"/>
      <c r="T1386" s="6" t="s">
        <v>16</v>
      </c>
      <c r="U1386" s="9" t="s">
        <v>17</v>
      </c>
      <c r="AI1386" s="6" t="s">
        <v>8514</v>
      </c>
      <c r="AJ1386" s="12" t="s">
        <v>9247</v>
      </c>
      <c r="AL1386" s="13" t="s">
        <v>8460</v>
      </c>
    </row>
    <row r="1387">
      <c r="A1387" s="5" t="s">
        <v>9252</v>
      </c>
      <c r="B1387" s="5" t="s">
        <v>9253</v>
      </c>
      <c r="C1387" s="5" t="s">
        <v>8510</v>
      </c>
      <c r="D1387" s="5" t="s">
        <v>8</v>
      </c>
      <c r="E1387" s="6"/>
      <c r="F1387" s="6"/>
      <c r="G1387" s="7" t="s">
        <v>9254</v>
      </c>
      <c r="I1387" s="8" t="s">
        <v>9159</v>
      </c>
      <c r="J1387" s="9">
        <v>13.9</v>
      </c>
      <c r="K1387" s="10" t="s">
        <v>11</v>
      </c>
      <c r="L1387" s="6"/>
      <c r="M1387" s="11" t="s">
        <v>17</v>
      </c>
      <c r="N1387" s="6"/>
      <c r="O1387" s="6" t="s">
        <v>9255</v>
      </c>
      <c r="P1387" s="10" t="s">
        <v>15</v>
      </c>
      <c r="Q1387" s="6"/>
      <c r="R1387" s="6"/>
      <c r="S1387" s="6" t="s">
        <v>9256</v>
      </c>
      <c r="T1387" s="6" t="s">
        <v>16</v>
      </c>
      <c r="U1387" s="9" t="s">
        <v>17</v>
      </c>
      <c r="AI1387" s="6" t="s">
        <v>8514</v>
      </c>
      <c r="AJ1387" s="12" t="s">
        <v>9257</v>
      </c>
      <c r="AL1387" s="13" t="s">
        <v>8460</v>
      </c>
    </row>
    <row r="1388">
      <c r="A1388" s="5" t="s">
        <v>9258</v>
      </c>
      <c r="B1388" s="5" t="s">
        <v>9259</v>
      </c>
      <c r="C1388" s="5" t="s">
        <v>8510</v>
      </c>
      <c r="D1388" s="5" t="s">
        <v>8</v>
      </c>
      <c r="E1388" s="6"/>
      <c r="F1388" s="6"/>
      <c r="G1388" s="7" t="s">
        <v>9260</v>
      </c>
      <c r="I1388" s="8" t="s">
        <v>9159</v>
      </c>
      <c r="J1388" s="9">
        <v>139.0</v>
      </c>
      <c r="K1388" s="10" t="s">
        <v>11</v>
      </c>
      <c r="L1388" s="6"/>
      <c r="M1388" s="11" t="s">
        <v>17</v>
      </c>
      <c r="N1388" s="6"/>
      <c r="O1388" s="6" t="s">
        <v>9261</v>
      </c>
      <c r="P1388" s="10" t="s">
        <v>15</v>
      </c>
      <c r="Q1388" s="6"/>
      <c r="R1388" s="6"/>
      <c r="S1388" s="6" t="s">
        <v>9256</v>
      </c>
      <c r="T1388" s="6" t="s">
        <v>16</v>
      </c>
      <c r="U1388" s="9" t="s">
        <v>17</v>
      </c>
      <c r="AI1388" s="6" t="s">
        <v>8514</v>
      </c>
      <c r="AJ1388" s="12" t="s">
        <v>9257</v>
      </c>
      <c r="AL1388" s="13" t="s">
        <v>8460</v>
      </c>
    </row>
    <row r="1389">
      <c r="A1389" s="5" t="s">
        <v>9262</v>
      </c>
      <c r="B1389" s="5" t="s">
        <v>9263</v>
      </c>
      <c r="C1389" s="5" t="s">
        <v>8510</v>
      </c>
      <c r="D1389" s="5" t="s">
        <v>8</v>
      </c>
      <c r="E1389" s="6"/>
      <c r="F1389" s="6"/>
      <c r="G1389" s="7" t="s">
        <v>9264</v>
      </c>
      <c r="I1389" s="8" t="s">
        <v>9265</v>
      </c>
      <c r="J1389" s="9">
        <v>13.9</v>
      </c>
      <c r="K1389" s="10" t="s">
        <v>11</v>
      </c>
      <c r="L1389" s="6"/>
      <c r="M1389" s="11" t="s">
        <v>17</v>
      </c>
      <c r="N1389" s="6"/>
      <c r="O1389" s="6" t="s">
        <v>9266</v>
      </c>
      <c r="P1389" s="10" t="s">
        <v>15</v>
      </c>
      <c r="Q1389" s="6"/>
      <c r="R1389" s="6"/>
      <c r="S1389" s="6"/>
      <c r="T1389" s="6" t="s">
        <v>16</v>
      </c>
      <c r="U1389" s="9" t="s">
        <v>17</v>
      </c>
      <c r="AI1389" s="6" t="s">
        <v>8514</v>
      </c>
      <c r="AJ1389" s="12" t="s">
        <v>9267</v>
      </c>
      <c r="AL1389" s="13" t="s">
        <v>8460</v>
      </c>
    </row>
    <row r="1390">
      <c r="A1390" s="5" t="s">
        <v>9268</v>
      </c>
      <c r="B1390" s="5" t="s">
        <v>9269</v>
      </c>
      <c r="C1390" s="5" t="s">
        <v>8510</v>
      </c>
      <c r="D1390" s="5" t="s">
        <v>8</v>
      </c>
      <c r="E1390" s="6"/>
      <c r="F1390" s="6"/>
      <c r="G1390" s="7" t="s">
        <v>9270</v>
      </c>
      <c r="I1390" s="8" t="s">
        <v>9265</v>
      </c>
      <c r="J1390" s="9">
        <v>139.0</v>
      </c>
      <c r="K1390" s="10" t="s">
        <v>11</v>
      </c>
      <c r="L1390" s="6"/>
      <c r="M1390" s="11" t="s">
        <v>17</v>
      </c>
      <c r="N1390" s="6"/>
      <c r="O1390" s="6" t="s">
        <v>9271</v>
      </c>
      <c r="P1390" s="10" t="s">
        <v>15</v>
      </c>
      <c r="Q1390" s="6"/>
      <c r="R1390" s="6"/>
      <c r="S1390" s="6"/>
      <c r="T1390" s="6" t="s">
        <v>16</v>
      </c>
      <c r="U1390" s="9" t="s">
        <v>17</v>
      </c>
      <c r="AI1390" s="6" t="s">
        <v>8514</v>
      </c>
      <c r="AJ1390" s="12" t="s">
        <v>9267</v>
      </c>
      <c r="AL1390" s="13" t="s">
        <v>8460</v>
      </c>
    </row>
    <row r="1391">
      <c r="A1391" s="5" t="s">
        <v>9272</v>
      </c>
      <c r="B1391" s="5" t="s">
        <v>9273</v>
      </c>
      <c r="C1391" s="5" t="s">
        <v>8510</v>
      </c>
      <c r="D1391" s="5" t="s">
        <v>8</v>
      </c>
      <c r="E1391" s="6"/>
      <c r="F1391" s="6"/>
      <c r="G1391" s="7" t="s">
        <v>9274</v>
      </c>
      <c r="I1391" s="8" t="s">
        <v>9275</v>
      </c>
      <c r="J1391" s="9">
        <v>13.9</v>
      </c>
      <c r="K1391" s="10" t="s">
        <v>11</v>
      </c>
      <c r="L1391" s="6"/>
      <c r="M1391" s="11" t="s">
        <v>17</v>
      </c>
      <c r="N1391" s="6"/>
      <c r="O1391" s="6" t="s">
        <v>9276</v>
      </c>
      <c r="P1391" s="10" t="s">
        <v>15</v>
      </c>
      <c r="Q1391" s="6"/>
      <c r="R1391" s="6"/>
      <c r="S1391" s="6"/>
      <c r="T1391" s="6" t="s">
        <v>16</v>
      </c>
      <c r="U1391" s="9" t="s">
        <v>17</v>
      </c>
      <c r="AI1391" s="6" t="s">
        <v>8514</v>
      </c>
      <c r="AJ1391" s="12" t="s">
        <v>9277</v>
      </c>
      <c r="AL1391" s="13" t="s">
        <v>8460</v>
      </c>
    </row>
    <row r="1392">
      <c r="A1392" s="5" t="s">
        <v>9278</v>
      </c>
      <c r="B1392" s="5" t="s">
        <v>9279</v>
      </c>
      <c r="C1392" s="5" t="s">
        <v>8510</v>
      </c>
      <c r="D1392" s="5" t="s">
        <v>8</v>
      </c>
      <c r="E1392" s="6"/>
      <c r="F1392" s="6"/>
      <c r="G1392" s="7" t="s">
        <v>9280</v>
      </c>
      <c r="I1392" s="8" t="s">
        <v>9275</v>
      </c>
      <c r="J1392" s="9">
        <v>139.0</v>
      </c>
      <c r="K1392" s="10" t="s">
        <v>11</v>
      </c>
      <c r="L1392" s="6"/>
      <c r="M1392" s="11" t="s">
        <v>17</v>
      </c>
      <c r="N1392" s="6"/>
      <c r="O1392" s="6" t="s">
        <v>9281</v>
      </c>
      <c r="P1392" s="10" t="s">
        <v>15</v>
      </c>
      <c r="Q1392" s="6"/>
      <c r="R1392" s="6"/>
      <c r="S1392" s="6"/>
      <c r="T1392" s="6" t="s">
        <v>16</v>
      </c>
      <c r="U1392" s="9" t="s">
        <v>17</v>
      </c>
      <c r="AI1392" s="6" t="s">
        <v>8514</v>
      </c>
      <c r="AJ1392" s="12" t="s">
        <v>9277</v>
      </c>
      <c r="AL1392" s="13" t="s">
        <v>8460</v>
      </c>
    </row>
    <row r="1393">
      <c r="A1393" s="5" t="s">
        <v>9282</v>
      </c>
      <c r="B1393" s="5" t="s">
        <v>9283</v>
      </c>
      <c r="C1393" s="5" t="s">
        <v>8510</v>
      </c>
      <c r="D1393" s="5" t="s">
        <v>8</v>
      </c>
      <c r="E1393" s="6"/>
      <c r="F1393" s="6"/>
      <c r="G1393" s="7" t="s">
        <v>9284</v>
      </c>
      <c r="I1393" s="8" t="s">
        <v>9285</v>
      </c>
      <c r="J1393" s="9">
        <v>13.9</v>
      </c>
      <c r="K1393" s="10" t="s">
        <v>11</v>
      </c>
      <c r="L1393" s="6"/>
      <c r="M1393" s="11" t="s">
        <v>17</v>
      </c>
      <c r="N1393" s="6"/>
      <c r="O1393" s="6" t="s">
        <v>9286</v>
      </c>
      <c r="P1393" s="10" t="s">
        <v>15</v>
      </c>
      <c r="Q1393" s="6"/>
      <c r="R1393" s="6"/>
      <c r="S1393" s="6"/>
      <c r="T1393" s="6" t="s">
        <v>16</v>
      </c>
      <c r="U1393" s="9" t="s">
        <v>17</v>
      </c>
      <c r="AI1393" s="6" t="s">
        <v>8514</v>
      </c>
      <c r="AJ1393" s="12" t="s">
        <v>9287</v>
      </c>
      <c r="AL1393" s="13" t="s">
        <v>8460</v>
      </c>
    </row>
    <row r="1394">
      <c r="A1394" s="5" t="s">
        <v>9288</v>
      </c>
      <c r="B1394" s="5" t="s">
        <v>9289</v>
      </c>
      <c r="C1394" s="5" t="s">
        <v>8510</v>
      </c>
      <c r="D1394" s="5" t="s">
        <v>8</v>
      </c>
      <c r="E1394" s="6"/>
      <c r="F1394" s="6"/>
      <c r="G1394" s="7" t="s">
        <v>9290</v>
      </c>
      <c r="I1394" s="8" t="s">
        <v>9285</v>
      </c>
      <c r="J1394" s="9">
        <v>139.0</v>
      </c>
      <c r="K1394" s="10" t="s">
        <v>11</v>
      </c>
      <c r="L1394" s="6"/>
      <c r="M1394" s="11" t="s">
        <v>17</v>
      </c>
      <c r="N1394" s="6"/>
      <c r="O1394" s="6" t="s">
        <v>9291</v>
      </c>
      <c r="P1394" s="10" t="s">
        <v>15</v>
      </c>
      <c r="Q1394" s="6"/>
      <c r="R1394" s="6"/>
      <c r="S1394" s="6"/>
      <c r="T1394" s="6" t="s">
        <v>16</v>
      </c>
      <c r="U1394" s="9" t="s">
        <v>17</v>
      </c>
      <c r="AI1394" s="6" t="s">
        <v>8514</v>
      </c>
      <c r="AJ1394" s="12" t="s">
        <v>9287</v>
      </c>
      <c r="AL1394" s="13" t="s">
        <v>8460</v>
      </c>
    </row>
    <row r="1395">
      <c r="A1395" s="5" t="s">
        <v>9292</v>
      </c>
      <c r="B1395" s="5" t="s">
        <v>9293</v>
      </c>
      <c r="C1395" s="5" t="s">
        <v>8510</v>
      </c>
      <c r="D1395" s="5" t="s">
        <v>8</v>
      </c>
      <c r="E1395" s="6"/>
      <c r="F1395" s="6"/>
      <c r="G1395" s="7" t="s">
        <v>9294</v>
      </c>
      <c r="I1395" s="8" t="s">
        <v>9295</v>
      </c>
      <c r="J1395" s="9">
        <v>13.9</v>
      </c>
      <c r="K1395" s="10" t="s">
        <v>11</v>
      </c>
      <c r="L1395" s="6"/>
      <c r="M1395" s="11" t="s">
        <v>17</v>
      </c>
      <c r="N1395" s="6"/>
      <c r="O1395" s="6" t="s">
        <v>9296</v>
      </c>
      <c r="P1395" s="10" t="s">
        <v>15</v>
      </c>
      <c r="Q1395" s="6"/>
      <c r="R1395" s="6"/>
      <c r="S1395" s="6"/>
      <c r="T1395" s="6" t="s">
        <v>16</v>
      </c>
      <c r="U1395" s="9" t="s">
        <v>17</v>
      </c>
      <c r="AI1395" s="6" t="s">
        <v>8514</v>
      </c>
      <c r="AJ1395" s="12" t="s">
        <v>9297</v>
      </c>
      <c r="AL1395" s="13" t="s">
        <v>8460</v>
      </c>
    </row>
    <row r="1396">
      <c r="A1396" s="5" t="s">
        <v>9298</v>
      </c>
      <c r="B1396" s="5" t="s">
        <v>9299</v>
      </c>
      <c r="C1396" s="5" t="s">
        <v>8510</v>
      </c>
      <c r="D1396" s="5" t="s">
        <v>8</v>
      </c>
      <c r="E1396" s="6"/>
      <c r="F1396" s="6"/>
      <c r="G1396" s="7" t="s">
        <v>9300</v>
      </c>
      <c r="I1396" s="8" t="s">
        <v>9295</v>
      </c>
      <c r="J1396" s="9">
        <v>139.0</v>
      </c>
      <c r="K1396" s="10" t="s">
        <v>11</v>
      </c>
      <c r="L1396" s="6"/>
      <c r="M1396" s="11" t="s">
        <v>17</v>
      </c>
      <c r="N1396" s="6"/>
      <c r="O1396" s="6" t="s">
        <v>9301</v>
      </c>
      <c r="P1396" s="10" t="s">
        <v>15</v>
      </c>
      <c r="Q1396" s="6"/>
      <c r="R1396" s="6"/>
      <c r="S1396" s="6"/>
      <c r="T1396" s="6" t="s">
        <v>16</v>
      </c>
      <c r="U1396" s="9" t="s">
        <v>17</v>
      </c>
      <c r="AI1396" s="6" t="s">
        <v>8514</v>
      </c>
      <c r="AJ1396" s="12" t="s">
        <v>9297</v>
      </c>
      <c r="AL1396" s="13" t="s">
        <v>8460</v>
      </c>
    </row>
    <row r="1397">
      <c r="A1397" s="5" t="s">
        <v>9302</v>
      </c>
      <c r="B1397" s="5" t="s">
        <v>9303</v>
      </c>
      <c r="C1397" s="5" t="s">
        <v>8510</v>
      </c>
      <c r="D1397" s="5" t="s">
        <v>8</v>
      </c>
      <c r="E1397" s="6"/>
      <c r="F1397" s="6"/>
      <c r="G1397" s="7" t="s">
        <v>9304</v>
      </c>
      <c r="I1397" s="8" t="s">
        <v>9305</v>
      </c>
      <c r="J1397" s="9">
        <v>13.9</v>
      </c>
      <c r="K1397" s="10" t="s">
        <v>11</v>
      </c>
      <c r="L1397" s="6"/>
      <c r="M1397" s="11" t="s">
        <v>17</v>
      </c>
      <c r="N1397" s="6"/>
      <c r="O1397" s="6" t="s">
        <v>9306</v>
      </c>
      <c r="P1397" s="10" t="s">
        <v>15</v>
      </c>
      <c r="Q1397" s="6"/>
      <c r="R1397" s="6"/>
      <c r="S1397" s="6"/>
      <c r="T1397" s="6" t="s">
        <v>16</v>
      </c>
      <c r="U1397" s="9" t="s">
        <v>17</v>
      </c>
      <c r="AI1397" s="6" t="s">
        <v>8514</v>
      </c>
      <c r="AJ1397" s="12" t="s">
        <v>9307</v>
      </c>
      <c r="AL1397" s="13" t="s">
        <v>8460</v>
      </c>
    </row>
    <row r="1398">
      <c r="A1398" s="5" t="s">
        <v>9308</v>
      </c>
      <c r="B1398" s="5" t="s">
        <v>9309</v>
      </c>
      <c r="C1398" s="5" t="s">
        <v>8510</v>
      </c>
      <c r="D1398" s="5" t="s">
        <v>8</v>
      </c>
      <c r="E1398" s="6"/>
      <c r="F1398" s="6"/>
      <c r="G1398" s="7" t="s">
        <v>9310</v>
      </c>
      <c r="I1398" s="8" t="s">
        <v>9305</v>
      </c>
      <c r="J1398" s="9">
        <v>139.0</v>
      </c>
      <c r="K1398" s="10" t="s">
        <v>11</v>
      </c>
      <c r="L1398" s="6"/>
      <c r="M1398" s="11" t="s">
        <v>17</v>
      </c>
      <c r="N1398" s="6"/>
      <c r="O1398" s="6" t="s">
        <v>9311</v>
      </c>
      <c r="P1398" s="10" t="s">
        <v>15</v>
      </c>
      <c r="Q1398" s="6"/>
      <c r="R1398" s="6"/>
      <c r="S1398" s="6"/>
      <c r="T1398" s="6" t="s">
        <v>16</v>
      </c>
      <c r="U1398" s="9" t="s">
        <v>17</v>
      </c>
      <c r="AI1398" s="6" t="s">
        <v>8514</v>
      </c>
      <c r="AJ1398" s="12" t="s">
        <v>9307</v>
      </c>
      <c r="AL1398" s="13" t="s">
        <v>8460</v>
      </c>
    </row>
    <row r="1399">
      <c r="A1399" s="5" t="s">
        <v>9312</v>
      </c>
      <c r="B1399" s="5" t="s">
        <v>9313</v>
      </c>
      <c r="C1399" s="5" t="s">
        <v>8510</v>
      </c>
      <c r="D1399" s="5" t="s">
        <v>8</v>
      </c>
      <c r="E1399" s="6"/>
      <c r="F1399" s="6"/>
      <c r="G1399" s="7" t="s">
        <v>9314</v>
      </c>
      <c r="I1399" s="8" t="s">
        <v>9315</v>
      </c>
      <c r="J1399" s="9">
        <v>13.9</v>
      </c>
      <c r="K1399" s="10" t="s">
        <v>11</v>
      </c>
      <c r="L1399" s="6"/>
      <c r="M1399" s="11" t="s">
        <v>17</v>
      </c>
      <c r="N1399" s="6"/>
      <c r="O1399" s="6" t="s">
        <v>9316</v>
      </c>
      <c r="P1399" s="10" t="s">
        <v>15</v>
      </c>
      <c r="Q1399" s="6"/>
      <c r="R1399" s="6"/>
      <c r="S1399" s="6"/>
      <c r="T1399" s="6" t="s">
        <v>16</v>
      </c>
      <c r="U1399" s="9" t="s">
        <v>17</v>
      </c>
      <c r="AI1399" s="6" t="s">
        <v>8514</v>
      </c>
      <c r="AJ1399" s="12" t="s">
        <v>9317</v>
      </c>
      <c r="AL1399" s="13" t="s">
        <v>8460</v>
      </c>
    </row>
    <row r="1400">
      <c r="A1400" s="5" t="s">
        <v>9318</v>
      </c>
      <c r="B1400" s="5" t="s">
        <v>9319</v>
      </c>
      <c r="C1400" s="5" t="s">
        <v>8510</v>
      </c>
      <c r="D1400" s="5" t="s">
        <v>8</v>
      </c>
      <c r="E1400" s="6"/>
      <c r="F1400" s="6"/>
      <c r="G1400" s="7" t="s">
        <v>9320</v>
      </c>
      <c r="I1400" s="8" t="s">
        <v>9315</v>
      </c>
      <c r="J1400" s="9">
        <v>139.0</v>
      </c>
      <c r="K1400" s="10" t="s">
        <v>11</v>
      </c>
      <c r="L1400" s="6"/>
      <c r="M1400" s="11" t="s">
        <v>17</v>
      </c>
      <c r="N1400" s="6"/>
      <c r="O1400" s="6" t="s">
        <v>9321</v>
      </c>
      <c r="P1400" s="10" t="s">
        <v>15</v>
      </c>
      <c r="Q1400" s="6"/>
      <c r="R1400" s="6"/>
      <c r="S1400" s="6"/>
      <c r="T1400" s="6" t="s">
        <v>16</v>
      </c>
      <c r="U1400" s="9" t="s">
        <v>17</v>
      </c>
      <c r="AI1400" s="6" t="s">
        <v>8514</v>
      </c>
      <c r="AJ1400" s="12" t="s">
        <v>9317</v>
      </c>
      <c r="AL1400" s="13" t="s">
        <v>8460</v>
      </c>
    </row>
    <row r="1401">
      <c r="A1401" s="5" t="s">
        <v>9322</v>
      </c>
      <c r="B1401" s="5" t="s">
        <v>9323</v>
      </c>
      <c r="C1401" s="5" t="s">
        <v>5831</v>
      </c>
      <c r="D1401" s="5" t="s">
        <v>507</v>
      </c>
      <c r="E1401" s="6"/>
      <c r="F1401" s="6"/>
      <c r="G1401" s="7" t="s">
        <v>9324</v>
      </c>
      <c r="I1401" s="8" t="s">
        <v>9325</v>
      </c>
      <c r="J1401" s="9">
        <v>25.9</v>
      </c>
      <c r="K1401" s="10" t="s">
        <v>11</v>
      </c>
      <c r="L1401" s="6"/>
      <c r="M1401" s="11" t="s">
        <v>17</v>
      </c>
      <c r="N1401" s="6"/>
      <c r="O1401" s="6" t="s">
        <v>9326</v>
      </c>
      <c r="P1401" s="10" t="s">
        <v>15</v>
      </c>
      <c r="Q1401" s="6"/>
      <c r="R1401" s="6"/>
      <c r="S1401" s="6"/>
      <c r="T1401" s="6" t="s">
        <v>16</v>
      </c>
      <c r="U1401" s="9" t="s">
        <v>17</v>
      </c>
      <c r="AI1401" s="6" t="s">
        <v>8458</v>
      </c>
      <c r="AJ1401" s="12" t="s">
        <v>9327</v>
      </c>
      <c r="AL1401" s="13" t="s">
        <v>8460</v>
      </c>
    </row>
    <row r="1402">
      <c r="A1402" s="5" t="s">
        <v>9328</v>
      </c>
      <c r="B1402" s="5" t="s">
        <v>9329</v>
      </c>
      <c r="C1402" s="5" t="s">
        <v>9330</v>
      </c>
      <c r="D1402" s="5" t="s">
        <v>8</v>
      </c>
      <c r="E1402" s="6"/>
      <c r="F1402" s="6"/>
      <c r="G1402" s="7" t="s">
        <v>9331</v>
      </c>
      <c r="I1402" s="8" t="s">
        <v>9332</v>
      </c>
      <c r="J1402" s="9">
        <v>21.9</v>
      </c>
      <c r="K1402" s="10" t="s">
        <v>11</v>
      </c>
      <c r="L1402" s="6"/>
      <c r="M1402" s="11" t="s">
        <v>17</v>
      </c>
      <c r="N1402" s="6"/>
      <c r="O1402" s="6" t="s">
        <v>9333</v>
      </c>
      <c r="P1402" s="10" t="s">
        <v>15</v>
      </c>
      <c r="Q1402" s="6"/>
      <c r="R1402" s="6"/>
      <c r="S1402" s="6" t="s">
        <v>9334</v>
      </c>
      <c r="T1402" s="6" t="s">
        <v>16</v>
      </c>
      <c r="U1402" s="9" t="s">
        <v>17</v>
      </c>
      <c r="AI1402" s="6" t="s">
        <v>8458</v>
      </c>
      <c r="AJ1402" s="12" t="s">
        <v>9335</v>
      </c>
      <c r="AL1402" s="13" t="s">
        <v>8460</v>
      </c>
    </row>
    <row r="1403">
      <c r="A1403" s="5" t="s">
        <v>9336</v>
      </c>
      <c r="B1403" s="5" t="s">
        <v>9337</v>
      </c>
      <c r="C1403" s="5" t="s">
        <v>5831</v>
      </c>
      <c r="D1403" s="5" t="s">
        <v>8</v>
      </c>
      <c r="E1403" s="6"/>
      <c r="F1403" s="6"/>
      <c r="G1403" s="7" t="s">
        <v>9338</v>
      </c>
      <c r="I1403" s="8" t="s">
        <v>9339</v>
      </c>
      <c r="J1403" s="9">
        <v>6.5</v>
      </c>
      <c r="K1403" s="10" t="s">
        <v>11</v>
      </c>
      <c r="L1403" s="6"/>
      <c r="M1403" s="11" t="s">
        <v>17</v>
      </c>
      <c r="N1403" s="6"/>
      <c r="O1403" s="6" t="s">
        <v>9340</v>
      </c>
      <c r="P1403" s="10" t="s">
        <v>15</v>
      </c>
      <c r="Q1403" s="6"/>
      <c r="R1403" s="6"/>
      <c r="S1403" s="6"/>
      <c r="T1403" s="6" t="s">
        <v>16</v>
      </c>
      <c r="U1403" s="9" t="s">
        <v>17</v>
      </c>
      <c r="AI1403" s="6" t="s">
        <v>8458</v>
      </c>
      <c r="AJ1403" s="12" t="s">
        <v>9341</v>
      </c>
      <c r="AL1403" s="13" t="s">
        <v>8460</v>
      </c>
    </row>
    <row r="1404">
      <c r="A1404" s="5" t="s">
        <v>9342</v>
      </c>
      <c r="B1404" s="5" t="s">
        <v>9343</v>
      </c>
      <c r="C1404" s="5" t="s">
        <v>5831</v>
      </c>
      <c r="D1404" s="5" t="s">
        <v>507</v>
      </c>
      <c r="E1404" s="6"/>
      <c r="F1404" s="6"/>
      <c r="G1404" s="7" t="s">
        <v>9344</v>
      </c>
      <c r="I1404" s="8" t="s">
        <v>9345</v>
      </c>
      <c r="J1404" s="9">
        <v>11.9</v>
      </c>
      <c r="K1404" s="10" t="s">
        <v>11</v>
      </c>
      <c r="L1404" s="6"/>
      <c r="M1404" s="11" t="s">
        <v>17</v>
      </c>
      <c r="N1404" s="6"/>
      <c r="O1404" s="6" t="s">
        <v>9346</v>
      </c>
      <c r="P1404" s="10" t="s">
        <v>15</v>
      </c>
      <c r="Q1404" s="6"/>
      <c r="R1404" s="6"/>
      <c r="S1404" s="6"/>
      <c r="T1404" s="6" t="s">
        <v>16</v>
      </c>
      <c r="U1404" s="9" t="s">
        <v>17</v>
      </c>
      <c r="AI1404" s="6" t="s">
        <v>8458</v>
      </c>
      <c r="AJ1404" s="12" t="s">
        <v>9347</v>
      </c>
      <c r="AL1404" s="13" t="s">
        <v>8460</v>
      </c>
    </row>
    <row r="1405">
      <c r="A1405" s="5" t="s">
        <v>9348</v>
      </c>
      <c r="B1405" s="5" t="s">
        <v>9349</v>
      </c>
      <c r="C1405" s="5" t="s">
        <v>5831</v>
      </c>
      <c r="D1405" s="5" t="s">
        <v>8</v>
      </c>
      <c r="E1405" s="6"/>
      <c r="F1405" s="6"/>
      <c r="G1405" s="7" t="s">
        <v>9350</v>
      </c>
      <c r="I1405" s="8" t="s">
        <v>9351</v>
      </c>
      <c r="J1405" s="9">
        <v>4.9</v>
      </c>
      <c r="K1405" s="10" t="s">
        <v>11</v>
      </c>
      <c r="L1405" s="6"/>
      <c r="M1405" s="11" t="s">
        <v>17</v>
      </c>
      <c r="N1405" s="6"/>
      <c r="O1405" s="6" t="s">
        <v>9352</v>
      </c>
      <c r="P1405" s="10" t="s">
        <v>15</v>
      </c>
      <c r="Q1405" s="6"/>
      <c r="R1405" s="6"/>
      <c r="S1405" s="6"/>
      <c r="T1405" s="6" t="s">
        <v>16</v>
      </c>
      <c r="U1405" s="9" t="s">
        <v>17</v>
      </c>
      <c r="AI1405" s="6" t="s">
        <v>8458</v>
      </c>
      <c r="AJ1405" s="12" t="s">
        <v>9353</v>
      </c>
      <c r="AL1405" s="13" t="s">
        <v>8460</v>
      </c>
    </row>
    <row r="1406">
      <c r="A1406" s="5" t="s">
        <v>9354</v>
      </c>
      <c r="B1406" s="5" t="s">
        <v>9355</v>
      </c>
      <c r="C1406" s="5" t="s">
        <v>5831</v>
      </c>
      <c r="D1406" s="5" t="s">
        <v>8</v>
      </c>
      <c r="E1406" s="6"/>
      <c r="F1406" s="6"/>
      <c r="G1406" s="7" t="s">
        <v>9356</v>
      </c>
      <c r="I1406" s="8" t="s">
        <v>9357</v>
      </c>
      <c r="J1406" s="9">
        <v>2.4</v>
      </c>
      <c r="K1406" s="10" t="s">
        <v>11</v>
      </c>
      <c r="L1406" s="6"/>
      <c r="M1406" s="11" t="s">
        <v>17</v>
      </c>
      <c r="N1406" s="6"/>
      <c r="O1406" s="6" t="s">
        <v>9358</v>
      </c>
      <c r="P1406" s="10" t="s">
        <v>15</v>
      </c>
      <c r="Q1406" s="6"/>
      <c r="R1406" s="6"/>
      <c r="S1406" s="6"/>
      <c r="T1406" s="6" t="s">
        <v>16</v>
      </c>
      <c r="U1406" s="9" t="s">
        <v>17</v>
      </c>
      <c r="AI1406" s="6" t="s">
        <v>8458</v>
      </c>
      <c r="AJ1406" s="12" t="s">
        <v>9359</v>
      </c>
      <c r="AL1406" s="13" t="s">
        <v>8460</v>
      </c>
    </row>
    <row r="1407">
      <c r="A1407" s="5" t="s">
        <v>9360</v>
      </c>
      <c r="B1407" s="5" t="s">
        <v>9361</v>
      </c>
      <c r="C1407" s="5" t="s">
        <v>5831</v>
      </c>
      <c r="D1407" s="5" t="s">
        <v>507</v>
      </c>
      <c r="E1407" s="6"/>
      <c r="F1407" s="6"/>
      <c r="G1407" s="7" t="s">
        <v>9362</v>
      </c>
      <c r="I1407" s="8" t="s">
        <v>9363</v>
      </c>
      <c r="J1407" s="9">
        <v>4.5</v>
      </c>
      <c r="K1407" s="10" t="s">
        <v>11</v>
      </c>
      <c r="L1407" s="6"/>
      <c r="M1407" s="11" t="s">
        <v>17</v>
      </c>
      <c r="N1407" s="6"/>
      <c r="O1407" s="6" t="s">
        <v>9364</v>
      </c>
      <c r="P1407" s="10" t="s">
        <v>15</v>
      </c>
      <c r="Q1407" s="6"/>
      <c r="R1407" s="6"/>
      <c r="S1407" s="6"/>
      <c r="T1407" s="6" t="s">
        <v>16</v>
      </c>
      <c r="U1407" s="9" t="s">
        <v>17</v>
      </c>
      <c r="AI1407" s="6" t="s">
        <v>5815</v>
      </c>
      <c r="AJ1407" s="12" t="s">
        <v>9365</v>
      </c>
      <c r="AL1407" s="13" t="s">
        <v>8460</v>
      </c>
    </row>
    <row r="1408">
      <c r="A1408" s="5" t="s">
        <v>9366</v>
      </c>
      <c r="B1408" s="5" t="s">
        <v>9367</v>
      </c>
      <c r="C1408" s="5"/>
      <c r="D1408" s="5" t="s">
        <v>8</v>
      </c>
      <c r="E1408" s="6"/>
      <c r="F1408" s="6"/>
      <c r="G1408" s="7" t="s">
        <v>9368</v>
      </c>
      <c r="I1408" s="8" t="s">
        <v>9369</v>
      </c>
      <c r="J1408" s="9">
        <v>16.9</v>
      </c>
      <c r="K1408" s="10" t="s">
        <v>11</v>
      </c>
      <c r="L1408" s="6"/>
      <c r="M1408" s="11" t="s">
        <v>17</v>
      </c>
      <c r="N1408" s="6"/>
      <c r="O1408" s="6" t="s">
        <v>9370</v>
      </c>
      <c r="P1408" s="10" t="s">
        <v>15</v>
      </c>
      <c r="Q1408" s="6"/>
      <c r="R1408" s="6"/>
      <c r="S1408" s="6"/>
      <c r="T1408" s="6" t="s">
        <v>16</v>
      </c>
      <c r="U1408" s="9" t="s">
        <v>17</v>
      </c>
      <c r="AI1408" s="6" t="s">
        <v>5815</v>
      </c>
      <c r="AJ1408" s="12" t="s">
        <v>9371</v>
      </c>
      <c r="AL1408" s="13" t="s">
        <v>8460</v>
      </c>
    </row>
    <row r="1409">
      <c r="A1409" s="5" t="s">
        <v>9372</v>
      </c>
      <c r="B1409" s="5" t="s">
        <v>9373</v>
      </c>
      <c r="C1409" s="5" t="s">
        <v>9374</v>
      </c>
      <c r="D1409" s="5" t="s">
        <v>8</v>
      </c>
      <c r="E1409" s="6"/>
      <c r="F1409" s="6"/>
      <c r="G1409" s="7" t="s">
        <v>9375</v>
      </c>
      <c r="I1409" s="8" t="s">
        <v>9376</v>
      </c>
      <c r="J1409" s="9">
        <v>38.9</v>
      </c>
      <c r="K1409" s="10" t="s">
        <v>11</v>
      </c>
      <c r="L1409" s="6"/>
      <c r="M1409" s="11" t="s">
        <v>17</v>
      </c>
      <c r="N1409" s="6"/>
      <c r="O1409" s="6" t="s">
        <v>9377</v>
      </c>
      <c r="P1409" s="10" t="s">
        <v>15</v>
      </c>
      <c r="Q1409" s="6"/>
      <c r="R1409" s="6"/>
      <c r="S1409" s="6" t="s">
        <v>9378</v>
      </c>
      <c r="T1409" s="6" t="s">
        <v>16</v>
      </c>
      <c r="U1409" s="9" t="s">
        <v>17</v>
      </c>
      <c r="AI1409" s="6" t="s">
        <v>5815</v>
      </c>
      <c r="AJ1409" s="12" t="s">
        <v>9379</v>
      </c>
      <c r="AL1409" s="13" t="s">
        <v>8460</v>
      </c>
    </row>
    <row r="1410">
      <c r="A1410" s="5" t="s">
        <v>9380</v>
      </c>
      <c r="B1410" s="5" t="s">
        <v>9381</v>
      </c>
      <c r="C1410" s="5" t="s">
        <v>9382</v>
      </c>
      <c r="D1410" s="5" t="s">
        <v>507</v>
      </c>
      <c r="E1410" s="6"/>
      <c r="F1410" s="6"/>
      <c r="G1410" s="7" t="s">
        <v>9383</v>
      </c>
      <c r="I1410" s="8" t="s">
        <v>9384</v>
      </c>
      <c r="J1410" s="9">
        <v>9.3</v>
      </c>
      <c r="K1410" s="10" t="s">
        <v>11</v>
      </c>
      <c r="L1410" s="6"/>
      <c r="M1410" s="11" t="s">
        <v>17</v>
      </c>
      <c r="N1410" s="6"/>
      <c r="O1410" s="6" t="s">
        <v>9385</v>
      </c>
      <c r="P1410" s="10" t="s">
        <v>15</v>
      </c>
      <c r="Q1410" s="6"/>
      <c r="R1410" s="6"/>
      <c r="S1410" s="6"/>
      <c r="T1410" s="6" t="s">
        <v>16</v>
      </c>
      <c r="U1410" s="9" t="s">
        <v>17</v>
      </c>
      <c r="AI1410" s="6" t="s">
        <v>8436</v>
      </c>
      <c r="AJ1410" s="12" t="s">
        <v>9386</v>
      </c>
      <c r="AL1410" s="13" t="s">
        <v>8438</v>
      </c>
    </row>
    <row r="1411">
      <c r="A1411" s="5" t="s">
        <v>9387</v>
      </c>
      <c r="B1411" s="5" t="s">
        <v>9388</v>
      </c>
      <c r="C1411" s="5" t="s">
        <v>9382</v>
      </c>
      <c r="D1411" s="5" t="s">
        <v>507</v>
      </c>
      <c r="E1411" s="6"/>
      <c r="F1411" s="6"/>
      <c r="G1411" s="7" t="s">
        <v>9389</v>
      </c>
      <c r="I1411" s="8" t="s">
        <v>9390</v>
      </c>
      <c r="J1411" s="9">
        <v>9.3</v>
      </c>
      <c r="K1411" s="10" t="s">
        <v>11</v>
      </c>
      <c r="L1411" s="6"/>
      <c r="M1411" s="11" t="s">
        <v>17</v>
      </c>
      <c r="N1411" s="6"/>
      <c r="O1411" s="6" t="s">
        <v>9391</v>
      </c>
      <c r="P1411" s="10" t="s">
        <v>15</v>
      </c>
      <c r="Q1411" s="6"/>
      <c r="R1411" s="6"/>
      <c r="S1411" s="6"/>
      <c r="T1411" s="6" t="s">
        <v>16</v>
      </c>
      <c r="U1411" s="9" t="s">
        <v>17</v>
      </c>
      <c r="AI1411" s="6" t="s">
        <v>8436</v>
      </c>
      <c r="AJ1411" s="12" t="s">
        <v>9392</v>
      </c>
      <c r="AL1411" s="13" t="s">
        <v>8438</v>
      </c>
    </row>
    <row r="1412">
      <c r="A1412" s="5" t="s">
        <v>9393</v>
      </c>
      <c r="B1412" s="5" t="s">
        <v>9394</v>
      </c>
      <c r="C1412" s="5" t="s">
        <v>9382</v>
      </c>
      <c r="D1412" s="5" t="s">
        <v>507</v>
      </c>
      <c r="E1412" s="6"/>
      <c r="F1412" s="6"/>
      <c r="G1412" s="7" t="s">
        <v>9395</v>
      </c>
      <c r="I1412" s="8" t="s">
        <v>9396</v>
      </c>
      <c r="J1412" s="9">
        <v>8.7</v>
      </c>
      <c r="K1412" s="10" t="s">
        <v>11</v>
      </c>
      <c r="L1412" s="6"/>
      <c r="M1412" s="11" t="s">
        <v>17</v>
      </c>
      <c r="N1412" s="6"/>
      <c r="O1412" s="6" t="s">
        <v>9397</v>
      </c>
      <c r="P1412" s="10" t="s">
        <v>15</v>
      </c>
      <c r="Q1412" s="6"/>
      <c r="R1412" s="6"/>
      <c r="S1412" s="6"/>
      <c r="T1412" s="6" t="s">
        <v>16</v>
      </c>
      <c r="U1412" s="9" t="s">
        <v>17</v>
      </c>
      <c r="AI1412" s="6" t="s">
        <v>8436</v>
      </c>
      <c r="AJ1412" s="12" t="s">
        <v>9398</v>
      </c>
      <c r="AL1412" s="13" t="s">
        <v>8438</v>
      </c>
    </row>
    <row r="1413">
      <c r="A1413" s="5" t="s">
        <v>9399</v>
      </c>
      <c r="B1413" s="5" t="s">
        <v>9400</v>
      </c>
      <c r="C1413" s="5" t="s">
        <v>9382</v>
      </c>
      <c r="D1413" s="5" t="s">
        <v>507</v>
      </c>
      <c r="E1413" s="6"/>
      <c r="F1413" s="6"/>
      <c r="G1413" s="7" t="s">
        <v>9401</v>
      </c>
      <c r="I1413" s="8" t="s">
        <v>9402</v>
      </c>
      <c r="J1413" s="9">
        <v>10.9</v>
      </c>
      <c r="K1413" s="10">
        <v>9.81</v>
      </c>
      <c r="L1413" s="6"/>
      <c r="M1413" s="11" t="s">
        <v>17</v>
      </c>
      <c r="N1413" s="6"/>
      <c r="O1413" s="6" t="s">
        <v>9403</v>
      </c>
      <c r="P1413" s="10" t="s">
        <v>15</v>
      </c>
      <c r="Q1413" s="6"/>
      <c r="R1413" s="6"/>
      <c r="S1413" s="6"/>
      <c r="T1413" s="6" t="s">
        <v>16</v>
      </c>
      <c r="U1413" s="9" t="s">
        <v>17</v>
      </c>
      <c r="AI1413" s="6" t="s">
        <v>8436</v>
      </c>
      <c r="AJ1413" s="12" t="s">
        <v>9404</v>
      </c>
      <c r="AL1413" s="13" t="s">
        <v>8438</v>
      </c>
    </row>
    <row r="1414">
      <c r="A1414" s="5" t="s">
        <v>9405</v>
      </c>
      <c r="B1414" s="5" t="s">
        <v>9406</v>
      </c>
      <c r="C1414" s="5" t="s">
        <v>9382</v>
      </c>
      <c r="D1414" s="5" t="s">
        <v>507</v>
      </c>
      <c r="E1414" s="6"/>
      <c r="F1414" s="6"/>
      <c r="G1414" s="7" t="s">
        <v>9407</v>
      </c>
      <c r="I1414" s="8" t="s">
        <v>9408</v>
      </c>
      <c r="J1414" s="9">
        <v>9.9</v>
      </c>
      <c r="K1414" s="10" t="s">
        <v>11</v>
      </c>
      <c r="L1414" s="6"/>
      <c r="M1414" s="11" t="s">
        <v>17</v>
      </c>
      <c r="N1414" s="6"/>
      <c r="O1414" s="6" t="s">
        <v>9409</v>
      </c>
      <c r="P1414" s="10" t="s">
        <v>15</v>
      </c>
      <c r="Q1414" s="6"/>
      <c r="R1414" s="6"/>
      <c r="S1414" s="6"/>
      <c r="T1414" s="6" t="s">
        <v>16</v>
      </c>
      <c r="U1414" s="9" t="s">
        <v>17</v>
      </c>
      <c r="AI1414" s="6" t="s">
        <v>8436</v>
      </c>
      <c r="AJ1414" s="12" t="s">
        <v>9410</v>
      </c>
      <c r="AL1414" s="13" t="s">
        <v>8438</v>
      </c>
    </row>
    <row r="1415">
      <c r="A1415" s="5" t="s">
        <v>9411</v>
      </c>
      <c r="B1415" s="5" t="s">
        <v>9412</v>
      </c>
      <c r="C1415" s="5" t="s">
        <v>5933</v>
      </c>
      <c r="D1415" s="5" t="s">
        <v>507</v>
      </c>
      <c r="E1415" s="6"/>
      <c r="F1415" s="6"/>
      <c r="G1415" s="7" t="s">
        <v>9413</v>
      </c>
      <c r="I1415" s="8" t="s">
        <v>9414</v>
      </c>
      <c r="J1415" s="9">
        <v>9.75</v>
      </c>
      <c r="K1415" s="10" t="s">
        <v>11</v>
      </c>
      <c r="L1415" s="6"/>
      <c r="M1415" s="11" t="s">
        <v>17</v>
      </c>
      <c r="N1415" s="6"/>
      <c r="O1415" s="6" t="s">
        <v>9415</v>
      </c>
      <c r="P1415" s="10" t="s">
        <v>15</v>
      </c>
      <c r="Q1415" s="6"/>
      <c r="R1415" s="6"/>
      <c r="S1415" s="6" t="s">
        <v>5937</v>
      </c>
      <c r="T1415" s="6" t="s">
        <v>16</v>
      </c>
      <c r="U1415" s="9" t="s">
        <v>17</v>
      </c>
      <c r="AI1415" s="6" t="s">
        <v>8436</v>
      </c>
      <c r="AJ1415" s="12" t="s">
        <v>5938</v>
      </c>
      <c r="AL1415" s="13" t="s">
        <v>8438</v>
      </c>
    </row>
    <row r="1416">
      <c r="A1416" s="5" t="s">
        <v>9416</v>
      </c>
      <c r="B1416" s="5" t="s">
        <v>9417</v>
      </c>
      <c r="C1416" s="5" t="s">
        <v>9382</v>
      </c>
      <c r="D1416" s="5" t="s">
        <v>507</v>
      </c>
      <c r="E1416" s="6"/>
      <c r="F1416" s="6"/>
      <c r="G1416" s="7" t="s">
        <v>9418</v>
      </c>
      <c r="I1416" s="8" t="s">
        <v>9419</v>
      </c>
      <c r="J1416" s="9">
        <v>12.8</v>
      </c>
      <c r="K1416" s="10" t="s">
        <v>11</v>
      </c>
      <c r="L1416" s="6"/>
      <c r="M1416" s="11" t="s">
        <v>17</v>
      </c>
      <c r="N1416" s="6"/>
      <c r="O1416" s="6" t="s">
        <v>9420</v>
      </c>
      <c r="P1416" s="10" t="s">
        <v>15</v>
      </c>
      <c r="Q1416" s="6"/>
      <c r="R1416" s="6"/>
      <c r="S1416" s="6"/>
      <c r="T1416" s="6" t="s">
        <v>16</v>
      </c>
      <c r="U1416" s="9" t="s">
        <v>17</v>
      </c>
      <c r="AI1416" s="6" t="s">
        <v>8436</v>
      </c>
      <c r="AJ1416" s="12" t="s">
        <v>9421</v>
      </c>
      <c r="AL1416" s="13" t="s">
        <v>8438</v>
      </c>
    </row>
    <row r="1417">
      <c r="A1417" s="5" t="s">
        <v>9422</v>
      </c>
      <c r="B1417" s="5" t="s">
        <v>9423</v>
      </c>
      <c r="C1417" s="5" t="s">
        <v>9424</v>
      </c>
      <c r="D1417" s="5" t="s">
        <v>507</v>
      </c>
      <c r="E1417" s="6"/>
      <c r="F1417" s="6"/>
      <c r="G1417" s="7" t="s">
        <v>9425</v>
      </c>
      <c r="I1417" s="8" t="s">
        <v>9426</v>
      </c>
      <c r="J1417" s="9">
        <v>11.6</v>
      </c>
      <c r="K1417" s="10">
        <v>9.86</v>
      </c>
      <c r="L1417" s="6"/>
      <c r="M1417" s="11" t="s">
        <v>17</v>
      </c>
      <c r="N1417" s="6"/>
      <c r="O1417" s="6" t="s">
        <v>9427</v>
      </c>
      <c r="P1417" s="10" t="s">
        <v>15</v>
      </c>
      <c r="Q1417" s="6"/>
      <c r="R1417" s="6"/>
      <c r="S1417" s="6"/>
      <c r="T1417" s="6" t="s">
        <v>16</v>
      </c>
      <c r="U1417" s="9" t="s">
        <v>17</v>
      </c>
      <c r="AI1417" s="6" t="s">
        <v>8436</v>
      </c>
      <c r="AJ1417" s="12" t="s">
        <v>9428</v>
      </c>
      <c r="AL1417" s="13" t="s">
        <v>8438</v>
      </c>
    </row>
    <row r="1418">
      <c r="A1418" s="5" t="s">
        <v>9429</v>
      </c>
      <c r="B1418" s="5" t="s">
        <v>9423</v>
      </c>
      <c r="C1418" s="5" t="s">
        <v>9424</v>
      </c>
      <c r="D1418" s="5" t="s">
        <v>507</v>
      </c>
      <c r="E1418" s="6"/>
      <c r="F1418" s="6"/>
      <c r="G1418" s="7" t="s">
        <v>9430</v>
      </c>
      <c r="I1418" s="8" t="s">
        <v>9431</v>
      </c>
      <c r="J1418" s="9">
        <v>12.1</v>
      </c>
      <c r="K1418" s="10">
        <v>10.29</v>
      </c>
      <c r="L1418" s="6"/>
      <c r="M1418" s="11" t="s">
        <v>17</v>
      </c>
      <c r="N1418" s="6"/>
      <c r="O1418" s="6" t="s">
        <v>9432</v>
      </c>
      <c r="P1418" s="10" t="s">
        <v>15</v>
      </c>
      <c r="Q1418" s="6"/>
      <c r="R1418" s="6"/>
      <c r="S1418" s="6"/>
      <c r="T1418" s="6" t="s">
        <v>16</v>
      </c>
      <c r="U1418" s="9" t="s">
        <v>17</v>
      </c>
      <c r="AI1418" s="6" t="s">
        <v>8436</v>
      </c>
      <c r="AJ1418" s="12" t="s">
        <v>9428</v>
      </c>
      <c r="AL1418" s="13" t="s">
        <v>8438</v>
      </c>
    </row>
    <row r="1419">
      <c r="A1419" s="5" t="s">
        <v>9433</v>
      </c>
      <c r="B1419" s="5" t="s">
        <v>9434</v>
      </c>
      <c r="C1419" s="5" t="s">
        <v>9382</v>
      </c>
      <c r="D1419" s="5" t="s">
        <v>507</v>
      </c>
      <c r="E1419" s="6"/>
      <c r="F1419" s="6"/>
      <c r="G1419" s="7" t="s">
        <v>9435</v>
      </c>
      <c r="I1419" s="8" t="s">
        <v>9436</v>
      </c>
      <c r="J1419" s="9">
        <v>7.9</v>
      </c>
      <c r="K1419" s="10" t="s">
        <v>11</v>
      </c>
      <c r="L1419" s="6"/>
      <c r="M1419" s="11" t="s">
        <v>17</v>
      </c>
      <c r="N1419" s="6"/>
      <c r="O1419" s="6" t="s">
        <v>9437</v>
      </c>
      <c r="P1419" s="10" t="s">
        <v>15</v>
      </c>
      <c r="Q1419" s="6"/>
      <c r="R1419" s="6"/>
      <c r="S1419" s="6"/>
      <c r="T1419" s="6" t="s">
        <v>16</v>
      </c>
      <c r="U1419" s="9" t="s">
        <v>17</v>
      </c>
      <c r="AI1419" s="6" t="s">
        <v>8436</v>
      </c>
      <c r="AJ1419" s="12" t="s">
        <v>9438</v>
      </c>
      <c r="AL1419" s="13" t="s">
        <v>8438</v>
      </c>
    </row>
    <row r="1420">
      <c r="A1420" s="5" t="s">
        <v>9439</v>
      </c>
      <c r="B1420" s="5" t="s">
        <v>9440</v>
      </c>
      <c r="C1420" s="5" t="s">
        <v>9382</v>
      </c>
      <c r="D1420" s="5" t="s">
        <v>507</v>
      </c>
      <c r="E1420" s="6"/>
      <c r="F1420" s="6"/>
      <c r="G1420" s="7" t="s">
        <v>9441</v>
      </c>
      <c r="I1420" s="8" t="s">
        <v>9442</v>
      </c>
      <c r="J1420" s="9">
        <v>7.9</v>
      </c>
      <c r="K1420" s="10" t="s">
        <v>11</v>
      </c>
      <c r="L1420" s="6"/>
      <c r="M1420" s="11" t="s">
        <v>17</v>
      </c>
      <c r="N1420" s="6"/>
      <c r="O1420" s="6" t="s">
        <v>9443</v>
      </c>
      <c r="P1420" s="10" t="s">
        <v>15</v>
      </c>
      <c r="Q1420" s="6"/>
      <c r="R1420" s="6"/>
      <c r="S1420" s="6"/>
      <c r="T1420" s="6" t="s">
        <v>16</v>
      </c>
      <c r="U1420" s="9" t="s">
        <v>17</v>
      </c>
      <c r="AI1420" s="6" t="s">
        <v>8436</v>
      </c>
      <c r="AJ1420" s="12" t="s">
        <v>9444</v>
      </c>
      <c r="AL1420" s="13" t="s">
        <v>8438</v>
      </c>
    </row>
    <row r="1421">
      <c r="A1421" s="5" t="s">
        <v>9445</v>
      </c>
      <c r="B1421" s="5" t="s">
        <v>9446</v>
      </c>
      <c r="C1421" s="5"/>
      <c r="D1421" s="5" t="s">
        <v>507</v>
      </c>
      <c r="E1421" s="6"/>
      <c r="F1421" s="6"/>
      <c r="G1421" s="7" t="s">
        <v>9447</v>
      </c>
      <c r="I1421" s="8" t="s">
        <v>9448</v>
      </c>
      <c r="J1421" s="9">
        <v>7.9</v>
      </c>
      <c r="K1421" s="10" t="s">
        <v>11</v>
      </c>
      <c r="L1421" s="6"/>
      <c r="M1421" s="11" t="s">
        <v>17</v>
      </c>
      <c r="N1421" s="6"/>
      <c r="O1421" s="6" t="s">
        <v>9449</v>
      </c>
      <c r="P1421" s="10" t="s">
        <v>15</v>
      </c>
      <c r="Q1421" s="6"/>
      <c r="R1421" s="6"/>
      <c r="S1421" s="6"/>
      <c r="T1421" s="6" t="s">
        <v>16</v>
      </c>
      <c r="U1421" s="9" t="s">
        <v>17</v>
      </c>
      <c r="AI1421" s="6" t="s">
        <v>8436</v>
      </c>
      <c r="AJ1421" s="12" t="s">
        <v>9450</v>
      </c>
      <c r="AL1421" s="13" t="s">
        <v>8438</v>
      </c>
    </row>
    <row r="1422">
      <c r="A1422" s="5" t="s">
        <v>9451</v>
      </c>
      <c r="B1422" s="5" t="s">
        <v>9452</v>
      </c>
      <c r="C1422" s="5"/>
      <c r="D1422" s="5" t="s">
        <v>507</v>
      </c>
      <c r="E1422" s="6"/>
      <c r="F1422" s="6"/>
      <c r="G1422" s="7" t="s">
        <v>9453</v>
      </c>
      <c r="I1422" s="8" t="s">
        <v>9454</v>
      </c>
      <c r="J1422" s="9">
        <v>8.3</v>
      </c>
      <c r="K1422" s="10" t="s">
        <v>11</v>
      </c>
      <c r="L1422" s="6"/>
      <c r="M1422" s="11" t="s">
        <v>17</v>
      </c>
      <c r="N1422" s="6"/>
      <c r="O1422" s="6" t="s">
        <v>9455</v>
      </c>
      <c r="P1422" s="10" t="s">
        <v>15</v>
      </c>
      <c r="Q1422" s="6"/>
      <c r="R1422" s="6"/>
      <c r="S1422" s="6"/>
      <c r="T1422" s="6" t="s">
        <v>16</v>
      </c>
      <c r="U1422" s="9" t="s">
        <v>17</v>
      </c>
      <c r="AI1422" s="6" t="s">
        <v>8436</v>
      </c>
      <c r="AJ1422" s="12" t="s">
        <v>9456</v>
      </c>
      <c r="AL1422" s="13" t="s">
        <v>8438</v>
      </c>
    </row>
    <row r="1423">
      <c r="A1423" s="5" t="s">
        <v>9457</v>
      </c>
      <c r="B1423" s="5" t="s">
        <v>9458</v>
      </c>
      <c r="C1423" s="5" t="s">
        <v>5831</v>
      </c>
      <c r="D1423" s="5" t="s">
        <v>8</v>
      </c>
      <c r="E1423" s="6"/>
      <c r="F1423" s="6"/>
      <c r="G1423" s="7" t="s">
        <v>9459</v>
      </c>
      <c r="I1423" s="8" t="s">
        <v>9460</v>
      </c>
      <c r="J1423" s="9">
        <v>3.4</v>
      </c>
      <c r="K1423" s="10" t="s">
        <v>11</v>
      </c>
      <c r="L1423" s="6"/>
      <c r="M1423" s="11" t="s">
        <v>17</v>
      </c>
      <c r="N1423" s="6"/>
      <c r="O1423" s="6" t="s">
        <v>9461</v>
      </c>
      <c r="P1423" s="10" t="s">
        <v>15</v>
      </c>
      <c r="Q1423" s="6"/>
      <c r="R1423" s="6"/>
      <c r="S1423" s="6"/>
      <c r="T1423" s="6" t="s">
        <v>16</v>
      </c>
      <c r="U1423" s="9" t="s">
        <v>17</v>
      </c>
      <c r="AI1423" s="6" t="s">
        <v>8436</v>
      </c>
      <c r="AJ1423" s="12" t="s">
        <v>9462</v>
      </c>
      <c r="AL1423" s="13" t="s">
        <v>8438</v>
      </c>
    </row>
    <row r="1424">
      <c r="A1424" s="5" t="s">
        <v>9463</v>
      </c>
      <c r="B1424" s="5" t="s">
        <v>9464</v>
      </c>
      <c r="C1424" s="5" t="s">
        <v>5831</v>
      </c>
      <c r="D1424" s="5" t="s">
        <v>507</v>
      </c>
      <c r="E1424" s="6"/>
      <c r="F1424" s="6"/>
      <c r="G1424" s="7" t="s">
        <v>9465</v>
      </c>
      <c r="I1424" s="8" t="s">
        <v>9466</v>
      </c>
      <c r="J1424" s="9">
        <v>3.4</v>
      </c>
      <c r="K1424" s="10" t="s">
        <v>11</v>
      </c>
      <c r="L1424" s="6"/>
      <c r="M1424" s="11" t="s">
        <v>17</v>
      </c>
      <c r="N1424" s="6"/>
      <c r="O1424" s="6" t="s">
        <v>9467</v>
      </c>
      <c r="P1424" s="10" t="s">
        <v>15</v>
      </c>
      <c r="Q1424" s="6"/>
      <c r="R1424" s="6"/>
      <c r="S1424" s="6"/>
      <c r="T1424" s="6" t="s">
        <v>16</v>
      </c>
      <c r="U1424" s="9" t="s">
        <v>17</v>
      </c>
      <c r="AI1424" s="6" t="s">
        <v>8436</v>
      </c>
      <c r="AJ1424" s="12" t="s">
        <v>9468</v>
      </c>
      <c r="AL1424" s="13" t="s">
        <v>8438</v>
      </c>
    </row>
    <row r="1425">
      <c r="A1425" s="5" t="s">
        <v>9469</v>
      </c>
      <c r="B1425" s="5" t="s">
        <v>9470</v>
      </c>
      <c r="C1425" s="5" t="s">
        <v>5831</v>
      </c>
      <c r="D1425" s="5" t="s">
        <v>8</v>
      </c>
      <c r="E1425" s="6"/>
      <c r="F1425" s="6"/>
      <c r="G1425" s="7" t="s">
        <v>9471</v>
      </c>
      <c r="I1425" s="8" t="s">
        <v>9472</v>
      </c>
      <c r="J1425" s="9">
        <v>6.9</v>
      </c>
      <c r="K1425" s="10" t="s">
        <v>11</v>
      </c>
      <c r="L1425" s="6"/>
      <c r="M1425" s="11" t="s">
        <v>17</v>
      </c>
      <c r="N1425" s="6"/>
      <c r="O1425" s="6" t="s">
        <v>9473</v>
      </c>
      <c r="P1425" s="10" t="s">
        <v>15</v>
      </c>
      <c r="Q1425" s="6"/>
      <c r="R1425" s="6"/>
      <c r="S1425" s="6"/>
      <c r="T1425" s="6" t="s">
        <v>16</v>
      </c>
      <c r="U1425" s="9" t="s">
        <v>17</v>
      </c>
      <c r="AI1425" s="6" t="s">
        <v>8436</v>
      </c>
      <c r="AJ1425" s="12" t="s">
        <v>9474</v>
      </c>
      <c r="AL1425" s="13" t="s">
        <v>8438</v>
      </c>
    </row>
    <row r="1426">
      <c r="A1426" s="5" t="s">
        <v>9475</v>
      </c>
      <c r="B1426" s="5" t="s">
        <v>9476</v>
      </c>
      <c r="C1426" s="5" t="s">
        <v>5831</v>
      </c>
      <c r="D1426" s="5" t="s">
        <v>507</v>
      </c>
      <c r="E1426" s="6"/>
      <c r="F1426" s="6"/>
      <c r="G1426" s="7" t="s">
        <v>9477</v>
      </c>
      <c r="I1426" s="8" t="s">
        <v>9478</v>
      </c>
      <c r="J1426" s="9">
        <v>12.9</v>
      </c>
      <c r="K1426" s="10" t="s">
        <v>11</v>
      </c>
      <c r="L1426" s="6"/>
      <c r="M1426" s="11" t="s">
        <v>17</v>
      </c>
      <c r="N1426" s="6"/>
      <c r="O1426" s="6" t="s">
        <v>9479</v>
      </c>
      <c r="P1426" s="10" t="s">
        <v>15</v>
      </c>
      <c r="Q1426" s="6"/>
      <c r="R1426" s="6"/>
      <c r="S1426" s="6"/>
      <c r="T1426" s="6" t="s">
        <v>16</v>
      </c>
      <c r="U1426" s="9" t="s">
        <v>17</v>
      </c>
      <c r="AI1426" s="6" t="s">
        <v>8436</v>
      </c>
      <c r="AJ1426" s="12" t="s">
        <v>9480</v>
      </c>
      <c r="AL1426" s="13" t="s">
        <v>8438</v>
      </c>
    </row>
    <row r="1427">
      <c r="A1427" s="5" t="s">
        <v>9481</v>
      </c>
      <c r="B1427" s="5" t="s">
        <v>9482</v>
      </c>
      <c r="C1427" s="5"/>
      <c r="D1427" s="5" t="s">
        <v>8</v>
      </c>
      <c r="E1427" s="6"/>
      <c r="F1427" s="6"/>
      <c r="G1427" s="7" t="s">
        <v>9483</v>
      </c>
      <c r="I1427" s="8" t="s">
        <v>9484</v>
      </c>
      <c r="J1427" s="9">
        <v>8.5</v>
      </c>
      <c r="K1427" s="10" t="s">
        <v>11</v>
      </c>
      <c r="L1427" s="6"/>
      <c r="M1427" s="11" t="s">
        <v>17</v>
      </c>
      <c r="N1427" s="6"/>
      <c r="O1427" s="6" t="s">
        <v>9485</v>
      </c>
      <c r="P1427" s="10" t="s">
        <v>15</v>
      </c>
      <c r="Q1427" s="6"/>
      <c r="R1427" s="6"/>
      <c r="S1427" s="6"/>
      <c r="T1427" s="6" t="s">
        <v>16</v>
      </c>
      <c r="U1427" s="9" t="s">
        <v>17</v>
      </c>
      <c r="AI1427" s="6" t="s">
        <v>8436</v>
      </c>
      <c r="AJ1427" s="12" t="s">
        <v>9486</v>
      </c>
      <c r="AL1427" s="13" t="s">
        <v>8438</v>
      </c>
    </row>
    <row r="1428">
      <c r="A1428" s="5" t="s">
        <v>9487</v>
      </c>
      <c r="B1428" s="5" t="s">
        <v>9488</v>
      </c>
      <c r="C1428" s="5"/>
      <c r="D1428" s="5" t="s">
        <v>8</v>
      </c>
      <c r="E1428" s="6"/>
      <c r="F1428" s="6"/>
      <c r="G1428" s="7" t="s">
        <v>9489</v>
      </c>
      <c r="I1428" s="8" t="s">
        <v>9490</v>
      </c>
      <c r="J1428" s="9">
        <v>5.9</v>
      </c>
      <c r="K1428" s="10" t="s">
        <v>11</v>
      </c>
      <c r="L1428" s="6"/>
      <c r="M1428" s="11" t="s">
        <v>17</v>
      </c>
      <c r="N1428" s="6"/>
      <c r="O1428" s="6" t="s">
        <v>9491</v>
      </c>
      <c r="P1428" s="10" t="s">
        <v>15</v>
      </c>
      <c r="Q1428" s="6"/>
      <c r="R1428" s="6"/>
      <c r="S1428" s="6"/>
      <c r="T1428" s="6" t="s">
        <v>16</v>
      </c>
      <c r="U1428" s="9" t="s">
        <v>17</v>
      </c>
      <c r="AI1428" s="6" t="s">
        <v>8436</v>
      </c>
      <c r="AJ1428" s="12" t="s">
        <v>9492</v>
      </c>
      <c r="AL1428" s="13" t="s">
        <v>8438</v>
      </c>
    </row>
    <row r="1429">
      <c r="A1429" s="5" t="s">
        <v>9493</v>
      </c>
      <c r="B1429" s="5" t="s">
        <v>9494</v>
      </c>
      <c r="C1429" s="5"/>
      <c r="D1429" s="5" t="s">
        <v>8</v>
      </c>
      <c r="E1429" s="6"/>
      <c r="F1429" s="6"/>
      <c r="G1429" s="7" t="s">
        <v>9495</v>
      </c>
      <c r="I1429" s="8" t="s">
        <v>9496</v>
      </c>
      <c r="J1429" s="9">
        <v>6.9</v>
      </c>
      <c r="K1429" s="10" t="s">
        <v>11</v>
      </c>
      <c r="L1429" s="6"/>
      <c r="M1429" s="11" t="s">
        <v>17</v>
      </c>
      <c r="N1429" s="6"/>
      <c r="O1429" s="6" t="s">
        <v>9497</v>
      </c>
      <c r="P1429" s="10" t="s">
        <v>15</v>
      </c>
      <c r="Q1429" s="6"/>
      <c r="R1429" s="6"/>
      <c r="S1429" s="6"/>
      <c r="T1429" s="6" t="s">
        <v>16</v>
      </c>
      <c r="U1429" s="9" t="s">
        <v>17</v>
      </c>
      <c r="AI1429" s="6" t="s">
        <v>8436</v>
      </c>
      <c r="AJ1429" s="12" t="s">
        <v>9498</v>
      </c>
      <c r="AL1429" s="13" t="s">
        <v>8438</v>
      </c>
    </row>
    <row r="1430">
      <c r="A1430" s="5" t="s">
        <v>9499</v>
      </c>
      <c r="B1430" s="5" t="s">
        <v>9500</v>
      </c>
      <c r="C1430" s="5"/>
      <c r="D1430" s="5" t="s">
        <v>8</v>
      </c>
      <c r="E1430" s="6"/>
      <c r="F1430" s="6"/>
      <c r="G1430" s="7" t="s">
        <v>9501</v>
      </c>
      <c r="I1430" s="8" t="s">
        <v>9502</v>
      </c>
      <c r="J1430" s="9">
        <v>9.9</v>
      </c>
      <c r="K1430" s="10" t="s">
        <v>11</v>
      </c>
      <c r="L1430" s="6"/>
      <c r="M1430" s="11" t="s">
        <v>17</v>
      </c>
      <c r="N1430" s="6"/>
      <c r="O1430" s="6" t="s">
        <v>9503</v>
      </c>
      <c r="P1430" s="10" t="s">
        <v>15</v>
      </c>
      <c r="Q1430" s="6"/>
      <c r="R1430" s="6"/>
      <c r="S1430" s="6"/>
      <c r="T1430" s="6" t="s">
        <v>16</v>
      </c>
      <c r="U1430" s="9" t="s">
        <v>17</v>
      </c>
      <c r="AI1430" s="6" t="s">
        <v>8436</v>
      </c>
      <c r="AJ1430" s="12" t="s">
        <v>9504</v>
      </c>
      <c r="AL1430" s="13" t="s">
        <v>8438</v>
      </c>
    </row>
    <row r="1431">
      <c r="A1431" s="5" t="s">
        <v>9505</v>
      </c>
      <c r="B1431" s="5" t="s">
        <v>9506</v>
      </c>
      <c r="C1431" s="5"/>
      <c r="D1431" s="5" t="s">
        <v>8</v>
      </c>
      <c r="E1431" s="6"/>
      <c r="F1431" s="6"/>
      <c r="G1431" s="7" t="s">
        <v>9507</v>
      </c>
      <c r="I1431" s="8" t="s">
        <v>9508</v>
      </c>
      <c r="J1431" s="9">
        <v>2.9</v>
      </c>
      <c r="K1431" s="10" t="s">
        <v>11</v>
      </c>
      <c r="L1431" s="6"/>
      <c r="M1431" s="11" t="s">
        <v>17</v>
      </c>
      <c r="N1431" s="6"/>
      <c r="O1431" s="6" t="s">
        <v>9509</v>
      </c>
      <c r="P1431" s="10" t="s">
        <v>15</v>
      </c>
      <c r="Q1431" s="6"/>
      <c r="R1431" s="6"/>
      <c r="S1431" s="6"/>
      <c r="T1431" s="6" t="s">
        <v>16</v>
      </c>
      <c r="U1431" s="9" t="s">
        <v>17</v>
      </c>
      <c r="AI1431" s="6" t="s">
        <v>8436</v>
      </c>
      <c r="AJ1431" s="12" t="s">
        <v>9510</v>
      </c>
      <c r="AL1431" s="13" t="s">
        <v>8438</v>
      </c>
    </row>
    <row r="1432">
      <c r="A1432" s="5" t="s">
        <v>9511</v>
      </c>
      <c r="B1432" s="5" t="s">
        <v>9512</v>
      </c>
      <c r="C1432" s="5"/>
      <c r="D1432" s="5" t="s">
        <v>8</v>
      </c>
      <c r="E1432" s="6"/>
      <c r="F1432" s="6"/>
      <c r="G1432" s="7" t="s">
        <v>9513</v>
      </c>
      <c r="I1432" s="8" t="s">
        <v>9514</v>
      </c>
      <c r="J1432" s="9">
        <v>60.0</v>
      </c>
      <c r="K1432" s="10" t="s">
        <v>11</v>
      </c>
      <c r="L1432" s="6"/>
      <c r="M1432" s="11" t="s">
        <v>17</v>
      </c>
      <c r="N1432" s="6"/>
      <c r="O1432" s="6" t="s">
        <v>9515</v>
      </c>
      <c r="P1432" s="10" t="s">
        <v>15</v>
      </c>
      <c r="Q1432" s="6"/>
      <c r="R1432" s="6"/>
      <c r="S1432" s="6"/>
      <c r="T1432" s="6" t="s">
        <v>16</v>
      </c>
      <c r="U1432" s="9" t="s">
        <v>17</v>
      </c>
      <c r="AI1432" s="6" t="s">
        <v>4393</v>
      </c>
      <c r="AJ1432" s="12" t="s">
        <v>9516</v>
      </c>
      <c r="AL1432" s="13" t="s">
        <v>4395</v>
      </c>
    </row>
    <row r="1433">
      <c r="A1433" s="5" t="s">
        <v>9517</v>
      </c>
      <c r="B1433" s="5" t="s">
        <v>9518</v>
      </c>
      <c r="C1433" s="5" t="s">
        <v>9519</v>
      </c>
      <c r="D1433" s="5" t="s">
        <v>507</v>
      </c>
      <c r="E1433" s="6"/>
      <c r="F1433" s="6"/>
      <c r="G1433" s="7" t="s">
        <v>9520</v>
      </c>
      <c r="I1433" s="8" t="s">
        <v>9521</v>
      </c>
      <c r="J1433" s="9">
        <v>60.0</v>
      </c>
      <c r="K1433" s="10" t="s">
        <v>11</v>
      </c>
      <c r="L1433" s="6"/>
      <c r="M1433" s="11" t="s">
        <v>17</v>
      </c>
      <c r="N1433" s="6"/>
      <c r="O1433" s="6" t="s">
        <v>9522</v>
      </c>
      <c r="P1433" s="10" t="s">
        <v>15</v>
      </c>
      <c r="Q1433" s="6"/>
      <c r="R1433" s="6"/>
      <c r="S1433" s="6"/>
      <c r="T1433" s="6" t="s">
        <v>16</v>
      </c>
      <c r="U1433" s="9" t="s">
        <v>17</v>
      </c>
      <c r="AI1433" s="6" t="s">
        <v>4393</v>
      </c>
      <c r="AJ1433" s="12" t="s">
        <v>9523</v>
      </c>
      <c r="AL1433" s="13" t="s">
        <v>4395</v>
      </c>
    </row>
    <row r="1434">
      <c r="A1434" s="5" t="s">
        <v>9524</v>
      </c>
      <c r="B1434" s="5" t="s">
        <v>9525</v>
      </c>
      <c r="C1434" s="5"/>
      <c r="D1434" s="5" t="s">
        <v>8</v>
      </c>
      <c r="E1434" s="6"/>
      <c r="F1434" s="6"/>
      <c r="G1434" s="7" t="s">
        <v>9526</v>
      </c>
      <c r="I1434" s="8" t="s">
        <v>9527</v>
      </c>
      <c r="J1434" s="9">
        <v>60.0</v>
      </c>
      <c r="K1434" s="10" t="s">
        <v>11</v>
      </c>
      <c r="L1434" s="6"/>
      <c r="M1434" s="11" t="s">
        <v>17</v>
      </c>
      <c r="N1434" s="6"/>
      <c r="O1434" s="6" t="s">
        <v>9528</v>
      </c>
      <c r="P1434" s="10" t="s">
        <v>15</v>
      </c>
      <c r="Q1434" s="6"/>
      <c r="R1434" s="6"/>
      <c r="S1434" s="6"/>
      <c r="T1434" s="6" t="s">
        <v>16</v>
      </c>
      <c r="U1434" s="9" t="s">
        <v>17</v>
      </c>
      <c r="AI1434" s="6" t="s">
        <v>4393</v>
      </c>
      <c r="AJ1434" s="12" t="s">
        <v>9529</v>
      </c>
      <c r="AL1434" s="13" t="s">
        <v>4395</v>
      </c>
    </row>
    <row r="1435">
      <c r="A1435" s="5" t="s">
        <v>9530</v>
      </c>
      <c r="B1435" s="5" t="s">
        <v>9531</v>
      </c>
      <c r="C1435" s="5"/>
      <c r="D1435" s="5" t="s">
        <v>8</v>
      </c>
      <c r="E1435" s="6"/>
      <c r="F1435" s="6"/>
      <c r="G1435" s="7" t="s">
        <v>9532</v>
      </c>
      <c r="I1435" s="8" t="s">
        <v>9533</v>
      </c>
      <c r="J1435" s="9">
        <v>60.0</v>
      </c>
      <c r="K1435" s="10" t="s">
        <v>11</v>
      </c>
      <c r="L1435" s="6"/>
      <c r="M1435" s="11" t="s">
        <v>17</v>
      </c>
      <c r="N1435" s="6"/>
      <c r="O1435" s="6" t="s">
        <v>9534</v>
      </c>
      <c r="P1435" s="10" t="s">
        <v>15</v>
      </c>
      <c r="Q1435" s="6"/>
      <c r="R1435" s="6"/>
      <c r="S1435" s="6"/>
      <c r="T1435" s="6" t="s">
        <v>16</v>
      </c>
      <c r="U1435" s="9" t="s">
        <v>17</v>
      </c>
      <c r="AI1435" s="6" t="s">
        <v>4393</v>
      </c>
      <c r="AJ1435" s="12" t="s">
        <v>9535</v>
      </c>
      <c r="AL1435" s="13" t="s">
        <v>4395</v>
      </c>
    </row>
    <row r="1436">
      <c r="A1436" s="5" t="s">
        <v>9536</v>
      </c>
      <c r="B1436" s="5" t="s">
        <v>9537</v>
      </c>
      <c r="C1436" s="5"/>
      <c r="D1436" s="5" t="s">
        <v>8</v>
      </c>
      <c r="E1436" s="6"/>
      <c r="F1436" s="6"/>
      <c r="G1436" s="7" t="s">
        <v>9538</v>
      </c>
      <c r="I1436" s="8" t="s">
        <v>9539</v>
      </c>
      <c r="J1436" s="9">
        <v>60.0</v>
      </c>
      <c r="K1436" s="10" t="s">
        <v>11</v>
      </c>
      <c r="L1436" s="6"/>
      <c r="M1436" s="11" t="s">
        <v>17</v>
      </c>
      <c r="N1436" s="6"/>
      <c r="O1436" s="6" t="s">
        <v>9540</v>
      </c>
      <c r="P1436" s="10" t="s">
        <v>15</v>
      </c>
      <c r="Q1436" s="6"/>
      <c r="R1436" s="6"/>
      <c r="S1436" s="6"/>
      <c r="T1436" s="6" t="s">
        <v>16</v>
      </c>
      <c r="U1436" s="9" t="s">
        <v>17</v>
      </c>
      <c r="AI1436" s="6" t="s">
        <v>4393</v>
      </c>
      <c r="AJ1436" s="12" t="s">
        <v>9541</v>
      </c>
      <c r="AL1436" s="13" t="s">
        <v>4395</v>
      </c>
    </row>
    <row r="1437">
      <c r="A1437" s="5" t="s">
        <v>9542</v>
      </c>
      <c r="B1437" s="5" t="s">
        <v>9543</v>
      </c>
      <c r="C1437" s="5"/>
      <c r="D1437" s="5" t="s">
        <v>8</v>
      </c>
      <c r="E1437" s="6"/>
      <c r="F1437" s="6"/>
      <c r="G1437" s="7" t="s">
        <v>9544</v>
      </c>
      <c r="I1437" s="8" t="s">
        <v>9545</v>
      </c>
      <c r="J1437" s="9">
        <v>60.0</v>
      </c>
      <c r="K1437" s="10" t="s">
        <v>11</v>
      </c>
      <c r="L1437" s="6"/>
      <c r="M1437" s="11" t="s">
        <v>17</v>
      </c>
      <c r="N1437" s="6"/>
      <c r="O1437" s="6" t="s">
        <v>9546</v>
      </c>
      <c r="P1437" s="10" t="s">
        <v>15</v>
      </c>
      <c r="Q1437" s="6"/>
      <c r="R1437" s="6"/>
      <c r="S1437" s="6"/>
      <c r="T1437" s="6" t="s">
        <v>16</v>
      </c>
      <c r="U1437" s="9" t="s">
        <v>17</v>
      </c>
      <c r="AI1437" s="6" t="s">
        <v>4393</v>
      </c>
      <c r="AJ1437" s="12" t="s">
        <v>9547</v>
      </c>
      <c r="AL1437" s="13" t="s">
        <v>4395</v>
      </c>
    </row>
    <row r="1438">
      <c r="A1438" s="5" t="s">
        <v>9548</v>
      </c>
      <c r="B1438" s="5" t="s">
        <v>9549</v>
      </c>
      <c r="C1438" s="5"/>
      <c r="D1438" s="5" t="s">
        <v>8</v>
      </c>
      <c r="E1438" s="6"/>
      <c r="F1438" s="6"/>
      <c r="G1438" s="7" t="s">
        <v>9550</v>
      </c>
      <c r="I1438" s="8" t="s">
        <v>9551</v>
      </c>
      <c r="J1438" s="9">
        <v>60.0</v>
      </c>
      <c r="K1438" s="10" t="s">
        <v>11</v>
      </c>
      <c r="L1438" s="6"/>
      <c r="M1438" s="11" t="s">
        <v>17</v>
      </c>
      <c r="N1438" s="6"/>
      <c r="O1438" s="6" t="s">
        <v>9552</v>
      </c>
      <c r="P1438" s="10" t="s">
        <v>15</v>
      </c>
      <c r="Q1438" s="6"/>
      <c r="R1438" s="6"/>
      <c r="S1438" s="6"/>
      <c r="T1438" s="6" t="s">
        <v>16</v>
      </c>
      <c r="U1438" s="9" t="s">
        <v>17</v>
      </c>
      <c r="AI1438" s="6" t="s">
        <v>4393</v>
      </c>
      <c r="AJ1438" s="12" t="s">
        <v>9553</v>
      </c>
      <c r="AL1438" s="13" t="s">
        <v>4395</v>
      </c>
    </row>
    <row r="1439">
      <c r="A1439" s="5" t="s">
        <v>9554</v>
      </c>
      <c r="B1439" s="5" t="s">
        <v>9555</v>
      </c>
      <c r="C1439" s="5"/>
      <c r="D1439" s="5" t="s">
        <v>8</v>
      </c>
      <c r="E1439" s="6"/>
      <c r="F1439" s="6"/>
      <c r="G1439" s="7" t="s">
        <v>9556</v>
      </c>
      <c r="I1439" s="8" t="s">
        <v>9557</v>
      </c>
      <c r="J1439" s="9">
        <v>60.0</v>
      </c>
      <c r="K1439" s="10" t="s">
        <v>11</v>
      </c>
      <c r="L1439" s="6"/>
      <c r="M1439" s="11" t="s">
        <v>17</v>
      </c>
      <c r="N1439" s="6"/>
      <c r="O1439" s="6" t="s">
        <v>9558</v>
      </c>
      <c r="P1439" s="10" t="s">
        <v>15</v>
      </c>
      <c r="Q1439" s="6"/>
      <c r="R1439" s="6"/>
      <c r="S1439" s="6"/>
      <c r="T1439" s="6" t="s">
        <v>16</v>
      </c>
      <c r="U1439" s="9" t="s">
        <v>17</v>
      </c>
      <c r="AI1439" s="6" t="s">
        <v>4393</v>
      </c>
      <c r="AJ1439" s="12" t="s">
        <v>9559</v>
      </c>
      <c r="AL1439" s="13" t="s">
        <v>4395</v>
      </c>
    </row>
    <row r="1440">
      <c r="A1440" s="5" t="s">
        <v>9560</v>
      </c>
      <c r="B1440" s="5" t="s">
        <v>9561</v>
      </c>
      <c r="C1440" s="5"/>
      <c r="D1440" s="5" t="s">
        <v>8</v>
      </c>
      <c r="E1440" s="6"/>
      <c r="F1440" s="6"/>
      <c r="G1440" s="7" t="s">
        <v>9562</v>
      </c>
      <c r="I1440" s="8" t="s">
        <v>9563</v>
      </c>
      <c r="J1440" s="9">
        <v>60.0</v>
      </c>
      <c r="K1440" s="10" t="s">
        <v>11</v>
      </c>
      <c r="L1440" s="6"/>
      <c r="M1440" s="11" t="s">
        <v>17</v>
      </c>
      <c r="N1440" s="6"/>
      <c r="O1440" s="6" t="s">
        <v>9564</v>
      </c>
      <c r="P1440" s="10" t="s">
        <v>15</v>
      </c>
      <c r="Q1440" s="6"/>
      <c r="R1440" s="6"/>
      <c r="S1440" s="6"/>
      <c r="T1440" s="6" t="s">
        <v>16</v>
      </c>
      <c r="U1440" s="9" t="s">
        <v>17</v>
      </c>
      <c r="AI1440" s="6" t="s">
        <v>4393</v>
      </c>
      <c r="AJ1440" s="12" t="s">
        <v>9565</v>
      </c>
      <c r="AL1440" s="13" t="s">
        <v>4395</v>
      </c>
    </row>
    <row r="1441">
      <c r="A1441" s="5" t="s">
        <v>9566</v>
      </c>
      <c r="B1441" s="5" t="s">
        <v>9567</v>
      </c>
      <c r="C1441" s="5"/>
      <c r="D1441" s="5" t="s">
        <v>8</v>
      </c>
      <c r="E1441" s="6"/>
      <c r="F1441" s="6"/>
      <c r="G1441" s="7" t="s">
        <v>9568</v>
      </c>
      <c r="I1441" s="8" t="s">
        <v>9569</v>
      </c>
      <c r="J1441" s="9">
        <v>60.0</v>
      </c>
      <c r="K1441" s="10" t="s">
        <v>11</v>
      </c>
      <c r="L1441" s="6"/>
      <c r="M1441" s="11" t="s">
        <v>17</v>
      </c>
      <c r="N1441" s="6"/>
      <c r="O1441" s="6" t="s">
        <v>9570</v>
      </c>
      <c r="P1441" s="10" t="s">
        <v>15</v>
      </c>
      <c r="Q1441" s="6"/>
      <c r="R1441" s="6"/>
      <c r="S1441" s="6"/>
      <c r="T1441" s="6" t="s">
        <v>16</v>
      </c>
      <c r="U1441" s="9" t="s">
        <v>17</v>
      </c>
      <c r="AI1441" s="6" t="s">
        <v>4393</v>
      </c>
      <c r="AJ1441" s="12" t="s">
        <v>9571</v>
      </c>
      <c r="AL1441" s="13" t="s">
        <v>4395</v>
      </c>
    </row>
    <row r="1442">
      <c r="A1442" s="5" t="s">
        <v>9572</v>
      </c>
      <c r="B1442" s="5" t="s">
        <v>9573</v>
      </c>
      <c r="C1442" s="5"/>
      <c r="D1442" s="5" t="s">
        <v>8</v>
      </c>
      <c r="E1442" s="6"/>
      <c r="F1442" s="6"/>
      <c r="G1442" s="7" t="s">
        <v>9574</v>
      </c>
      <c r="I1442" s="8" t="s">
        <v>9575</v>
      </c>
      <c r="J1442" s="9">
        <v>60.0</v>
      </c>
      <c r="K1442" s="10" t="s">
        <v>11</v>
      </c>
      <c r="L1442" s="6"/>
      <c r="M1442" s="11" t="s">
        <v>17</v>
      </c>
      <c r="N1442" s="6"/>
      <c r="O1442" s="6" t="s">
        <v>9576</v>
      </c>
      <c r="P1442" s="10" t="s">
        <v>15</v>
      </c>
      <c r="Q1442" s="6"/>
      <c r="R1442" s="6"/>
      <c r="S1442" s="6"/>
      <c r="T1442" s="6" t="s">
        <v>16</v>
      </c>
      <c r="U1442" s="9" t="s">
        <v>17</v>
      </c>
      <c r="AI1442" s="6" t="s">
        <v>4393</v>
      </c>
      <c r="AJ1442" s="12" t="s">
        <v>9577</v>
      </c>
      <c r="AL1442" s="13" t="s">
        <v>4395</v>
      </c>
    </row>
    <row r="1443">
      <c r="A1443" s="5" t="s">
        <v>9578</v>
      </c>
      <c r="B1443" s="5" t="s">
        <v>9579</v>
      </c>
      <c r="C1443" s="5"/>
      <c r="D1443" s="5" t="s">
        <v>8</v>
      </c>
      <c r="E1443" s="6"/>
      <c r="F1443" s="6"/>
      <c r="G1443" s="7" t="s">
        <v>9580</v>
      </c>
      <c r="I1443" s="8" t="s">
        <v>9581</v>
      </c>
      <c r="J1443" s="9">
        <v>60.0</v>
      </c>
      <c r="K1443" s="10" t="s">
        <v>11</v>
      </c>
      <c r="L1443" s="6"/>
      <c r="M1443" s="11" t="s">
        <v>17</v>
      </c>
      <c r="N1443" s="6"/>
      <c r="O1443" s="6" t="s">
        <v>9582</v>
      </c>
      <c r="P1443" s="10" t="s">
        <v>15</v>
      </c>
      <c r="Q1443" s="6"/>
      <c r="R1443" s="6"/>
      <c r="S1443" s="6"/>
      <c r="T1443" s="6" t="s">
        <v>16</v>
      </c>
      <c r="U1443" s="9" t="s">
        <v>17</v>
      </c>
      <c r="AI1443" s="6" t="s">
        <v>4393</v>
      </c>
      <c r="AJ1443" s="12" t="s">
        <v>9583</v>
      </c>
      <c r="AL1443" s="13" t="s">
        <v>4395</v>
      </c>
    </row>
    <row r="1444">
      <c r="A1444" s="5" t="s">
        <v>9584</v>
      </c>
      <c r="B1444" s="5" t="s">
        <v>9585</v>
      </c>
      <c r="C1444" s="5"/>
      <c r="D1444" s="5" t="s">
        <v>8</v>
      </c>
      <c r="E1444" s="6"/>
      <c r="F1444" s="6"/>
      <c r="G1444" s="7" t="s">
        <v>9586</v>
      </c>
      <c r="I1444" s="8" t="s">
        <v>9587</v>
      </c>
      <c r="J1444" s="9">
        <v>60.0</v>
      </c>
      <c r="K1444" s="10" t="s">
        <v>11</v>
      </c>
      <c r="L1444" s="6"/>
      <c r="M1444" s="11" t="s">
        <v>17</v>
      </c>
      <c r="N1444" s="6"/>
      <c r="O1444" s="6" t="s">
        <v>9588</v>
      </c>
      <c r="P1444" s="10" t="s">
        <v>15</v>
      </c>
      <c r="Q1444" s="6"/>
      <c r="R1444" s="6"/>
      <c r="S1444" s="6"/>
      <c r="T1444" s="6" t="s">
        <v>16</v>
      </c>
      <c r="U1444" s="9" t="s">
        <v>17</v>
      </c>
      <c r="AI1444" s="6" t="s">
        <v>4393</v>
      </c>
      <c r="AJ1444" s="12" t="s">
        <v>9589</v>
      </c>
      <c r="AL1444" s="13" t="s">
        <v>4395</v>
      </c>
    </row>
    <row r="1445">
      <c r="A1445" s="5" t="s">
        <v>9590</v>
      </c>
      <c r="B1445" s="5" t="s">
        <v>9591</v>
      </c>
      <c r="C1445" s="5"/>
      <c r="D1445" s="5" t="s">
        <v>8</v>
      </c>
      <c r="E1445" s="6"/>
      <c r="F1445" s="6"/>
      <c r="G1445" s="7" t="s">
        <v>9592</v>
      </c>
      <c r="I1445" s="8" t="s">
        <v>9593</v>
      </c>
      <c r="J1445" s="9">
        <v>60.0</v>
      </c>
      <c r="K1445" s="10" t="s">
        <v>11</v>
      </c>
      <c r="L1445" s="6"/>
      <c r="M1445" s="11" t="s">
        <v>17</v>
      </c>
      <c r="N1445" s="6"/>
      <c r="O1445" s="6" t="s">
        <v>9594</v>
      </c>
      <c r="P1445" s="10" t="s">
        <v>15</v>
      </c>
      <c r="Q1445" s="6"/>
      <c r="R1445" s="6"/>
      <c r="S1445" s="6"/>
      <c r="T1445" s="6" t="s">
        <v>16</v>
      </c>
      <c r="U1445" s="9" t="s">
        <v>17</v>
      </c>
      <c r="AI1445" s="6" t="s">
        <v>4393</v>
      </c>
      <c r="AJ1445" s="12" t="s">
        <v>9595</v>
      </c>
      <c r="AL1445" s="13" t="s">
        <v>4395</v>
      </c>
    </row>
    <row r="1446">
      <c r="A1446" s="5" t="s">
        <v>9596</v>
      </c>
      <c r="B1446" s="5" t="s">
        <v>9597</v>
      </c>
      <c r="C1446" s="5"/>
      <c r="D1446" s="5" t="s">
        <v>8</v>
      </c>
      <c r="E1446" s="6"/>
      <c r="F1446" s="6"/>
      <c r="G1446" s="7" t="s">
        <v>9598</v>
      </c>
      <c r="I1446" s="8" t="s">
        <v>9599</v>
      </c>
      <c r="J1446" s="9">
        <v>60.0</v>
      </c>
      <c r="K1446" s="10" t="s">
        <v>11</v>
      </c>
      <c r="L1446" s="6"/>
      <c r="M1446" s="11" t="s">
        <v>17</v>
      </c>
      <c r="N1446" s="6"/>
      <c r="O1446" s="6" t="s">
        <v>9600</v>
      </c>
      <c r="P1446" s="10" t="s">
        <v>15</v>
      </c>
      <c r="Q1446" s="6"/>
      <c r="R1446" s="6"/>
      <c r="S1446" s="6"/>
      <c r="T1446" s="6" t="s">
        <v>16</v>
      </c>
      <c r="U1446" s="9" t="s">
        <v>17</v>
      </c>
      <c r="AI1446" s="6" t="s">
        <v>4393</v>
      </c>
      <c r="AJ1446" s="12" t="s">
        <v>9601</v>
      </c>
      <c r="AL1446" s="13" t="s">
        <v>4395</v>
      </c>
    </row>
    <row r="1447">
      <c r="A1447" s="5" t="s">
        <v>9602</v>
      </c>
      <c r="B1447" s="5" t="s">
        <v>9603</v>
      </c>
      <c r="C1447" s="5" t="s">
        <v>9519</v>
      </c>
      <c r="D1447" s="5" t="s">
        <v>8</v>
      </c>
      <c r="E1447" s="6"/>
      <c r="F1447" s="6"/>
      <c r="G1447" s="7" t="s">
        <v>9604</v>
      </c>
      <c r="I1447" s="8" t="s">
        <v>9605</v>
      </c>
      <c r="J1447" s="9">
        <v>60.0</v>
      </c>
      <c r="K1447" s="10" t="s">
        <v>11</v>
      </c>
      <c r="L1447" s="6"/>
      <c r="M1447" s="11" t="s">
        <v>17</v>
      </c>
      <c r="N1447" s="6"/>
      <c r="O1447" s="6" t="s">
        <v>9606</v>
      </c>
      <c r="P1447" s="10" t="s">
        <v>15</v>
      </c>
      <c r="Q1447" s="6"/>
      <c r="R1447" s="6"/>
      <c r="S1447" s="6"/>
      <c r="T1447" s="6" t="s">
        <v>16</v>
      </c>
      <c r="U1447" s="9" t="s">
        <v>17</v>
      </c>
      <c r="AI1447" s="6" t="s">
        <v>4393</v>
      </c>
      <c r="AJ1447" s="12" t="s">
        <v>9607</v>
      </c>
      <c r="AL1447" s="13" t="s">
        <v>4395</v>
      </c>
    </row>
    <row r="1448">
      <c r="A1448" s="5" t="s">
        <v>9608</v>
      </c>
      <c r="B1448" s="5" t="s">
        <v>9609</v>
      </c>
      <c r="C1448" s="5" t="s">
        <v>5831</v>
      </c>
      <c r="D1448" s="5" t="s">
        <v>8</v>
      </c>
      <c r="E1448" s="6"/>
      <c r="F1448" s="6"/>
      <c r="G1448" s="7" t="s">
        <v>9610</v>
      </c>
      <c r="I1448" s="8" t="s">
        <v>9611</v>
      </c>
      <c r="J1448" s="9">
        <v>27.9</v>
      </c>
      <c r="K1448" s="10" t="s">
        <v>11</v>
      </c>
      <c r="L1448" s="6"/>
      <c r="M1448" s="11" t="s">
        <v>17</v>
      </c>
      <c r="N1448" s="6"/>
      <c r="O1448" s="6" t="s">
        <v>9612</v>
      </c>
      <c r="P1448" s="10" t="s">
        <v>15</v>
      </c>
      <c r="Q1448" s="6"/>
      <c r="R1448" s="6"/>
      <c r="S1448" s="6"/>
      <c r="T1448" s="6" t="s">
        <v>16</v>
      </c>
      <c r="U1448" s="9" t="s">
        <v>17</v>
      </c>
      <c r="AI1448" s="6" t="s">
        <v>8842</v>
      </c>
      <c r="AJ1448" s="12" t="s">
        <v>9613</v>
      </c>
      <c r="AL1448" s="13"/>
    </row>
    <row r="1449">
      <c r="A1449" s="5" t="s">
        <v>9614</v>
      </c>
      <c r="B1449" s="5" t="s">
        <v>9615</v>
      </c>
      <c r="C1449" s="5" t="s">
        <v>5831</v>
      </c>
      <c r="D1449" s="5" t="s">
        <v>8</v>
      </c>
      <c r="E1449" s="6"/>
      <c r="F1449" s="6"/>
      <c r="G1449" s="7" t="s">
        <v>9616</v>
      </c>
      <c r="I1449" s="8" t="s">
        <v>9617</v>
      </c>
      <c r="J1449" s="9">
        <v>27.9</v>
      </c>
      <c r="K1449" s="10" t="s">
        <v>11</v>
      </c>
      <c r="L1449" s="6"/>
      <c r="M1449" s="11" t="s">
        <v>17</v>
      </c>
      <c r="N1449" s="6"/>
      <c r="O1449" s="6" t="s">
        <v>9618</v>
      </c>
      <c r="P1449" s="10" t="s">
        <v>15</v>
      </c>
      <c r="Q1449" s="6"/>
      <c r="R1449" s="6"/>
      <c r="S1449" s="6"/>
      <c r="T1449" s="6" t="s">
        <v>16</v>
      </c>
      <c r="U1449" s="9" t="s">
        <v>17</v>
      </c>
      <c r="AI1449" s="6" t="s">
        <v>8842</v>
      </c>
      <c r="AJ1449" s="12" t="s">
        <v>9619</v>
      </c>
      <c r="AL1449" s="13"/>
    </row>
    <row r="1450">
      <c r="A1450" s="5" t="s">
        <v>9620</v>
      </c>
      <c r="B1450" s="5" t="s">
        <v>9621</v>
      </c>
      <c r="C1450" s="5" t="s">
        <v>5831</v>
      </c>
      <c r="D1450" s="5" t="s">
        <v>8</v>
      </c>
      <c r="E1450" s="6"/>
      <c r="F1450" s="6"/>
      <c r="G1450" s="7" t="s">
        <v>9622</v>
      </c>
      <c r="I1450" s="8" t="s">
        <v>9623</v>
      </c>
      <c r="J1450" s="9">
        <v>27.9</v>
      </c>
      <c r="K1450" s="10" t="s">
        <v>11</v>
      </c>
      <c r="L1450" s="6"/>
      <c r="M1450" s="11" t="s">
        <v>17</v>
      </c>
      <c r="N1450" s="6"/>
      <c r="O1450" s="6" t="s">
        <v>9624</v>
      </c>
      <c r="P1450" s="10" t="s">
        <v>15</v>
      </c>
      <c r="Q1450" s="6"/>
      <c r="R1450" s="6"/>
      <c r="S1450" s="6"/>
      <c r="T1450" s="6" t="s">
        <v>16</v>
      </c>
      <c r="U1450" s="9" t="s">
        <v>17</v>
      </c>
      <c r="AI1450" s="6" t="s">
        <v>8842</v>
      </c>
      <c r="AJ1450" s="12" t="s">
        <v>9625</v>
      </c>
      <c r="AL1450" s="13"/>
    </row>
    <row r="1451">
      <c r="A1451" s="5" t="s">
        <v>9626</v>
      </c>
      <c r="B1451" s="5" t="s">
        <v>9627</v>
      </c>
      <c r="C1451" s="5" t="s">
        <v>9628</v>
      </c>
      <c r="D1451" s="5" t="s">
        <v>8</v>
      </c>
      <c r="E1451" s="6"/>
      <c r="F1451" s="6"/>
      <c r="G1451" s="7" t="s">
        <v>9629</v>
      </c>
      <c r="I1451" s="8" t="s">
        <v>9630</v>
      </c>
      <c r="J1451" s="9">
        <v>23.9</v>
      </c>
      <c r="K1451" s="10" t="s">
        <v>11</v>
      </c>
      <c r="L1451" s="6"/>
      <c r="M1451" s="11" t="s">
        <v>17</v>
      </c>
      <c r="N1451" s="6"/>
      <c r="O1451" s="6" t="s">
        <v>9631</v>
      </c>
      <c r="P1451" s="10" t="s">
        <v>15</v>
      </c>
      <c r="Q1451" s="6"/>
      <c r="R1451" s="6"/>
      <c r="S1451" s="6"/>
      <c r="T1451" s="6" t="s">
        <v>16</v>
      </c>
      <c r="U1451" s="9" t="s">
        <v>17</v>
      </c>
      <c r="AI1451" s="6" t="s">
        <v>9632</v>
      </c>
      <c r="AJ1451" s="12" t="s">
        <v>9633</v>
      </c>
      <c r="AL1451" s="13"/>
    </row>
    <row r="1452">
      <c r="A1452" s="5" t="s">
        <v>9634</v>
      </c>
      <c r="B1452" s="5" t="s">
        <v>9635</v>
      </c>
      <c r="C1452" s="5" t="s">
        <v>5831</v>
      </c>
      <c r="D1452" s="5" t="s">
        <v>8</v>
      </c>
      <c r="E1452" s="6"/>
      <c r="F1452" s="6"/>
      <c r="G1452" s="7" t="s">
        <v>9636</v>
      </c>
      <c r="I1452" s="8" t="s">
        <v>9637</v>
      </c>
      <c r="J1452" s="9">
        <v>3.0</v>
      </c>
      <c r="K1452" s="10" t="s">
        <v>11</v>
      </c>
      <c r="L1452" s="6"/>
      <c r="M1452" s="11" t="s">
        <v>17</v>
      </c>
      <c r="N1452" s="6"/>
      <c r="O1452" s="6" t="s">
        <v>9638</v>
      </c>
      <c r="P1452" s="10" t="s">
        <v>15</v>
      </c>
      <c r="Q1452" s="6"/>
      <c r="R1452" s="6"/>
      <c r="S1452" s="6"/>
      <c r="T1452" s="6" t="s">
        <v>16</v>
      </c>
      <c r="U1452" s="9" t="s">
        <v>17</v>
      </c>
      <c r="AI1452" s="6" t="s">
        <v>9632</v>
      </c>
      <c r="AJ1452" s="12" t="s">
        <v>9639</v>
      </c>
      <c r="AL1452" s="13"/>
    </row>
    <row r="1453">
      <c r="A1453" s="5" t="s">
        <v>9640</v>
      </c>
      <c r="B1453" s="5" t="s">
        <v>9641</v>
      </c>
      <c r="C1453" s="5" t="s">
        <v>5831</v>
      </c>
      <c r="D1453" s="5" t="s">
        <v>507</v>
      </c>
      <c r="E1453" s="6"/>
      <c r="F1453" s="6"/>
      <c r="G1453" s="7" t="s">
        <v>9642</v>
      </c>
      <c r="I1453" s="8" t="s">
        <v>9643</v>
      </c>
      <c r="J1453" s="9">
        <v>8.9</v>
      </c>
      <c r="K1453" s="10" t="s">
        <v>11</v>
      </c>
      <c r="L1453" s="6"/>
      <c r="M1453" s="11" t="s">
        <v>17</v>
      </c>
      <c r="N1453" s="6"/>
      <c r="O1453" s="6" t="s">
        <v>9644</v>
      </c>
      <c r="P1453" s="10" t="s">
        <v>15</v>
      </c>
      <c r="Q1453" s="6"/>
      <c r="R1453" s="6"/>
      <c r="S1453" s="6"/>
      <c r="T1453" s="6" t="s">
        <v>16</v>
      </c>
      <c r="U1453" s="9" t="s">
        <v>17</v>
      </c>
      <c r="AI1453" s="6" t="s">
        <v>9632</v>
      </c>
      <c r="AJ1453" s="12" t="s">
        <v>9645</v>
      </c>
      <c r="AL1453" s="13"/>
    </row>
    <row r="1454">
      <c r="A1454" s="5" t="s">
        <v>9646</v>
      </c>
      <c r="B1454" s="5" t="s">
        <v>9647</v>
      </c>
      <c r="C1454" s="5"/>
      <c r="D1454" s="5" t="s">
        <v>8</v>
      </c>
      <c r="E1454" s="6"/>
      <c r="F1454" s="6"/>
      <c r="G1454" s="7" t="s">
        <v>9648</v>
      </c>
      <c r="I1454" s="8" t="s">
        <v>9649</v>
      </c>
      <c r="J1454" s="9">
        <v>17.8</v>
      </c>
      <c r="K1454" s="10" t="s">
        <v>11</v>
      </c>
      <c r="L1454" s="6"/>
      <c r="M1454" s="11" t="s">
        <v>17</v>
      </c>
      <c r="N1454" s="6"/>
      <c r="O1454" s="6" t="s">
        <v>9650</v>
      </c>
      <c r="P1454" s="10" t="s">
        <v>15</v>
      </c>
      <c r="Q1454" s="6"/>
      <c r="R1454" s="6"/>
      <c r="S1454" s="6"/>
      <c r="T1454" s="6" t="s">
        <v>16</v>
      </c>
      <c r="U1454" s="9" t="s">
        <v>17</v>
      </c>
      <c r="AI1454" s="6" t="s">
        <v>9632</v>
      </c>
      <c r="AJ1454" s="12" t="s">
        <v>9651</v>
      </c>
      <c r="AL1454" s="13"/>
    </row>
    <row r="1455">
      <c r="A1455" s="5" t="s">
        <v>9652</v>
      </c>
      <c r="B1455" s="5" t="s">
        <v>9653</v>
      </c>
      <c r="C1455" s="5" t="s">
        <v>9654</v>
      </c>
      <c r="D1455" s="5" t="s">
        <v>8</v>
      </c>
      <c r="E1455" s="6"/>
      <c r="F1455" s="6"/>
      <c r="G1455" s="7" t="s">
        <v>9655</v>
      </c>
      <c r="I1455" s="8" t="s">
        <v>9656</v>
      </c>
      <c r="J1455" s="9">
        <v>20.0</v>
      </c>
      <c r="K1455" s="10" t="s">
        <v>11</v>
      </c>
      <c r="L1455" s="6"/>
      <c r="M1455" s="11" t="s">
        <v>17</v>
      </c>
      <c r="N1455" s="6"/>
      <c r="O1455" s="6" t="s">
        <v>9657</v>
      </c>
      <c r="P1455" s="10" t="s">
        <v>15</v>
      </c>
      <c r="Q1455" s="6"/>
      <c r="R1455" s="6"/>
      <c r="S1455" s="6" t="s">
        <v>9658</v>
      </c>
      <c r="T1455" s="6" t="s">
        <v>16</v>
      </c>
      <c r="U1455" s="9" t="s">
        <v>17</v>
      </c>
      <c r="AI1455" s="6" t="s">
        <v>9632</v>
      </c>
      <c r="AJ1455" s="12" t="s">
        <v>9659</v>
      </c>
      <c r="AL1455" s="13"/>
    </row>
    <row r="1456">
      <c r="A1456" s="5" t="s">
        <v>9660</v>
      </c>
      <c r="B1456" s="5" t="s">
        <v>9661</v>
      </c>
      <c r="C1456" s="5" t="s">
        <v>9654</v>
      </c>
      <c r="D1456" s="5" t="s">
        <v>8</v>
      </c>
      <c r="E1456" s="6"/>
      <c r="F1456" s="6"/>
      <c r="G1456" s="7" t="s">
        <v>9662</v>
      </c>
      <c r="I1456" s="8" t="s">
        <v>9663</v>
      </c>
      <c r="J1456" s="9">
        <v>20.0</v>
      </c>
      <c r="K1456" s="10" t="s">
        <v>11</v>
      </c>
      <c r="L1456" s="6"/>
      <c r="M1456" s="11" t="s">
        <v>17</v>
      </c>
      <c r="N1456" s="6"/>
      <c r="O1456" s="6" t="s">
        <v>9664</v>
      </c>
      <c r="P1456" s="10" t="s">
        <v>15</v>
      </c>
      <c r="Q1456" s="6"/>
      <c r="R1456" s="6"/>
      <c r="S1456" s="6" t="s">
        <v>9658</v>
      </c>
      <c r="T1456" s="6" t="s">
        <v>16</v>
      </c>
      <c r="U1456" s="9" t="s">
        <v>17</v>
      </c>
      <c r="AI1456" s="6" t="s">
        <v>9632</v>
      </c>
      <c r="AJ1456" s="12" t="s">
        <v>9659</v>
      </c>
      <c r="AL1456" s="13"/>
    </row>
    <row r="1457">
      <c r="A1457" s="5" t="s">
        <v>9665</v>
      </c>
      <c r="B1457" s="5" t="s">
        <v>9666</v>
      </c>
      <c r="C1457" s="5" t="s">
        <v>9654</v>
      </c>
      <c r="D1457" s="5" t="s">
        <v>8</v>
      </c>
      <c r="E1457" s="6"/>
      <c r="F1457" s="6"/>
      <c r="G1457" s="7" t="s">
        <v>9667</v>
      </c>
      <c r="I1457" s="8" t="s">
        <v>9668</v>
      </c>
      <c r="J1457" s="9">
        <v>20.0</v>
      </c>
      <c r="K1457" s="10" t="s">
        <v>11</v>
      </c>
      <c r="L1457" s="6"/>
      <c r="M1457" s="11" t="s">
        <v>17</v>
      </c>
      <c r="N1457" s="6"/>
      <c r="O1457" s="6" t="s">
        <v>9669</v>
      </c>
      <c r="P1457" s="10" t="s">
        <v>15</v>
      </c>
      <c r="Q1457" s="6"/>
      <c r="R1457" s="6"/>
      <c r="S1457" s="6" t="s">
        <v>9658</v>
      </c>
      <c r="T1457" s="6" t="s">
        <v>16</v>
      </c>
      <c r="U1457" s="9" t="s">
        <v>17</v>
      </c>
      <c r="AI1457" s="6" t="s">
        <v>9632</v>
      </c>
      <c r="AJ1457" s="12" t="s">
        <v>9659</v>
      </c>
      <c r="AL1457" s="13"/>
    </row>
    <row r="1458">
      <c r="A1458" s="5" t="s">
        <v>9670</v>
      </c>
      <c r="B1458" s="5" t="s">
        <v>9671</v>
      </c>
      <c r="C1458" s="5" t="s">
        <v>5831</v>
      </c>
      <c r="D1458" s="5" t="s">
        <v>8</v>
      </c>
      <c r="E1458" s="6"/>
      <c r="F1458" s="6"/>
      <c r="G1458" s="7" t="s">
        <v>9672</v>
      </c>
      <c r="I1458" s="8" t="s">
        <v>9673</v>
      </c>
      <c r="J1458" s="9">
        <v>27.9</v>
      </c>
      <c r="K1458" s="10" t="s">
        <v>11</v>
      </c>
      <c r="L1458" s="6"/>
      <c r="M1458" s="11" t="s">
        <v>17</v>
      </c>
      <c r="N1458" s="6"/>
      <c r="O1458" s="6" t="s">
        <v>9674</v>
      </c>
      <c r="P1458" s="10" t="s">
        <v>15</v>
      </c>
      <c r="Q1458" s="6"/>
      <c r="R1458" s="6"/>
      <c r="S1458" s="6" t="s">
        <v>9675</v>
      </c>
      <c r="T1458" s="6" t="s">
        <v>16</v>
      </c>
      <c r="U1458" s="9" t="s">
        <v>17</v>
      </c>
      <c r="AI1458" s="6" t="s">
        <v>9632</v>
      </c>
      <c r="AJ1458" s="12" t="s">
        <v>9676</v>
      </c>
      <c r="AL1458" s="13"/>
    </row>
    <row r="1459">
      <c r="A1459" s="5" t="s">
        <v>9677</v>
      </c>
      <c r="B1459" s="5" t="s">
        <v>9678</v>
      </c>
      <c r="C1459" s="5" t="s">
        <v>9679</v>
      </c>
      <c r="D1459" s="5" t="s">
        <v>8</v>
      </c>
      <c r="E1459" s="6"/>
      <c r="F1459" s="6"/>
      <c r="G1459" s="7" t="s">
        <v>9680</v>
      </c>
      <c r="I1459" s="8" t="s">
        <v>9681</v>
      </c>
      <c r="J1459" s="9">
        <v>14.9</v>
      </c>
      <c r="K1459" s="10" t="s">
        <v>11</v>
      </c>
      <c r="L1459" s="6"/>
      <c r="M1459" s="11" t="s">
        <v>17</v>
      </c>
      <c r="N1459" s="6"/>
      <c r="O1459" s="6" t="s">
        <v>9682</v>
      </c>
      <c r="P1459" s="10" t="s">
        <v>15</v>
      </c>
      <c r="Q1459" s="6"/>
      <c r="R1459" s="6"/>
      <c r="S1459" s="6" t="s">
        <v>9683</v>
      </c>
      <c r="T1459" s="6" t="s">
        <v>16</v>
      </c>
      <c r="U1459" s="9" t="s">
        <v>17</v>
      </c>
      <c r="AI1459" s="6" t="s">
        <v>8436</v>
      </c>
      <c r="AJ1459" s="12" t="s">
        <v>9684</v>
      </c>
      <c r="AL1459" s="13"/>
    </row>
    <row r="1460">
      <c r="A1460" s="5" t="s">
        <v>9685</v>
      </c>
      <c r="B1460" s="5" t="s">
        <v>9686</v>
      </c>
      <c r="C1460" s="5" t="s">
        <v>9679</v>
      </c>
      <c r="D1460" s="5" t="s">
        <v>507</v>
      </c>
      <c r="E1460" s="6"/>
      <c r="F1460" s="6"/>
      <c r="G1460" s="7" t="s">
        <v>9687</v>
      </c>
      <c r="I1460" s="8" t="s">
        <v>9688</v>
      </c>
      <c r="J1460" s="9">
        <v>14.9</v>
      </c>
      <c r="K1460" s="10" t="s">
        <v>11</v>
      </c>
      <c r="L1460" s="6"/>
      <c r="M1460" s="11" t="s">
        <v>17</v>
      </c>
      <c r="N1460" s="6"/>
      <c r="O1460" s="6" t="s">
        <v>9689</v>
      </c>
      <c r="P1460" s="10" t="s">
        <v>15</v>
      </c>
      <c r="Q1460" s="6"/>
      <c r="R1460" s="6"/>
      <c r="S1460" s="6" t="s">
        <v>9683</v>
      </c>
      <c r="T1460" s="6" t="s">
        <v>16</v>
      </c>
      <c r="U1460" s="9" t="s">
        <v>17</v>
      </c>
      <c r="AI1460" s="6" t="s">
        <v>8436</v>
      </c>
      <c r="AJ1460" s="12" t="s">
        <v>9684</v>
      </c>
      <c r="AL1460" s="13"/>
    </row>
    <row r="1461">
      <c r="A1461" s="5" t="s">
        <v>9690</v>
      </c>
      <c r="B1461" s="5" t="s">
        <v>9691</v>
      </c>
      <c r="C1461" s="5"/>
      <c r="D1461" s="5" t="s">
        <v>507</v>
      </c>
      <c r="E1461" s="6"/>
      <c r="F1461" s="6"/>
      <c r="G1461" s="7" t="s">
        <v>9692</v>
      </c>
      <c r="I1461" s="8" t="s">
        <v>9693</v>
      </c>
      <c r="J1461" s="9">
        <v>5.9</v>
      </c>
      <c r="K1461" s="10" t="s">
        <v>11</v>
      </c>
      <c r="L1461" s="6"/>
      <c r="M1461" s="11" t="s">
        <v>17</v>
      </c>
      <c r="N1461" s="6"/>
      <c r="O1461" s="6" t="s">
        <v>9694</v>
      </c>
      <c r="P1461" s="10" t="s">
        <v>15</v>
      </c>
      <c r="Q1461" s="6"/>
      <c r="R1461" s="6"/>
      <c r="S1461" s="6"/>
      <c r="T1461" s="6" t="s">
        <v>16</v>
      </c>
      <c r="U1461" s="9" t="s">
        <v>17</v>
      </c>
      <c r="AI1461" s="6" t="s">
        <v>8436</v>
      </c>
      <c r="AJ1461" s="12" t="s">
        <v>9695</v>
      </c>
      <c r="AL1461" s="13"/>
    </row>
    <row r="1462">
      <c r="A1462" s="5" t="s">
        <v>9696</v>
      </c>
      <c r="B1462" s="5" t="s">
        <v>9697</v>
      </c>
      <c r="C1462" s="5"/>
      <c r="D1462" s="5" t="s">
        <v>8</v>
      </c>
      <c r="E1462" s="6"/>
      <c r="F1462" s="6"/>
      <c r="G1462" s="7" t="s">
        <v>9698</v>
      </c>
      <c r="I1462" s="8" t="s">
        <v>9699</v>
      </c>
      <c r="J1462" s="9">
        <v>15.9</v>
      </c>
      <c r="K1462" s="10" t="s">
        <v>11</v>
      </c>
      <c r="L1462" s="6"/>
      <c r="M1462" s="11" t="s">
        <v>17</v>
      </c>
      <c r="N1462" s="6"/>
      <c r="O1462" s="6" t="s">
        <v>9700</v>
      </c>
      <c r="P1462" s="10" t="s">
        <v>15</v>
      </c>
      <c r="Q1462" s="6"/>
      <c r="R1462" s="6"/>
      <c r="S1462" s="6"/>
      <c r="T1462" s="6" t="s">
        <v>16</v>
      </c>
      <c r="U1462" s="9" t="s">
        <v>17</v>
      </c>
      <c r="AI1462" s="6" t="s">
        <v>4393</v>
      </c>
      <c r="AJ1462" s="12" t="s">
        <v>9701</v>
      </c>
      <c r="AL1462" s="13"/>
    </row>
    <row r="1463">
      <c r="A1463" s="5" t="s">
        <v>9702</v>
      </c>
      <c r="B1463" s="5" t="s">
        <v>9697</v>
      </c>
      <c r="C1463" s="5"/>
      <c r="D1463" s="5" t="s">
        <v>8</v>
      </c>
      <c r="E1463" s="6"/>
      <c r="F1463" s="6"/>
      <c r="G1463" s="7" t="s">
        <v>9703</v>
      </c>
      <c r="I1463" s="8" t="s">
        <v>9704</v>
      </c>
      <c r="J1463" s="9">
        <v>13.9</v>
      </c>
      <c r="K1463" s="10" t="s">
        <v>11</v>
      </c>
      <c r="L1463" s="6"/>
      <c r="M1463" s="11" t="s">
        <v>17</v>
      </c>
      <c r="N1463" s="6"/>
      <c r="O1463" s="6" t="s">
        <v>9705</v>
      </c>
      <c r="P1463" s="10" t="s">
        <v>15</v>
      </c>
      <c r="Q1463" s="6"/>
      <c r="R1463" s="6"/>
      <c r="S1463" s="6"/>
      <c r="T1463" s="6" t="s">
        <v>16</v>
      </c>
      <c r="U1463" s="9" t="s">
        <v>17</v>
      </c>
      <c r="AI1463" s="6" t="s">
        <v>4393</v>
      </c>
      <c r="AJ1463" s="12" t="s">
        <v>9701</v>
      </c>
      <c r="AL1463" s="13"/>
    </row>
    <row r="1464">
      <c r="A1464" s="5" t="s">
        <v>9706</v>
      </c>
      <c r="B1464" s="5" t="s">
        <v>9707</v>
      </c>
      <c r="C1464" s="5"/>
      <c r="D1464" s="5" t="s">
        <v>8</v>
      </c>
      <c r="E1464" s="6"/>
      <c r="F1464" s="6"/>
      <c r="G1464" s="7" t="s">
        <v>9708</v>
      </c>
      <c r="I1464" s="8" t="s">
        <v>9709</v>
      </c>
      <c r="J1464" s="9">
        <v>15.9</v>
      </c>
      <c r="K1464" s="10" t="s">
        <v>11</v>
      </c>
      <c r="L1464" s="6"/>
      <c r="M1464" s="11" t="s">
        <v>17</v>
      </c>
      <c r="N1464" s="6"/>
      <c r="O1464" s="6" t="s">
        <v>9710</v>
      </c>
      <c r="P1464" s="10" t="s">
        <v>15</v>
      </c>
      <c r="Q1464" s="6"/>
      <c r="R1464" s="6"/>
      <c r="S1464" s="6"/>
      <c r="T1464" s="6" t="s">
        <v>16</v>
      </c>
      <c r="U1464" s="9" t="s">
        <v>17</v>
      </c>
      <c r="AI1464" s="6" t="s">
        <v>4393</v>
      </c>
      <c r="AJ1464" s="12" t="s">
        <v>9711</v>
      </c>
      <c r="AL1464" s="13"/>
    </row>
    <row r="1465">
      <c r="A1465" s="5" t="s">
        <v>9712</v>
      </c>
      <c r="B1465" s="5" t="s">
        <v>9707</v>
      </c>
      <c r="C1465" s="5"/>
      <c r="D1465" s="5" t="s">
        <v>8</v>
      </c>
      <c r="E1465" s="6"/>
      <c r="F1465" s="6"/>
      <c r="G1465" s="7" t="s">
        <v>9713</v>
      </c>
      <c r="I1465" s="8" t="s">
        <v>9714</v>
      </c>
      <c r="J1465" s="9">
        <v>13.9</v>
      </c>
      <c r="K1465" s="10" t="s">
        <v>11</v>
      </c>
      <c r="L1465" s="6"/>
      <c r="M1465" s="11" t="s">
        <v>17</v>
      </c>
      <c r="N1465" s="6"/>
      <c r="O1465" s="6" t="s">
        <v>9715</v>
      </c>
      <c r="P1465" s="10" t="s">
        <v>15</v>
      </c>
      <c r="Q1465" s="6"/>
      <c r="R1465" s="6"/>
      <c r="S1465" s="6"/>
      <c r="T1465" s="6" t="s">
        <v>16</v>
      </c>
      <c r="U1465" s="9" t="s">
        <v>17</v>
      </c>
      <c r="AI1465" s="6" t="s">
        <v>4393</v>
      </c>
      <c r="AJ1465" s="12" t="s">
        <v>9711</v>
      </c>
      <c r="AL1465" s="13"/>
    </row>
    <row r="1466">
      <c r="A1466" s="5" t="s">
        <v>9716</v>
      </c>
      <c r="B1466" s="5" t="s">
        <v>9717</v>
      </c>
      <c r="C1466" s="5" t="s">
        <v>5831</v>
      </c>
      <c r="D1466" s="5" t="s">
        <v>507</v>
      </c>
      <c r="E1466" s="6"/>
      <c r="F1466" s="6"/>
      <c r="G1466" s="7" t="s">
        <v>9718</v>
      </c>
      <c r="I1466" s="8" t="s">
        <v>9719</v>
      </c>
      <c r="J1466" s="9">
        <v>19.6</v>
      </c>
      <c r="K1466" s="10" t="s">
        <v>11</v>
      </c>
      <c r="L1466" s="6"/>
      <c r="M1466" s="11" t="s">
        <v>17</v>
      </c>
      <c r="N1466" s="6"/>
      <c r="O1466" s="6" t="s">
        <v>9720</v>
      </c>
      <c r="P1466" s="10" t="s">
        <v>15</v>
      </c>
      <c r="Q1466" s="6"/>
      <c r="R1466" s="6"/>
      <c r="S1466" s="6"/>
      <c r="T1466" s="6" t="s">
        <v>16</v>
      </c>
      <c r="U1466" s="9" t="s">
        <v>17</v>
      </c>
      <c r="AI1466" s="6" t="s">
        <v>8842</v>
      </c>
      <c r="AJ1466" s="12" t="s">
        <v>9721</v>
      </c>
      <c r="AL1466" s="13"/>
    </row>
    <row r="1467">
      <c r="A1467" s="5" t="s">
        <v>9722</v>
      </c>
      <c r="B1467" s="5" t="s">
        <v>9723</v>
      </c>
      <c r="C1467" s="5"/>
      <c r="D1467" s="5" t="s">
        <v>8</v>
      </c>
      <c r="E1467" s="6"/>
      <c r="F1467" s="6"/>
      <c r="G1467" s="7" t="s">
        <v>9724</v>
      </c>
      <c r="I1467" s="8" t="s">
        <v>9725</v>
      </c>
      <c r="J1467" s="9">
        <v>24.9</v>
      </c>
      <c r="K1467" s="10" t="s">
        <v>11</v>
      </c>
      <c r="L1467" s="6"/>
      <c r="M1467" s="11" t="s">
        <v>17</v>
      </c>
      <c r="N1467" s="6"/>
      <c r="O1467" s="6" t="s">
        <v>9726</v>
      </c>
      <c r="P1467" s="10" t="s">
        <v>15</v>
      </c>
      <c r="Q1467" s="6"/>
      <c r="R1467" s="6"/>
      <c r="S1467" s="6"/>
      <c r="T1467" s="6" t="s">
        <v>16</v>
      </c>
      <c r="U1467" s="9" t="s">
        <v>17</v>
      </c>
      <c r="AI1467" s="6" t="s">
        <v>8842</v>
      </c>
      <c r="AJ1467" s="12" t="s">
        <v>9727</v>
      </c>
      <c r="AL1467" s="13"/>
    </row>
    <row r="1468">
      <c r="A1468" s="5" t="s">
        <v>9728</v>
      </c>
      <c r="B1468" s="5" t="s">
        <v>9723</v>
      </c>
      <c r="C1468" s="5"/>
      <c r="D1468" s="5" t="s">
        <v>8</v>
      </c>
      <c r="E1468" s="6"/>
      <c r="F1468" s="6"/>
      <c r="G1468" s="7" t="s">
        <v>9729</v>
      </c>
      <c r="I1468" s="8" t="s">
        <v>9730</v>
      </c>
      <c r="J1468" s="9">
        <v>37.9</v>
      </c>
      <c r="K1468" s="10" t="s">
        <v>11</v>
      </c>
      <c r="L1468" s="6"/>
      <c r="M1468" s="11" t="s">
        <v>17</v>
      </c>
      <c r="N1468" s="6"/>
      <c r="O1468" s="6" t="s">
        <v>9731</v>
      </c>
      <c r="P1468" s="10" t="s">
        <v>15</v>
      </c>
      <c r="Q1468" s="6"/>
      <c r="R1468" s="6"/>
      <c r="S1468" s="6"/>
      <c r="T1468" s="6" t="s">
        <v>16</v>
      </c>
      <c r="U1468" s="9" t="s">
        <v>17</v>
      </c>
      <c r="AI1468" s="6" t="s">
        <v>8842</v>
      </c>
      <c r="AJ1468" s="12" t="s">
        <v>9727</v>
      </c>
      <c r="AL1468" s="13"/>
    </row>
    <row r="1469">
      <c r="A1469" s="5" t="s">
        <v>9732</v>
      </c>
      <c r="B1469" s="5" t="s">
        <v>9733</v>
      </c>
      <c r="C1469" s="5" t="s">
        <v>9734</v>
      </c>
      <c r="D1469" s="5" t="s">
        <v>8</v>
      </c>
      <c r="E1469" s="6"/>
      <c r="F1469" s="6"/>
      <c r="G1469" s="7" t="s">
        <v>9735</v>
      </c>
      <c r="I1469" s="8" t="s">
        <v>9736</v>
      </c>
      <c r="J1469" s="9">
        <v>2.9</v>
      </c>
      <c r="K1469" s="10" t="s">
        <v>11</v>
      </c>
      <c r="L1469" s="6"/>
      <c r="M1469" s="11" t="s">
        <v>17</v>
      </c>
      <c r="N1469" s="6"/>
      <c r="O1469" s="6" t="s">
        <v>9737</v>
      </c>
      <c r="P1469" s="10" t="s">
        <v>15</v>
      </c>
      <c r="Q1469" s="6"/>
      <c r="R1469" s="6"/>
      <c r="S1469" s="6" t="s">
        <v>9738</v>
      </c>
      <c r="T1469" s="6" t="s">
        <v>16</v>
      </c>
      <c r="U1469" s="9" t="s">
        <v>17</v>
      </c>
      <c r="AI1469" s="6" t="s">
        <v>4393</v>
      </c>
      <c r="AJ1469" s="12" t="s">
        <v>9739</v>
      </c>
      <c r="AL1469" s="13"/>
    </row>
    <row r="1470">
      <c r="A1470" s="5" t="s">
        <v>9740</v>
      </c>
      <c r="B1470" s="5" t="s">
        <v>9741</v>
      </c>
      <c r="C1470" s="5" t="s">
        <v>9734</v>
      </c>
      <c r="D1470" s="5" t="s">
        <v>8</v>
      </c>
      <c r="E1470" s="6"/>
      <c r="F1470" s="6"/>
      <c r="G1470" s="7" t="s">
        <v>9742</v>
      </c>
      <c r="I1470" s="8" t="s">
        <v>9743</v>
      </c>
      <c r="J1470" s="9">
        <v>3.9</v>
      </c>
      <c r="K1470" s="10" t="s">
        <v>11</v>
      </c>
      <c r="L1470" s="6"/>
      <c r="M1470" s="11" t="s">
        <v>17</v>
      </c>
      <c r="N1470" s="6"/>
      <c r="O1470" s="6" t="s">
        <v>9744</v>
      </c>
      <c r="P1470" s="10" t="s">
        <v>15</v>
      </c>
      <c r="Q1470" s="6"/>
      <c r="R1470" s="6"/>
      <c r="S1470" s="6" t="s">
        <v>9738</v>
      </c>
      <c r="T1470" s="6" t="s">
        <v>16</v>
      </c>
      <c r="U1470" s="9" t="s">
        <v>17</v>
      </c>
      <c r="AI1470" s="6" t="s">
        <v>4393</v>
      </c>
      <c r="AJ1470" s="12" t="s">
        <v>9739</v>
      </c>
      <c r="AL1470" s="13"/>
    </row>
    <row r="1471">
      <c r="A1471" s="5" t="s">
        <v>9745</v>
      </c>
      <c r="B1471" s="5" t="s">
        <v>9746</v>
      </c>
      <c r="C1471" s="5" t="s">
        <v>9747</v>
      </c>
      <c r="D1471" s="5" t="s">
        <v>8</v>
      </c>
      <c r="E1471" s="6"/>
      <c r="F1471" s="6"/>
      <c r="G1471" s="7" t="s">
        <v>9748</v>
      </c>
      <c r="I1471" s="8" t="s">
        <v>9749</v>
      </c>
      <c r="J1471" s="9">
        <v>13.6</v>
      </c>
      <c r="K1471" s="10" t="s">
        <v>11</v>
      </c>
      <c r="L1471" s="6"/>
      <c r="M1471" s="11" t="s">
        <v>12</v>
      </c>
      <c r="N1471" s="6" t="s">
        <v>9750</v>
      </c>
      <c r="O1471" s="6" t="s">
        <v>9751</v>
      </c>
      <c r="P1471" s="10" t="s">
        <v>15</v>
      </c>
      <c r="Q1471" s="6"/>
      <c r="R1471" s="6"/>
      <c r="S1471" s="6"/>
      <c r="T1471" s="6" t="s">
        <v>16</v>
      </c>
      <c r="U1471" s="9" t="s">
        <v>17</v>
      </c>
      <c r="AI1471" s="6" t="s">
        <v>9752</v>
      </c>
      <c r="AJ1471" s="12" t="s">
        <v>9753</v>
      </c>
      <c r="AL1471" s="13" t="s">
        <v>9754</v>
      </c>
    </row>
    <row r="1472">
      <c r="A1472" s="5" t="s">
        <v>9755</v>
      </c>
      <c r="B1472" s="5" t="s">
        <v>9756</v>
      </c>
      <c r="C1472" s="5" t="s">
        <v>9757</v>
      </c>
      <c r="D1472" s="5" t="s">
        <v>8</v>
      </c>
      <c r="E1472" s="6"/>
      <c r="F1472" s="6"/>
      <c r="G1472" s="7" t="s">
        <v>9758</v>
      </c>
      <c r="I1472" s="8" t="s">
        <v>9759</v>
      </c>
      <c r="J1472" s="9">
        <v>8.9</v>
      </c>
      <c r="K1472" s="10" t="s">
        <v>11</v>
      </c>
      <c r="L1472" s="6"/>
      <c r="M1472" s="11" t="s">
        <v>12</v>
      </c>
      <c r="N1472" s="6" t="s">
        <v>9760</v>
      </c>
      <c r="O1472" s="6" t="s">
        <v>9761</v>
      </c>
      <c r="P1472" s="10" t="s">
        <v>15</v>
      </c>
      <c r="Q1472" s="6"/>
      <c r="R1472" s="6"/>
      <c r="S1472" s="6"/>
      <c r="T1472" s="6" t="s">
        <v>16</v>
      </c>
      <c r="U1472" s="9" t="s">
        <v>17</v>
      </c>
      <c r="AI1472" s="6" t="s">
        <v>9752</v>
      </c>
      <c r="AJ1472" s="12" t="s">
        <v>9762</v>
      </c>
      <c r="AL1472" s="13" t="s">
        <v>9754</v>
      </c>
    </row>
    <row r="1473">
      <c r="A1473" s="5" t="s">
        <v>9763</v>
      </c>
      <c r="B1473" s="5" t="s">
        <v>9764</v>
      </c>
      <c r="C1473" s="5" t="s">
        <v>1435</v>
      </c>
      <c r="D1473" s="5" t="s">
        <v>8</v>
      </c>
      <c r="E1473" s="6"/>
      <c r="F1473" s="6"/>
      <c r="G1473" s="7" t="s">
        <v>9765</v>
      </c>
      <c r="I1473" s="8" t="s">
        <v>9766</v>
      </c>
      <c r="J1473" s="9">
        <v>10.4</v>
      </c>
      <c r="K1473" s="10" t="s">
        <v>11</v>
      </c>
      <c r="L1473" s="6"/>
      <c r="M1473" s="11" t="s">
        <v>12</v>
      </c>
      <c r="N1473" s="6" t="s">
        <v>9767</v>
      </c>
      <c r="O1473" s="6" t="s">
        <v>9768</v>
      </c>
      <c r="P1473" s="10" t="s">
        <v>15</v>
      </c>
      <c r="Q1473" s="6"/>
      <c r="R1473" s="6"/>
      <c r="S1473" s="6"/>
      <c r="T1473" s="6" t="s">
        <v>16</v>
      </c>
      <c r="U1473" s="9" t="s">
        <v>17</v>
      </c>
      <c r="AI1473" s="6" t="s">
        <v>9752</v>
      </c>
      <c r="AJ1473" s="12" t="s">
        <v>1440</v>
      </c>
      <c r="AL1473" s="13" t="s">
        <v>9754</v>
      </c>
    </row>
    <row r="1474">
      <c r="A1474" s="5" t="s">
        <v>9769</v>
      </c>
      <c r="B1474" s="5" t="s">
        <v>9770</v>
      </c>
      <c r="C1474" s="5" t="s">
        <v>9771</v>
      </c>
      <c r="D1474" s="5" t="s">
        <v>8</v>
      </c>
      <c r="E1474" s="6"/>
      <c r="F1474" s="6"/>
      <c r="G1474" s="7" t="s">
        <v>9772</v>
      </c>
      <c r="I1474" s="8" t="s">
        <v>9773</v>
      </c>
      <c r="J1474" s="9">
        <v>11.9</v>
      </c>
      <c r="K1474" s="10" t="s">
        <v>11</v>
      </c>
      <c r="L1474" s="6"/>
      <c r="M1474" s="11" t="s">
        <v>12</v>
      </c>
      <c r="N1474" s="6" t="s">
        <v>9774</v>
      </c>
      <c r="O1474" s="6" t="s">
        <v>9775</v>
      </c>
      <c r="P1474" s="10" t="s">
        <v>15</v>
      </c>
      <c r="Q1474" s="6"/>
      <c r="R1474" s="6"/>
      <c r="S1474" s="6"/>
      <c r="T1474" s="6" t="s">
        <v>16</v>
      </c>
      <c r="U1474" s="9" t="s">
        <v>17</v>
      </c>
      <c r="AI1474" s="6" t="s">
        <v>9752</v>
      </c>
      <c r="AJ1474" s="12" t="s">
        <v>9776</v>
      </c>
      <c r="AL1474" s="13" t="s">
        <v>9754</v>
      </c>
    </row>
    <row r="1475">
      <c r="A1475" s="5" t="s">
        <v>9777</v>
      </c>
      <c r="B1475" s="5" t="s">
        <v>9778</v>
      </c>
      <c r="C1475" s="5" t="s">
        <v>9771</v>
      </c>
      <c r="D1475" s="5" t="s">
        <v>8</v>
      </c>
      <c r="E1475" s="6"/>
      <c r="F1475" s="6"/>
      <c r="G1475" s="7" t="s">
        <v>9779</v>
      </c>
      <c r="I1475" s="8" t="s">
        <v>9780</v>
      </c>
      <c r="J1475" s="9">
        <v>23.8</v>
      </c>
      <c r="K1475" s="10" t="s">
        <v>11</v>
      </c>
      <c r="L1475" s="6"/>
      <c r="M1475" s="11" t="s">
        <v>17</v>
      </c>
      <c r="N1475" s="6"/>
      <c r="O1475" s="6" t="s">
        <v>9781</v>
      </c>
      <c r="P1475" s="10" t="s">
        <v>15</v>
      </c>
      <c r="Q1475" s="6"/>
      <c r="R1475" s="6"/>
      <c r="S1475" s="6"/>
      <c r="T1475" s="6" t="s">
        <v>16</v>
      </c>
      <c r="U1475" s="9" t="s">
        <v>17</v>
      </c>
      <c r="AI1475" s="6" t="s">
        <v>9752</v>
      </c>
      <c r="AJ1475" s="12" t="s">
        <v>9776</v>
      </c>
      <c r="AL1475" s="13" t="s">
        <v>9754</v>
      </c>
    </row>
    <row r="1476">
      <c r="A1476" s="5" t="s">
        <v>9782</v>
      </c>
      <c r="B1476" s="5" t="s">
        <v>9783</v>
      </c>
      <c r="C1476" s="5" t="s">
        <v>9784</v>
      </c>
      <c r="D1476" s="5" t="s">
        <v>8</v>
      </c>
      <c r="E1476" s="6"/>
      <c r="F1476" s="6"/>
      <c r="G1476" s="7" t="s">
        <v>9785</v>
      </c>
      <c r="I1476" s="8" t="s">
        <v>9786</v>
      </c>
      <c r="J1476" s="9">
        <v>9.8</v>
      </c>
      <c r="K1476" s="10" t="s">
        <v>11</v>
      </c>
      <c r="L1476" s="6"/>
      <c r="M1476" s="11" t="s">
        <v>12</v>
      </c>
      <c r="N1476" s="6" t="s">
        <v>9787</v>
      </c>
      <c r="O1476" s="6" t="s">
        <v>9788</v>
      </c>
      <c r="P1476" s="10" t="s">
        <v>15</v>
      </c>
      <c r="Q1476" s="6"/>
      <c r="R1476" s="6"/>
      <c r="S1476" s="6"/>
      <c r="T1476" s="6" t="s">
        <v>16</v>
      </c>
      <c r="U1476" s="9" t="s">
        <v>17</v>
      </c>
      <c r="AI1476" s="6" t="s">
        <v>9752</v>
      </c>
      <c r="AJ1476" s="12" t="s">
        <v>9789</v>
      </c>
      <c r="AL1476" s="13" t="s">
        <v>9754</v>
      </c>
    </row>
    <row r="1477">
      <c r="A1477" s="5" t="s">
        <v>9790</v>
      </c>
      <c r="B1477" s="5" t="s">
        <v>9791</v>
      </c>
      <c r="C1477" s="5" t="s">
        <v>9792</v>
      </c>
      <c r="D1477" s="5" t="s">
        <v>8</v>
      </c>
      <c r="E1477" s="6"/>
      <c r="F1477" s="6"/>
      <c r="G1477" s="7" t="s">
        <v>9793</v>
      </c>
      <c r="I1477" s="8" t="s">
        <v>9794</v>
      </c>
      <c r="J1477" s="9">
        <v>12.8</v>
      </c>
      <c r="K1477" s="10" t="s">
        <v>11</v>
      </c>
      <c r="L1477" s="6"/>
      <c r="M1477" s="11" t="s">
        <v>12</v>
      </c>
      <c r="N1477" s="6" t="s">
        <v>9795</v>
      </c>
      <c r="O1477" s="6" t="s">
        <v>9796</v>
      </c>
      <c r="P1477" s="10" t="s">
        <v>15</v>
      </c>
      <c r="Q1477" s="6"/>
      <c r="R1477" s="6"/>
      <c r="S1477" s="6"/>
      <c r="T1477" s="6" t="s">
        <v>16</v>
      </c>
      <c r="U1477" s="9" t="s">
        <v>17</v>
      </c>
      <c r="AI1477" s="6" t="s">
        <v>9752</v>
      </c>
      <c r="AJ1477" s="12" t="s">
        <v>9797</v>
      </c>
      <c r="AL1477" s="13" t="s">
        <v>9754</v>
      </c>
    </row>
    <row r="1478">
      <c r="A1478" s="5" t="s">
        <v>9798</v>
      </c>
      <c r="B1478" s="5" t="s">
        <v>9799</v>
      </c>
      <c r="C1478" s="5" t="s">
        <v>9800</v>
      </c>
      <c r="D1478" s="5" t="s">
        <v>8</v>
      </c>
      <c r="E1478" s="6"/>
      <c r="F1478" s="6"/>
      <c r="G1478" s="7" t="s">
        <v>9801</v>
      </c>
      <c r="I1478" s="8" t="s">
        <v>9802</v>
      </c>
      <c r="J1478" s="9">
        <v>9.8</v>
      </c>
      <c r="K1478" s="10" t="s">
        <v>11</v>
      </c>
      <c r="L1478" s="6"/>
      <c r="M1478" s="11" t="s">
        <v>12</v>
      </c>
      <c r="N1478" s="6" t="s">
        <v>9803</v>
      </c>
      <c r="O1478" s="6" t="s">
        <v>9804</v>
      </c>
      <c r="P1478" s="10" t="s">
        <v>15</v>
      </c>
      <c r="Q1478" s="6"/>
      <c r="R1478" s="6"/>
      <c r="S1478" s="6"/>
      <c r="T1478" s="6" t="s">
        <v>16</v>
      </c>
      <c r="U1478" s="9" t="s">
        <v>17</v>
      </c>
      <c r="AI1478" s="6" t="s">
        <v>9752</v>
      </c>
      <c r="AJ1478" s="12" t="s">
        <v>9805</v>
      </c>
      <c r="AL1478" s="13" t="s">
        <v>9754</v>
      </c>
    </row>
    <row r="1479">
      <c r="A1479" s="5" t="s">
        <v>9806</v>
      </c>
      <c r="B1479" s="5" t="s">
        <v>9807</v>
      </c>
      <c r="C1479" s="5" t="s">
        <v>9808</v>
      </c>
      <c r="D1479" s="5" t="s">
        <v>8</v>
      </c>
      <c r="E1479" s="6"/>
      <c r="F1479" s="6"/>
      <c r="G1479" s="7" t="s">
        <v>9809</v>
      </c>
      <c r="I1479" s="8" t="s">
        <v>9810</v>
      </c>
      <c r="J1479" s="9">
        <v>8.9</v>
      </c>
      <c r="K1479" s="10" t="s">
        <v>11</v>
      </c>
      <c r="L1479" s="6"/>
      <c r="M1479" s="11" t="s">
        <v>12</v>
      </c>
      <c r="N1479" s="6" t="s">
        <v>9811</v>
      </c>
      <c r="O1479" s="6" t="s">
        <v>9812</v>
      </c>
      <c r="P1479" s="10" t="s">
        <v>15</v>
      </c>
      <c r="Q1479" s="6"/>
      <c r="R1479" s="6"/>
      <c r="S1479" s="6"/>
      <c r="T1479" s="6" t="s">
        <v>16</v>
      </c>
      <c r="U1479" s="9" t="s">
        <v>17</v>
      </c>
      <c r="AI1479" s="6" t="s">
        <v>9752</v>
      </c>
      <c r="AJ1479" s="12" t="s">
        <v>9813</v>
      </c>
      <c r="AL1479" s="13" t="s">
        <v>9754</v>
      </c>
    </row>
    <row r="1480">
      <c r="A1480" s="5" t="s">
        <v>9814</v>
      </c>
      <c r="B1480" s="5" t="s">
        <v>9815</v>
      </c>
      <c r="C1480" s="5" t="s">
        <v>9808</v>
      </c>
      <c r="D1480" s="5" t="s">
        <v>8</v>
      </c>
      <c r="E1480" s="6"/>
      <c r="F1480" s="6"/>
      <c r="G1480" s="7" t="s">
        <v>9816</v>
      </c>
      <c r="I1480" s="8" t="s">
        <v>9817</v>
      </c>
      <c r="J1480" s="9">
        <v>20.7</v>
      </c>
      <c r="K1480" s="10">
        <v>18.63</v>
      </c>
      <c r="L1480" s="6"/>
      <c r="M1480" s="11" t="s">
        <v>17</v>
      </c>
      <c r="N1480" s="6"/>
      <c r="O1480" s="6" t="s">
        <v>9818</v>
      </c>
      <c r="P1480" s="10" t="s">
        <v>15</v>
      </c>
      <c r="Q1480" s="6"/>
      <c r="R1480" s="6"/>
      <c r="S1480" s="6"/>
      <c r="T1480" s="6" t="s">
        <v>16</v>
      </c>
      <c r="U1480" s="9" t="s">
        <v>17</v>
      </c>
      <c r="AI1480" s="6" t="s">
        <v>9752</v>
      </c>
      <c r="AJ1480" s="12" t="s">
        <v>9813</v>
      </c>
      <c r="AL1480" s="13" t="s">
        <v>9754</v>
      </c>
    </row>
    <row r="1481">
      <c r="A1481" s="5" t="s">
        <v>9819</v>
      </c>
      <c r="B1481" s="5" t="s">
        <v>9820</v>
      </c>
      <c r="C1481" s="5" t="s">
        <v>9821</v>
      </c>
      <c r="D1481" s="5" t="s">
        <v>8</v>
      </c>
      <c r="E1481" s="6"/>
      <c r="F1481" s="6"/>
      <c r="G1481" s="7" t="s">
        <v>9822</v>
      </c>
      <c r="I1481" s="8" t="s">
        <v>9823</v>
      </c>
      <c r="J1481" s="9">
        <v>9.3</v>
      </c>
      <c r="K1481" s="10" t="s">
        <v>11</v>
      </c>
      <c r="L1481" s="6"/>
      <c r="M1481" s="11" t="s">
        <v>12</v>
      </c>
      <c r="N1481" s="6" t="s">
        <v>9824</v>
      </c>
      <c r="O1481" s="6" t="s">
        <v>9825</v>
      </c>
      <c r="P1481" s="10" t="s">
        <v>15</v>
      </c>
      <c r="Q1481" s="6"/>
      <c r="R1481" s="6"/>
      <c r="S1481" s="6"/>
      <c r="T1481" s="6" t="s">
        <v>16</v>
      </c>
      <c r="U1481" s="9" t="s">
        <v>17</v>
      </c>
      <c r="AI1481" s="6" t="s">
        <v>9752</v>
      </c>
      <c r="AJ1481" s="12" t="s">
        <v>9826</v>
      </c>
      <c r="AL1481" s="13"/>
    </row>
    <row r="1482">
      <c r="A1482" s="5" t="s">
        <v>9827</v>
      </c>
      <c r="B1482" s="5" t="s">
        <v>9828</v>
      </c>
      <c r="C1482" s="5" t="s">
        <v>9829</v>
      </c>
      <c r="D1482" s="5" t="s">
        <v>8</v>
      </c>
      <c r="E1482" s="6"/>
      <c r="F1482" s="6"/>
      <c r="G1482" s="7" t="s">
        <v>9830</v>
      </c>
      <c r="I1482" s="8" t="s">
        <v>9831</v>
      </c>
      <c r="J1482" s="9">
        <v>8.3</v>
      </c>
      <c r="K1482" s="10" t="s">
        <v>11</v>
      </c>
      <c r="L1482" s="6"/>
      <c r="M1482" s="11" t="s">
        <v>12</v>
      </c>
      <c r="N1482" s="6" t="s">
        <v>9832</v>
      </c>
      <c r="O1482" s="6" t="s">
        <v>9833</v>
      </c>
      <c r="P1482" s="10" t="s">
        <v>15</v>
      </c>
      <c r="Q1482" s="6"/>
      <c r="R1482" s="6"/>
      <c r="S1482" s="6"/>
      <c r="T1482" s="6" t="s">
        <v>16</v>
      </c>
      <c r="U1482" s="9" t="s">
        <v>17</v>
      </c>
      <c r="AI1482" s="6" t="s">
        <v>9752</v>
      </c>
      <c r="AJ1482" s="12" t="s">
        <v>9834</v>
      </c>
      <c r="AL1482" s="13"/>
    </row>
    <row r="1483">
      <c r="A1483" s="5" t="s">
        <v>9835</v>
      </c>
      <c r="B1483" s="5" t="s">
        <v>9836</v>
      </c>
      <c r="C1483" s="5" t="s">
        <v>9829</v>
      </c>
      <c r="D1483" s="5" t="s">
        <v>8</v>
      </c>
      <c r="E1483" s="6"/>
      <c r="F1483" s="6"/>
      <c r="G1483" s="7" t="s">
        <v>9837</v>
      </c>
      <c r="I1483" s="8" t="s">
        <v>9838</v>
      </c>
      <c r="J1483" s="9">
        <v>18.9</v>
      </c>
      <c r="K1483" s="10">
        <v>16.82</v>
      </c>
      <c r="L1483" s="6"/>
      <c r="M1483" s="11" t="s">
        <v>17</v>
      </c>
      <c r="N1483" s="6"/>
      <c r="O1483" s="6" t="s">
        <v>9839</v>
      </c>
      <c r="P1483" s="10" t="s">
        <v>15</v>
      </c>
      <c r="Q1483" s="6"/>
      <c r="R1483" s="6"/>
      <c r="S1483" s="6"/>
      <c r="T1483" s="6" t="s">
        <v>16</v>
      </c>
      <c r="U1483" s="9" t="s">
        <v>17</v>
      </c>
      <c r="AI1483" s="6" t="s">
        <v>9752</v>
      </c>
      <c r="AJ1483" s="12" t="s">
        <v>9834</v>
      </c>
      <c r="AL1483" s="13"/>
    </row>
    <row r="1484">
      <c r="A1484" s="5" t="s">
        <v>9840</v>
      </c>
      <c r="B1484" s="5" t="s">
        <v>9841</v>
      </c>
      <c r="C1484" s="5"/>
      <c r="D1484" s="17" t="s">
        <v>507</v>
      </c>
      <c r="E1484" s="6"/>
      <c r="F1484" s="6"/>
      <c r="G1484" s="7" t="s">
        <v>9842</v>
      </c>
      <c r="I1484" s="8" t="s">
        <v>9843</v>
      </c>
      <c r="J1484" s="9">
        <v>17.99</v>
      </c>
      <c r="K1484" s="10" t="s">
        <v>11</v>
      </c>
      <c r="L1484" s="6"/>
      <c r="M1484" s="11" t="s">
        <v>17</v>
      </c>
      <c r="N1484" s="6"/>
      <c r="O1484" s="6" t="s">
        <v>9844</v>
      </c>
      <c r="P1484" s="10" t="s">
        <v>15</v>
      </c>
      <c r="Q1484" s="6"/>
      <c r="R1484" s="6"/>
      <c r="S1484" s="6"/>
      <c r="T1484" s="6" t="s">
        <v>16</v>
      </c>
      <c r="U1484" s="9" t="s">
        <v>17</v>
      </c>
      <c r="AI1484" s="6" t="s">
        <v>8436</v>
      </c>
      <c r="AJ1484" s="12" t="s">
        <v>9845</v>
      </c>
      <c r="AL1484" s="13"/>
    </row>
    <row r="1485">
      <c r="A1485" s="5" t="s">
        <v>9846</v>
      </c>
      <c r="B1485" s="5" t="s">
        <v>9847</v>
      </c>
      <c r="C1485" s="5" t="s">
        <v>9848</v>
      </c>
      <c r="D1485" s="5" t="s">
        <v>8</v>
      </c>
      <c r="E1485" s="6"/>
      <c r="F1485" s="6"/>
      <c r="G1485" s="7" t="s">
        <v>9849</v>
      </c>
      <c r="I1485" s="8" t="s">
        <v>9850</v>
      </c>
      <c r="J1485" s="9">
        <v>64.0</v>
      </c>
      <c r="K1485" s="10" t="s">
        <v>11</v>
      </c>
      <c r="L1485" s="6"/>
      <c r="M1485" s="11" t="s">
        <v>17</v>
      </c>
      <c r="N1485" s="6"/>
      <c r="O1485" s="6" t="s">
        <v>9851</v>
      </c>
      <c r="P1485" s="10" t="s">
        <v>15</v>
      </c>
      <c r="Q1485" s="6"/>
      <c r="R1485" s="6"/>
      <c r="S1485" s="6"/>
      <c r="T1485" s="6" t="s">
        <v>16</v>
      </c>
      <c r="U1485" s="9" t="s">
        <v>17</v>
      </c>
      <c r="AI1485" s="6" t="s">
        <v>8436</v>
      </c>
      <c r="AJ1485" s="12" t="s">
        <v>9852</v>
      </c>
      <c r="AL1485" s="13"/>
    </row>
    <row r="1486">
      <c r="A1486" s="5" t="s">
        <v>9853</v>
      </c>
      <c r="B1486" s="5" t="s">
        <v>9854</v>
      </c>
      <c r="C1486" s="5" t="s">
        <v>9855</v>
      </c>
      <c r="D1486" s="5" t="s">
        <v>8</v>
      </c>
      <c r="E1486" s="6"/>
      <c r="F1486" s="6"/>
      <c r="G1486" s="7" t="s">
        <v>9856</v>
      </c>
      <c r="I1486" s="8" t="s">
        <v>9857</v>
      </c>
      <c r="J1486" s="9">
        <v>46.0</v>
      </c>
      <c r="K1486" s="10" t="s">
        <v>11</v>
      </c>
      <c r="L1486" s="6"/>
      <c r="M1486" s="11" t="s">
        <v>17</v>
      </c>
      <c r="N1486" s="6"/>
      <c r="O1486" s="6" t="s">
        <v>9858</v>
      </c>
      <c r="P1486" s="10" t="s">
        <v>15</v>
      </c>
      <c r="Q1486" s="6"/>
      <c r="R1486" s="6"/>
      <c r="S1486" s="6" t="s">
        <v>9859</v>
      </c>
      <c r="T1486" s="6" t="s">
        <v>16</v>
      </c>
      <c r="U1486" s="9" t="s">
        <v>17</v>
      </c>
      <c r="AI1486" s="6" t="s">
        <v>8436</v>
      </c>
      <c r="AJ1486" s="12" t="s">
        <v>9860</v>
      </c>
      <c r="AL1486" s="13"/>
    </row>
    <row r="1487">
      <c r="A1487" s="5" t="s">
        <v>9861</v>
      </c>
      <c r="B1487" s="5" t="s">
        <v>9862</v>
      </c>
      <c r="C1487" s="5" t="s">
        <v>9863</v>
      </c>
      <c r="D1487" s="5" t="s">
        <v>8</v>
      </c>
      <c r="E1487" s="6"/>
      <c r="F1487" s="6"/>
      <c r="G1487" s="7" t="s">
        <v>9864</v>
      </c>
      <c r="I1487" s="8" t="s">
        <v>9865</v>
      </c>
      <c r="J1487" s="9">
        <v>18.9</v>
      </c>
      <c r="K1487" s="10" t="s">
        <v>11</v>
      </c>
      <c r="L1487" s="6"/>
      <c r="M1487" s="11" t="s">
        <v>17</v>
      </c>
      <c r="N1487" s="6"/>
      <c r="O1487" s="6" t="s">
        <v>9866</v>
      </c>
      <c r="P1487" s="10" t="s">
        <v>15</v>
      </c>
      <c r="Q1487" s="6"/>
      <c r="R1487" s="6"/>
      <c r="S1487" s="6" t="s">
        <v>9867</v>
      </c>
      <c r="T1487" s="6" t="s">
        <v>16</v>
      </c>
      <c r="U1487" s="9" t="s">
        <v>17</v>
      </c>
      <c r="AI1487" s="6" t="s">
        <v>8436</v>
      </c>
      <c r="AJ1487" s="12" t="s">
        <v>9868</v>
      </c>
      <c r="AL1487" s="13"/>
    </row>
    <row r="1488">
      <c r="A1488" s="5" t="s">
        <v>9869</v>
      </c>
      <c r="B1488" s="5" t="s">
        <v>9870</v>
      </c>
      <c r="C1488" s="5" t="s">
        <v>9871</v>
      </c>
      <c r="D1488" s="5" t="s">
        <v>8</v>
      </c>
      <c r="E1488" s="6"/>
      <c r="F1488" s="6"/>
      <c r="G1488" s="7" t="s">
        <v>9872</v>
      </c>
      <c r="I1488" s="8" t="s">
        <v>9873</v>
      </c>
      <c r="J1488" s="9">
        <v>79.0</v>
      </c>
      <c r="K1488" s="10" t="s">
        <v>11</v>
      </c>
      <c r="L1488" s="6"/>
      <c r="M1488" s="11" t="s">
        <v>17</v>
      </c>
      <c r="N1488" s="6"/>
      <c r="O1488" s="6" t="s">
        <v>9874</v>
      </c>
      <c r="P1488" s="10" t="s">
        <v>15</v>
      </c>
      <c r="Q1488" s="6"/>
      <c r="R1488" s="6"/>
      <c r="S1488" s="6" t="s">
        <v>9875</v>
      </c>
      <c r="T1488" s="6" t="s">
        <v>16</v>
      </c>
      <c r="U1488" s="9" t="s">
        <v>17</v>
      </c>
      <c r="AI1488" s="6" t="s">
        <v>8436</v>
      </c>
      <c r="AJ1488" s="12" t="s">
        <v>9876</v>
      </c>
      <c r="AL1488" s="13"/>
    </row>
    <row r="1489">
      <c r="A1489" s="5" t="s">
        <v>9877</v>
      </c>
      <c r="B1489" s="5" t="s">
        <v>9878</v>
      </c>
      <c r="C1489" s="5" t="s">
        <v>9879</v>
      </c>
      <c r="D1489" s="5" t="s">
        <v>8</v>
      </c>
      <c r="E1489" s="6"/>
      <c r="F1489" s="6"/>
      <c r="G1489" s="7" t="s">
        <v>9880</v>
      </c>
      <c r="I1489" s="8" t="s">
        <v>9881</v>
      </c>
      <c r="J1489" s="9">
        <v>29.6</v>
      </c>
      <c r="K1489" s="10">
        <v>26.64</v>
      </c>
      <c r="L1489" s="6"/>
      <c r="M1489" s="11" t="s">
        <v>17</v>
      </c>
      <c r="N1489" s="6"/>
      <c r="O1489" s="6" t="s">
        <v>9882</v>
      </c>
      <c r="P1489" s="10" t="s">
        <v>15</v>
      </c>
      <c r="Q1489" s="6"/>
      <c r="R1489" s="6"/>
      <c r="S1489" s="6" t="s">
        <v>9883</v>
      </c>
      <c r="T1489" s="6" t="s">
        <v>16</v>
      </c>
      <c r="U1489" s="9" t="s">
        <v>17</v>
      </c>
      <c r="AI1489" s="6" t="s">
        <v>8436</v>
      </c>
      <c r="AJ1489" s="12" t="s">
        <v>9884</v>
      </c>
      <c r="AL1489" s="13"/>
    </row>
    <row r="1490">
      <c r="A1490" s="5" t="s">
        <v>9885</v>
      </c>
      <c r="B1490" s="5" t="s">
        <v>9886</v>
      </c>
      <c r="C1490" s="5"/>
      <c r="D1490" s="17" t="s">
        <v>507</v>
      </c>
      <c r="E1490" s="6"/>
      <c r="F1490" s="6"/>
      <c r="G1490" s="7" t="s">
        <v>9887</v>
      </c>
      <c r="I1490" s="8" t="s">
        <v>9843</v>
      </c>
      <c r="J1490" s="9">
        <v>14.0</v>
      </c>
      <c r="K1490" s="10" t="s">
        <v>11</v>
      </c>
      <c r="L1490" s="6"/>
      <c r="M1490" s="11" t="s">
        <v>17</v>
      </c>
      <c r="N1490" s="6"/>
      <c r="O1490" s="6" t="s">
        <v>9888</v>
      </c>
      <c r="P1490" s="10" t="s">
        <v>15</v>
      </c>
      <c r="Q1490" s="6"/>
      <c r="R1490" s="6"/>
      <c r="S1490" s="6"/>
      <c r="T1490" s="6" t="s">
        <v>16</v>
      </c>
      <c r="U1490" s="9" t="s">
        <v>17</v>
      </c>
      <c r="AI1490" s="6" t="s">
        <v>8436</v>
      </c>
      <c r="AJ1490" s="12" t="s">
        <v>9845</v>
      </c>
      <c r="AL1490" s="13"/>
    </row>
    <row r="1491">
      <c r="A1491" s="5" t="s">
        <v>9889</v>
      </c>
      <c r="B1491" s="5" t="s">
        <v>9890</v>
      </c>
      <c r="C1491" s="5"/>
      <c r="D1491" s="17" t="s">
        <v>507</v>
      </c>
      <c r="E1491" s="6"/>
      <c r="F1491" s="6"/>
      <c r="G1491" s="7" t="s">
        <v>9891</v>
      </c>
      <c r="I1491" s="8" t="s">
        <v>9843</v>
      </c>
      <c r="J1491" s="9">
        <v>11.99</v>
      </c>
      <c r="K1491" s="10" t="s">
        <v>11</v>
      </c>
      <c r="L1491" s="6"/>
      <c r="M1491" s="11" t="s">
        <v>17</v>
      </c>
      <c r="N1491" s="6"/>
      <c r="O1491" s="6" t="s">
        <v>9892</v>
      </c>
      <c r="P1491" s="10" t="s">
        <v>15</v>
      </c>
      <c r="Q1491" s="6"/>
      <c r="R1491" s="6"/>
      <c r="S1491" s="6"/>
      <c r="T1491" s="6" t="s">
        <v>16</v>
      </c>
      <c r="U1491" s="9" t="s">
        <v>17</v>
      </c>
      <c r="AI1491" s="6" t="s">
        <v>8436</v>
      </c>
      <c r="AJ1491" s="12" t="s">
        <v>9845</v>
      </c>
      <c r="AL1491" s="13"/>
    </row>
    <row r="1492">
      <c r="A1492" s="5" t="s">
        <v>9893</v>
      </c>
      <c r="B1492" s="5" t="s">
        <v>9894</v>
      </c>
      <c r="C1492" s="5" t="s">
        <v>9895</v>
      </c>
      <c r="D1492" s="5" t="s">
        <v>8</v>
      </c>
      <c r="E1492" s="6"/>
      <c r="F1492" s="6"/>
      <c r="G1492" s="7" t="s">
        <v>9896</v>
      </c>
      <c r="I1492" s="8" t="s">
        <v>9897</v>
      </c>
      <c r="J1492" s="9">
        <v>8.5</v>
      </c>
      <c r="K1492" s="10" t="s">
        <v>11</v>
      </c>
      <c r="L1492" s="6"/>
      <c r="M1492" s="11" t="s">
        <v>17</v>
      </c>
      <c r="N1492" s="6"/>
      <c r="O1492" s="6" t="s">
        <v>9898</v>
      </c>
      <c r="P1492" s="10" t="s">
        <v>15</v>
      </c>
      <c r="Q1492" s="6"/>
      <c r="R1492" s="6"/>
      <c r="S1492" s="6"/>
      <c r="T1492" s="6" t="s">
        <v>16</v>
      </c>
      <c r="U1492" s="9" t="s">
        <v>17</v>
      </c>
      <c r="AI1492" s="6" t="s">
        <v>8436</v>
      </c>
      <c r="AJ1492" s="12" t="s">
        <v>9899</v>
      </c>
      <c r="AL1492" s="13"/>
    </row>
    <row r="1493">
      <c r="A1493" s="5" t="s">
        <v>9900</v>
      </c>
      <c r="B1493" s="5" t="s">
        <v>9901</v>
      </c>
      <c r="C1493" s="5" t="s">
        <v>9895</v>
      </c>
      <c r="D1493" s="5" t="s">
        <v>8</v>
      </c>
      <c r="E1493" s="6"/>
      <c r="F1493" s="6"/>
      <c r="G1493" s="7" t="s">
        <v>9902</v>
      </c>
      <c r="I1493" s="8" t="s">
        <v>9903</v>
      </c>
      <c r="J1493" s="9">
        <v>8.5</v>
      </c>
      <c r="K1493" s="10" t="s">
        <v>11</v>
      </c>
      <c r="L1493" s="6"/>
      <c r="M1493" s="11" t="s">
        <v>17</v>
      </c>
      <c r="N1493" s="6"/>
      <c r="O1493" s="6" t="s">
        <v>9904</v>
      </c>
      <c r="P1493" s="10" t="s">
        <v>15</v>
      </c>
      <c r="Q1493" s="6"/>
      <c r="R1493" s="6"/>
      <c r="S1493" s="6"/>
      <c r="T1493" s="6" t="s">
        <v>16</v>
      </c>
      <c r="U1493" s="9" t="s">
        <v>17</v>
      </c>
      <c r="AI1493" s="6" t="s">
        <v>8436</v>
      </c>
      <c r="AJ1493" s="12" t="s">
        <v>9899</v>
      </c>
      <c r="AL1493" s="13"/>
    </row>
    <row r="1494">
      <c r="A1494" s="5" t="s">
        <v>9905</v>
      </c>
      <c r="B1494" s="5" t="s">
        <v>9906</v>
      </c>
      <c r="C1494" s="5" t="s">
        <v>5831</v>
      </c>
      <c r="D1494" s="5" t="s">
        <v>507</v>
      </c>
      <c r="E1494" s="6"/>
      <c r="F1494" s="6"/>
      <c r="G1494" s="7" t="s">
        <v>9907</v>
      </c>
      <c r="I1494" s="8" t="s">
        <v>9908</v>
      </c>
      <c r="J1494" s="9">
        <v>19.8</v>
      </c>
      <c r="K1494" s="10" t="s">
        <v>11</v>
      </c>
      <c r="L1494" s="6"/>
      <c r="M1494" s="11" t="s">
        <v>17</v>
      </c>
      <c r="N1494" s="6"/>
      <c r="O1494" s="6" t="s">
        <v>9909</v>
      </c>
      <c r="P1494" s="10" t="s">
        <v>15</v>
      </c>
      <c r="Q1494" s="6"/>
      <c r="R1494" s="6"/>
      <c r="S1494" s="6" t="s">
        <v>9910</v>
      </c>
      <c r="T1494" s="6" t="s">
        <v>16</v>
      </c>
      <c r="U1494" s="9" t="s">
        <v>17</v>
      </c>
      <c r="AI1494" s="6" t="s">
        <v>9911</v>
      </c>
      <c r="AJ1494" s="12" t="s">
        <v>9912</v>
      </c>
      <c r="AL1494" s="13"/>
    </row>
    <row r="1495">
      <c r="A1495" s="5" t="s">
        <v>9913</v>
      </c>
      <c r="B1495" s="5" t="s">
        <v>9914</v>
      </c>
      <c r="C1495" s="5" t="s">
        <v>9915</v>
      </c>
      <c r="D1495" s="5" t="s">
        <v>8</v>
      </c>
      <c r="E1495" s="6"/>
      <c r="F1495" s="6"/>
      <c r="G1495" s="7" t="s">
        <v>9916</v>
      </c>
      <c r="I1495" s="8" t="s">
        <v>9917</v>
      </c>
      <c r="J1495" s="9">
        <v>12.9</v>
      </c>
      <c r="K1495" s="10" t="s">
        <v>11</v>
      </c>
      <c r="L1495" s="6"/>
      <c r="M1495" s="11" t="s">
        <v>17</v>
      </c>
      <c r="N1495" s="6"/>
      <c r="O1495" s="6" t="s">
        <v>9918</v>
      </c>
      <c r="P1495" s="10" t="s">
        <v>15</v>
      </c>
      <c r="Q1495" s="6"/>
      <c r="R1495" s="6"/>
      <c r="S1495" s="6" t="s">
        <v>9919</v>
      </c>
      <c r="T1495" s="6" t="s">
        <v>16</v>
      </c>
      <c r="U1495" s="9" t="s">
        <v>17</v>
      </c>
      <c r="AI1495" s="6" t="s">
        <v>9911</v>
      </c>
      <c r="AJ1495" s="12" t="s">
        <v>9920</v>
      </c>
      <c r="AL1495" s="13"/>
    </row>
    <row r="1496">
      <c r="A1496" s="5" t="s">
        <v>9921</v>
      </c>
      <c r="B1496" s="5" t="s">
        <v>9922</v>
      </c>
      <c r="C1496" s="5" t="s">
        <v>9923</v>
      </c>
      <c r="D1496" s="5" t="s">
        <v>8</v>
      </c>
      <c r="E1496" s="6"/>
      <c r="F1496" s="6"/>
      <c r="G1496" s="7" t="s">
        <v>9924</v>
      </c>
      <c r="I1496" s="8" t="s">
        <v>9925</v>
      </c>
      <c r="J1496" s="9">
        <v>8.9</v>
      </c>
      <c r="K1496" s="10" t="s">
        <v>11</v>
      </c>
      <c r="L1496" s="6"/>
      <c r="M1496" s="11" t="s">
        <v>17</v>
      </c>
      <c r="N1496" s="6"/>
      <c r="O1496" s="6" t="s">
        <v>9926</v>
      </c>
      <c r="P1496" s="10" t="s">
        <v>15</v>
      </c>
      <c r="Q1496" s="6"/>
      <c r="R1496" s="6"/>
      <c r="S1496" s="6"/>
      <c r="T1496" s="6" t="s">
        <v>16</v>
      </c>
      <c r="U1496" s="9" t="s">
        <v>17</v>
      </c>
      <c r="AI1496" s="6" t="s">
        <v>8436</v>
      </c>
      <c r="AJ1496" s="12" t="s">
        <v>9927</v>
      </c>
      <c r="AL1496" s="13"/>
    </row>
    <row r="1497">
      <c r="A1497" s="5" t="s">
        <v>9928</v>
      </c>
      <c r="B1497" s="5" t="s">
        <v>9929</v>
      </c>
      <c r="C1497" s="5" t="s">
        <v>9923</v>
      </c>
      <c r="D1497" s="5" t="s">
        <v>8</v>
      </c>
      <c r="E1497" s="6"/>
      <c r="F1497" s="6"/>
      <c r="G1497" s="7" t="s">
        <v>9930</v>
      </c>
      <c r="I1497" s="8" t="s">
        <v>9931</v>
      </c>
      <c r="J1497" s="9">
        <v>6.9</v>
      </c>
      <c r="K1497" s="10" t="s">
        <v>11</v>
      </c>
      <c r="L1497" s="6"/>
      <c r="M1497" s="11" t="s">
        <v>17</v>
      </c>
      <c r="N1497" s="6"/>
      <c r="O1497" s="6" t="s">
        <v>9932</v>
      </c>
      <c r="P1497" s="10" t="s">
        <v>15</v>
      </c>
      <c r="Q1497" s="6"/>
      <c r="R1497" s="6"/>
      <c r="S1497" s="6"/>
      <c r="T1497" s="6" t="s">
        <v>16</v>
      </c>
      <c r="U1497" s="9" t="s">
        <v>17</v>
      </c>
      <c r="AI1497" s="6" t="s">
        <v>8436</v>
      </c>
      <c r="AJ1497" s="12" t="s">
        <v>9927</v>
      </c>
      <c r="AL1497" s="13"/>
    </row>
    <row r="1498">
      <c r="A1498" s="5" t="s">
        <v>9933</v>
      </c>
      <c r="B1498" s="5" t="s">
        <v>9934</v>
      </c>
      <c r="C1498" s="5" t="s">
        <v>9935</v>
      </c>
      <c r="D1498" s="5" t="s">
        <v>507</v>
      </c>
      <c r="E1498" s="6"/>
      <c r="F1498" s="6"/>
      <c r="G1498" s="7" t="s">
        <v>9936</v>
      </c>
      <c r="I1498" s="8" t="s">
        <v>9937</v>
      </c>
      <c r="J1498" s="9">
        <v>18.9</v>
      </c>
      <c r="K1498" s="10" t="s">
        <v>11</v>
      </c>
      <c r="L1498" s="6"/>
      <c r="M1498" s="11" t="s">
        <v>17</v>
      </c>
      <c r="N1498" s="6"/>
      <c r="O1498" s="6" t="s">
        <v>9938</v>
      </c>
      <c r="P1498" s="10" t="s">
        <v>15</v>
      </c>
      <c r="Q1498" s="6"/>
      <c r="R1498" s="6"/>
      <c r="S1498" s="6"/>
      <c r="T1498" s="6" t="s">
        <v>16</v>
      </c>
      <c r="U1498" s="9" t="s">
        <v>17</v>
      </c>
      <c r="AI1498" s="6" t="s">
        <v>8436</v>
      </c>
      <c r="AJ1498" s="12" t="s">
        <v>9939</v>
      </c>
      <c r="AL1498" s="13"/>
    </row>
    <row r="1499">
      <c r="A1499" s="5" t="s">
        <v>9940</v>
      </c>
      <c r="B1499" s="5" t="s">
        <v>9941</v>
      </c>
      <c r="C1499" s="5" t="s">
        <v>9935</v>
      </c>
      <c r="D1499" s="5" t="s">
        <v>507</v>
      </c>
      <c r="E1499" s="6"/>
      <c r="F1499" s="6"/>
      <c r="G1499" s="7" t="s">
        <v>9942</v>
      </c>
      <c r="I1499" s="8" t="s">
        <v>9943</v>
      </c>
      <c r="J1499" s="9">
        <v>18.9</v>
      </c>
      <c r="K1499" s="10" t="s">
        <v>11</v>
      </c>
      <c r="L1499" s="6"/>
      <c r="M1499" s="11" t="s">
        <v>17</v>
      </c>
      <c r="N1499" s="6"/>
      <c r="O1499" s="6" t="s">
        <v>9944</v>
      </c>
      <c r="P1499" s="10" t="s">
        <v>15</v>
      </c>
      <c r="Q1499" s="6"/>
      <c r="R1499" s="6"/>
      <c r="S1499" s="6"/>
      <c r="T1499" s="6" t="s">
        <v>16</v>
      </c>
      <c r="U1499" s="9" t="s">
        <v>17</v>
      </c>
      <c r="AI1499" s="6" t="s">
        <v>8436</v>
      </c>
      <c r="AJ1499" s="12" t="s">
        <v>9939</v>
      </c>
      <c r="AL1499" s="13"/>
    </row>
    <row r="1500">
      <c r="A1500" s="5" t="s">
        <v>9945</v>
      </c>
      <c r="B1500" s="5" t="s">
        <v>9946</v>
      </c>
      <c r="C1500" s="5" t="s">
        <v>9947</v>
      </c>
      <c r="D1500" s="5" t="s">
        <v>507</v>
      </c>
      <c r="E1500" s="6"/>
      <c r="F1500" s="6"/>
      <c r="G1500" s="7" t="s">
        <v>9948</v>
      </c>
      <c r="I1500" s="8" t="s">
        <v>9949</v>
      </c>
      <c r="J1500" s="9">
        <v>15.9</v>
      </c>
      <c r="K1500" s="10" t="s">
        <v>11</v>
      </c>
      <c r="L1500" s="6"/>
      <c r="M1500" s="11" t="s">
        <v>17</v>
      </c>
      <c r="N1500" s="6"/>
      <c r="O1500" s="6" t="s">
        <v>9950</v>
      </c>
      <c r="P1500" s="10" t="s">
        <v>15</v>
      </c>
      <c r="Q1500" s="6"/>
      <c r="R1500" s="6"/>
      <c r="S1500" s="6"/>
      <c r="T1500" s="6" t="s">
        <v>16</v>
      </c>
      <c r="U1500" s="9" t="s">
        <v>17</v>
      </c>
      <c r="AI1500" s="6" t="s">
        <v>8436</v>
      </c>
      <c r="AJ1500" s="12" t="s">
        <v>9951</v>
      </c>
      <c r="AL1500" s="13"/>
    </row>
    <row r="1501">
      <c r="A1501" s="5" t="s">
        <v>9952</v>
      </c>
      <c r="B1501" s="5" t="s">
        <v>9953</v>
      </c>
      <c r="C1501" s="5" t="s">
        <v>9947</v>
      </c>
      <c r="D1501" s="5" t="s">
        <v>507</v>
      </c>
      <c r="E1501" s="6"/>
      <c r="F1501" s="6"/>
      <c r="G1501" s="7" t="s">
        <v>9954</v>
      </c>
      <c r="I1501" s="8" t="s">
        <v>9955</v>
      </c>
      <c r="J1501" s="9">
        <v>16.9</v>
      </c>
      <c r="K1501" s="10" t="s">
        <v>11</v>
      </c>
      <c r="L1501" s="6"/>
      <c r="M1501" s="11" t="s">
        <v>17</v>
      </c>
      <c r="N1501" s="6"/>
      <c r="O1501" s="6" t="s">
        <v>9956</v>
      </c>
      <c r="P1501" s="10" t="s">
        <v>15</v>
      </c>
      <c r="Q1501" s="6"/>
      <c r="R1501" s="6"/>
      <c r="S1501" s="6"/>
      <c r="T1501" s="6" t="s">
        <v>16</v>
      </c>
      <c r="U1501" s="9" t="s">
        <v>17</v>
      </c>
      <c r="AI1501" s="6" t="s">
        <v>8436</v>
      </c>
      <c r="AJ1501" s="12" t="s">
        <v>9951</v>
      </c>
      <c r="AL1501" s="13"/>
    </row>
    <row r="1502">
      <c r="A1502" s="5" t="s">
        <v>9957</v>
      </c>
      <c r="B1502" s="5" t="s">
        <v>9958</v>
      </c>
      <c r="C1502" s="5" t="s">
        <v>9947</v>
      </c>
      <c r="D1502" s="5" t="s">
        <v>507</v>
      </c>
      <c r="E1502" s="6"/>
      <c r="F1502" s="6"/>
      <c r="G1502" s="7" t="s">
        <v>9959</v>
      </c>
      <c r="I1502" s="8" t="s">
        <v>9960</v>
      </c>
      <c r="J1502" s="9">
        <v>15.9</v>
      </c>
      <c r="K1502" s="10" t="s">
        <v>11</v>
      </c>
      <c r="L1502" s="6"/>
      <c r="M1502" s="11" t="s">
        <v>17</v>
      </c>
      <c r="N1502" s="6"/>
      <c r="O1502" s="6" t="s">
        <v>9961</v>
      </c>
      <c r="P1502" s="10" t="s">
        <v>15</v>
      </c>
      <c r="Q1502" s="6"/>
      <c r="R1502" s="6"/>
      <c r="S1502" s="6"/>
      <c r="T1502" s="6" t="s">
        <v>16</v>
      </c>
      <c r="U1502" s="9" t="s">
        <v>17</v>
      </c>
      <c r="AI1502" s="6" t="s">
        <v>8436</v>
      </c>
      <c r="AJ1502" s="12" t="s">
        <v>9951</v>
      </c>
      <c r="AL1502" s="13"/>
    </row>
    <row r="1503">
      <c r="A1503" s="5" t="s">
        <v>9962</v>
      </c>
      <c r="B1503" s="5" t="s">
        <v>9963</v>
      </c>
      <c r="C1503" s="5" t="s">
        <v>9947</v>
      </c>
      <c r="D1503" s="5" t="s">
        <v>507</v>
      </c>
      <c r="E1503" s="6"/>
      <c r="F1503" s="6"/>
      <c r="G1503" s="7" t="s">
        <v>9964</v>
      </c>
      <c r="I1503" s="8" t="s">
        <v>9965</v>
      </c>
      <c r="J1503" s="9">
        <v>16.9</v>
      </c>
      <c r="K1503" s="10" t="s">
        <v>11</v>
      </c>
      <c r="L1503" s="6"/>
      <c r="M1503" s="11" t="s">
        <v>17</v>
      </c>
      <c r="N1503" s="6"/>
      <c r="O1503" s="6" t="s">
        <v>9966</v>
      </c>
      <c r="P1503" s="10" t="s">
        <v>15</v>
      </c>
      <c r="Q1503" s="6"/>
      <c r="R1503" s="6"/>
      <c r="S1503" s="6"/>
      <c r="T1503" s="6" t="s">
        <v>16</v>
      </c>
      <c r="U1503" s="9" t="s">
        <v>17</v>
      </c>
      <c r="AI1503" s="6" t="s">
        <v>8436</v>
      </c>
      <c r="AJ1503" s="12" t="s">
        <v>9951</v>
      </c>
      <c r="AL1503" s="13"/>
    </row>
    <row r="1504">
      <c r="A1504" s="5" t="s">
        <v>9967</v>
      </c>
      <c r="B1504" s="5" t="s">
        <v>9968</v>
      </c>
      <c r="C1504" s="5" t="s">
        <v>9947</v>
      </c>
      <c r="D1504" s="5" t="s">
        <v>507</v>
      </c>
      <c r="E1504" s="6"/>
      <c r="F1504" s="6"/>
      <c r="G1504" s="7" t="s">
        <v>9969</v>
      </c>
      <c r="I1504" s="8" t="s">
        <v>9970</v>
      </c>
      <c r="J1504" s="9">
        <v>9.9</v>
      </c>
      <c r="K1504" s="10" t="s">
        <v>11</v>
      </c>
      <c r="L1504" s="6"/>
      <c r="M1504" s="11" t="s">
        <v>17</v>
      </c>
      <c r="N1504" s="6"/>
      <c r="O1504" s="6" t="s">
        <v>9971</v>
      </c>
      <c r="P1504" s="10" t="s">
        <v>15</v>
      </c>
      <c r="Q1504" s="6"/>
      <c r="R1504" s="6"/>
      <c r="S1504" s="6"/>
      <c r="T1504" s="6" t="s">
        <v>16</v>
      </c>
      <c r="U1504" s="9" t="s">
        <v>17</v>
      </c>
      <c r="AI1504" s="6" t="s">
        <v>8436</v>
      </c>
      <c r="AJ1504" s="12" t="s">
        <v>9951</v>
      </c>
      <c r="AL1504" s="13"/>
    </row>
    <row r="1505">
      <c r="A1505" s="5" t="s">
        <v>9972</v>
      </c>
      <c r="B1505" s="5" t="s">
        <v>9973</v>
      </c>
      <c r="C1505" s="5" t="s">
        <v>9974</v>
      </c>
      <c r="D1505" s="5" t="s">
        <v>507</v>
      </c>
      <c r="E1505" s="6"/>
      <c r="F1505" s="6"/>
      <c r="G1505" s="7" t="s">
        <v>9975</v>
      </c>
      <c r="I1505" s="8" t="s">
        <v>9976</v>
      </c>
      <c r="J1505" s="9">
        <v>29.9</v>
      </c>
      <c r="K1505" s="10" t="s">
        <v>11</v>
      </c>
      <c r="L1505" s="6"/>
      <c r="M1505" s="11" t="s">
        <v>17</v>
      </c>
      <c r="N1505" s="6"/>
      <c r="O1505" s="6" t="s">
        <v>9977</v>
      </c>
      <c r="P1505" s="10" t="s">
        <v>15</v>
      </c>
      <c r="Q1505" s="6"/>
      <c r="R1505" s="6"/>
      <c r="S1505" s="6" t="s">
        <v>9978</v>
      </c>
      <c r="T1505" s="6" t="s">
        <v>16</v>
      </c>
      <c r="U1505" s="9" t="s">
        <v>17</v>
      </c>
      <c r="AI1505" s="6" t="s">
        <v>8436</v>
      </c>
      <c r="AJ1505" s="12" t="s">
        <v>9979</v>
      </c>
      <c r="AL1505" s="13"/>
    </row>
    <row r="1506">
      <c r="A1506" s="5" t="s">
        <v>9980</v>
      </c>
      <c r="B1506" s="5" t="s">
        <v>9981</v>
      </c>
      <c r="C1506" s="5" t="s">
        <v>9974</v>
      </c>
      <c r="D1506" s="5" t="s">
        <v>507</v>
      </c>
      <c r="E1506" s="6"/>
      <c r="F1506" s="6"/>
      <c r="G1506" s="7" t="s">
        <v>9982</v>
      </c>
      <c r="I1506" s="8" t="s">
        <v>9983</v>
      </c>
      <c r="J1506" s="9">
        <v>29.9</v>
      </c>
      <c r="K1506" s="10" t="s">
        <v>11</v>
      </c>
      <c r="L1506" s="6"/>
      <c r="M1506" s="11" t="s">
        <v>17</v>
      </c>
      <c r="N1506" s="6"/>
      <c r="O1506" s="6" t="s">
        <v>9984</v>
      </c>
      <c r="P1506" s="10" t="s">
        <v>15</v>
      </c>
      <c r="Q1506" s="6"/>
      <c r="R1506" s="6"/>
      <c r="S1506" s="6" t="s">
        <v>9978</v>
      </c>
      <c r="T1506" s="6" t="s">
        <v>16</v>
      </c>
      <c r="U1506" s="9" t="s">
        <v>17</v>
      </c>
      <c r="AI1506" s="6" t="s">
        <v>8436</v>
      </c>
      <c r="AJ1506" s="12" t="s">
        <v>9979</v>
      </c>
      <c r="AL1506" s="13"/>
    </row>
    <row r="1507">
      <c r="A1507" s="5" t="s">
        <v>9985</v>
      </c>
      <c r="B1507" s="5" t="s">
        <v>9986</v>
      </c>
      <c r="C1507" s="5"/>
      <c r="D1507" s="17" t="s">
        <v>507</v>
      </c>
      <c r="E1507" s="6"/>
      <c r="F1507" s="6"/>
      <c r="G1507" s="7" t="s">
        <v>9987</v>
      </c>
      <c r="I1507" s="8" t="s">
        <v>9843</v>
      </c>
      <c r="J1507" s="9">
        <v>48.0</v>
      </c>
      <c r="K1507" s="10" t="s">
        <v>11</v>
      </c>
      <c r="L1507" s="6"/>
      <c r="M1507" s="11" t="s">
        <v>17</v>
      </c>
      <c r="N1507" s="6"/>
      <c r="O1507" s="6" t="s">
        <v>9988</v>
      </c>
      <c r="P1507" s="10" t="s">
        <v>15</v>
      </c>
      <c r="Q1507" s="6"/>
      <c r="R1507" s="6"/>
      <c r="S1507" s="6"/>
      <c r="T1507" s="6" t="s">
        <v>16</v>
      </c>
      <c r="U1507" s="9" t="s">
        <v>17</v>
      </c>
      <c r="AI1507" s="6" t="s">
        <v>8436</v>
      </c>
      <c r="AJ1507" s="12" t="s">
        <v>9845</v>
      </c>
      <c r="AL1507" s="13"/>
    </row>
    <row r="1508">
      <c r="A1508" s="5" t="s">
        <v>9989</v>
      </c>
      <c r="B1508" s="5" t="s">
        <v>9990</v>
      </c>
      <c r="C1508" s="5" t="s">
        <v>5831</v>
      </c>
      <c r="D1508" s="5" t="s">
        <v>507</v>
      </c>
      <c r="E1508" s="6"/>
      <c r="F1508" s="6"/>
      <c r="G1508" s="7" t="s">
        <v>9991</v>
      </c>
      <c r="I1508" s="8" t="s">
        <v>9992</v>
      </c>
      <c r="J1508" s="9">
        <v>249.0</v>
      </c>
      <c r="K1508" s="10" t="s">
        <v>11</v>
      </c>
      <c r="L1508" s="6"/>
      <c r="M1508" s="11" t="s">
        <v>17</v>
      </c>
      <c r="N1508" s="6"/>
      <c r="O1508" s="6" t="s">
        <v>9993</v>
      </c>
      <c r="P1508" s="10" t="s">
        <v>15</v>
      </c>
      <c r="Q1508" s="6"/>
      <c r="R1508" s="6"/>
      <c r="S1508" s="6"/>
      <c r="T1508" s="6" t="s">
        <v>16</v>
      </c>
      <c r="U1508" s="9" t="s">
        <v>17</v>
      </c>
      <c r="AI1508" s="6" t="s">
        <v>4393</v>
      </c>
      <c r="AJ1508" s="12" t="s">
        <v>9994</v>
      </c>
      <c r="AL1508" s="13"/>
    </row>
    <row r="1509">
      <c r="A1509" s="5" t="s">
        <v>9995</v>
      </c>
      <c r="B1509" s="5" t="s">
        <v>9996</v>
      </c>
      <c r="C1509" s="5" t="s">
        <v>5831</v>
      </c>
      <c r="D1509" s="5" t="s">
        <v>507</v>
      </c>
      <c r="E1509" s="6"/>
      <c r="F1509" s="6"/>
      <c r="G1509" s="7" t="s">
        <v>9997</v>
      </c>
      <c r="I1509" s="8" t="s">
        <v>9998</v>
      </c>
      <c r="J1509" s="9">
        <v>99.9</v>
      </c>
      <c r="K1509" s="10" t="s">
        <v>11</v>
      </c>
      <c r="L1509" s="6"/>
      <c r="M1509" s="11" t="s">
        <v>17</v>
      </c>
      <c r="N1509" s="6"/>
      <c r="O1509" s="6" t="s">
        <v>9999</v>
      </c>
      <c r="P1509" s="10" t="s">
        <v>15</v>
      </c>
      <c r="Q1509" s="6"/>
      <c r="R1509" s="6"/>
      <c r="S1509" s="6"/>
      <c r="T1509" s="6" t="s">
        <v>16</v>
      </c>
      <c r="U1509" s="9" t="s">
        <v>17</v>
      </c>
      <c r="AI1509" s="6" t="s">
        <v>4393</v>
      </c>
      <c r="AJ1509" s="12" t="s">
        <v>10000</v>
      </c>
      <c r="AL1509" s="13"/>
    </row>
    <row r="1510">
      <c r="A1510" s="5" t="s">
        <v>10001</v>
      </c>
      <c r="B1510" s="5" t="s">
        <v>10002</v>
      </c>
      <c r="C1510" s="5" t="s">
        <v>5831</v>
      </c>
      <c r="D1510" s="5" t="s">
        <v>8</v>
      </c>
      <c r="E1510" s="6"/>
      <c r="F1510" s="6"/>
      <c r="G1510" s="7" t="s">
        <v>10003</v>
      </c>
      <c r="I1510" s="8" t="s">
        <v>10004</v>
      </c>
      <c r="J1510" s="9">
        <v>2.5</v>
      </c>
      <c r="K1510" s="10" t="s">
        <v>11</v>
      </c>
      <c r="L1510" s="6"/>
      <c r="M1510" s="11" t="s">
        <v>17</v>
      </c>
      <c r="N1510" s="6"/>
      <c r="O1510" s="6" t="s">
        <v>10005</v>
      </c>
      <c r="P1510" s="10" t="s">
        <v>15</v>
      </c>
      <c r="Q1510" s="6"/>
      <c r="R1510" s="6"/>
      <c r="S1510" s="6"/>
      <c r="T1510" s="6" t="s">
        <v>16</v>
      </c>
      <c r="U1510" s="9" t="s">
        <v>17</v>
      </c>
      <c r="AI1510" s="6" t="s">
        <v>9632</v>
      </c>
      <c r="AJ1510" s="12" t="s">
        <v>10006</v>
      </c>
      <c r="AL1510" s="13"/>
    </row>
    <row r="1511">
      <c r="A1511" s="5" t="s">
        <v>10007</v>
      </c>
      <c r="B1511" s="5" t="s">
        <v>10002</v>
      </c>
      <c r="C1511" s="5" t="s">
        <v>5831</v>
      </c>
      <c r="D1511" s="5" t="s">
        <v>507</v>
      </c>
      <c r="E1511" s="6"/>
      <c r="F1511" s="6"/>
      <c r="G1511" s="7" t="s">
        <v>10008</v>
      </c>
      <c r="I1511" s="8" t="s">
        <v>10009</v>
      </c>
      <c r="J1511" s="9">
        <v>2.7</v>
      </c>
      <c r="K1511" s="10" t="s">
        <v>11</v>
      </c>
      <c r="L1511" s="6"/>
      <c r="M1511" s="11" t="s">
        <v>17</v>
      </c>
      <c r="N1511" s="6"/>
      <c r="O1511" s="6" t="s">
        <v>10010</v>
      </c>
      <c r="P1511" s="10" t="s">
        <v>15</v>
      </c>
      <c r="Q1511" s="6"/>
      <c r="R1511" s="6"/>
      <c r="S1511" s="6"/>
      <c r="T1511" s="6" t="s">
        <v>16</v>
      </c>
      <c r="U1511" s="9" t="s">
        <v>17</v>
      </c>
      <c r="AI1511" s="6" t="s">
        <v>9632</v>
      </c>
      <c r="AJ1511" s="12" t="s">
        <v>10006</v>
      </c>
      <c r="AL1511" s="13"/>
    </row>
    <row r="1512">
      <c r="A1512" s="5" t="s">
        <v>10011</v>
      </c>
      <c r="B1512" s="5" t="s">
        <v>10002</v>
      </c>
      <c r="C1512" s="5" t="s">
        <v>5831</v>
      </c>
      <c r="D1512" s="5" t="s">
        <v>8</v>
      </c>
      <c r="E1512" s="6"/>
      <c r="F1512" s="6"/>
      <c r="G1512" s="7" t="s">
        <v>10012</v>
      </c>
      <c r="I1512" s="8" t="s">
        <v>10013</v>
      </c>
      <c r="J1512" s="9">
        <v>3.1</v>
      </c>
      <c r="K1512" s="10" t="s">
        <v>11</v>
      </c>
      <c r="L1512" s="6"/>
      <c r="M1512" s="11" t="s">
        <v>17</v>
      </c>
      <c r="N1512" s="6"/>
      <c r="O1512" s="6" t="s">
        <v>10014</v>
      </c>
      <c r="P1512" s="10" t="s">
        <v>15</v>
      </c>
      <c r="Q1512" s="6"/>
      <c r="R1512" s="6"/>
      <c r="S1512" s="6"/>
      <c r="T1512" s="6" t="s">
        <v>16</v>
      </c>
      <c r="U1512" s="9" t="s">
        <v>17</v>
      </c>
      <c r="AI1512" s="6" t="s">
        <v>9632</v>
      </c>
      <c r="AJ1512" s="12" t="s">
        <v>10006</v>
      </c>
      <c r="AL1512" s="13"/>
    </row>
    <row r="1513">
      <c r="A1513" s="5" t="s">
        <v>10015</v>
      </c>
      <c r="B1513" s="5" t="s">
        <v>10002</v>
      </c>
      <c r="C1513" s="5" t="s">
        <v>5831</v>
      </c>
      <c r="D1513" s="5" t="s">
        <v>8</v>
      </c>
      <c r="E1513" s="6"/>
      <c r="F1513" s="6"/>
      <c r="G1513" s="7" t="s">
        <v>10016</v>
      </c>
      <c r="I1513" s="8" t="s">
        <v>10017</v>
      </c>
      <c r="J1513" s="9">
        <v>3.4</v>
      </c>
      <c r="K1513" s="10" t="s">
        <v>11</v>
      </c>
      <c r="L1513" s="6"/>
      <c r="M1513" s="11" t="s">
        <v>17</v>
      </c>
      <c r="N1513" s="6"/>
      <c r="O1513" s="6" t="s">
        <v>10018</v>
      </c>
      <c r="P1513" s="10" t="s">
        <v>15</v>
      </c>
      <c r="Q1513" s="6"/>
      <c r="R1513" s="6"/>
      <c r="S1513" s="6"/>
      <c r="T1513" s="6" t="s">
        <v>16</v>
      </c>
      <c r="U1513" s="9" t="s">
        <v>17</v>
      </c>
      <c r="AI1513" s="6" t="s">
        <v>9632</v>
      </c>
      <c r="AJ1513" s="12" t="s">
        <v>10006</v>
      </c>
      <c r="AL1513" s="13"/>
    </row>
    <row r="1514">
      <c r="A1514" s="5" t="s">
        <v>10019</v>
      </c>
      <c r="B1514" s="5" t="s">
        <v>10002</v>
      </c>
      <c r="C1514" s="5" t="s">
        <v>5831</v>
      </c>
      <c r="D1514" s="5" t="s">
        <v>8</v>
      </c>
      <c r="E1514" s="6"/>
      <c r="F1514" s="6"/>
      <c r="G1514" s="7" t="s">
        <v>10020</v>
      </c>
      <c r="I1514" s="8" t="s">
        <v>10021</v>
      </c>
      <c r="J1514" s="9">
        <v>3.9</v>
      </c>
      <c r="K1514" s="10" t="s">
        <v>11</v>
      </c>
      <c r="L1514" s="6"/>
      <c r="M1514" s="11" t="s">
        <v>17</v>
      </c>
      <c r="N1514" s="6"/>
      <c r="O1514" s="6" t="s">
        <v>10022</v>
      </c>
      <c r="P1514" s="10" t="s">
        <v>15</v>
      </c>
      <c r="Q1514" s="6"/>
      <c r="R1514" s="6"/>
      <c r="S1514" s="6"/>
      <c r="T1514" s="6" t="s">
        <v>16</v>
      </c>
      <c r="U1514" s="9" t="s">
        <v>17</v>
      </c>
      <c r="AI1514" s="6" t="s">
        <v>9632</v>
      </c>
      <c r="AJ1514" s="12" t="s">
        <v>10006</v>
      </c>
      <c r="AL1514" s="13"/>
    </row>
    <row r="1515">
      <c r="A1515" s="5" t="s">
        <v>10023</v>
      </c>
      <c r="B1515" s="5" t="s">
        <v>10024</v>
      </c>
      <c r="C1515" s="5" t="s">
        <v>5831</v>
      </c>
      <c r="D1515" s="5" t="s">
        <v>8</v>
      </c>
      <c r="E1515" s="6"/>
      <c r="F1515" s="6"/>
      <c r="G1515" s="7" t="s">
        <v>10025</v>
      </c>
      <c r="I1515" s="8" t="s">
        <v>10026</v>
      </c>
      <c r="J1515" s="9">
        <v>12.9</v>
      </c>
      <c r="K1515" s="10" t="s">
        <v>11</v>
      </c>
      <c r="L1515" s="6"/>
      <c r="M1515" s="11" t="s">
        <v>17</v>
      </c>
      <c r="N1515" s="6"/>
      <c r="O1515" s="6" t="s">
        <v>10027</v>
      </c>
      <c r="P1515" s="10" t="s">
        <v>15</v>
      </c>
      <c r="Q1515" s="6"/>
      <c r="R1515" s="6"/>
      <c r="S1515" s="6"/>
      <c r="T1515" s="6" t="s">
        <v>16</v>
      </c>
      <c r="U1515" s="9" t="s">
        <v>17</v>
      </c>
      <c r="AI1515" s="6" t="s">
        <v>9632</v>
      </c>
      <c r="AJ1515" s="12" t="s">
        <v>10006</v>
      </c>
      <c r="AL1515" s="13"/>
    </row>
    <row r="1516">
      <c r="A1516" s="5" t="s">
        <v>10028</v>
      </c>
      <c r="B1516" s="5" t="s">
        <v>10029</v>
      </c>
      <c r="C1516" s="5" t="s">
        <v>5831</v>
      </c>
      <c r="D1516" s="5" t="s">
        <v>8</v>
      </c>
      <c r="E1516" s="6"/>
      <c r="F1516" s="6"/>
      <c r="G1516" s="7" t="s">
        <v>10030</v>
      </c>
      <c r="I1516" s="8" t="s">
        <v>10031</v>
      </c>
      <c r="J1516" s="9">
        <v>33.9</v>
      </c>
      <c r="K1516" s="10" t="s">
        <v>11</v>
      </c>
      <c r="L1516" s="6"/>
      <c r="M1516" s="11" t="s">
        <v>17</v>
      </c>
      <c r="N1516" s="6"/>
      <c r="O1516" s="6" t="s">
        <v>10032</v>
      </c>
      <c r="P1516" s="10" t="s">
        <v>15</v>
      </c>
      <c r="Q1516" s="6"/>
      <c r="R1516" s="6"/>
      <c r="S1516" s="6"/>
      <c r="T1516" s="6" t="s">
        <v>16</v>
      </c>
      <c r="U1516" s="9" t="s">
        <v>17</v>
      </c>
      <c r="AI1516" s="6" t="s">
        <v>5815</v>
      </c>
      <c r="AJ1516" s="12" t="s">
        <v>10033</v>
      </c>
      <c r="AL1516" s="13"/>
    </row>
    <row r="1517">
      <c r="A1517" s="5" t="s">
        <v>10034</v>
      </c>
      <c r="B1517" s="5" t="s">
        <v>10035</v>
      </c>
      <c r="C1517" s="5" t="s">
        <v>8510</v>
      </c>
      <c r="D1517" s="5" t="s">
        <v>8</v>
      </c>
      <c r="E1517" s="6"/>
      <c r="F1517" s="6"/>
      <c r="G1517" s="7" t="s">
        <v>10036</v>
      </c>
      <c r="I1517" s="8" t="s">
        <v>10037</v>
      </c>
      <c r="J1517" s="9">
        <v>4.9</v>
      </c>
      <c r="K1517" s="10" t="s">
        <v>11</v>
      </c>
      <c r="L1517" s="6"/>
      <c r="M1517" s="11" t="s">
        <v>17</v>
      </c>
      <c r="N1517" s="6"/>
      <c r="O1517" s="6" t="s">
        <v>10038</v>
      </c>
      <c r="P1517" s="10" t="s">
        <v>15</v>
      </c>
      <c r="Q1517" s="6"/>
      <c r="R1517" s="6"/>
      <c r="S1517" s="6"/>
      <c r="T1517" s="6" t="s">
        <v>16</v>
      </c>
      <c r="U1517" s="9" t="s">
        <v>17</v>
      </c>
      <c r="AI1517" s="6" t="s">
        <v>8436</v>
      </c>
      <c r="AJ1517" s="12" t="s">
        <v>10039</v>
      </c>
      <c r="AL1517" s="13"/>
    </row>
    <row r="1518">
      <c r="A1518" s="5" t="s">
        <v>10040</v>
      </c>
      <c r="B1518" s="5" t="s">
        <v>10041</v>
      </c>
      <c r="C1518" s="5" t="s">
        <v>5831</v>
      </c>
      <c r="D1518" s="5" t="s">
        <v>8</v>
      </c>
      <c r="E1518" s="6"/>
      <c r="F1518" s="6"/>
      <c r="G1518" s="7" t="s">
        <v>10042</v>
      </c>
      <c r="I1518" s="8" t="s">
        <v>10043</v>
      </c>
      <c r="J1518" s="9">
        <v>10.0</v>
      </c>
      <c r="K1518" s="10" t="s">
        <v>11</v>
      </c>
      <c r="L1518" s="6"/>
      <c r="M1518" s="11" t="s">
        <v>17</v>
      </c>
      <c r="N1518" s="6"/>
      <c r="O1518" s="6" t="s">
        <v>10044</v>
      </c>
      <c r="P1518" s="10" t="s">
        <v>15</v>
      </c>
      <c r="Q1518" s="6"/>
      <c r="R1518" s="6"/>
      <c r="S1518" s="6"/>
      <c r="T1518" s="6" t="s">
        <v>16</v>
      </c>
      <c r="U1518" s="9" t="s">
        <v>17</v>
      </c>
      <c r="AI1518" s="6" t="s">
        <v>8499</v>
      </c>
      <c r="AJ1518" s="12" t="s">
        <v>10045</v>
      </c>
      <c r="AL1518" s="13"/>
    </row>
    <row r="1519">
      <c r="A1519" s="5" t="s">
        <v>10046</v>
      </c>
      <c r="B1519" s="5" t="s">
        <v>10041</v>
      </c>
      <c r="C1519" s="5" t="s">
        <v>5831</v>
      </c>
      <c r="D1519" s="5" t="s">
        <v>8</v>
      </c>
      <c r="E1519" s="6"/>
      <c r="F1519" s="6"/>
      <c r="G1519" s="7" t="s">
        <v>10047</v>
      </c>
      <c r="I1519" s="8" t="s">
        <v>10048</v>
      </c>
      <c r="J1519" s="9">
        <v>15.0</v>
      </c>
      <c r="K1519" s="10" t="s">
        <v>11</v>
      </c>
      <c r="L1519" s="6"/>
      <c r="M1519" s="11" t="s">
        <v>17</v>
      </c>
      <c r="N1519" s="6"/>
      <c r="O1519" s="6" t="s">
        <v>10049</v>
      </c>
      <c r="P1519" s="10" t="s">
        <v>15</v>
      </c>
      <c r="Q1519" s="6"/>
      <c r="R1519" s="6"/>
      <c r="S1519" s="6"/>
      <c r="T1519" s="6" t="s">
        <v>16</v>
      </c>
      <c r="U1519" s="9" t="s">
        <v>17</v>
      </c>
      <c r="AI1519" s="6" t="s">
        <v>8499</v>
      </c>
      <c r="AJ1519" s="12" t="s">
        <v>10045</v>
      </c>
      <c r="AL1519" s="13"/>
    </row>
    <row r="1520">
      <c r="A1520" s="5" t="s">
        <v>10050</v>
      </c>
      <c r="B1520" s="5" t="s">
        <v>10051</v>
      </c>
      <c r="C1520" s="5" t="s">
        <v>5831</v>
      </c>
      <c r="D1520" s="5" t="s">
        <v>8</v>
      </c>
      <c r="E1520" s="6"/>
      <c r="F1520" s="6"/>
      <c r="G1520" s="7" t="s">
        <v>10052</v>
      </c>
      <c r="I1520" s="8" t="s">
        <v>10053</v>
      </c>
      <c r="J1520" s="9">
        <v>179.0</v>
      </c>
      <c r="K1520" s="10" t="s">
        <v>11</v>
      </c>
      <c r="L1520" s="6"/>
      <c r="M1520" s="11" t="s">
        <v>17</v>
      </c>
      <c r="N1520" s="6"/>
      <c r="O1520" s="6" t="s">
        <v>10054</v>
      </c>
      <c r="P1520" s="10" t="s">
        <v>15</v>
      </c>
      <c r="Q1520" s="6"/>
      <c r="R1520" s="6"/>
      <c r="S1520" s="6"/>
      <c r="T1520" s="6" t="s">
        <v>16</v>
      </c>
      <c r="U1520" s="9" t="s">
        <v>17</v>
      </c>
      <c r="AI1520" s="6" t="s">
        <v>8499</v>
      </c>
      <c r="AJ1520" s="12" t="s">
        <v>10055</v>
      </c>
      <c r="AL1520" s="13"/>
    </row>
    <row r="1521">
      <c r="A1521" s="5" t="s">
        <v>10056</v>
      </c>
      <c r="B1521" s="5" t="s">
        <v>10057</v>
      </c>
      <c r="C1521" s="5" t="s">
        <v>5831</v>
      </c>
      <c r="D1521" s="5" t="s">
        <v>8</v>
      </c>
      <c r="E1521" s="6"/>
      <c r="F1521" s="6"/>
      <c r="G1521" s="7" t="s">
        <v>10058</v>
      </c>
      <c r="I1521" s="8" t="s">
        <v>10059</v>
      </c>
      <c r="J1521" s="9">
        <v>39.9</v>
      </c>
      <c r="K1521" s="10" t="s">
        <v>11</v>
      </c>
      <c r="L1521" s="6"/>
      <c r="M1521" s="11" t="s">
        <v>17</v>
      </c>
      <c r="N1521" s="6"/>
      <c r="O1521" s="6" t="s">
        <v>10060</v>
      </c>
      <c r="P1521" s="10" t="s">
        <v>15</v>
      </c>
      <c r="Q1521" s="6"/>
      <c r="R1521" s="6"/>
      <c r="S1521" s="6"/>
      <c r="T1521" s="6" t="s">
        <v>16</v>
      </c>
      <c r="U1521" s="9" t="s">
        <v>17</v>
      </c>
      <c r="AI1521" s="6" t="s">
        <v>10061</v>
      </c>
      <c r="AJ1521" s="12" t="s">
        <v>10062</v>
      </c>
      <c r="AL1521" s="13"/>
    </row>
    <row r="1522">
      <c r="A1522" s="5" t="s">
        <v>10063</v>
      </c>
      <c r="B1522" s="5" t="s">
        <v>10064</v>
      </c>
      <c r="C1522" s="5" t="s">
        <v>5831</v>
      </c>
      <c r="D1522" s="5" t="s">
        <v>507</v>
      </c>
      <c r="E1522" s="6"/>
      <c r="F1522" s="6"/>
      <c r="G1522" s="7" t="s">
        <v>10065</v>
      </c>
      <c r="I1522" s="8" t="s">
        <v>10066</v>
      </c>
      <c r="J1522" s="9">
        <v>85.9</v>
      </c>
      <c r="K1522" s="10" t="s">
        <v>11</v>
      </c>
      <c r="L1522" s="6"/>
      <c r="M1522" s="11" t="s">
        <v>17</v>
      </c>
      <c r="N1522" s="6"/>
      <c r="O1522" s="6" t="s">
        <v>10067</v>
      </c>
      <c r="P1522" s="10" t="s">
        <v>15</v>
      </c>
      <c r="Q1522" s="6"/>
      <c r="R1522" s="6"/>
      <c r="S1522" s="6"/>
      <c r="T1522" s="6" t="s">
        <v>16</v>
      </c>
      <c r="U1522" s="9" t="s">
        <v>17</v>
      </c>
      <c r="AI1522" s="6" t="s">
        <v>5815</v>
      </c>
      <c r="AJ1522" s="12" t="s">
        <v>10068</v>
      </c>
      <c r="AL1522" s="13"/>
    </row>
    <row r="1523">
      <c r="A1523" s="5" t="s">
        <v>10069</v>
      </c>
      <c r="B1523" s="5" t="s">
        <v>10070</v>
      </c>
      <c r="C1523" s="5" t="s">
        <v>5831</v>
      </c>
      <c r="D1523" s="5" t="s">
        <v>8</v>
      </c>
      <c r="E1523" s="6"/>
      <c r="F1523" s="6"/>
      <c r="G1523" s="7" t="s">
        <v>10071</v>
      </c>
      <c r="I1523" s="8" t="s">
        <v>10072</v>
      </c>
      <c r="J1523" s="9">
        <v>79.9</v>
      </c>
      <c r="K1523" s="10" t="s">
        <v>11</v>
      </c>
      <c r="L1523" s="6"/>
      <c r="M1523" s="11" t="s">
        <v>17</v>
      </c>
      <c r="N1523" s="6"/>
      <c r="O1523" s="6" t="s">
        <v>10073</v>
      </c>
      <c r="P1523" s="10" t="s">
        <v>15</v>
      </c>
      <c r="Q1523" s="6"/>
      <c r="R1523" s="6"/>
      <c r="S1523" s="6"/>
      <c r="T1523" s="6" t="s">
        <v>16</v>
      </c>
      <c r="U1523" s="9" t="s">
        <v>17</v>
      </c>
      <c r="AI1523" s="6" t="s">
        <v>5815</v>
      </c>
      <c r="AJ1523" s="12" t="s">
        <v>10074</v>
      </c>
      <c r="AL1523" s="13"/>
    </row>
    <row r="1524">
      <c r="A1524" s="5" t="s">
        <v>10075</v>
      </c>
      <c r="B1524" s="5" t="s">
        <v>10076</v>
      </c>
      <c r="C1524" s="5" t="s">
        <v>5831</v>
      </c>
      <c r="D1524" s="5" t="s">
        <v>8</v>
      </c>
      <c r="E1524" s="6"/>
      <c r="F1524" s="6"/>
      <c r="G1524" s="7" t="s">
        <v>10077</v>
      </c>
      <c r="I1524" s="8" t="s">
        <v>10078</v>
      </c>
      <c r="J1524" s="9">
        <v>129.0</v>
      </c>
      <c r="K1524" s="10" t="s">
        <v>11</v>
      </c>
      <c r="L1524" s="6"/>
      <c r="M1524" s="11" t="s">
        <v>17</v>
      </c>
      <c r="N1524" s="6"/>
      <c r="O1524" s="6" t="s">
        <v>10079</v>
      </c>
      <c r="P1524" s="10" t="s">
        <v>15</v>
      </c>
      <c r="Q1524" s="6"/>
      <c r="R1524" s="6"/>
      <c r="S1524" s="6"/>
      <c r="T1524" s="6" t="s">
        <v>16</v>
      </c>
      <c r="U1524" s="9" t="s">
        <v>17</v>
      </c>
      <c r="AI1524" s="6" t="s">
        <v>5815</v>
      </c>
      <c r="AJ1524" s="12" t="s">
        <v>10080</v>
      </c>
      <c r="AL1524" s="13"/>
    </row>
    <row r="1525">
      <c r="A1525" s="5" t="s">
        <v>10081</v>
      </c>
      <c r="B1525" s="5" t="s">
        <v>10082</v>
      </c>
      <c r="C1525" s="5" t="s">
        <v>5831</v>
      </c>
      <c r="D1525" s="5" t="s">
        <v>8</v>
      </c>
      <c r="E1525" s="6"/>
      <c r="F1525" s="6"/>
      <c r="G1525" s="7" t="s">
        <v>10083</v>
      </c>
      <c r="I1525" s="8" t="s">
        <v>10084</v>
      </c>
      <c r="J1525" s="9">
        <v>89.9</v>
      </c>
      <c r="K1525" s="10" t="s">
        <v>11</v>
      </c>
      <c r="L1525" s="6"/>
      <c r="M1525" s="11" t="s">
        <v>17</v>
      </c>
      <c r="N1525" s="6"/>
      <c r="O1525" s="6" t="s">
        <v>10085</v>
      </c>
      <c r="P1525" s="10" t="s">
        <v>15</v>
      </c>
      <c r="Q1525" s="6"/>
      <c r="R1525" s="6"/>
      <c r="S1525" s="6"/>
      <c r="T1525" s="6" t="s">
        <v>16</v>
      </c>
      <c r="U1525" s="9" t="s">
        <v>17</v>
      </c>
      <c r="AI1525" s="6" t="s">
        <v>5815</v>
      </c>
      <c r="AJ1525" s="12" t="s">
        <v>10086</v>
      </c>
      <c r="AL1525" s="13"/>
    </row>
    <row r="1526">
      <c r="A1526" s="5" t="s">
        <v>10087</v>
      </c>
      <c r="B1526" s="5" t="s">
        <v>8926</v>
      </c>
      <c r="C1526" s="5" t="s">
        <v>5831</v>
      </c>
      <c r="D1526" s="5" t="s">
        <v>507</v>
      </c>
      <c r="E1526" s="6"/>
      <c r="F1526" s="6"/>
      <c r="G1526" s="7" t="s">
        <v>10088</v>
      </c>
      <c r="I1526" s="8" t="s">
        <v>10089</v>
      </c>
      <c r="J1526" s="9">
        <v>9.9</v>
      </c>
      <c r="K1526" s="10" t="s">
        <v>11</v>
      </c>
      <c r="L1526" s="6"/>
      <c r="M1526" s="11" t="s">
        <v>17</v>
      </c>
      <c r="N1526" s="6"/>
      <c r="O1526" s="6" t="s">
        <v>10090</v>
      </c>
      <c r="P1526" s="10" t="s">
        <v>15</v>
      </c>
      <c r="Q1526" s="6"/>
      <c r="R1526" s="6"/>
      <c r="S1526" s="6"/>
      <c r="T1526" s="6" t="s">
        <v>16</v>
      </c>
      <c r="U1526" s="9" t="s">
        <v>17</v>
      </c>
      <c r="AI1526" s="6" t="s">
        <v>5815</v>
      </c>
      <c r="AJ1526" s="12" t="s">
        <v>8930</v>
      </c>
      <c r="AL1526" s="13"/>
    </row>
    <row r="1527">
      <c r="A1527" s="5" t="s">
        <v>10091</v>
      </c>
      <c r="B1527" s="5" t="s">
        <v>10092</v>
      </c>
      <c r="C1527" s="5" t="s">
        <v>5831</v>
      </c>
      <c r="D1527" s="5" t="s">
        <v>8</v>
      </c>
      <c r="E1527" s="6"/>
      <c r="F1527" s="6"/>
      <c r="G1527" s="7" t="s">
        <v>10093</v>
      </c>
      <c r="I1527" s="8" t="s">
        <v>10094</v>
      </c>
      <c r="J1527" s="9">
        <v>15.0</v>
      </c>
      <c r="K1527" s="10" t="s">
        <v>11</v>
      </c>
      <c r="L1527" s="6"/>
      <c r="M1527" s="11" t="s">
        <v>17</v>
      </c>
      <c r="N1527" s="6"/>
      <c r="O1527" s="6" t="s">
        <v>10095</v>
      </c>
      <c r="P1527" s="10" t="s">
        <v>15</v>
      </c>
      <c r="Q1527" s="6"/>
      <c r="R1527" s="6"/>
      <c r="S1527" s="6" t="s">
        <v>10096</v>
      </c>
      <c r="T1527" s="6" t="s">
        <v>16</v>
      </c>
      <c r="U1527" s="9" t="s">
        <v>17</v>
      </c>
      <c r="AI1527" s="6" t="s">
        <v>5815</v>
      </c>
      <c r="AJ1527" s="12" t="s">
        <v>10097</v>
      </c>
      <c r="AL1527" s="13"/>
    </row>
    <row r="1528">
      <c r="A1528" s="5" t="s">
        <v>10098</v>
      </c>
      <c r="B1528" s="5" t="s">
        <v>10099</v>
      </c>
      <c r="C1528" s="5" t="s">
        <v>5831</v>
      </c>
      <c r="D1528" s="5" t="s">
        <v>8</v>
      </c>
      <c r="E1528" s="6"/>
      <c r="F1528" s="6"/>
      <c r="G1528" s="7" t="s">
        <v>10100</v>
      </c>
      <c r="I1528" s="8" t="s">
        <v>10101</v>
      </c>
      <c r="J1528" s="9">
        <v>89.9</v>
      </c>
      <c r="K1528" s="10" t="s">
        <v>11</v>
      </c>
      <c r="L1528" s="6"/>
      <c r="M1528" s="11" t="s">
        <v>17</v>
      </c>
      <c r="N1528" s="6"/>
      <c r="O1528" s="6" t="s">
        <v>10102</v>
      </c>
      <c r="P1528" s="10" t="s">
        <v>15</v>
      </c>
      <c r="Q1528" s="6"/>
      <c r="R1528" s="6"/>
      <c r="S1528" s="6"/>
      <c r="T1528" s="6" t="s">
        <v>16</v>
      </c>
      <c r="U1528" s="9" t="s">
        <v>17</v>
      </c>
      <c r="AI1528" s="6" t="s">
        <v>5815</v>
      </c>
      <c r="AJ1528" s="12" t="s">
        <v>10103</v>
      </c>
      <c r="AL1528" s="13"/>
    </row>
    <row r="1529">
      <c r="A1529" s="5" t="s">
        <v>10104</v>
      </c>
      <c r="B1529" s="5" t="s">
        <v>10105</v>
      </c>
      <c r="C1529" s="5" t="s">
        <v>5831</v>
      </c>
      <c r="D1529" s="5" t="s">
        <v>8</v>
      </c>
      <c r="E1529" s="6"/>
      <c r="F1529" s="6"/>
      <c r="G1529" s="7" t="s">
        <v>10106</v>
      </c>
      <c r="I1529" s="8" t="s">
        <v>10107</v>
      </c>
      <c r="J1529" s="9">
        <v>19.9</v>
      </c>
      <c r="K1529" s="10" t="s">
        <v>11</v>
      </c>
      <c r="L1529" s="6"/>
      <c r="M1529" s="11" t="s">
        <v>17</v>
      </c>
      <c r="N1529" s="6"/>
      <c r="O1529" s="6" t="s">
        <v>10108</v>
      </c>
      <c r="P1529" s="10" t="s">
        <v>15</v>
      </c>
      <c r="Q1529" s="6"/>
      <c r="R1529" s="6"/>
      <c r="S1529" s="6"/>
      <c r="T1529" s="6" t="s">
        <v>16</v>
      </c>
      <c r="U1529" s="9" t="s">
        <v>17</v>
      </c>
      <c r="AI1529" s="6" t="s">
        <v>5815</v>
      </c>
      <c r="AJ1529" s="12" t="s">
        <v>10109</v>
      </c>
      <c r="AL1529" s="13"/>
    </row>
    <row r="1530">
      <c r="A1530" s="5" t="s">
        <v>10110</v>
      </c>
      <c r="B1530" s="5" t="s">
        <v>10111</v>
      </c>
      <c r="C1530" s="5" t="s">
        <v>5831</v>
      </c>
      <c r="D1530" s="5" t="s">
        <v>8</v>
      </c>
      <c r="E1530" s="6"/>
      <c r="F1530" s="6"/>
      <c r="G1530" s="7" t="s">
        <v>10112</v>
      </c>
      <c r="I1530" s="8" t="s">
        <v>10113</v>
      </c>
      <c r="J1530" s="9">
        <v>33.9</v>
      </c>
      <c r="K1530" s="10" t="s">
        <v>11</v>
      </c>
      <c r="L1530" s="6"/>
      <c r="M1530" s="11" t="s">
        <v>17</v>
      </c>
      <c r="N1530" s="6"/>
      <c r="O1530" s="6" t="s">
        <v>10114</v>
      </c>
      <c r="P1530" s="10" t="s">
        <v>15</v>
      </c>
      <c r="Q1530" s="6"/>
      <c r="R1530" s="6"/>
      <c r="S1530" s="6"/>
      <c r="T1530" s="6" t="s">
        <v>16</v>
      </c>
      <c r="U1530" s="9" t="s">
        <v>17</v>
      </c>
      <c r="AI1530" s="6" t="s">
        <v>5815</v>
      </c>
      <c r="AJ1530" s="12" t="s">
        <v>10115</v>
      </c>
      <c r="AL1530" s="13"/>
    </row>
    <row r="1531">
      <c r="A1531" s="5" t="s">
        <v>10116</v>
      </c>
      <c r="B1531" s="5" t="s">
        <v>10117</v>
      </c>
      <c r="C1531" s="5" t="s">
        <v>5831</v>
      </c>
      <c r="D1531" s="5" t="s">
        <v>8</v>
      </c>
      <c r="E1531" s="6"/>
      <c r="F1531" s="6"/>
      <c r="G1531" s="7" t="s">
        <v>10118</v>
      </c>
      <c r="I1531" s="8" t="s">
        <v>10119</v>
      </c>
      <c r="J1531" s="9">
        <v>109.0</v>
      </c>
      <c r="K1531" s="10" t="s">
        <v>11</v>
      </c>
      <c r="L1531" s="6"/>
      <c r="M1531" s="11" t="s">
        <v>17</v>
      </c>
      <c r="N1531" s="6"/>
      <c r="O1531" s="6" t="s">
        <v>10120</v>
      </c>
      <c r="P1531" s="10" t="s">
        <v>15</v>
      </c>
      <c r="Q1531" s="6"/>
      <c r="R1531" s="6"/>
      <c r="S1531" s="6"/>
      <c r="T1531" s="6" t="s">
        <v>16</v>
      </c>
      <c r="U1531" s="9" t="s">
        <v>17</v>
      </c>
      <c r="AI1531" s="6" t="s">
        <v>5815</v>
      </c>
      <c r="AJ1531" s="12" t="s">
        <v>10121</v>
      </c>
      <c r="AL1531" s="13"/>
    </row>
    <row r="1532">
      <c r="A1532" s="5" t="s">
        <v>10122</v>
      </c>
      <c r="B1532" s="5" t="s">
        <v>10123</v>
      </c>
      <c r="C1532" s="5" t="s">
        <v>5831</v>
      </c>
      <c r="D1532" s="5" t="s">
        <v>8</v>
      </c>
      <c r="E1532" s="6"/>
      <c r="F1532" s="6"/>
      <c r="G1532" s="7" t="s">
        <v>10124</v>
      </c>
      <c r="I1532" s="8" t="s">
        <v>10125</v>
      </c>
      <c r="J1532" s="9">
        <v>15.0</v>
      </c>
      <c r="K1532" s="10" t="s">
        <v>11</v>
      </c>
      <c r="L1532" s="6"/>
      <c r="M1532" s="11" t="s">
        <v>17</v>
      </c>
      <c r="N1532" s="6"/>
      <c r="O1532" s="6" t="s">
        <v>10126</v>
      </c>
      <c r="P1532" s="10" t="s">
        <v>15</v>
      </c>
      <c r="Q1532" s="6"/>
      <c r="R1532" s="6"/>
      <c r="S1532" s="6"/>
      <c r="T1532" s="6" t="s">
        <v>16</v>
      </c>
      <c r="U1532" s="9" t="s">
        <v>17</v>
      </c>
      <c r="AI1532" s="6" t="s">
        <v>5815</v>
      </c>
      <c r="AJ1532" s="12" t="s">
        <v>10127</v>
      </c>
      <c r="AL1532" s="13"/>
    </row>
    <row r="1533">
      <c r="A1533" s="5" t="s">
        <v>10128</v>
      </c>
      <c r="B1533" s="5" t="s">
        <v>10129</v>
      </c>
      <c r="C1533" s="5" t="s">
        <v>10130</v>
      </c>
      <c r="D1533" s="5" t="s">
        <v>8</v>
      </c>
      <c r="E1533" s="6"/>
      <c r="F1533" s="6"/>
      <c r="G1533" s="7" t="s">
        <v>10131</v>
      </c>
      <c r="I1533" s="8" t="s">
        <v>10132</v>
      </c>
      <c r="J1533" s="9">
        <v>8.3</v>
      </c>
      <c r="K1533" s="10" t="s">
        <v>11</v>
      </c>
      <c r="L1533" s="6"/>
      <c r="M1533" s="11" t="s">
        <v>12</v>
      </c>
      <c r="N1533" s="6" t="s">
        <v>10133</v>
      </c>
      <c r="O1533" s="6" t="s">
        <v>10134</v>
      </c>
      <c r="P1533" s="10" t="s">
        <v>15</v>
      </c>
      <c r="Q1533" s="6"/>
      <c r="R1533" s="6"/>
      <c r="S1533" s="6"/>
      <c r="T1533" s="6" t="s">
        <v>16</v>
      </c>
      <c r="U1533" s="9" t="s">
        <v>17</v>
      </c>
      <c r="AI1533" s="6" t="s">
        <v>9752</v>
      </c>
      <c r="AJ1533" s="12" t="s">
        <v>10135</v>
      </c>
      <c r="AL1533" s="13"/>
    </row>
    <row r="1534">
      <c r="A1534" s="5" t="s">
        <v>10136</v>
      </c>
      <c r="B1534" s="5" t="s">
        <v>10137</v>
      </c>
      <c r="C1534" s="5" t="s">
        <v>10138</v>
      </c>
      <c r="D1534" s="5" t="s">
        <v>507</v>
      </c>
      <c r="E1534" s="6"/>
      <c r="F1534" s="6"/>
      <c r="G1534" s="7" t="s">
        <v>10139</v>
      </c>
      <c r="I1534" s="8" t="s">
        <v>10140</v>
      </c>
      <c r="J1534" s="9">
        <v>10.7</v>
      </c>
      <c r="K1534" s="10" t="s">
        <v>11</v>
      </c>
      <c r="L1534" s="6"/>
      <c r="M1534" s="11" t="s">
        <v>12</v>
      </c>
      <c r="N1534" s="6" t="s">
        <v>10141</v>
      </c>
      <c r="O1534" s="6" t="s">
        <v>10142</v>
      </c>
      <c r="P1534" s="10" t="s">
        <v>15</v>
      </c>
      <c r="Q1534" s="6"/>
      <c r="R1534" s="6"/>
      <c r="S1534" s="6"/>
      <c r="T1534" s="6" t="s">
        <v>16</v>
      </c>
      <c r="U1534" s="9" t="s">
        <v>17</v>
      </c>
      <c r="AI1534" s="6" t="s">
        <v>9752</v>
      </c>
      <c r="AJ1534" s="12" t="s">
        <v>10143</v>
      </c>
      <c r="AL1534" s="13"/>
    </row>
    <row r="1535">
      <c r="A1535" s="5" t="s">
        <v>10144</v>
      </c>
      <c r="B1535" s="5" t="s">
        <v>10145</v>
      </c>
      <c r="C1535" s="5" t="s">
        <v>10138</v>
      </c>
      <c r="D1535" s="5" t="s">
        <v>507</v>
      </c>
      <c r="E1535" s="6"/>
      <c r="F1535" s="6"/>
      <c r="G1535" s="7" t="s">
        <v>10146</v>
      </c>
      <c r="I1535" s="8" t="s">
        <v>10147</v>
      </c>
      <c r="J1535" s="9">
        <v>32.1</v>
      </c>
      <c r="K1535" s="10">
        <v>28.89</v>
      </c>
      <c r="L1535" s="6"/>
      <c r="M1535" s="11" t="s">
        <v>17</v>
      </c>
      <c r="N1535" s="6"/>
      <c r="O1535" s="6" t="s">
        <v>10148</v>
      </c>
      <c r="P1535" s="10" t="s">
        <v>15</v>
      </c>
      <c r="Q1535" s="6"/>
      <c r="R1535" s="6"/>
      <c r="S1535" s="6"/>
      <c r="T1535" s="6" t="s">
        <v>16</v>
      </c>
      <c r="U1535" s="9" t="s">
        <v>17</v>
      </c>
      <c r="AI1535" s="6" t="s">
        <v>9752</v>
      </c>
      <c r="AJ1535" s="12" t="s">
        <v>10143</v>
      </c>
      <c r="AL1535" s="13"/>
    </row>
    <row r="1536">
      <c r="A1536" s="5" t="s">
        <v>10149</v>
      </c>
      <c r="B1536" s="5" t="s">
        <v>10150</v>
      </c>
      <c r="C1536" s="5" t="s">
        <v>10151</v>
      </c>
      <c r="D1536" s="5" t="s">
        <v>8</v>
      </c>
      <c r="E1536" s="6"/>
      <c r="F1536" s="6"/>
      <c r="G1536" s="7" t="s">
        <v>10152</v>
      </c>
      <c r="I1536" s="8" t="s">
        <v>10153</v>
      </c>
      <c r="J1536" s="9">
        <v>10.9</v>
      </c>
      <c r="K1536" s="10" t="s">
        <v>11</v>
      </c>
      <c r="L1536" s="6"/>
      <c r="M1536" s="11" t="s">
        <v>12</v>
      </c>
      <c r="N1536" s="6" t="s">
        <v>10154</v>
      </c>
      <c r="O1536" s="6" t="s">
        <v>10155</v>
      </c>
      <c r="P1536" s="10" t="s">
        <v>15</v>
      </c>
      <c r="Q1536" s="6"/>
      <c r="R1536" s="6"/>
      <c r="S1536" s="6"/>
      <c r="T1536" s="6" t="s">
        <v>16</v>
      </c>
      <c r="U1536" s="9" t="s">
        <v>17</v>
      </c>
      <c r="AI1536" s="6" t="s">
        <v>9752</v>
      </c>
      <c r="AJ1536" s="12" t="s">
        <v>10156</v>
      </c>
      <c r="AL1536" s="13"/>
    </row>
    <row r="1537">
      <c r="A1537" s="5" t="s">
        <v>10157</v>
      </c>
      <c r="B1537" s="5" t="s">
        <v>10158</v>
      </c>
      <c r="C1537" s="5" t="s">
        <v>10151</v>
      </c>
      <c r="D1537" s="5" t="s">
        <v>8</v>
      </c>
      <c r="E1537" s="6"/>
      <c r="F1537" s="6"/>
      <c r="G1537" s="7" t="s">
        <v>10159</v>
      </c>
      <c r="I1537" s="8" t="s">
        <v>10160</v>
      </c>
      <c r="J1537" s="9">
        <v>29.7</v>
      </c>
      <c r="K1537" s="10">
        <v>28.22</v>
      </c>
      <c r="L1537" s="6"/>
      <c r="M1537" s="11" t="s">
        <v>17</v>
      </c>
      <c r="N1537" s="6"/>
      <c r="O1537" s="6" t="s">
        <v>10161</v>
      </c>
      <c r="P1537" s="10" t="s">
        <v>15</v>
      </c>
      <c r="Q1537" s="6"/>
      <c r="R1537" s="6"/>
      <c r="S1537" s="6"/>
      <c r="T1537" s="6" t="s">
        <v>16</v>
      </c>
      <c r="U1537" s="9" t="s">
        <v>17</v>
      </c>
      <c r="AI1537" s="6" t="s">
        <v>9752</v>
      </c>
      <c r="AJ1537" s="12" t="s">
        <v>10156</v>
      </c>
      <c r="AL1537" s="13"/>
    </row>
    <row r="1538">
      <c r="A1538" s="5" t="s">
        <v>10162</v>
      </c>
      <c r="B1538" s="5" t="s">
        <v>10163</v>
      </c>
      <c r="C1538" s="5" t="s">
        <v>10164</v>
      </c>
      <c r="D1538" s="5" t="s">
        <v>507</v>
      </c>
      <c r="E1538" s="6"/>
      <c r="F1538" s="6"/>
      <c r="G1538" s="7" t="s">
        <v>10165</v>
      </c>
      <c r="I1538" s="8" t="s">
        <v>10166</v>
      </c>
      <c r="J1538" s="9">
        <v>9.9</v>
      </c>
      <c r="K1538" s="10" t="s">
        <v>11</v>
      </c>
      <c r="L1538" s="6"/>
      <c r="M1538" s="11" t="s">
        <v>12</v>
      </c>
      <c r="N1538" s="6" t="s">
        <v>10167</v>
      </c>
      <c r="O1538" s="6" t="s">
        <v>10168</v>
      </c>
      <c r="P1538" s="10" t="s">
        <v>15</v>
      </c>
      <c r="Q1538" s="6"/>
      <c r="R1538" s="6"/>
      <c r="S1538" s="6"/>
      <c r="T1538" s="6" t="s">
        <v>16</v>
      </c>
      <c r="U1538" s="9" t="s">
        <v>17</v>
      </c>
      <c r="AI1538" s="6" t="s">
        <v>18</v>
      </c>
      <c r="AJ1538" s="12" t="s">
        <v>10169</v>
      </c>
      <c r="AL1538" s="13"/>
    </row>
    <row r="1539">
      <c r="A1539" s="5" t="s">
        <v>10170</v>
      </c>
      <c r="B1539" s="5" t="s">
        <v>10171</v>
      </c>
      <c r="C1539" s="5" t="s">
        <v>10172</v>
      </c>
      <c r="D1539" s="5" t="s">
        <v>507</v>
      </c>
      <c r="E1539" s="6"/>
      <c r="F1539" s="6"/>
      <c r="G1539" s="7" t="s">
        <v>10173</v>
      </c>
      <c r="I1539" s="8" t="s">
        <v>10174</v>
      </c>
      <c r="J1539" s="9">
        <v>9.7</v>
      </c>
      <c r="K1539" s="10" t="s">
        <v>11</v>
      </c>
      <c r="L1539" s="6"/>
      <c r="M1539" s="11" t="s">
        <v>12</v>
      </c>
      <c r="N1539" s="6" t="s">
        <v>10175</v>
      </c>
      <c r="O1539" s="6" t="s">
        <v>10176</v>
      </c>
      <c r="P1539" s="10" t="s">
        <v>15</v>
      </c>
      <c r="Q1539" s="6"/>
      <c r="R1539" s="6"/>
      <c r="S1539" s="6"/>
      <c r="T1539" s="6" t="s">
        <v>16</v>
      </c>
      <c r="U1539" s="9" t="s">
        <v>17</v>
      </c>
      <c r="AI1539" s="6" t="s">
        <v>18</v>
      </c>
      <c r="AJ1539" s="12" t="s">
        <v>10177</v>
      </c>
      <c r="AL1539" s="13" t="s">
        <v>20</v>
      </c>
    </row>
    <row r="1540">
      <c r="A1540" s="5" t="s">
        <v>10178</v>
      </c>
      <c r="B1540" s="5" t="s">
        <v>10179</v>
      </c>
      <c r="C1540" s="5" t="s">
        <v>10172</v>
      </c>
      <c r="D1540" s="5" t="s">
        <v>507</v>
      </c>
      <c r="E1540" s="6"/>
      <c r="F1540" s="6"/>
      <c r="G1540" s="7" t="s">
        <v>10180</v>
      </c>
      <c r="I1540" s="8" t="s">
        <v>10181</v>
      </c>
      <c r="J1540" s="9">
        <v>19.7</v>
      </c>
      <c r="K1540" s="10" t="s">
        <v>11</v>
      </c>
      <c r="L1540" s="6"/>
      <c r="M1540" s="11" t="s">
        <v>12</v>
      </c>
      <c r="N1540" s="6" t="s">
        <v>10182</v>
      </c>
      <c r="O1540" s="6" t="s">
        <v>10183</v>
      </c>
      <c r="P1540" s="10" t="s">
        <v>15</v>
      </c>
      <c r="Q1540" s="6"/>
      <c r="R1540" s="6"/>
      <c r="S1540" s="6"/>
      <c r="T1540" s="6" t="s">
        <v>16</v>
      </c>
      <c r="U1540" s="9" t="s">
        <v>17</v>
      </c>
      <c r="AI1540" s="6" t="s">
        <v>18</v>
      </c>
      <c r="AJ1540" s="12" t="s">
        <v>10177</v>
      </c>
      <c r="AL1540" s="13" t="s">
        <v>20</v>
      </c>
    </row>
    <row r="1541">
      <c r="A1541" s="5" t="s">
        <v>10184</v>
      </c>
      <c r="B1541" s="5" t="s">
        <v>10185</v>
      </c>
      <c r="C1541" s="5" t="s">
        <v>10186</v>
      </c>
      <c r="D1541" s="5" t="s">
        <v>8</v>
      </c>
      <c r="E1541" s="6"/>
      <c r="F1541" s="6"/>
      <c r="G1541" s="7" t="s">
        <v>10187</v>
      </c>
      <c r="I1541" s="8" t="s">
        <v>10188</v>
      </c>
      <c r="J1541" s="9">
        <v>9.9</v>
      </c>
      <c r="K1541" s="10" t="s">
        <v>11</v>
      </c>
      <c r="L1541" s="6"/>
      <c r="M1541" s="11" t="s">
        <v>12</v>
      </c>
      <c r="N1541" s="6" t="s">
        <v>10189</v>
      </c>
      <c r="O1541" s="6" t="s">
        <v>10190</v>
      </c>
      <c r="P1541" s="10" t="s">
        <v>15</v>
      </c>
      <c r="Q1541" s="6"/>
      <c r="R1541" s="6"/>
      <c r="S1541" s="6"/>
      <c r="T1541" s="6" t="s">
        <v>16</v>
      </c>
      <c r="U1541" s="9" t="s">
        <v>17</v>
      </c>
      <c r="AI1541" s="6" t="s">
        <v>18</v>
      </c>
      <c r="AJ1541" s="12" t="s">
        <v>10191</v>
      </c>
      <c r="AL1541" s="13" t="s">
        <v>20</v>
      </c>
    </row>
    <row r="1542">
      <c r="A1542" s="5" t="s">
        <v>10192</v>
      </c>
      <c r="B1542" s="5" t="s">
        <v>10193</v>
      </c>
      <c r="C1542" s="5" t="s">
        <v>10186</v>
      </c>
      <c r="D1542" s="5" t="s">
        <v>8</v>
      </c>
      <c r="E1542" s="6"/>
      <c r="F1542" s="6"/>
      <c r="G1542" s="7" t="s">
        <v>10194</v>
      </c>
      <c r="I1542" s="8" t="s">
        <v>10195</v>
      </c>
      <c r="J1542" s="9">
        <v>15.5</v>
      </c>
      <c r="K1542" s="10" t="s">
        <v>11</v>
      </c>
      <c r="L1542" s="6"/>
      <c r="M1542" s="11" t="s">
        <v>12</v>
      </c>
      <c r="N1542" s="6" t="s">
        <v>10196</v>
      </c>
      <c r="O1542" s="6" t="s">
        <v>10197</v>
      </c>
      <c r="P1542" s="10" t="s">
        <v>15</v>
      </c>
      <c r="Q1542" s="6"/>
      <c r="R1542" s="6"/>
      <c r="S1542" s="6"/>
      <c r="T1542" s="6" t="s">
        <v>16</v>
      </c>
      <c r="U1542" s="9" t="s">
        <v>17</v>
      </c>
      <c r="AI1542" s="6" t="s">
        <v>18</v>
      </c>
      <c r="AJ1542" s="12" t="s">
        <v>10191</v>
      </c>
      <c r="AL1542" s="13" t="s">
        <v>20</v>
      </c>
    </row>
    <row r="1543">
      <c r="A1543" s="5" t="s">
        <v>10198</v>
      </c>
      <c r="B1543" s="5" t="s">
        <v>10199</v>
      </c>
      <c r="C1543" s="5" t="s">
        <v>10200</v>
      </c>
      <c r="D1543" s="5" t="s">
        <v>8</v>
      </c>
      <c r="E1543" s="6"/>
      <c r="F1543" s="6"/>
      <c r="G1543" s="7" t="s">
        <v>10201</v>
      </c>
      <c r="I1543" s="8" t="s">
        <v>10202</v>
      </c>
      <c r="J1543" s="9">
        <v>8.9</v>
      </c>
      <c r="K1543" s="10" t="s">
        <v>11</v>
      </c>
      <c r="L1543" s="6"/>
      <c r="M1543" s="11" t="s">
        <v>12</v>
      </c>
      <c r="N1543" s="6" t="s">
        <v>10203</v>
      </c>
      <c r="O1543" s="6" t="s">
        <v>10204</v>
      </c>
      <c r="P1543" s="10" t="s">
        <v>15</v>
      </c>
      <c r="Q1543" s="6"/>
      <c r="R1543" s="6"/>
      <c r="S1543" s="6"/>
      <c r="T1543" s="6" t="s">
        <v>16</v>
      </c>
      <c r="U1543" s="9" t="s">
        <v>17</v>
      </c>
      <c r="AI1543" s="6" t="s">
        <v>18</v>
      </c>
      <c r="AJ1543" s="12" t="s">
        <v>10205</v>
      </c>
      <c r="AL1543" s="13" t="s">
        <v>20</v>
      </c>
    </row>
    <row r="1544">
      <c r="A1544" s="5" t="s">
        <v>10206</v>
      </c>
      <c r="B1544" s="5" t="s">
        <v>10207</v>
      </c>
      <c r="C1544" s="5" t="s">
        <v>10200</v>
      </c>
      <c r="D1544" s="5" t="s">
        <v>8</v>
      </c>
      <c r="E1544" s="6"/>
      <c r="F1544" s="6"/>
      <c r="G1544" s="7" t="s">
        <v>10208</v>
      </c>
      <c r="I1544" s="8" t="s">
        <v>10209</v>
      </c>
      <c r="J1544" s="9">
        <v>14.9</v>
      </c>
      <c r="K1544" s="10" t="s">
        <v>11</v>
      </c>
      <c r="L1544" s="6"/>
      <c r="M1544" s="11" t="s">
        <v>12</v>
      </c>
      <c r="N1544" s="6" t="s">
        <v>10210</v>
      </c>
      <c r="O1544" s="6" t="s">
        <v>10211</v>
      </c>
      <c r="P1544" s="10" t="s">
        <v>15</v>
      </c>
      <c r="Q1544" s="6"/>
      <c r="R1544" s="6"/>
      <c r="S1544" s="6"/>
      <c r="T1544" s="6" t="s">
        <v>16</v>
      </c>
      <c r="U1544" s="9" t="s">
        <v>17</v>
      </c>
      <c r="AI1544" s="6" t="s">
        <v>18</v>
      </c>
      <c r="AJ1544" s="12" t="s">
        <v>10205</v>
      </c>
      <c r="AL1544" s="13" t="s">
        <v>20</v>
      </c>
    </row>
    <row r="1545">
      <c r="A1545" s="5" t="s">
        <v>10212</v>
      </c>
      <c r="B1545" s="5" t="s">
        <v>10213</v>
      </c>
      <c r="C1545" s="5" t="s">
        <v>10214</v>
      </c>
      <c r="D1545" s="5" t="s">
        <v>507</v>
      </c>
      <c r="E1545" s="6"/>
      <c r="F1545" s="6"/>
      <c r="G1545" s="7" t="s">
        <v>10215</v>
      </c>
      <c r="I1545" s="8" t="s">
        <v>10216</v>
      </c>
      <c r="J1545" s="9">
        <v>9.3</v>
      </c>
      <c r="K1545" s="10" t="s">
        <v>11</v>
      </c>
      <c r="L1545" s="6"/>
      <c r="M1545" s="11" t="s">
        <v>12</v>
      </c>
      <c r="N1545" s="6" t="s">
        <v>10217</v>
      </c>
      <c r="O1545" s="6" t="s">
        <v>10218</v>
      </c>
      <c r="P1545" s="10" t="s">
        <v>15</v>
      </c>
      <c r="Q1545" s="6"/>
      <c r="R1545" s="6"/>
      <c r="S1545" s="6"/>
      <c r="T1545" s="6" t="s">
        <v>16</v>
      </c>
      <c r="U1545" s="9" t="s">
        <v>17</v>
      </c>
      <c r="AI1545" s="6" t="s">
        <v>18</v>
      </c>
      <c r="AJ1545" s="12" t="s">
        <v>10219</v>
      </c>
      <c r="AL1545" s="13" t="s">
        <v>20</v>
      </c>
    </row>
    <row r="1546">
      <c r="A1546" s="5" t="s">
        <v>10220</v>
      </c>
      <c r="B1546" s="5" t="s">
        <v>10221</v>
      </c>
      <c r="C1546" s="5" t="s">
        <v>10222</v>
      </c>
      <c r="D1546" s="5" t="s">
        <v>8</v>
      </c>
      <c r="E1546" s="6"/>
      <c r="F1546" s="6"/>
      <c r="G1546" s="7" t="s">
        <v>10223</v>
      </c>
      <c r="I1546" s="8" t="s">
        <v>10224</v>
      </c>
      <c r="J1546" s="9">
        <v>9.9</v>
      </c>
      <c r="K1546" s="10" t="s">
        <v>11</v>
      </c>
      <c r="L1546" s="6"/>
      <c r="M1546" s="11" t="s">
        <v>12</v>
      </c>
      <c r="N1546" s="6" t="s">
        <v>10225</v>
      </c>
      <c r="O1546" s="6" t="s">
        <v>10226</v>
      </c>
      <c r="P1546" s="10" t="s">
        <v>15</v>
      </c>
      <c r="Q1546" s="6"/>
      <c r="R1546" s="6"/>
      <c r="S1546" s="6"/>
      <c r="T1546" s="6" t="s">
        <v>16</v>
      </c>
      <c r="U1546" s="9" t="s">
        <v>17</v>
      </c>
      <c r="AI1546" s="6" t="s">
        <v>18</v>
      </c>
      <c r="AJ1546" s="12" t="s">
        <v>10227</v>
      </c>
      <c r="AL1546" s="13" t="s">
        <v>20</v>
      </c>
    </row>
    <row r="1547">
      <c r="A1547" s="5" t="s">
        <v>10228</v>
      </c>
      <c r="B1547" s="5" t="s">
        <v>10229</v>
      </c>
      <c r="C1547" s="5" t="s">
        <v>10222</v>
      </c>
      <c r="D1547" s="5" t="s">
        <v>8</v>
      </c>
      <c r="E1547" s="6"/>
      <c r="F1547" s="6"/>
      <c r="G1547" s="7" t="s">
        <v>10230</v>
      </c>
      <c r="I1547" s="8" t="s">
        <v>10231</v>
      </c>
      <c r="J1547" s="9">
        <v>23.9</v>
      </c>
      <c r="K1547" s="10" t="s">
        <v>11</v>
      </c>
      <c r="L1547" s="6"/>
      <c r="M1547" s="11" t="s">
        <v>12</v>
      </c>
      <c r="N1547" s="6" t="s">
        <v>10232</v>
      </c>
      <c r="O1547" s="6" t="s">
        <v>10233</v>
      </c>
      <c r="P1547" s="10" t="s">
        <v>15</v>
      </c>
      <c r="Q1547" s="6"/>
      <c r="R1547" s="6"/>
      <c r="S1547" s="6"/>
      <c r="T1547" s="6" t="s">
        <v>16</v>
      </c>
      <c r="U1547" s="9" t="s">
        <v>17</v>
      </c>
      <c r="AI1547" s="6" t="s">
        <v>18</v>
      </c>
      <c r="AJ1547" s="12" t="s">
        <v>10227</v>
      </c>
      <c r="AL1547" s="13" t="s">
        <v>20</v>
      </c>
    </row>
    <row r="1548">
      <c r="A1548" s="5" t="s">
        <v>10234</v>
      </c>
      <c r="B1548" s="5" t="s">
        <v>10235</v>
      </c>
      <c r="C1548" s="5" t="s">
        <v>10236</v>
      </c>
      <c r="D1548" s="5" t="s">
        <v>8</v>
      </c>
      <c r="E1548" s="6"/>
      <c r="F1548" s="6"/>
      <c r="G1548" s="7" t="s">
        <v>10237</v>
      </c>
      <c r="I1548" s="8" t="s">
        <v>10238</v>
      </c>
      <c r="J1548" s="9">
        <v>8.9</v>
      </c>
      <c r="K1548" s="10" t="s">
        <v>11</v>
      </c>
      <c r="L1548" s="6"/>
      <c r="M1548" s="11" t="s">
        <v>12</v>
      </c>
      <c r="N1548" s="6" t="s">
        <v>10239</v>
      </c>
      <c r="O1548" s="6" t="s">
        <v>10240</v>
      </c>
      <c r="P1548" s="10" t="s">
        <v>15</v>
      </c>
      <c r="Q1548" s="6"/>
      <c r="R1548" s="6"/>
      <c r="S1548" s="6"/>
      <c r="T1548" s="6" t="s">
        <v>16</v>
      </c>
      <c r="U1548" s="9" t="s">
        <v>17</v>
      </c>
      <c r="AI1548" s="6" t="s">
        <v>18</v>
      </c>
      <c r="AJ1548" s="12" t="s">
        <v>10241</v>
      </c>
      <c r="AL1548" s="13" t="s">
        <v>20</v>
      </c>
    </row>
    <row r="1549">
      <c r="A1549" s="5" t="s">
        <v>10242</v>
      </c>
      <c r="B1549" s="5" t="s">
        <v>10243</v>
      </c>
      <c r="C1549" s="5" t="s">
        <v>10236</v>
      </c>
      <c r="D1549" s="5" t="s">
        <v>8</v>
      </c>
      <c r="E1549" s="6"/>
      <c r="F1549" s="6"/>
      <c r="G1549" s="7" t="s">
        <v>10244</v>
      </c>
      <c r="I1549" s="8" t="s">
        <v>10245</v>
      </c>
      <c r="J1549" s="9">
        <v>19.9</v>
      </c>
      <c r="K1549" s="10" t="s">
        <v>11</v>
      </c>
      <c r="L1549" s="6"/>
      <c r="M1549" s="11" t="s">
        <v>12</v>
      </c>
      <c r="N1549" s="6" t="s">
        <v>10246</v>
      </c>
      <c r="O1549" s="6" t="s">
        <v>10247</v>
      </c>
      <c r="P1549" s="10" t="s">
        <v>15</v>
      </c>
      <c r="Q1549" s="6"/>
      <c r="R1549" s="6"/>
      <c r="S1549" s="6"/>
      <c r="T1549" s="6" t="s">
        <v>16</v>
      </c>
      <c r="U1549" s="9" t="s">
        <v>17</v>
      </c>
      <c r="AI1549" s="6" t="s">
        <v>18</v>
      </c>
      <c r="AJ1549" s="12" t="s">
        <v>10241</v>
      </c>
      <c r="AL1549" s="13" t="s">
        <v>20</v>
      </c>
    </row>
    <row r="1550">
      <c r="A1550" s="5" t="s">
        <v>10248</v>
      </c>
      <c r="B1550" s="5" t="s">
        <v>10249</v>
      </c>
      <c r="C1550" s="5" t="s">
        <v>10250</v>
      </c>
      <c r="D1550" s="5" t="s">
        <v>8</v>
      </c>
      <c r="E1550" s="6"/>
      <c r="F1550" s="6"/>
      <c r="G1550" s="7" t="s">
        <v>10251</v>
      </c>
      <c r="I1550" s="8" t="s">
        <v>10252</v>
      </c>
      <c r="J1550" s="9">
        <v>9.9</v>
      </c>
      <c r="K1550" s="10" t="s">
        <v>11</v>
      </c>
      <c r="L1550" s="6"/>
      <c r="M1550" s="11" t="s">
        <v>12</v>
      </c>
      <c r="N1550" s="6" t="s">
        <v>10253</v>
      </c>
      <c r="O1550" s="6" t="s">
        <v>10254</v>
      </c>
      <c r="P1550" s="10" t="s">
        <v>15</v>
      </c>
      <c r="Q1550" s="6"/>
      <c r="R1550" s="6"/>
      <c r="S1550" s="6"/>
      <c r="T1550" s="6" t="s">
        <v>16</v>
      </c>
      <c r="U1550" s="9" t="s">
        <v>17</v>
      </c>
      <c r="AI1550" s="6" t="s">
        <v>18</v>
      </c>
      <c r="AJ1550" s="12" t="s">
        <v>10255</v>
      </c>
      <c r="AL1550" s="13" t="s">
        <v>20</v>
      </c>
    </row>
    <row r="1551">
      <c r="A1551" s="5" t="s">
        <v>10256</v>
      </c>
      <c r="B1551" s="5" t="s">
        <v>10257</v>
      </c>
      <c r="C1551" s="5" t="s">
        <v>10250</v>
      </c>
      <c r="D1551" s="5" t="s">
        <v>8</v>
      </c>
      <c r="E1551" s="6"/>
      <c r="F1551" s="6"/>
      <c r="G1551" s="7" t="s">
        <v>10258</v>
      </c>
      <c r="I1551" s="8" t="s">
        <v>10259</v>
      </c>
      <c r="J1551" s="9">
        <v>14.9</v>
      </c>
      <c r="K1551" s="10" t="s">
        <v>11</v>
      </c>
      <c r="L1551" s="6"/>
      <c r="M1551" s="11" t="s">
        <v>12</v>
      </c>
      <c r="N1551" s="6" t="s">
        <v>10260</v>
      </c>
      <c r="O1551" s="6" t="s">
        <v>10261</v>
      </c>
      <c r="P1551" s="10" t="s">
        <v>15</v>
      </c>
      <c r="Q1551" s="6"/>
      <c r="R1551" s="6"/>
      <c r="S1551" s="6"/>
      <c r="T1551" s="6" t="s">
        <v>16</v>
      </c>
      <c r="U1551" s="9" t="s">
        <v>17</v>
      </c>
      <c r="AI1551" s="6" t="s">
        <v>18</v>
      </c>
      <c r="AJ1551" s="12" t="s">
        <v>10255</v>
      </c>
      <c r="AL1551" s="13" t="s">
        <v>20</v>
      </c>
    </row>
    <row r="1552">
      <c r="A1552" s="5" t="s">
        <v>10262</v>
      </c>
      <c r="B1552" s="5" t="s">
        <v>10263</v>
      </c>
      <c r="C1552" s="5" t="s">
        <v>10264</v>
      </c>
      <c r="D1552" s="5" t="s">
        <v>8</v>
      </c>
      <c r="E1552" s="6"/>
      <c r="F1552" s="6"/>
      <c r="G1552" s="7" t="s">
        <v>10265</v>
      </c>
      <c r="I1552" s="8" t="s">
        <v>10266</v>
      </c>
      <c r="J1552" s="9">
        <v>7.9</v>
      </c>
      <c r="K1552" s="10" t="s">
        <v>11</v>
      </c>
      <c r="L1552" s="6"/>
      <c r="M1552" s="11" t="s">
        <v>12</v>
      </c>
      <c r="N1552" s="6" t="s">
        <v>10267</v>
      </c>
      <c r="O1552" s="6" t="s">
        <v>10268</v>
      </c>
      <c r="P1552" s="10" t="s">
        <v>15</v>
      </c>
      <c r="Q1552" s="6"/>
      <c r="R1552" s="6"/>
      <c r="S1552" s="6"/>
      <c r="T1552" s="6" t="s">
        <v>16</v>
      </c>
      <c r="U1552" s="9" t="s">
        <v>17</v>
      </c>
      <c r="AI1552" s="6" t="s">
        <v>18</v>
      </c>
      <c r="AJ1552" s="12" t="s">
        <v>10269</v>
      </c>
      <c r="AL1552" s="13" t="s">
        <v>20</v>
      </c>
    </row>
    <row r="1553">
      <c r="A1553" s="5" t="s">
        <v>10270</v>
      </c>
      <c r="B1553" s="5" t="s">
        <v>10271</v>
      </c>
      <c r="C1553" s="5" t="s">
        <v>10264</v>
      </c>
      <c r="D1553" s="5" t="s">
        <v>8</v>
      </c>
      <c r="E1553" s="6"/>
      <c r="F1553" s="6"/>
      <c r="G1553" s="7" t="s">
        <v>10272</v>
      </c>
      <c r="I1553" s="8" t="s">
        <v>10273</v>
      </c>
      <c r="J1553" s="9">
        <v>12.9</v>
      </c>
      <c r="K1553" s="10" t="s">
        <v>11</v>
      </c>
      <c r="L1553" s="6"/>
      <c r="M1553" s="11" t="s">
        <v>12</v>
      </c>
      <c r="N1553" s="6" t="s">
        <v>10274</v>
      </c>
      <c r="O1553" s="6" t="s">
        <v>10275</v>
      </c>
      <c r="P1553" s="10" t="s">
        <v>15</v>
      </c>
      <c r="Q1553" s="6"/>
      <c r="R1553" s="6"/>
      <c r="S1553" s="6"/>
      <c r="T1553" s="6" t="s">
        <v>16</v>
      </c>
      <c r="U1553" s="9" t="s">
        <v>17</v>
      </c>
      <c r="AI1553" s="6" t="s">
        <v>18</v>
      </c>
      <c r="AJ1553" s="12" t="s">
        <v>10269</v>
      </c>
      <c r="AL1553" s="13" t="s">
        <v>20</v>
      </c>
    </row>
    <row r="1554">
      <c r="A1554" s="5" t="s">
        <v>10276</v>
      </c>
      <c r="B1554" s="5" t="s">
        <v>10277</v>
      </c>
      <c r="C1554" s="5" t="s">
        <v>10278</v>
      </c>
      <c r="D1554" s="5" t="s">
        <v>8</v>
      </c>
      <c r="E1554" s="6"/>
      <c r="F1554" s="6"/>
      <c r="G1554" s="7" t="s">
        <v>10279</v>
      </c>
      <c r="I1554" s="8" t="s">
        <v>10280</v>
      </c>
      <c r="J1554" s="9">
        <v>7.9</v>
      </c>
      <c r="K1554" s="10" t="s">
        <v>11</v>
      </c>
      <c r="L1554" s="6"/>
      <c r="M1554" s="11" t="s">
        <v>12</v>
      </c>
      <c r="N1554" s="6" t="s">
        <v>10281</v>
      </c>
      <c r="O1554" s="6" t="s">
        <v>10282</v>
      </c>
      <c r="P1554" s="10" t="s">
        <v>15</v>
      </c>
      <c r="Q1554" s="6"/>
      <c r="R1554" s="6"/>
      <c r="S1554" s="6"/>
      <c r="T1554" s="6" t="s">
        <v>16</v>
      </c>
      <c r="U1554" s="9" t="s">
        <v>17</v>
      </c>
      <c r="AI1554" s="6" t="s">
        <v>18</v>
      </c>
      <c r="AJ1554" s="12" t="s">
        <v>10283</v>
      </c>
      <c r="AL1554" s="13" t="s">
        <v>20</v>
      </c>
    </row>
    <row r="1555">
      <c r="A1555" s="5" t="s">
        <v>10284</v>
      </c>
      <c r="B1555" s="5" t="s">
        <v>10285</v>
      </c>
      <c r="C1555" s="5" t="s">
        <v>10278</v>
      </c>
      <c r="D1555" s="5" t="s">
        <v>8</v>
      </c>
      <c r="E1555" s="6"/>
      <c r="F1555" s="6"/>
      <c r="G1555" s="7" t="s">
        <v>10286</v>
      </c>
      <c r="I1555" s="8" t="s">
        <v>10287</v>
      </c>
      <c r="J1555" s="9">
        <v>13.9</v>
      </c>
      <c r="K1555" s="10" t="s">
        <v>11</v>
      </c>
      <c r="L1555" s="6"/>
      <c r="M1555" s="11" t="s">
        <v>12</v>
      </c>
      <c r="N1555" s="6" t="s">
        <v>10288</v>
      </c>
      <c r="O1555" s="6" t="s">
        <v>10289</v>
      </c>
      <c r="P1555" s="10" t="s">
        <v>15</v>
      </c>
      <c r="Q1555" s="6"/>
      <c r="R1555" s="6"/>
      <c r="S1555" s="6"/>
      <c r="T1555" s="6" t="s">
        <v>16</v>
      </c>
      <c r="U1555" s="9" t="s">
        <v>17</v>
      </c>
      <c r="AI1555" s="6" t="s">
        <v>18</v>
      </c>
      <c r="AJ1555" s="12" t="s">
        <v>10283</v>
      </c>
      <c r="AL1555" s="13" t="s">
        <v>20</v>
      </c>
    </row>
    <row r="1556">
      <c r="A1556" s="5" t="s">
        <v>10290</v>
      </c>
      <c r="B1556" s="5" t="s">
        <v>10291</v>
      </c>
      <c r="C1556" s="5" t="s">
        <v>10292</v>
      </c>
      <c r="D1556" s="5" t="s">
        <v>507</v>
      </c>
      <c r="E1556" s="6"/>
      <c r="F1556" s="6"/>
      <c r="G1556" s="7" t="s">
        <v>10293</v>
      </c>
      <c r="I1556" s="8" t="s">
        <v>10294</v>
      </c>
      <c r="J1556" s="9">
        <v>9.3</v>
      </c>
      <c r="K1556" s="10" t="s">
        <v>11</v>
      </c>
      <c r="L1556" s="6"/>
      <c r="M1556" s="11" t="s">
        <v>12</v>
      </c>
      <c r="N1556" s="6" t="s">
        <v>10295</v>
      </c>
      <c r="O1556" s="6" t="s">
        <v>10296</v>
      </c>
      <c r="P1556" s="10" t="s">
        <v>15</v>
      </c>
      <c r="Q1556" s="6"/>
      <c r="R1556" s="6"/>
      <c r="S1556" s="6"/>
      <c r="T1556" s="6" t="s">
        <v>16</v>
      </c>
      <c r="U1556" s="9" t="s">
        <v>17</v>
      </c>
      <c r="AI1556" s="6" t="s">
        <v>18</v>
      </c>
      <c r="AJ1556" s="12" t="s">
        <v>10297</v>
      </c>
      <c r="AL1556" s="13" t="s">
        <v>20</v>
      </c>
    </row>
    <row r="1557">
      <c r="A1557" s="5" t="s">
        <v>10298</v>
      </c>
      <c r="B1557" s="5" t="s">
        <v>10299</v>
      </c>
      <c r="C1557" s="5" t="s">
        <v>10292</v>
      </c>
      <c r="D1557" s="5" t="s">
        <v>507</v>
      </c>
      <c r="E1557" s="6"/>
      <c r="F1557" s="6"/>
      <c r="G1557" s="7" t="s">
        <v>10300</v>
      </c>
      <c r="I1557" s="8" t="s">
        <v>10301</v>
      </c>
      <c r="J1557" s="9">
        <v>27.7</v>
      </c>
      <c r="K1557" s="10" t="s">
        <v>11</v>
      </c>
      <c r="L1557" s="6"/>
      <c r="M1557" s="11" t="s">
        <v>12</v>
      </c>
      <c r="N1557" s="6" t="s">
        <v>10302</v>
      </c>
      <c r="O1557" s="6" t="s">
        <v>10303</v>
      </c>
      <c r="P1557" s="10" t="s">
        <v>15</v>
      </c>
      <c r="Q1557" s="6"/>
      <c r="R1557" s="6"/>
      <c r="S1557" s="6"/>
      <c r="T1557" s="6" t="s">
        <v>16</v>
      </c>
      <c r="U1557" s="9" t="s">
        <v>17</v>
      </c>
      <c r="AI1557" s="6" t="s">
        <v>18</v>
      </c>
      <c r="AJ1557" s="12" t="s">
        <v>10297</v>
      </c>
      <c r="AL1557" s="13" t="s">
        <v>20</v>
      </c>
    </row>
    <row r="1558">
      <c r="A1558" s="5" t="s">
        <v>10304</v>
      </c>
      <c r="B1558" s="5" t="s">
        <v>10305</v>
      </c>
      <c r="C1558" s="5" t="s">
        <v>10306</v>
      </c>
      <c r="D1558" s="5" t="s">
        <v>8</v>
      </c>
      <c r="E1558" s="6"/>
      <c r="F1558" s="6"/>
      <c r="G1558" s="7" t="s">
        <v>10307</v>
      </c>
      <c r="I1558" s="8" t="s">
        <v>10308</v>
      </c>
      <c r="J1558" s="9">
        <v>12.9</v>
      </c>
      <c r="K1558" s="10" t="s">
        <v>11</v>
      </c>
      <c r="L1558" s="6"/>
      <c r="M1558" s="11" t="s">
        <v>12</v>
      </c>
      <c r="N1558" s="6" t="s">
        <v>10309</v>
      </c>
      <c r="O1558" s="6" t="s">
        <v>10310</v>
      </c>
      <c r="P1558" s="10" t="s">
        <v>15</v>
      </c>
      <c r="Q1558" s="6"/>
      <c r="R1558" s="6"/>
      <c r="S1558" s="6"/>
      <c r="T1558" s="6" t="s">
        <v>16</v>
      </c>
      <c r="U1558" s="9" t="s">
        <v>17</v>
      </c>
      <c r="AI1558" s="6" t="s">
        <v>18</v>
      </c>
      <c r="AJ1558" s="12" t="s">
        <v>10311</v>
      </c>
      <c r="AL1558" s="13" t="s">
        <v>20</v>
      </c>
    </row>
    <row r="1559">
      <c r="A1559" s="5" t="s">
        <v>10312</v>
      </c>
      <c r="B1559" s="5" t="s">
        <v>10313</v>
      </c>
      <c r="C1559" s="5" t="s">
        <v>10306</v>
      </c>
      <c r="D1559" s="5" t="s">
        <v>8</v>
      </c>
      <c r="E1559" s="6"/>
      <c r="F1559" s="6"/>
      <c r="G1559" s="7" t="s">
        <v>10314</v>
      </c>
      <c r="I1559" s="8" t="s">
        <v>10315</v>
      </c>
      <c r="J1559" s="9">
        <v>29.9</v>
      </c>
      <c r="K1559" s="10" t="s">
        <v>11</v>
      </c>
      <c r="L1559" s="6"/>
      <c r="M1559" s="11" t="s">
        <v>12</v>
      </c>
      <c r="N1559" s="6" t="s">
        <v>10316</v>
      </c>
      <c r="O1559" s="6" t="s">
        <v>10317</v>
      </c>
      <c r="P1559" s="10" t="s">
        <v>15</v>
      </c>
      <c r="Q1559" s="6"/>
      <c r="R1559" s="6"/>
      <c r="S1559" s="6"/>
      <c r="T1559" s="6" t="s">
        <v>16</v>
      </c>
      <c r="U1559" s="9" t="s">
        <v>17</v>
      </c>
      <c r="AI1559" s="6" t="s">
        <v>18</v>
      </c>
      <c r="AJ1559" s="12" t="s">
        <v>10311</v>
      </c>
      <c r="AL1559" s="13" t="s">
        <v>20</v>
      </c>
    </row>
    <row r="1560">
      <c r="A1560" s="5" t="s">
        <v>10318</v>
      </c>
      <c r="B1560" s="5" t="s">
        <v>10319</v>
      </c>
      <c r="C1560" s="5" t="s">
        <v>10264</v>
      </c>
      <c r="D1560" s="5" t="s">
        <v>507</v>
      </c>
      <c r="E1560" s="6"/>
      <c r="F1560" s="6"/>
      <c r="G1560" s="7" t="s">
        <v>10320</v>
      </c>
      <c r="I1560" s="8" t="s">
        <v>10321</v>
      </c>
      <c r="J1560" s="9">
        <v>9.9</v>
      </c>
      <c r="K1560" s="10" t="s">
        <v>11</v>
      </c>
      <c r="L1560" s="6"/>
      <c r="M1560" s="11" t="s">
        <v>12</v>
      </c>
      <c r="N1560" s="6" t="s">
        <v>10322</v>
      </c>
      <c r="O1560" s="6" t="s">
        <v>10323</v>
      </c>
      <c r="P1560" s="10" t="s">
        <v>15</v>
      </c>
      <c r="Q1560" s="6"/>
      <c r="R1560" s="6"/>
      <c r="S1560" s="6"/>
      <c r="T1560" s="6" t="s">
        <v>16</v>
      </c>
      <c r="U1560" s="9" t="s">
        <v>17</v>
      </c>
      <c r="AI1560" s="6" t="s">
        <v>18</v>
      </c>
      <c r="AJ1560" s="12" t="s">
        <v>10324</v>
      </c>
      <c r="AL1560" s="13" t="s">
        <v>20</v>
      </c>
    </row>
    <row r="1561">
      <c r="A1561" s="5" t="s">
        <v>10325</v>
      </c>
      <c r="B1561" s="5" t="s">
        <v>10326</v>
      </c>
      <c r="C1561" s="5" t="s">
        <v>10264</v>
      </c>
      <c r="D1561" s="5" t="s">
        <v>507</v>
      </c>
      <c r="E1561" s="6"/>
      <c r="F1561" s="6"/>
      <c r="G1561" s="7" t="s">
        <v>10327</v>
      </c>
      <c r="I1561" s="8" t="s">
        <v>10328</v>
      </c>
      <c r="J1561" s="9">
        <v>19.7</v>
      </c>
      <c r="K1561" s="10" t="s">
        <v>11</v>
      </c>
      <c r="L1561" s="6"/>
      <c r="M1561" s="11" t="s">
        <v>12</v>
      </c>
      <c r="N1561" s="6" t="s">
        <v>10329</v>
      </c>
      <c r="O1561" s="6" t="s">
        <v>10330</v>
      </c>
      <c r="P1561" s="10" t="s">
        <v>15</v>
      </c>
      <c r="Q1561" s="6"/>
      <c r="R1561" s="6"/>
      <c r="S1561" s="6"/>
      <c r="T1561" s="6" t="s">
        <v>16</v>
      </c>
      <c r="U1561" s="9" t="s">
        <v>17</v>
      </c>
      <c r="AI1561" s="6" t="s">
        <v>18</v>
      </c>
      <c r="AJ1561" s="12" t="s">
        <v>10324</v>
      </c>
      <c r="AL1561" s="13" t="s">
        <v>20</v>
      </c>
    </row>
    <row r="1562">
      <c r="A1562" s="5" t="s">
        <v>10331</v>
      </c>
      <c r="B1562" s="5" t="s">
        <v>10332</v>
      </c>
      <c r="C1562" s="5" t="s">
        <v>10333</v>
      </c>
      <c r="D1562" s="5" t="s">
        <v>507</v>
      </c>
      <c r="E1562" s="6"/>
      <c r="F1562" s="6"/>
      <c r="G1562" s="7" t="s">
        <v>10334</v>
      </c>
      <c r="I1562" s="8" t="s">
        <v>10335</v>
      </c>
      <c r="J1562" s="9">
        <v>9.9</v>
      </c>
      <c r="K1562" s="10">
        <v>8.41</v>
      </c>
      <c r="L1562" s="6"/>
      <c r="M1562" s="11" t="s">
        <v>12</v>
      </c>
      <c r="N1562" s="6" t="s">
        <v>10336</v>
      </c>
      <c r="O1562" s="6" t="s">
        <v>10337</v>
      </c>
      <c r="P1562" s="10" t="s">
        <v>15</v>
      </c>
      <c r="Q1562" s="6"/>
      <c r="R1562" s="6"/>
      <c r="S1562" s="6"/>
      <c r="T1562" s="6" t="s">
        <v>16</v>
      </c>
      <c r="U1562" s="9" t="s">
        <v>17</v>
      </c>
      <c r="AI1562" s="6" t="s">
        <v>18</v>
      </c>
      <c r="AJ1562" s="12" t="s">
        <v>10338</v>
      </c>
      <c r="AL1562" s="13" t="s">
        <v>20</v>
      </c>
    </row>
    <row r="1563">
      <c r="A1563" s="5" t="s">
        <v>10339</v>
      </c>
      <c r="B1563" s="5" t="s">
        <v>10340</v>
      </c>
      <c r="C1563" s="5" t="s">
        <v>10333</v>
      </c>
      <c r="D1563" s="5" t="s">
        <v>507</v>
      </c>
      <c r="E1563" s="6"/>
      <c r="F1563" s="6"/>
      <c r="G1563" s="7" t="s">
        <v>10341</v>
      </c>
      <c r="I1563" s="8" t="s">
        <v>10342</v>
      </c>
      <c r="J1563" s="9">
        <v>19.7</v>
      </c>
      <c r="K1563" s="10">
        <v>16.75</v>
      </c>
      <c r="L1563" s="6"/>
      <c r="M1563" s="11" t="s">
        <v>12</v>
      </c>
      <c r="N1563" s="6" t="s">
        <v>10343</v>
      </c>
      <c r="O1563" s="6" t="s">
        <v>10344</v>
      </c>
      <c r="P1563" s="10" t="s">
        <v>15</v>
      </c>
      <c r="Q1563" s="6"/>
      <c r="R1563" s="6"/>
      <c r="S1563" s="6"/>
      <c r="T1563" s="6" t="s">
        <v>16</v>
      </c>
      <c r="U1563" s="9" t="s">
        <v>17</v>
      </c>
      <c r="AI1563" s="6" t="s">
        <v>18</v>
      </c>
      <c r="AJ1563" s="12" t="s">
        <v>10338</v>
      </c>
      <c r="AL1563" s="13" t="s">
        <v>20</v>
      </c>
    </row>
    <row r="1564">
      <c r="A1564" s="5" t="s">
        <v>10345</v>
      </c>
      <c r="B1564" s="5" t="s">
        <v>10346</v>
      </c>
      <c r="C1564" s="5" t="s">
        <v>10347</v>
      </c>
      <c r="D1564" s="5" t="s">
        <v>507</v>
      </c>
      <c r="E1564" s="6"/>
      <c r="F1564" s="6"/>
      <c r="G1564" s="7" t="s">
        <v>10348</v>
      </c>
      <c r="I1564" s="8" t="s">
        <v>10349</v>
      </c>
      <c r="J1564" s="9">
        <v>9.7</v>
      </c>
      <c r="K1564" s="10" t="s">
        <v>11</v>
      </c>
      <c r="L1564" s="6"/>
      <c r="M1564" s="11" t="s">
        <v>12</v>
      </c>
      <c r="N1564" s="6" t="s">
        <v>10350</v>
      </c>
      <c r="O1564" s="6" t="s">
        <v>10351</v>
      </c>
      <c r="P1564" s="10" t="s">
        <v>15</v>
      </c>
      <c r="Q1564" s="6"/>
      <c r="R1564" s="6"/>
      <c r="S1564" s="6"/>
      <c r="T1564" s="6" t="s">
        <v>16</v>
      </c>
      <c r="U1564" s="9" t="s">
        <v>17</v>
      </c>
      <c r="AI1564" s="6" t="s">
        <v>18</v>
      </c>
      <c r="AJ1564" s="12" t="s">
        <v>10352</v>
      </c>
      <c r="AL1564" s="13" t="s">
        <v>20</v>
      </c>
    </row>
    <row r="1565">
      <c r="A1565" s="5" t="s">
        <v>10353</v>
      </c>
      <c r="B1565" s="5" t="s">
        <v>10354</v>
      </c>
      <c r="C1565" s="5" t="s">
        <v>819</v>
      </c>
      <c r="D1565" s="5" t="s">
        <v>8</v>
      </c>
      <c r="E1565" s="6"/>
      <c r="F1565" s="6"/>
      <c r="G1565" s="7" t="s">
        <v>10355</v>
      </c>
      <c r="I1565" s="8" t="s">
        <v>10356</v>
      </c>
      <c r="J1565" s="9">
        <v>8.9</v>
      </c>
      <c r="K1565" s="10" t="s">
        <v>11</v>
      </c>
      <c r="L1565" s="6"/>
      <c r="M1565" s="11" t="s">
        <v>12</v>
      </c>
      <c r="N1565" s="6" t="s">
        <v>10357</v>
      </c>
      <c r="O1565" s="6" t="s">
        <v>10358</v>
      </c>
      <c r="P1565" s="10" t="s">
        <v>15</v>
      </c>
      <c r="Q1565" s="6"/>
      <c r="R1565" s="6"/>
      <c r="S1565" s="6"/>
      <c r="T1565" s="6" t="s">
        <v>16</v>
      </c>
      <c r="U1565" s="9" t="s">
        <v>17</v>
      </c>
      <c r="AI1565" s="6" t="s">
        <v>18</v>
      </c>
      <c r="AJ1565" s="12" t="s">
        <v>10359</v>
      </c>
      <c r="AL1565" s="13" t="s">
        <v>20</v>
      </c>
    </row>
    <row r="1566">
      <c r="A1566" s="5" t="s">
        <v>10360</v>
      </c>
      <c r="B1566" s="5" t="s">
        <v>10361</v>
      </c>
      <c r="C1566" s="5" t="s">
        <v>819</v>
      </c>
      <c r="D1566" s="5" t="s">
        <v>8</v>
      </c>
      <c r="E1566" s="6"/>
      <c r="F1566" s="6"/>
      <c r="G1566" s="7" t="s">
        <v>10362</v>
      </c>
      <c r="I1566" s="8" t="s">
        <v>10363</v>
      </c>
      <c r="J1566" s="9">
        <v>18.5</v>
      </c>
      <c r="K1566" s="10" t="s">
        <v>11</v>
      </c>
      <c r="L1566" s="6"/>
      <c r="M1566" s="11" t="s">
        <v>12</v>
      </c>
      <c r="N1566" s="6" t="s">
        <v>10364</v>
      </c>
      <c r="O1566" s="6" t="s">
        <v>10365</v>
      </c>
      <c r="P1566" s="10" t="s">
        <v>15</v>
      </c>
      <c r="Q1566" s="6"/>
      <c r="R1566" s="6"/>
      <c r="S1566" s="6"/>
      <c r="T1566" s="6" t="s">
        <v>16</v>
      </c>
      <c r="U1566" s="9" t="s">
        <v>17</v>
      </c>
      <c r="AI1566" s="6" t="s">
        <v>18</v>
      </c>
      <c r="AJ1566" s="12" t="s">
        <v>10359</v>
      </c>
      <c r="AL1566" s="13" t="s">
        <v>20</v>
      </c>
    </row>
    <row r="1567">
      <c r="A1567" s="5" t="s">
        <v>10366</v>
      </c>
      <c r="B1567" s="5" t="s">
        <v>10367</v>
      </c>
      <c r="C1567" s="5" t="s">
        <v>10368</v>
      </c>
      <c r="D1567" s="5" t="s">
        <v>507</v>
      </c>
      <c r="E1567" s="6"/>
      <c r="F1567" s="6"/>
      <c r="G1567" s="7" t="s">
        <v>10369</v>
      </c>
      <c r="I1567" s="8" t="s">
        <v>10370</v>
      </c>
      <c r="J1567" s="9">
        <v>9.9</v>
      </c>
      <c r="K1567" s="10" t="s">
        <v>11</v>
      </c>
      <c r="L1567" s="6"/>
      <c r="M1567" s="11" t="s">
        <v>12</v>
      </c>
      <c r="N1567" s="6" t="s">
        <v>10371</v>
      </c>
      <c r="O1567" s="6" t="s">
        <v>10372</v>
      </c>
      <c r="P1567" s="10" t="s">
        <v>15</v>
      </c>
      <c r="Q1567" s="6"/>
      <c r="R1567" s="6"/>
      <c r="S1567" s="6"/>
      <c r="T1567" s="6" t="s">
        <v>16</v>
      </c>
      <c r="U1567" s="9" t="s">
        <v>17</v>
      </c>
      <c r="AI1567" s="6" t="s">
        <v>18</v>
      </c>
      <c r="AJ1567" s="12" t="s">
        <v>10373</v>
      </c>
      <c r="AL1567" s="13" t="s">
        <v>20</v>
      </c>
    </row>
    <row r="1568">
      <c r="A1568" s="5" t="s">
        <v>10374</v>
      </c>
      <c r="B1568" s="5" t="s">
        <v>10375</v>
      </c>
      <c r="C1568" s="5" t="s">
        <v>10376</v>
      </c>
      <c r="D1568" s="5" t="s">
        <v>8</v>
      </c>
      <c r="E1568" s="6"/>
      <c r="F1568" s="6"/>
      <c r="G1568" s="7" t="s">
        <v>10377</v>
      </c>
      <c r="I1568" s="8" t="s">
        <v>10378</v>
      </c>
      <c r="J1568" s="9">
        <v>5.9</v>
      </c>
      <c r="K1568" s="10" t="s">
        <v>11</v>
      </c>
      <c r="L1568" s="6"/>
      <c r="M1568" s="11" t="s">
        <v>12</v>
      </c>
      <c r="N1568" s="6" t="s">
        <v>10379</v>
      </c>
      <c r="O1568" s="6" t="s">
        <v>10380</v>
      </c>
      <c r="P1568" s="10" t="s">
        <v>15</v>
      </c>
      <c r="Q1568" s="6"/>
      <c r="R1568" s="6"/>
      <c r="S1568" s="6"/>
      <c r="T1568" s="6" t="s">
        <v>16</v>
      </c>
      <c r="U1568" s="9" t="s">
        <v>17</v>
      </c>
      <c r="AI1568" s="6" t="s">
        <v>18</v>
      </c>
      <c r="AJ1568" s="12" t="s">
        <v>10381</v>
      </c>
      <c r="AL1568" s="13" t="s">
        <v>20</v>
      </c>
    </row>
    <row r="1569">
      <c r="A1569" s="5" t="s">
        <v>10382</v>
      </c>
      <c r="B1569" s="5" t="s">
        <v>10383</v>
      </c>
      <c r="C1569" s="5" t="s">
        <v>10376</v>
      </c>
      <c r="D1569" s="5" t="s">
        <v>8</v>
      </c>
      <c r="E1569" s="6"/>
      <c r="F1569" s="6"/>
      <c r="G1569" s="7" t="s">
        <v>10384</v>
      </c>
      <c r="I1569" s="8" t="s">
        <v>10385</v>
      </c>
      <c r="J1569" s="9">
        <v>14.9</v>
      </c>
      <c r="K1569" s="10" t="s">
        <v>11</v>
      </c>
      <c r="L1569" s="6"/>
      <c r="M1569" s="11" t="s">
        <v>12</v>
      </c>
      <c r="N1569" s="6" t="s">
        <v>10386</v>
      </c>
      <c r="O1569" s="6" t="s">
        <v>10387</v>
      </c>
      <c r="P1569" s="10" t="s">
        <v>15</v>
      </c>
      <c r="Q1569" s="6"/>
      <c r="R1569" s="6"/>
      <c r="S1569" s="6"/>
      <c r="T1569" s="6" t="s">
        <v>16</v>
      </c>
      <c r="U1569" s="9" t="s">
        <v>17</v>
      </c>
      <c r="AI1569" s="6" t="s">
        <v>18</v>
      </c>
      <c r="AJ1569" s="12" t="s">
        <v>10381</v>
      </c>
      <c r="AL1569" s="13" t="s">
        <v>20</v>
      </c>
    </row>
    <row r="1570">
      <c r="A1570" s="5" t="s">
        <v>10388</v>
      </c>
      <c r="B1570" s="5" t="s">
        <v>10389</v>
      </c>
      <c r="C1570" s="5" t="s">
        <v>10390</v>
      </c>
      <c r="D1570" s="5" t="s">
        <v>507</v>
      </c>
      <c r="E1570" s="6"/>
      <c r="F1570" s="6"/>
      <c r="G1570" s="7" t="s">
        <v>10391</v>
      </c>
      <c r="I1570" s="8" t="s">
        <v>10392</v>
      </c>
      <c r="J1570" s="9">
        <v>7.9</v>
      </c>
      <c r="K1570" s="10" t="s">
        <v>11</v>
      </c>
      <c r="L1570" s="6"/>
      <c r="M1570" s="11" t="s">
        <v>12</v>
      </c>
      <c r="N1570" s="6" t="s">
        <v>10393</v>
      </c>
      <c r="O1570" s="6" t="s">
        <v>10394</v>
      </c>
      <c r="P1570" s="10" t="s">
        <v>15</v>
      </c>
      <c r="Q1570" s="6"/>
      <c r="R1570" s="6"/>
      <c r="S1570" s="6"/>
      <c r="T1570" s="6" t="s">
        <v>16</v>
      </c>
      <c r="U1570" s="9" t="s">
        <v>17</v>
      </c>
      <c r="AI1570" s="6" t="s">
        <v>18</v>
      </c>
      <c r="AJ1570" s="12" t="s">
        <v>10395</v>
      </c>
      <c r="AL1570" s="13" t="s">
        <v>20</v>
      </c>
    </row>
    <row r="1571">
      <c r="A1571" s="5" t="s">
        <v>10396</v>
      </c>
      <c r="B1571" s="5" t="s">
        <v>10397</v>
      </c>
      <c r="C1571" s="5" t="s">
        <v>10390</v>
      </c>
      <c r="D1571" s="5" t="s">
        <v>507</v>
      </c>
      <c r="E1571" s="6"/>
      <c r="F1571" s="6"/>
      <c r="G1571" s="7" t="s">
        <v>10398</v>
      </c>
      <c r="I1571" s="8" t="s">
        <v>10399</v>
      </c>
      <c r="J1571" s="9">
        <v>47.2</v>
      </c>
      <c r="K1571" s="10" t="s">
        <v>11</v>
      </c>
      <c r="L1571" s="6"/>
      <c r="M1571" s="11" t="s">
        <v>12</v>
      </c>
      <c r="N1571" s="6" t="s">
        <v>10400</v>
      </c>
      <c r="O1571" s="6" t="s">
        <v>10401</v>
      </c>
      <c r="P1571" s="10" t="s">
        <v>15</v>
      </c>
      <c r="Q1571" s="6"/>
      <c r="R1571" s="6"/>
      <c r="S1571" s="6"/>
      <c r="T1571" s="6" t="s">
        <v>16</v>
      </c>
      <c r="U1571" s="9" t="s">
        <v>17</v>
      </c>
      <c r="AI1571" s="6" t="s">
        <v>18</v>
      </c>
      <c r="AJ1571" s="12" t="s">
        <v>10395</v>
      </c>
      <c r="AL1571" s="13" t="s">
        <v>20</v>
      </c>
    </row>
    <row r="1572">
      <c r="A1572" s="5" t="s">
        <v>10402</v>
      </c>
      <c r="B1572" s="5" t="s">
        <v>10403</v>
      </c>
      <c r="C1572" s="5" t="s">
        <v>10404</v>
      </c>
      <c r="D1572" s="5" t="s">
        <v>8</v>
      </c>
      <c r="E1572" s="6"/>
      <c r="F1572" s="6"/>
      <c r="G1572" s="7" t="s">
        <v>10405</v>
      </c>
      <c r="I1572" s="8" t="s">
        <v>10406</v>
      </c>
      <c r="J1572" s="9">
        <v>7.9</v>
      </c>
      <c r="K1572" s="10" t="s">
        <v>11</v>
      </c>
      <c r="L1572" s="6"/>
      <c r="M1572" s="11" t="s">
        <v>12</v>
      </c>
      <c r="N1572" s="6" t="s">
        <v>10407</v>
      </c>
      <c r="O1572" s="6" t="s">
        <v>10408</v>
      </c>
      <c r="P1572" s="10" t="s">
        <v>15</v>
      </c>
      <c r="Q1572" s="6"/>
      <c r="R1572" s="6"/>
      <c r="S1572" s="6"/>
      <c r="T1572" s="6" t="s">
        <v>16</v>
      </c>
      <c r="U1572" s="9" t="s">
        <v>17</v>
      </c>
      <c r="AI1572" s="6" t="s">
        <v>18</v>
      </c>
      <c r="AJ1572" s="12" t="s">
        <v>10409</v>
      </c>
      <c r="AL1572" s="13" t="s">
        <v>20</v>
      </c>
    </row>
    <row r="1573">
      <c r="A1573" s="5" t="s">
        <v>10410</v>
      </c>
      <c r="B1573" s="5" t="s">
        <v>10411</v>
      </c>
      <c r="C1573" s="5" t="s">
        <v>10404</v>
      </c>
      <c r="D1573" s="5" t="s">
        <v>8</v>
      </c>
      <c r="E1573" s="6"/>
      <c r="F1573" s="6"/>
      <c r="G1573" s="7" t="s">
        <v>10412</v>
      </c>
      <c r="I1573" s="8" t="s">
        <v>10413</v>
      </c>
      <c r="J1573" s="9">
        <v>18.9</v>
      </c>
      <c r="K1573" s="10" t="s">
        <v>11</v>
      </c>
      <c r="L1573" s="6"/>
      <c r="M1573" s="11" t="s">
        <v>12</v>
      </c>
      <c r="N1573" s="6" t="s">
        <v>10414</v>
      </c>
      <c r="O1573" s="6" t="s">
        <v>10415</v>
      </c>
      <c r="P1573" s="10" t="s">
        <v>15</v>
      </c>
      <c r="Q1573" s="6"/>
      <c r="R1573" s="6"/>
      <c r="S1573" s="6"/>
      <c r="T1573" s="6" t="s">
        <v>16</v>
      </c>
      <c r="U1573" s="9" t="s">
        <v>17</v>
      </c>
      <c r="AI1573" s="6" t="s">
        <v>18</v>
      </c>
      <c r="AJ1573" s="12" t="s">
        <v>10409</v>
      </c>
      <c r="AL1573" s="13" t="s">
        <v>20</v>
      </c>
    </row>
    <row r="1574">
      <c r="A1574" s="5" t="s">
        <v>10416</v>
      </c>
      <c r="B1574" s="5" t="s">
        <v>10417</v>
      </c>
      <c r="C1574" s="5" t="s">
        <v>10418</v>
      </c>
      <c r="D1574" s="5" t="s">
        <v>8</v>
      </c>
      <c r="E1574" s="6"/>
      <c r="F1574" s="6"/>
      <c r="G1574" s="7" t="s">
        <v>10419</v>
      </c>
      <c r="I1574" s="8" t="s">
        <v>10420</v>
      </c>
      <c r="J1574" s="9">
        <v>7.9</v>
      </c>
      <c r="K1574" s="10" t="s">
        <v>11</v>
      </c>
      <c r="L1574" s="6"/>
      <c r="M1574" s="11" t="s">
        <v>12</v>
      </c>
      <c r="N1574" s="6" t="s">
        <v>10421</v>
      </c>
      <c r="O1574" s="6" t="s">
        <v>10422</v>
      </c>
      <c r="P1574" s="10" t="s">
        <v>15</v>
      </c>
      <c r="Q1574" s="6"/>
      <c r="R1574" s="6"/>
      <c r="S1574" s="6"/>
      <c r="T1574" s="6" t="s">
        <v>16</v>
      </c>
      <c r="U1574" s="9" t="s">
        <v>17</v>
      </c>
      <c r="AI1574" s="6" t="s">
        <v>18</v>
      </c>
      <c r="AJ1574" s="12" t="s">
        <v>10423</v>
      </c>
      <c r="AL1574" s="13" t="s">
        <v>20</v>
      </c>
    </row>
    <row r="1575">
      <c r="A1575" s="5" t="s">
        <v>10424</v>
      </c>
      <c r="B1575" s="5" t="s">
        <v>10425</v>
      </c>
      <c r="C1575" s="5" t="s">
        <v>10418</v>
      </c>
      <c r="D1575" s="5" t="s">
        <v>8</v>
      </c>
      <c r="E1575" s="6"/>
      <c r="F1575" s="6"/>
      <c r="G1575" s="7" t="s">
        <v>10426</v>
      </c>
      <c r="I1575" s="8" t="s">
        <v>10427</v>
      </c>
      <c r="J1575" s="9">
        <v>15.9</v>
      </c>
      <c r="K1575" s="10" t="s">
        <v>11</v>
      </c>
      <c r="L1575" s="6"/>
      <c r="M1575" s="11" t="s">
        <v>12</v>
      </c>
      <c r="N1575" s="6" t="s">
        <v>10428</v>
      </c>
      <c r="O1575" s="6" t="s">
        <v>10429</v>
      </c>
      <c r="P1575" s="10" t="s">
        <v>15</v>
      </c>
      <c r="Q1575" s="6"/>
      <c r="R1575" s="6"/>
      <c r="S1575" s="6"/>
      <c r="T1575" s="6" t="s">
        <v>16</v>
      </c>
      <c r="U1575" s="9" t="s">
        <v>17</v>
      </c>
      <c r="AI1575" s="6" t="s">
        <v>18</v>
      </c>
      <c r="AJ1575" s="12" t="s">
        <v>10423</v>
      </c>
      <c r="AL1575" s="13" t="s">
        <v>20</v>
      </c>
    </row>
    <row r="1576">
      <c r="A1576" s="5" t="s">
        <v>10430</v>
      </c>
      <c r="B1576" s="5" t="s">
        <v>10431</v>
      </c>
      <c r="C1576" s="5" t="s">
        <v>10432</v>
      </c>
      <c r="D1576" s="5" t="s">
        <v>8</v>
      </c>
      <c r="E1576" s="6"/>
      <c r="F1576" s="6"/>
      <c r="G1576" s="7" t="s">
        <v>10433</v>
      </c>
      <c r="I1576" s="8" t="s">
        <v>10434</v>
      </c>
      <c r="J1576" s="9">
        <v>9.9</v>
      </c>
      <c r="K1576" s="10" t="s">
        <v>11</v>
      </c>
      <c r="L1576" s="6"/>
      <c r="M1576" s="11" t="s">
        <v>12</v>
      </c>
      <c r="N1576" s="6" t="s">
        <v>10435</v>
      </c>
      <c r="O1576" s="6" t="s">
        <v>10436</v>
      </c>
      <c r="P1576" s="10" t="s">
        <v>15</v>
      </c>
      <c r="Q1576" s="6"/>
      <c r="R1576" s="6"/>
      <c r="S1576" s="6"/>
      <c r="T1576" s="6" t="s">
        <v>16</v>
      </c>
      <c r="U1576" s="9" t="s">
        <v>17</v>
      </c>
      <c r="AI1576" s="6" t="s">
        <v>18</v>
      </c>
      <c r="AJ1576" s="12" t="s">
        <v>10437</v>
      </c>
      <c r="AL1576" s="13" t="s">
        <v>20</v>
      </c>
    </row>
    <row r="1577">
      <c r="A1577" s="5" t="s">
        <v>10438</v>
      </c>
      <c r="B1577" s="5" t="s">
        <v>10439</v>
      </c>
      <c r="C1577" s="5" t="s">
        <v>10432</v>
      </c>
      <c r="D1577" s="5" t="s">
        <v>8</v>
      </c>
      <c r="E1577" s="6"/>
      <c r="F1577" s="6"/>
      <c r="G1577" s="7" t="s">
        <v>10440</v>
      </c>
      <c r="I1577" s="8" t="s">
        <v>10441</v>
      </c>
      <c r="J1577" s="9">
        <v>23.5</v>
      </c>
      <c r="K1577" s="10" t="s">
        <v>11</v>
      </c>
      <c r="L1577" s="6"/>
      <c r="M1577" s="11" t="s">
        <v>12</v>
      </c>
      <c r="N1577" s="6" t="s">
        <v>10442</v>
      </c>
      <c r="O1577" s="6" t="s">
        <v>10443</v>
      </c>
      <c r="P1577" s="10" t="s">
        <v>15</v>
      </c>
      <c r="Q1577" s="6"/>
      <c r="R1577" s="6"/>
      <c r="S1577" s="6"/>
      <c r="T1577" s="6" t="s">
        <v>16</v>
      </c>
      <c r="U1577" s="9" t="s">
        <v>17</v>
      </c>
      <c r="AI1577" s="6" t="s">
        <v>18</v>
      </c>
      <c r="AJ1577" s="12" t="s">
        <v>10437</v>
      </c>
      <c r="AL1577" s="13" t="s">
        <v>20</v>
      </c>
    </row>
    <row r="1578">
      <c r="A1578" s="5" t="s">
        <v>10444</v>
      </c>
      <c r="B1578" s="5" t="s">
        <v>10445</v>
      </c>
      <c r="C1578" s="5" t="s">
        <v>10446</v>
      </c>
      <c r="D1578" s="5" t="s">
        <v>8</v>
      </c>
      <c r="E1578" s="6"/>
      <c r="F1578" s="6"/>
      <c r="G1578" s="7" t="s">
        <v>10447</v>
      </c>
      <c r="I1578" s="8" t="s">
        <v>10448</v>
      </c>
      <c r="J1578" s="9">
        <v>13.9</v>
      </c>
      <c r="K1578" s="10" t="s">
        <v>11</v>
      </c>
      <c r="L1578" s="6"/>
      <c r="M1578" s="11" t="s">
        <v>12</v>
      </c>
      <c r="N1578" s="6" t="s">
        <v>10449</v>
      </c>
      <c r="O1578" s="6" t="s">
        <v>10450</v>
      </c>
      <c r="P1578" s="10" t="s">
        <v>15</v>
      </c>
      <c r="Q1578" s="6"/>
      <c r="R1578" s="6"/>
      <c r="S1578" s="6"/>
      <c r="T1578" s="6" t="s">
        <v>16</v>
      </c>
      <c r="U1578" s="9" t="s">
        <v>17</v>
      </c>
      <c r="AI1578" s="6" t="s">
        <v>18</v>
      </c>
      <c r="AJ1578" s="12" t="s">
        <v>10451</v>
      </c>
      <c r="AL1578" s="13" t="s">
        <v>20</v>
      </c>
    </row>
    <row r="1579">
      <c r="A1579" s="5" t="s">
        <v>10452</v>
      </c>
      <c r="B1579" s="5" t="s">
        <v>10453</v>
      </c>
      <c r="C1579" s="5" t="s">
        <v>10454</v>
      </c>
      <c r="D1579" s="5" t="s">
        <v>8</v>
      </c>
      <c r="E1579" s="6"/>
      <c r="F1579" s="6"/>
      <c r="G1579" s="7" t="s">
        <v>10455</v>
      </c>
      <c r="I1579" s="8" t="s">
        <v>10456</v>
      </c>
      <c r="J1579" s="9">
        <v>9.9</v>
      </c>
      <c r="K1579" s="10" t="s">
        <v>11</v>
      </c>
      <c r="L1579" s="6"/>
      <c r="M1579" s="11" t="s">
        <v>12</v>
      </c>
      <c r="N1579" s="6" t="s">
        <v>10457</v>
      </c>
      <c r="O1579" s="6" t="s">
        <v>10458</v>
      </c>
      <c r="P1579" s="10" t="s">
        <v>15</v>
      </c>
      <c r="Q1579" s="6"/>
      <c r="R1579" s="6"/>
      <c r="S1579" s="6"/>
      <c r="T1579" s="6" t="s">
        <v>16</v>
      </c>
      <c r="U1579" s="9" t="s">
        <v>17</v>
      </c>
      <c r="AI1579" s="6" t="s">
        <v>18</v>
      </c>
      <c r="AJ1579" s="12" t="s">
        <v>10459</v>
      </c>
      <c r="AL1579" s="13" t="s">
        <v>20</v>
      </c>
    </row>
    <row r="1580">
      <c r="A1580" s="5" t="s">
        <v>10460</v>
      </c>
      <c r="B1580" s="5" t="s">
        <v>10461</v>
      </c>
      <c r="C1580" s="5" t="s">
        <v>10454</v>
      </c>
      <c r="D1580" s="5" t="s">
        <v>8</v>
      </c>
      <c r="E1580" s="6"/>
      <c r="F1580" s="6"/>
      <c r="G1580" s="7" t="s">
        <v>10462</v>
      </c>
      <c r="I1580" s="8" t="s">
        <v>10463</v>
      </c>
      <c r="J1580" s="9">
        <v>18.5</v>
      </c>
      <c r="K1580" s="10" t="s">
        <v>11</v>
      </c>
      <c r="L1580" s="6"/>
      <c r="M1580" s="11" t="s">
        <v>12</v>
      </c>
      <c r="N1580" s="6" t="s">
        <v>10464</v>
      </c>
      <c r="O1580" s="6" t="s">
        <v>10465</v>
      </c>
      <c r="P1580" s="10" t="s">
        <v>15</v>
      </c>
      <c r="Q1580" s="6" t="s">
        <v>10466</v>
      </c>
      <c r="R1580" s="6"/>
      <c r="S1580" s="6"/>
      <c r="T1580" s="6" t="s">
        <v>16</v>
      </c>
      <c r="U1580" s="9" t="s">
        <v>17</v>
      </c>
      <c r="AI1580" s="6" t="s">
        <v>18</v>
      </c>
      <c r="AJ1580" s="12" t="s">
        <v>10459</v>
      </c>
      <c r="AL1580" s="13" t="s">
        <v>20</v>
      </c>
    </row>
    <row r="1581">
      <c r="A1581" s="5" t="s">
        <v>10467</v>
      </c>
      <c r="B1581" s="5" t="s">
        <v>10468</v>
      </c>
      <c r="C1581" s="5" t="s">
        <v>10469</v>
      </c>
      <c r="D1581" s="5" t="s">
        <v>8</v>
      </c>
      <c r="E1581" s="6"/>
      <c r="F1581" s="6"/>
      <c r="G1581" s="7" t="s">
        <v>10470</v>
      </c>
      <c r="I1581" s="8" t="s">
        <v>10471</v>
      </c>
      <c r="J1581" s="9">
        <v>8.9</v>
      </c>
      <c r="K1581" s="10" t="s">
        <v>11</v>
      </c>
      <c r="L1581" s="6"/>
      <c r="M1581" s="11" t="s">
        <v>12</v>
      </c>
      <c r="N1581" s="6" t="s">
        <v>10472</v>
      </c>
      <c r="O1581" s="6" t="s">
        <v>10473</v>
      </c>
      <c r="P1581" s="10" t="s">
        <v>15</v>
      </c>
      <c r="Q1581" s="6"/>
      <c r="R1581" s="6"/>
      <c r="S1581" s="6"/>
      <c r="T1581" s="6" t="s">
        <v>16</v>
      </c>
      <c r="U1581" s="9" t="s">
        <v>17</v>
      </c>
      <c r="AI1581" s="6" t="s">
        <v>18</v>
      </c>
      <c r="AJ1581" s="12" t="s">
        <v>10474</v>
      </c>
      <c r="AL1581" s="13" t="s">
        <v>20</v>
      </c>
    </row>
    <row r="1582">
      <c r="A1582" s="5" t="s">
        <v>10475</v>
      </c>
      <c r="B1582" s="5" t="s">
        <v>10476</v>
      </c>
      <c r="C1582" s="5" t="s">
        <v>10469</v>
      </c>
      <c r="D1582" s="5" t="s">
        <v>8</v>
      </c>
      <c r="E1582" s="6"/>
      <c r="F1582" s="6"/>
      <c r="G1582" s="7" t="s">
        <v>10477</v>
      </c>
      <c r="I1582" s="8" t="s">
        <v>10478</v>
      </c>
      <c r="J1582" s="9">
        <v>26.4</v>
      </c>
      <c r="K1582" s="10" t="s">
        <v>11</v>
      </c>
      <c r="L1582" s="6"/>
      <c r="M1582" s="11" t="s">
        <v>12</v>
      </c>
      <c r="N1582" s="6" t="s">
        <v>10479</v>
      </c>
      <c r="O1582" s="6" t="s">
        <v>10480</v>
      </c>
      <c r="P1582" s="10" t="s">
        <v>15</v>
      </c>
      <c r="Q1582" s="6"/>
      <c r="R1582" s="6"/>
      <c r="S1582" s="6"/>
      <c r="T1582" s="6" t="s">
        <v>16</v>
      </c>
      <c r="U1582" s="9" t="s">
        <v>17</v>
      </c>
      <c r="AI1582" s="6" t="s">
        <v>18</v>
      </c>
      <c r="AJ1582" s="12" t="s">
        <v>10474</v>
      </c>
      <c r="AL1582" s="13" t="s">
        <v>20</v>
      </c>
    </row>
    <row r="1583">
      <c r="A1583" s="5" t="s">
        <v>10481</v>
      </c>
      <c r="B1583" s="5" t="s">
        <v>10482</v>
      </c>
      <c r="C1583" s="5" t="s">
        <v>10483</v>
      </c>
      <c r="D1583" s="5" t="s">
        <v>8</v>
      </c>
      <c r="E1583" s="6"/>
      <c r="F1583" s="6"/>
      <c r="G1583" s="7" t="s">
        <v>10484</v>
      </c>
      <c r="I1583" s="8" t="s">
        <v>10485</v>
      </c>
      <c r="J1583" s="9">
        <v>6.9</v>
      </c>
      <c r="K1583" s="10" t="s">
        <v>11</v>
      </c>
      <c r="L1583" s="6"/>
      <c r="M1583" s="11" t="s">
        <v>12</v>
      </c>
      <c r="N1583" s="6" t="s">
        <v>10486</v>
      </c>
      <c r="O1583" s="6" t="s">
        <v>10487</v>
      </c>
      <c r="P1583" s="10" t="s">
        <v>15</v>
      </c>
      <c r="Q1583" s="6"/>
      <c r="R1583" s="6"/>
      <c r="S1583" s="6"/>
      <c r="T1583" s="6" t="s">
        <v>16</v>
      </c>
      <c r="U1583" s="9" t="s">
        <v>17</v>
      </c>
      <c r="AI1583" s="6" t="s">
        <v>18</v>
      </c>
      <c r="AJ1583" s="12" t="s">
        <v>10488</v>
      </c>
      <c r="AL1583" s="13" t="s">
        <v>20</v>
      </c>
    </row>
    <row r="1584">
      <c r="A1584" s="5" t="s">
        <v>10489</v>
      </c>
      <c r="B1584" s="5" t="s">
        <v>10490</v>
      </c>
      <c r="C1584" s="5" t="s">
        <v>10483</v>
      </c>
      <c r="D1584" s="5" t="s">
        <v>8</v>
      </c>
      <c r="E1584" s="6"/>
      <c r="F1584" s="6"/>
      <c r="G1584" s="7" t="s">
        <v>10491</v>
      </c>
      <c r="I1584" s="8" t="s">
        <v>10492</v>
      </c>
      <c r="J1584" s="9">
        <v>13.9</v>
      </c>
      <c r="K1584" s="10" t="s">
        <v>11</v>
      </c>
      <c r="L1584" s="6"/>
      <c r="M1584" s="11" t="s">
        <v>12</v>
      </c>
      <c r="N1584" s="6" t="s">
        <v>10493</v>
      </c>
      <c r="O1584" s="6" t="s">
        <v>10494</v>
      </c>
      <c r="P1584" s="10" t="s">
        <v>15</v>
      </c>
      <c r="Q1584" s="6"/>
      <c r="R1584" s="6"/>
      <c r="S1584" s="6"/>
      <c r="T1584" s="6" t="s">
        <v>16</v>
      </c>
      <c r="U1584" s="9" t="s">
        <v>17</v>
      </c>
      <c r="AI1584" s="6" t="s">
        <v>18</v>
      </c>
      <c r="AJ1584" s="12" t="s">
        <v>10488</v>
      </c>
      <c r="AL1584" s="13" t="s">
        <v>20</v>
      </c>
    </row>
    <row r="1585">
      <c r="A1585" s="5" t="s">
        <v>10495</v>
      </c>
      <c r="B1585" s="5" t="s">
        <v>10496</v>
      </c>
      <c r="C1585" s="5" t="s">
        <v>10497</v>
      </c>
      <c r="D1585" s="5" t="s">
        <v>8</v>
      </c>
      <c r="E1585" s="6"/>
      <c r="F1585" s="6"/>
      <c r="G1585" s="7" t="s">
        <v>10498</v>
      </c>
      <c r="I1585" s="8" t="s">
        <v>10499</v>
      </c>
      <c r="J1585" s="9">
        <v>6.9</v>
      </c>
      <c r="K1585" s="10" t="s">
        <v>11</v>
      </c>
      <c r="L1585" s="6"/>
      <c r="M1585" s="11" t="s">
        <v>12</v>
      </c>
      <c r="N1585" s="6" t="s">
        <v>10500</v>
      </c>
      <c r="O1585" s="6" t="s">
        <v>10501</v>
      </c>
      <c r="P1585" s="10" t="s">
        <v>15</v>
      </c>
      <c r="Q1585" s="6"/>
      <c r="R1585" s="6"/>
      <c r="S1585" s="6"/>
      <c r="T1585" s="6" t="s">
        <v>16</v>
      </c>
      <c r="U1585" s="9" t="s">
        <v>17</v>
      </c>
      <c r="AI1585" s="6" t="s">
        <v>18</v>
      </c>
      <c r="AJ1585" s="12" t="s">
        <v>10502</v>
      </c>
      <c r="AL1585" s="13" t="s">
        <v>20</v>
      </c>
    </row>
    <row r="1586">
      <c r="A1586" s="5" t="s">
        <v>10503</v>
      </c>
      <c r="B1586" s="5" t="s">
        <v>10504</v>
      </c>
      <c r="C1586" s="5" t="s">
        <v>10497</v>
      </c>
      <c r="D1586" s="5" t="s">
        <v>8</v>
      </c>
      <c r="E1586" s="6"/>
      <c r="F1586" s="6"/>
      <c r="G1586" s="7" t="s">
        <v>10505</v>
      </c>
      <c r="I1586" s="8" t="s">
        <v>10506</v>
      </c>
      <c r="J1586" s="9">
        <v>13.9</v>
      </c>
      <c r="K1586" s="10" t="s">
        <v>11</v>
      </c>
      <c r="L1586" s="6"/>
      <c r="M1586" s="11" t="s">
        <v>12</v>
      </c>
      <c r="N1586" s="6" t="s">
        <v>10507</v>
      </c>
      <c r="O1586" s="6" t="s">
        <v>10508</v>
      </c>
      <c r="P1586" s="10" t="s">
        <v>15</v>
      </c>
      <c r="Q1586" s="6"/>
      <c r="R1586" s="6"/>
      <c r="S1586" s="6"/>
      <c r="T1586" s="6" t="s">
        <v>16</v>
      </c>
      <c r="U1586" s="9" t="s">
        <v>17</v>
      </c>
      <c r="AI1586" s="6" t="s">
        <v>18</v>
      </c>
      <c r="AJ1586" s="12" t="s">
        <v>10502</v>
      </c>
      <c r="AL1586" s="13" t="s">
        <v>20</v>
      </c>
    </row>
    <row r="1587">
      <c r="A1587" s="5" t="s">
        <v>10509</v>
      </c>
      <c r="B1587" s="5" t="s">
        <v>10510</v>
      </c>
      <c r="C1587" s="5" t="s">
        <v>10511</v>
      </c>
      <c r="D1587" s="5" t="s">
        <v>507</v>
      </c>
      <c r="E1587" s="6"/>
      <c r="F1587" s="6"/>
      <c r="G1587" s="7" t="s">
        <v>10512</v>
      </c>
      <c r="I1587" s="8" t="s">
        <v>10513</v>
      </c>
      <c r="J1587" s="9">
        <v>9.9</v>
      </c>
      <c r="K1587" s="10" t="s">
        <v>11</v>
      </c>
      <c r="L1587" s="6"/>
      <c r="M1587" s="11" t="s">
        <v>12</v>
      </c>
      <c r="N1587" s="6" t="s">
        <v>10514</v>
      </c>
      <c r="O1587" s="6" t="s">
        <v>10515</v>
      </c>
      <c r="P1587" s="10" t="s">
        <v>15</v>
      </c>
      <c r="Q1587" s="6"/>
      <c r="R1587" s="6"/>
      <c r="S1587" s="6"/>
      <c r="T1587" s="6" t="s">
        <v>16</v>
      </c>
      <c r="U1587" s="9" t="s">
        <v>17</v>
      </c>
      <c r="AI1587" s="6" t="s">
        <v>18</v>
      </c>
      <c r="AJ1587" s="12" t="s">
        <v>10516</v>
      </c>
      <c r="AL1587" s="13" t="s">
        <v>20</v>
      </c>
    </row>
    <row r="1588">
      <c r="A1588" s="5" t="s">
        <v>10517</v>
      </c>
      <c r="B1588" s="5" t="s">
        <v>10518</v>
      </c>
      <c r="C1588" s="5" t="s">
        <v>10519</v>
      </c>
      <c r="D1588" s="5" t="s">
        <v>8</v>
      </c>
      <c r="E1588" s="6"/>
      <c r="F1588" s="6"/>
      <c r="G1588" s="7" t="s">
        <v>10520</v>
      </c>
      <c r="I1588" s="8" t="s">
        <v>10521</v>
      </c>
      <c r="J1588" s="9">
        <v>9.9</v>
      </c>
      <c r="K1588" s="10" t="s">
        <v>11</v>
      </c>
      <c r="L1588" s="6"/>
      <c r="M1588" s="11" t="s">
        <v>12</v>
      </c>
      <c r="N1588" s="6" t="s">
        <v>10522</v>
      </c>
      <c r="O1588" s="6" t="s">
        <v>10523</v>
      </c>
      <c r="P1588" s="10" t="s">
        <v>15</v>
      </c>
      <c r="Q1588" s="6"/>
      <c r="R1588" s="6"/>
      <c r="S1588" s="6"/>
      <c r="T1588" s="6" t="s">
        <v>16</v>
      </c>
      <c r="U1588" s="9" t="s">
        <v>17</v>
      </c>
      <c r="AI1588" s="6" t="s">
        <v>18</v>
      </c>
      <c r="AJ1588" s="12" t="s">
        <v>10524</v>
      </c>
      <c r="AL1588" s="13" t="s">
        <v>20</v>
      </c>
    </row>
    <row r="1589">
      <c r="A1589" s="5" t="s">
        <v>10525</v>
      </c>
      <c r="B1589" s="5" t="s">
        <v>10526</v>
      </c>
      <c r="C1589" s="5" t="s">
        <v>10527</v>
      </c>
      <c r="D1589" s="5" t="s">
        <v>507</v>
      </c>
      <c r="E1589" s="6"/>
      <c r="F1589" s="6"/>
      <c r="G1589" s="7" t="s">
        <v>10528</v>
      </c>
      <c r="I1589" s="8" t="s">
        <v>10529</v>
      </c>
      <c r="J1589" s="9">
        <v>9.9</v>
      </c>
      <c r="K1589" s="10" t="s">
        <v>11</v>
      </c>
      <c r="L1589" s="6"/>
      <c r="M1589" s="11" t="s">
        <v>12</v>
      </c>
      <c r="N1589" s="6" t="s">
        <v>10530</v>
      </c>
      <c r="O1589" s="6" t="s">
        <v>10531</v>
      </c>
      <c r="P1589" s="10" t="s">
        <v>15</v>
      </c>
      <c r="Q1589" s="6"/>
      <c r="R1589" s="6"/>
      <c r="S1589" s="6"/>
      <c r="T1589" s="6" t="s">
        <v>16</v>
      </c>
      <c r="U1589" s="9" t="s">
        <v>17</v>
      </c>
      <c r="AI1589" s="6" t="s">
        <v>18</v>
      </c>
      <c r="AJ1589" s="12" t="s">
        <v>10532</v>
      </c>
      <c r="AL1589" s="13" t="s">
        <v>20</v>
      </c>
    </row>
    <row r="1590">
      <c r="A1590" s="5" t="s">
        <v>10533</v>
      </c>
      <c r="B1590" s="5" t="s">
        <v>10534</v>
      </c>
      <c r="C1590" s="5" t="s">
        <v>10535</v>
      </c>
      <c r="D1590" s="5" t="s">
        <v>507</v>
      </c>
      <c r="E1590" s="6"/>
      <c r="F1590" s="6"/>
      <c r="G1590" s="7" t="s">
        <v>10536</v>
      </c>
      <c r="I1590" s="8" t="s">
        <v>10537</v>
      </c>
      <c r="J1590" s="9">
        <v>9.9</v>
      </c>
      <c r="K1590" s="10" t="s">
        <v>11</v>
      </c>
      <c r="L1590" s="6"/>
      <c r="M1590" s="11" t="s">
        <v>12</v>
      </c>
      <c r="N1590" s="6" t="s">
        <v>10538</v>
      </c>
      <c r="O1590" s="6" t="s">
        <v>10539</v>
      </c>
      <c r="P1590" s="10" t="s">
        <v>15</v>
      </c>
      <c r="Q1590" s="6"/>
      <c r="R1590" s="6"/>
      <c r="S1590" s="6"/>
      <c r="T1590" s="6" t="s">
        <v>16</v>
      </c>
      <c r="U1590" s="9" t="s">
        <v>17</v>
      </c>
      <c r="AI1590" s="6" t="s">
        <v>18</v>
      </c>
      <c r="AJ1590" s="12" t="s">
        <v>10540</v>
      </c>
      <c r="AL1590" s="13" t="s">
        <v>20</v>
      </c>
    </row>
    <row r="1591">
      <c r="A1591" s="5" t="s">
        <v>10541</v>
      </c>
      <c r="B1591" s="5" t="s">
        <v>10542</v>
      </c>
      <c r="C1591" s="5" t="s">
        <v>10543</v>
      </c>
      <c r="D1591" s="5" t="s">
        <v>8</v>
      </c>
      <c r="E1591" s="6"/>
      <c r="F1591" s="6"/>
      <c r="G1591" s="7" t="s">
        <v>10544</v>
      </c>
      <c r="I1591" s="8" t="s">
        <v>10545</v>
      </c>
      <c r="J1591" s="9">
        <v>7.9</v>
      </c>
      <c r="K1591" s="10" t="s">
        <v>11</v>
      </c>
      <c r="L1591" s="6"/>
      <c r="M1591" s="11" t="s">
        <v>12</v>
      </c>
      <c r="N1591" s="6" t="s">
        <v>10546</v>
      </c>
      <c r="O1591" s="6" t="s">
        <v>10547</v>
      </c>
      <c r="P1591" s="10" t="s">
        <v>15</v>
      </c>
      <c r="Q1591" s="6"/>
      <c r="R1591" s="6"/>
      <c r="S1591" s="6"/>
      <c r="T1591" s="6" t="s">
        <v>16</v>
      </c>
      <c r="U1591" s="9" t="s">
        <v>17</v>
      </c>
      <c r="AI1591" s="6" t="s">
        <v>18</v>
      </c>
      <c r="AJ1591" s="12" t="s">
        <v>10548</v>
      </c>
      <c r="AL1591" s="13" t="s">
        <v>20</v>
      </c>
    </row>
    <row r="1592">
      <c r="A1592" s="5" t="s">
        <v>10549</v>
      </c>
      <c r="B1592" s="5" t="s">
        <v>10550</v>
      </c>
      <c r="C1592" s="5" t="s">
        <v>10543</v>
      </c>
      <c r="D1592" s="5" t="s">
        <v>8</v>
      </c>
      <c r="E1592" s="6"/>
      <c r="F1592" s="6"/>
      <c r="G1592" s="7" t="s">
        <v>10551</v>
      </c>
      <c r="I1592" s="8" t="s">
        <v>10552</v>
      </c>
      <c r="J1592" s="9">
        <v>17.9</v>
      </c>
      <c r="K1592" s="10" t="s">
        <v>11</v>
      </c>
      <c r="L1592" s="6"/>
      <c r="M1592" s="11" t="s">
        <v>12</v>
      </c>
      <c r="N1592" s="6" t="s">
        <v>10553</v>
      </c>
      <c r="O1592" s="6" t="s">
        <v>10554</v>
      </c>
      <c r="P1592" s="10" t="s">
        <v>15</v>
      </c>
      <c r="Q1592" s="6"/>
      <c r="R1592" s="6"/>
      <c r="S1592" s="6"/>
      <c r="T1592" s="6" t="s">
        <v>16</v>
      </c>
      <c r="U1592" s="9" t="s">
        <v>17</v>
      </c>
      <c r="AI1592" s="6" t="s">
        <v>18</v>
      </c>
      <c r="AJ1592" s="12" t="s">
        <v>10548</v>
      </c>
      <c r="AL1592" s="13" t="s">
        <v>20</v>
      </c>
    </row>
    <row r="1593">
      <c r="A1593" s="5" t="s">
        <v>10555</v>
      </c>
      <c r="B1593" s="5" t="s">
        <v>10556</v>
      </c>
      <c r="C1593" s="5" t="s">
        <v>10557</v>
      </c>
      <c r="D1593" s="5" t="s">
        <v>507</v>
      </c>
      <c r="E1593" s="6"/>
      <c r="F1593" s="6"/>
      <c r="G1593" s="7" t="s">
        <v>10558</v>
      </c>
      <c r="I1593" s="8" t="s">
        <v>10559</v>
      </c>
      <c r="J1593" s="9">
        <v>6.8</v>
      </c>
      <c r="K1593" s="10" t="s">
        <v>11</v>
      </c>
      <c r="L1593" s="6"/>
      <c r="M1593" s="11" t="s">
        <v>12</v>
      </c>
      <c r="N1593" s="6" t="s">
        <v>10560</v>
      </c>
      <c r="O1593" s="6" t="s">
        <v>10561</v>
      </c>
      <c r="P1593" s="10" t="s">
        <v>15</v>
      </c>
      <c r="Q1593" s="6"/>
      <c r="R1593" s="6"/>
      <c r="S1593" s="6"/>
      <c r="T1593" s="6" t="s">
        <v>16</v>
      </c>
      <c r="U1593" s="9" t="s">
        <v>17</v>
      </c>
      <c r="AI1593" s="6" t="s">
        <v>18</v>
      </c>
      <c r="AJ1593" s="12" t="s">
        <v>10562</v>
      </c>
      <c r="AL1593" s="13" t="s">
        <v>20</v>
      </c>
    </row>
    <row r="1594">
      <c r="A1594" s="5" t="s">
        <v>10563</v>
      </c>
      <c r="B1594" s="5" t="s">
        <v>10564</v>
      </c>
      <c r="C1594" s="5" t="s">
        <v>10557</v>
      </c>
      <c r="D1594" s="5" t="s">
        <v>507</v>
      </c>
      <c r="E1594" s="6"/>
      <c r="F1594" s="6"/>
      <c r="G1594" s="7" t="s">
        <v>10565</v>
      </c>
      <c r="I1594" s="8" t="s">
        <v>10566</v>
      </c>
      <c r="J1594" s="9">
        <v>32.4</v>
      </c>
      <c r="K1594" s="10" t="s">
        <v>11</v>
      </c>
      <c r="L1594" s="6"/>
      <c r="M1594" s="11" t="s">
        <v>12</v>
      </c>
      <c r="N1594" s="6" t="s">
        <v>10567</v>
      </c>
      <c r="O1594" s="6" t="s">
        <v>10568</v>
      </c>
      <c r="P1594" s="10" t="s">
        <v>15</v>
      </c>
      <c r="Q1594" s="6"/>
      <c r="R1594" s="6"/>
      <c r="S1594" s="6"/>
      <c r="T1594" s="6" t="s">
        <v>16</v>
      </c>
      <c r="U1594" s="9" t="s">
        <v>17</v>
      </c>
      <c r="AI1594" s="6" t="s">
        <v>18</v>
      </c>
      <c r="AJ1594" s="12" t="s">
        <v>10562</v>
      </c>
      <c r="AL1594" s="13" t="s">
        <v>20</v>
      </c>
    </row>
    <row r="1595">
      <c r="A1595" s="5" t="s">
        <v>10569</v>
      </c>
      <c r="B1595" s="5" t="s">
        <v>10570</v>
      </c>
      <c r="C1595" s="5" t="s">
        <v>10571</v>
      </c>
      <c r="D1595" s="5" t="s">
        <v>8</v>
      </c>
      <c r="E1595" s="6"/>
      <c r="F1595" s="6"/>
      <c r="G1595" s="7" t="s">
        <v>10572</v>
      </c>
      <c r="I1595" s="8" t="s">
        <v>10573</v>
      </c>
      <c r="J1595" s="9">
        <v>8.9</v>
      </c>
      <c r="K1595" s="10" t="s">
        <v>11</v>
      </c>
      <c r="L1595" s="6"/>
      <c r="M1595" s="11" t="s">
        <v>12</v>
      </c>
      <c r="N1595" s="6" t="s">
        <v>10574</v>
      </c>
      <c r="O1595" s="6" t="s">
        <v>10575</v>
      </c>
      <c r="P1595" s="10" t="s">
        <v>15</v>
      </c>
      <c r="Q1595" s="6"/>
      <c r="R1595" s="6"/>
      <c r="S1595" s="6"/>
      <c r="T1595" s="6" t="s">
        <v>16</v>
      </c>
      <c r="U1595" s="9" t="s">
        <v>17</v>
      </c>
      <c r="AI1595" s="6" t="s">
        <v>18</v>
      </c>
      <c r="AJ1595" s="12" t="s">
        <v>10576</v>
      </c>
      <c r="AL1595" s="13" t="s">
        <v>20</v>
      </c>
    </row>
    <row r="1596">
      <c r="A1596" s="5" t="s">
        <v>10577</v>
      </c>
      <c r="B1596" s="5" t="s">
        <v>10578</v>
      </c>
      <c r="C1596" s="5" t="s">
        <v>10571</v>
      </c>
      <c r="D1596" s="5" t="s">
        <v>8</v>
      </c>
      <c r="E1596" s="6"/>
      <c r="F1596" s="6"/>
      <c r="G1596" s="7" t="s">
        <v>10579</v>
      </c>
      <c r="I1596" s="8" t="s">
        <v>10580</v>
      </c>
      <c r="J1596" s="9">
        <v>22.9</v>
      </c>
      <c r="K1596" s="10" t="s">
        <v>11</v>
      </c>
      <c r="L1596" s="6"/>
      <c r="M1596" s="11" t="s">
        <v>12</v>
      </c>
      <c r="N1596" s="6" t="s">
        <v>10581</v>
      </c>
      <c r="O1596" s="6" t="s">
        <v>10582</v>
      </c>
      <c r="P1596" s="10" t="s">
        <v>15</v>
      </c>
      <c r="Q1596" s="6"/>
      <c r="R1596" s="6"/>
      <c r="S1596" s="6"/>
      <c r="T1596" s="6" t="s">
        <v>16</v>
      </c>
      <c r="U1596" s="9" t="s">
        <v>17</v>
      </c>
      <c r="AI1596" s="6" t="s">
        <v>18</v>
      </c>
      <c r="AJ1596" s="12" t="s">
        <v>10576</v>
      </c>
      <c r="AL1596" s="13" t="s">
        <v>20</v>
      </c>
    </row>
    <row r="1597">
      <c r="A1597" s="5" t="s">
        <v>10583</v>
      </c>
      <c r="B1597" s="5" t="s">
        <v>10584</v>
      </c>
      <c r="C1597" s="5" t="s">
        <v>10585</v>
      </c>
      <c r="D1597" s="5" t="s">
        <v>8</v>
      </c>
      <c r="E1597" s="6"/>
      <c r="F1597" s="6"/>
      <c r="G1597" s="7" t="s">
        <v>10586</v>
      </c>
      <c r="I1597" s="8" t="s">
        <v>10587</v>
      </c>
      <c r="J1597" s="9">
        <v>8.9</v>
      </c>
      <c r="K1597" s="10" t="s">
        <v>11</v>
      </c>
      <c r="L1597" s="6"/>
      <c r="M1597" s="11" t="s">
        <v>12</v>
      </c>
      <c r="N1597" s="6" t="s">
        <v>10588</v>
      </c>
      <c r="O1597" s="6" t="s">
        <v>10589</v>
      </c>
      <c r="P1597" s="10" t="s">
        <v>15</v>
      </c>
      <c r="Q1597" s="6"/>
      <c r="R1597" s="6"/>
      <c r="S1597" s="6"/>
      <c r="T1597" s="6" t="s">
        <v>16</v>
      </c>
      <c r="U1597" s="9" t="s">
        <v>17</v>
      </c>
      <c r="AI1597" s="6" t="s">
        <v>18</v>
      </c>
      <c r="AJ1597" s="12" t="s">
        <v>10590</v>
      </c>
      <c r="AL1597" s="13" t="s">
        <v>20</v>
      </c>
    </row>
    <row r="1598">
      <c r="A1598" s="5" t="s">
        <v>10591</v>
      </c>
      <c r="B1598" s="5" t="s">
        <v>10592</v>
      </c>
      <c r="C1598" s="5" t="s">
        <v>10585</v>
      </c>
      <c r="D1598" s="5" t="s">
        <v>8</v>
      </c>
      <c r="E1598" s="6"/>
      <c r="F1598" s="6"/>
      <c r="G1598" s="7" t="s">
        <v>10593</v>
      </c>
      <c r="I1598" s="8" t="s">
        <v>10594</v>
      </c>
      <c r="J1598" s="9">
        <v>13.5</v>
      </c>
      <c r="K1598" s="10" t="s">
        <v>11</v>
      </c>
      <c r="L1598" s="6"/>
      <c r="M1598" s="11" t="s">
        <v>12</v>
      </c>
      <c r="N1598" s="6" t="s">
        <v>10595</v>
      </c>
      <c r="O1598" s="6" t="s">
        <v>10596</v>
      </c>
      <c r="P1598" s="10" t="s">
        <v>15</v>
      </c>
      <c r="Q1598" s="6"/>
      <c r="R1598" s="6"/>
      <c r="S1598" s="6"/>
      <c r="T1598" s="6" t="s">
        <v>16</v>
      </c>
      <c r="U1598" s="9" t="s">
        <v>17</v>
      </c>
      <c r="AI1598" s="6" t="s">
        <v>18</v>
      </c>
      <c r="AJ1598" s="12" t="s">
        <v>10590</v>
      </c>
      <c r="AL1598" s="13" t="s">
        <v>20</v>
      </c>
    </row>
    <row r="1599">
      <c r="A1599" s="5" t="s">
        <v>10597</v>
      </c>
      <c r="B1599" s="5" t="s">
        <v>10598</v>
      </c>
      <c r="C1599" s="5" t="s">
        <v>10599</v>
      </c>
      <c r="D1599" s="5" t="s">
        <v>8</v>
      </c>
      <c r="E1599" s="6"/>
      <c r="F1599" s="6"/>
      <c r="G1599" s="7" t="s">
        <v>10600</v>
      </c>
      <c r="I1599" s="8" t="s">
        <v>10601</v>
      </c>
      <c r="J1599" s="9">
        <v>6.9</v>
      </c>
      <c r="K1599" s="10" t="s">
        <v>11</v>
      </c>
      <c r="L1599" s="6"/>
      <c r="M1599" s="11" t="s">
        <v>12</v>
      </c>
      <c r="N1599" s="6" t="s">
        <v>10602</v>
      </c>
      <c r="O1599" s="6" t="s">
        <v>10603</v>
      </c>
      <c r="P1599" s="10" t="s">
        <v>15</v>
      </c>
      <c r="Q1599" s="6"/>
      <c r="R1599" s="6"/>
      <c r="S1599" s="6"/>
      <c r="T1599" s="6" t="s">
        <v>16</v>
      </c>
      <c r="U1599" s="9" t="s">
        <v>17</v>
      </c>
      <c r="AI1599" s="6" t="s">
        <v>18</v>
      </c>
      <c r="AJ1599" s="12" t="s">
        <v>10604</v>
      </c>
      <c r="AL1599" s="13" t="s">
        <v>20</v>
      </c>
    </row>
    <row r="1600">
      <c r="A1600" s="5" t="s">
        <v>10605</v>
      </c>
      <c r="B1600" s="5" t="s">
        <v>10606</v>
      </c>
      <c r="C1600" s="5" t="s">
        <v>10599</v>
      </c>
      <c r="D1600" s="5" t="s">
        <v>8</v>
      </c>
      <c r="E1600" s="6"/>
      <c r="F1600" s="6"/>
      <c r="G1600" s="7" t="s">
        <v>10607</v>
      </c>
      <c r="I1600" s="8" t="s">
        <v>10608</v>
      </c>
      <c r="J1600" s="9">
        <v>12.9</v>
      </c>
      <c r="K1600" s="10" t="s">
        <v>11</v>
      </c>
      <c r="L1600" s="6"/>
      <c r="M1600" s="11" t="s">
        <v>12</v>
      </c>
      <c r="N1600" s="6" t="s">
        <v>10609</v>
      </c>
      <c r="O1600" s="6" t="s">
        <v>10610</v>
      </c>
      <c r="P1600" s="10" t="s">
        <v>15</v>
      </c>
      <c r="Q1600" s="6"/>
      <c r="R1600" s="6"/>
      <c r="S1600" s="6"/>
      <c r="T1600" s="6" t="s">
        <v>16</v>
      </c>
      <c r="U1600" s="9" t="s">
        <v>17</v>
      </c>
      <c r="AI1600" s="6" t="s">
        <v>18</v>
      </c>
      <c r="AJ1600" s="12" t="s">
        <v>10604</v>
      </c>
      <c r="AL1600" s="13" t="s">
        <v>20</v>
      </c>
    </row>
    <row r="1601">
      <c r="A1601" s="5" t="s">
        <v>10611</v>
      </c>
      <c r="B1601" s="5" t="s">
        <v>10612</v>
      </c>
      <c r="C1601" s="5" t="s">
        <v>10613</v>
      </c>
      <c r="D1601" s="5" t="s">
        <v>8</v>
      </c>
      <c r="E1601" s="6"/>
      <c r="F1601" s="6"/>
      <c r="G1601" s="7" t="s">
        <v>10614</v>
      </c>
      <c r="I1601" s="8" t="s">
        <v>10615</v>
      </c>
      <c r="J1601" s="9">
        <v>6.9</v>
      </c>
      <c r="K1601" s="10" t="s">
        <v>11</v>
      </c>
      <c r="L1601" s="6"/>
      <c r="M1601" s="11" t="s">
        <v>12</v>
      </c>
      <c r="N1601" s="6" t="s">
        <v>10616</v>
      </c>
      <c r="O1601" s="6" t="s">
        <v>10617</v>
      </c>
      <c r="P1601" s="10" t="s">
        <v>15</v>
      </c>
      <c r="Q1601" s="6"/>
      <c r="R1601" s="6"/>
      <c r="S1601" s="6"/>
      <c r="T1601" s="6" t="s">
        <v>16</v>
      </c>
      <c r="U1601" s="9" t="s">
        <v>17</v>
      </c>
      <c r="AI1601" s="6" t="s">
        <v>18</v>
      </c>
      <c r="AJ1601" s="12" t="s">
        <v>10618</v>
      </c>
      <c r="AL1601" s="13" t="s">
        <v>20</v>
      </c>
    </row>
    <row r="1602">
      <c r="A1602" s="5" t="s">
        <v>10619</v>
      </c>
      <c r="B1602" s="5" t="s">
        <v>10620</v>
      </c>
      <c r="C1602" s="5" t="s">
        <v>10613</v>
      </c>
      <c r="D1602" s="5" t="s">
        <v>8</v>
      </c>
      <c r="E1602" s="6"/>
      <c r="F1602" s="6"/>
      <c r="G1602" s="7" t="s">
        <v>10621</v>
      </c>
      <c r="I1602" s="8" t="s">
        <v>10622</v>
      </c>
      <c r="J1602" s="9">
        <v>15.9</v>
      </c>
      <c r="K1602" s="10" t="s">
        <v>11</v>
      </c>
      <c r="L1602" s="6"/>
      <c r="M1602" s="11" t="s">
        <v>12</v>
      </c>
      <c r="N1602" s="6" t="s">
        <v>10623</v>
      </c>
      <c r="O1602" s="6" t="s">
        <v>10624</v>
      </c>
      <c r="P1602" s="10" t="s">
        <v>15</v>
      </c>
      <c r="Q1602" s="6"/>
      <c r="R1602" s="6"/>
      <c r="S1602" s="6"/>
      <c r="T1602" s="6" t="s">
        <v>16</v>
      </c>
      <c r="U1602" s="9" t="s">
        <v>17</v>
      </c>
      <c r="AI1602" s="6" t="s">
        <v>18</v>
      </c>
      <c r="AJ1602" s="12" t="s">
        <v>10618</v>
      </c>
      <c r="AL1602" s="13" t="s">
        <v>20</v>
      </c>
    </row>
    <row r="1603">
      <c r="A1603" s="5" t="s">
        <v>10625</v>
      </c>
      <c r="B1603" s="5" t="s">
        <v>10626</v>
      </c>
      <c r="C1603" s="5" t="s">
        <v>10627</v>
      </c>
      <c r="D1603" s="5" t="s">
        <v>507</v>
      </c>
      <c r="E1603" s="6"/>
      <c r="F1603" s="6"/>
      <c r="G1603" s="7" t="s">
        <v>10628</v>
      </c>
      <c r="I1603" s="8" t="s">
        <v>10629</v>
      </c>
      <c r="J1603" s="9">
        <v>13.9</v>
      </c>
      <c r="K1603" s="10" t="s">
        <v>11</v>
      </c>
      <c r="L1603" s="6"/>
      <c r="M1603" s="11" t="s">
        <v>12</v>
      </c>
      <c r="N1603" s="6" t="s">
        <v>10630</v>
      </c>
      <c r="O1603" s="6" t="s">
        <v>10631</v>
      </c>
      <c r="P1603" s="10" t="s">
        <v>15</v>
      </c>
      <c r="Q1603" s="6"/>
      <c r="R1603" s="6"/>
      <c r="S1603" s="6"/>
      <c r="T1603" s="6" t="s">
        <v>16</v>
      </c>
      <c r="U1603" s="9" t="s">
        <v>17</v>
      </c>
      <c r="AI1603" s="6" t="s">
        <v>18</v>
      </c>
      <c r="AJ1603" s="12" t="s">
        <v>10632</v>
      </c>
      <c r="AL1603" s="13" t="s">
        <v>20</v>
      </c>
    </row>
    <row r="1604">
      <c r="A1604" s="5" t="s">
        <v>10633</v>
      </c>
      <c r="B1604" s="5" t="s">
        <v>10634</v>
      </c>
      <c r="C1604" s="5" t="s">
        <v>10627</v>
      </c>
      <c r="D1604" s="5" t="s">
        <v>507</v>
      </c>
      <c r="E1604" s="6"/>
      <c r="F1604" s="6"/>
      <c r="G1604" s="7" t="s">
        <v>10635</v>
      </c>
      <c r="I1604" s="8" t="s">
        <v>10636</v>
      </c>
      <c r="J1604" s="9">
        <v>39.9</v>
      </c>
      <c r="K1604" s="10" t="s">
        <v>11</v>
      </c>
      <c r="L1604" s="6"/>
      <c r="M1604" s="11" t="s">
        <v>12</v>
      </c>
      <c r="N1604" s="6" t="s">
        <v>10637</v>
      </c>
      <c r="O1604" s="6" t="s">
        <v>10638</v>
      </c>
      <c r="P1604" s="10" t="s">
        <v>15</v>
      </c>
      <c r="Q1604" s="6"/>
      <c r="R1604" s="6"/>
      <c r="S1604" s="6"/>
      <c r="T1604" s="6" t="s">
        <v>16</v>
      </c>
      <c r="U1604" s="9" t="s">
        <v>17</v>
      </c>
      <c r="AI1604" s="6" t="s">
        <v>18</v>
      </c>
      <c r="AJ1604" s="12" t="s">
        <v>10632</v>
      </c>
      <c r="AL1604" s="13" t="s">
        <v>20</v>
      </c>
    </row>
    <row r="1605">
      <c r="A1605" s="5" t="s">
        <v>10639</v>
      </c>
      <c r="B1605" s="5" t="s">
        <v>10640</v>
      </c>
      <c r="C1605" s="5" t="s">
        <v>10641</v>
      </c>
      <c r="D1605" s="5" t="s">
        <v>8</v>
      </c>
      <c r="E1605" s="6"/>
      <c r="F1605" s="6"/>
      <c r="G1605" s="7" t="s">
        <v>10642</v>
      </c>
      <c r="I1605" s="8" t="s">
        <v>10643</v>
      </c>
      <c r="J1605" s="9">
        <v>7.9</v>
      </c>
      <c r="K1605" s="10" t="s">
        <v>11</v>
      </c>
      <c r="L1605" s="6"/>
      <c r="M1605" s="11" t="s">
        <v>12</v>
      </c>
      <c r="N1605" s="6" t="s">
        <v>10644</v>
      </c>
      <c r="O1605" s="6" t="s">
        <v>10645</v>
      </c>
      <c r="P1605" s="10" t="s">
        <v>15</v>
      </c>
      <c r="Q1605" s="6"/>
      <c r="R1605" s="6"/>
      <c r="S1605" s="6"/>
      <c r="T1605" s="6" t="s">
        <v>16</v>
      </c>
      <c r="U1605" s="9" t="s">
        <v>17</v>
      </c>
      <c r="AI1605" s="6" t="s">
        <v>18</v>
      </c>
      <c r="AJ1605" s="12" t="s">
        <v>10646</v>
      </c>
      <c r="AL1605" s="13" t="s">
        <v>20</v>
      </c>
    </row>
    <row r="1606">
      <c r="A1606" s="5" t="s">
        <v>10647</v>
      </c>
      <c r="B1606" s="5" t="s">
        <v>10648</v>
      </c>
      <c r="C1606" s="5" t="s">
        <v>10641</v>
      </c>
      <c r="D1606" s="5" t="s">
        <v>8</v>
      </c>
      <c r="E1606" s="6"/>
      <c r="F1606" s="6"/>
      <c r="G1606" s="7" t="s">
        <v>10649</v>
      </c>
      <c r="I1606" s="8" t="s">
        <v>10650</v>
      </c>
      <c r="J1606" s="9">
        <v>19.9</v>
      </c>
      <c r="K1606" s="10" t="s">
        <v>11</v>
      </c>
      <c r="L1606" s="6"/>
      <c r="M1606" s="11" t="s">
        <v>12</v>
      </c>
      <c r="N1606" s="6" t="s">
        <v>10651</v>
      </c>
      <c r="O1606" s="6" t="s">
        <v>10652</v>
      </c>
      <c r="P1606" s="10" t="s">
        <v>15</v>
      </c>
      <c r="Q1606" s="6"/>
      <c r="R1606" s="6"/>
      <c r="S1606" s="6"/>
      <c r="T1606" s="6" t="s">
        <v>16</v>
      </c>
      <c r="U1606" s="9" t="s">
        <v>17</v>
      </c>
      <c r="AI1606" s="6" t="s">
        <v>18</v>
      </c>
      <c r="AJ1606" s="12" t="s">
        <v>10646</v>
      </c>
      <c r="AL1606" s="13" t="s">
        <v>20</v>
      </c>
    </row>
    <row r="1607">
      <c r="A1607" s="5" t="s">
        <v>10653</v>
      </c>
      <c r="B1607" s="5" t="s">
        <v>10654</v>
      </c>
      <c r="C1607" s="5" t="s">
        <v>10655</v>
      </c>
      <c r="D1607" s="5" t="s">
        <v>507</v>
      </c>
      <c r="E1607" s="6"/>
      <c r="F1607" s="6"/>
      <c r="G1607" s="7" t="s">
        <v>10656</v>
      </c>
      <c r="I1607" s="8" t="s">
        <v>10657</v>
      </c>
      <c r="J1607" s="9">
        <v>9.8</v>
      </c>
      <c r="K1607" s="10" t="s">
        <v>11</v>
      </c>
      <c r="L1607" s="6"/>
      <c r="M1607" s="11" t="s">
        <v>12</v>
      </c>
      <c r="N1607" s="6" t="s">
        <v>10658</v>
      </c>
      <c r="O1607" s="6" t="s">
        <v>10659</v>
      </c>
      <c r="P1607" s="10" t="s">
        <v>15</v>
      </c>
      <c r="Q1607" s="6"/>
      <c r="R1607" s="6"/>
      <c r="S1607" s="6"/>
      <c r="T1607" s="6" t="s">
        <v>16</v>
      </c>
      <c r="U1607" s="9" t="s">
        <v>17</v>
      </c>
      <c r="AI1607" s="6" t="s">
        <v>18</v>
      </c>
      <c r="AJ1607" s="12" t="s">
        <v>10660</v>
      </c>
      <c r="AL1607" s="13" t="s">
        <v>20</v>
      </c>
    </row>
    <row r="1608">
      <c r="A1608" s="5" t="s">
        <v>10661</v>
      </c>
      <c r="B1608" s="5" t="s">
        <v>10662</v>
      </c>
      <c r="C1608" s="5" t="s">
        <v>10663</v>
      </c>
      <c r="D1608" s="5" t="s">
        <v>8</v>
      </c>
      <c r="E1608" s="6"/>
      <c r="F1608" s="6"/>
      <c r="G1608" s="7" t="s">
        <v>10664</v>
      </c>
      <c r="I1608" s="8" t="s">
        <v>10665</v>
      </c>
      <c r="J1608" s="9">
        <v>7.9</v>
      </c>
      <c r="K1608" s="10" t="s">
        <v>11</v>
      </c>
      <c r="L1608" s="6"/>
      <c r="M1608" s="11" t="s">
        <v>12</v>
      </c>
      <c r="N1608" s="6" t="s">
        <v>10666</v>
      </c>
      <c r="O1608" s="6" t="s">
        <v>10667</v>
      </c>
      <c r="P1608" s="10" t="s">
        <v>15</v>
      </c>
      <c r="Q1608" s="6"/>
      <c r="R1608" s="6"/>
      <c r="S1608" s="6"/>
      <c r="T1608" s="6" t="s">
        <v>16</v>
      </c>
      <c r="U1608" s="9" t="s">
        <v>17</v>
      </c>
      <c r="AI1608" s="6" t="s">
        <v>18</v>
      </c>
      <c r="AJ1608" s="12" t="s">
        <v>10668</v>
      </c>
      <c r="AL1608" s="13" t="s">
        <v>20</v>
      </c>
    </row>
    <row r="1609">
      <c r="A1609" s="5" t="s">
        <v>10669</v>
      </c>
      <c r="B1609" s="5" t="s">
        <v>10670</v>
      </c>
      <c r="C1609" s="5" t="s">
        <v>10663</v>
      </c>
      <c r="D1609" s="5" t="s">
        <v>507</v>
      </c>
      <c r="E1609" s="6"/>
      <c r="F1609" s="6"/>
      <c r="G1609" s="7" t="s">
        <v>10671</v>
      </c>
      <c r="I1609" s="8" t="s">
        <v>10672</v>
      </c>
      <c r="J1609" s="9">
        <v>15.9</v>
      </c>
      <c r="K1609" s="10" t="s">
        <v>11</v>
      </c>
      <c r="L1609" s="6"/>
      <c r="M1609" s="11" t="s">
        <v>12</v>
      </c>
      <c r="N1609" s="6" t="s">
        <v>10673</v>
      </c>
      <c r="O1609" s="6" t="s">
        <v>10674</v>
      </c>
      <c r="P1609" s="10" t="s">
        <v>15</v>
      </c>
      <c r="Q1609" s="6" t="s">
        <v>10675</v>
      </c>
      <c r="R1609" s="6"/>
      <c r="S1609" s="6"/>
      <c r="T1609" s="6" t="s">
        <v>16</v>
      </c>
      <c r="U1609" s="9" t="s">
        <v>17</v>
      </c>
      <c r="AI1609" s="6" t="s">
        <v>18</v>
      </c>
      <c r="AJ1609" s="12" t="s">
        <v>10668</v>
      </c>
      <c r="AL1609" s="13" t="s">
        <v>20</v>
      </c>
    </row>
    <row r="1610">
      <c r="A1610" s="5" t="s">
        <v>10676</v>
      </c>
      <c r="B1610" s="5" t="s">
        <v>10677</v>
      </c>
      <c r="C1610" s="5" t="s">
        <v>10678</v>
      </c>
      <c r="D1610" s="5" t="s">
        <v>8</v>
      </c>
      <c r="E1610" s="6"/>
      <c r="F1610" s="6"/>
      <c r="G1610" s="7" t="s">
        <v>10679</v>
      </c>
      <c r="I1610" s="8" t="s">
        <v>10680</v>
      </c>
      <c r="J1610" s="9">
        <v>9.4</v>
      </c>
      <c r="K1610" s="10" t="s">
        <v>11</v>
      </c>
      <c r="L1610" s="6"/>
      <c r="M1610" s="11" t="s">
        <v>12</v>
      </c>
      <c r="N1610" s="6" t="s">
        <v>10681</v>
      </c>
      <c r="O1610" s="6" t="s">
        <v>10682</v>
      </c>
      <c r="P1610" s="10" t="s">
        <v>15</v>
      </c>
      <c r="Q1610" s="6"/>
      <c r="R1610" s="6"/>
      <c r="S1610" s="6"/>
      <c r="T1610" s="6" t="s">
        <v>16</v>
      </c>
      <c r="U1610" s="9" t="s">
        <v>17</v>
      </c>
      <c r="AI1610" s="6" t="s">
        <v>18</v>
      </c>
      <c r="AJ1610" s="12" t="s">
        <v>10683</v>
      </c>
      <c r="AL1610" s="13" t="s">
        <v>20</v>
      </c>
    </row>
    <row r="1611">
      <c r="A1611" s="5" t="s">
        <v>10684</v>
      </c>
      <c r="B1611" s="5" t="s">
        <v>10685</v>
      </c>
      <c r="C1611" s="5" t="s">
        <v>10678</v>
      </c>
      <c r="D1611" s="5" t="s">
        <v>8</v>
      </c>
      <c r="E1611" s="6"/>
      <c r="F1611" s="6"/>
      <c r="G1611" s="7" t="s">
        <v>10686</v>
      </c>
      <c r="I1611" s="8" t="s">
        <v>10687</v>
      </c>
      <c r="J1611" s="9">
        <v>18.6</v>
      </c>
      <c r="K1611" s="10" t="s">
        <v>11</v>
      </c>
      <c r="L1611" s="6"/>
      <c r="M1611" s="11" t="s">
        <v>12</v>
      </c>
      <c r="N1611" s="6" t="s">
        <v>10688</v>
      </c>
      <c r="O1611" s="6" t="s">
        <v>10689</v>
      </c>
      <c r="P1611" s="10" t="s">
        <v>15</v>
      </c>
      <c r="Q1611" s="6"/>
      <c r="R1611" s="6"/>
      <c r="S1611" s="6"/>
      <c r="T1611" s="6" t="s">
        <v>16</v>
      </c>
      <c r="U1611" s="9" t="s">
        <v>17</v>
      </c>
      <c r="AI1611" s="6" t="s">
        <v>18</v>
      </c>
      <c r="AJ1611" s="12" t="s">
        <v>10683</v>
      </c>
      <c r="AL1611" s="13" t="s">
        <v>20</v>
      </c>
    </row>
    <row r="1612">
      <c r="A1612" s="5" t="s">
        <v>10690</v>
      </c>
      <c r="B1612" s="5" t="s">
        <v>10691</v>
      </c>
      <c r="C1612" s="5" t="s">
        <v>10692</v>
      </c>
      <c r="D1612" s="5" t="s">
        <v>8</v>
      </c>
      <c r="E1612" s="6"/>
      <c r="F1612" s="6"/>
      <c r="G1612" s="7" t="s">
        <v>10693</v>
      </c>
      <c r="I1612" s="8" t="s">
        <v>10694</v>
      </c>
      <c r="J1612" s="9">
        <v>7.9</v>
      </c>
      <c r="K1612" s="10" t="s">
        <v>11</v>
      </c>
      <c r="L1612" s="6"/>
      <c r="M1612" s="11" t="s">
        <v>12</v>
      </c>
      <c r="N1612" s="6" t="s">
        <v>10695</v>
      </c>
      <c r="O1612" s="6" t="s">
        <v>10696</v>
      </c>
      <c r="P1612" s="10" t="s">
        <v>15</v>
      </c>
      <c r="Q1612" s="6"/>
      <c r="R1612" s="6"/>
      <c r="S1612" s="6"/>
      <c r="T1612" s="6" t="s">
        <v>16</v>
      </c>
      <c r="U1612" s="9" t="s">
        <v>17</v>
      </c>
      <c r="AI1612" s="6" t="s">
        <v>18</v>
      </c>
      <c r="AJ1612" s="12" t="s">
        <v>10697</v>
      </c>
      <c r="AL1612" s="13" t="s">
        <v>20</v>
      </c>
    </row>
    <row r="1613">
      <c r="A1613" s="5" t="s">
        <v>10698</v>
      </c>
      <c r="B1613" s="5" t="s">
        <v>10699</v>
      </c>
      <c r="C1613" s="5" t="s">
        <v>10692</v>
      </c>
      <c r="D1613" s="5" t="s">
        <v>8</v>
      </c>
      <c r="E1613" s="6"/>
      <c r="F1613" s="6"/>
      <c r="G1613" s="7" t="s">
        <v>10700</v>
      </c>
      <c r="I1613" s="8" t="s">
        <v>10701</v>
      </c>
      <c r="J1613" s="9">
        <v>12.9</v>
      </c>
      <c r="K1613" s="10" t="s">
        <v>11</v>
      </c>
      <c r="L1613" s="6"/>
      <c r="M1613" s="11" t="s">
        <v>12</v>
      </c>
      <c r="N1613" s="6" t="s">
        <v>10702</v>
      </c>
      <c r="O1613" s="6" t="s">
        <v>10703</v>
      </c>
      <c r="P1613" s="10" t="s">
        <v>15</v>
      </c>
      <c r="Q1613" s="6"/>
      <c r="R1613" s="6"/>
      <c r="S1613" s="6"/>
      <c r="T1613" s="6" t="s">
        <v>16</v>
      </c>
      <c r="U1613" s="9" t="s">
        <v>17</v>
      </c>
      <c r="AI1613" s="6" t="s">
        <v>18</v>
      </c>
      <c r="AJ1613" s="12" t="s">
        <v>10697</v>
      </c>
      <c r="AL1613" s="13" t="s">
        <v>20</v>
      </c>
    </row>
    <row r="1614">
      <c r="A1614" s="5" t="s">
        <v>10704</v>
      </c>
      <c r="B1614" s="5" t="s">
        <v>10705</v>
      </c>
      <c r="C1614" s="5" t="s">
        <v>10706</v>
      </c>
      <c r="D1614" s="5" t="s">
        <v>8</v>
      </c>
      <c r="E1614" s="6"/>
      <c r="F1614" s="6"/>
      <c r="G1614" s="7" t="s">
        <v>10707</v>
      </c>
      <c r="I1614" s="8" t="s">
        <v>10708</v>
      </c>
      <c r="J1614" s="9">
        <v>8.9</v>
      </c>
      <c r="K1614" s="10" t="s">
        <v>11</v>
      </c>
      <c r="L1614" s="6"/>
      <c r="M1614" s="11" t="s">
        <v>12</v>
      </c>
      <c r="N1614" s="6" t="s">
        <v>10709</v>
      </c>
      <c r="O1614" s="6" t="s">
        <v>10710</v>
      </c>
      <c r="P1614" s="10" t="s">
        <v>15</v>
      </c>
      <c r="Q1614" s="6"/>
      <c r="R1614" s="6"/>
      <c r="S1614" s="6"/>
      <c r="T1614" s="6" t="s">
        <v>16</v>
      </c>
      <c r="U1614" s="9" t="s">
        <v>17</v>
      </c>
      <c r="AI1614" s="6" t="s">
        <v>18</v>
      </c>
      <c r="AJ1614" s="12" t="s">
        <v>10711</v>
      </c>
      <c r="AL1614" s="13" t="s">
        <v>20</v>
      </c>
    </row>
    <row r="1615">
      <c r="A1615" s="5" t="s">
        <v>10712</v>
      </c>
      <c r="B1615" s="5" t="s">
        <v>10713</v>
      </c>
      <c r="C1615" s="5" t="s">
        <v>10706</v>
      </c>
      <c r="D1615" s="5" t="s">
        <v>8</v>
      </c>
      <c r="E1615" s="6"/>
      <c r="F1615" s="6"/>
      <c r="G1615" s="7" t="s">
        <v>10714</v>
      </c>
      <c r="I1615" s="8" t="s">
        <v>10715</v>
      </c>
      <c r="J1615" s="9">
        <v>22.9</v>
      </c>
      <c r="K1615" s="10" t="s">
        <v>11</v>
      </c>
      <c r="L1615" s="6"/>
      <c r="M1615" s="11" t="s">
        <v>12</v>
      </c>
      <c r="N1615" s="6" t="s">
        <v>10716</v>
      </c>
      <c r="O1615" s="6" t="s">
        <v>10717</v>
      </c>
      <c r="P1615" s="10" t="s">
        <v>15</v>
      </c>
      <c r="Q1615" s="6"/>
      <c r="R1615" s="6"/>
      <c r="S1615" s="6"/>
      <c r="T1615" s="6" t="s">
        <v>16</v>
      </c>
      <c r="U1615" s="9" t="s">
        <v>17</v>
      </c>
      <c r="AI1615" s="6" t="s">
        <v>18</v>
      </c>
      <c r="AJ1615" s="12" t="s">
        <v>10711</v>
      </c>
      <c r="AL1615" s="13" t="s">
        <v>20</v>
      </c>
    </row>
    <row r="1616">
      <c r="A1616" s="5" t="s">
        <v>10718</v>
      </c>
      <c r="B1616" s="5" t="s">
        <v>10719</v>
      </c>
      <c r="C1616" s="5" t="s">
        <v>10720</v>
      </c>
      <c r="D1616" s="5" t="s">
        <v>507</v>
      </c>
      <c r="E1616" s="6"/>
      <c r="F1616" s="6"/>
      <c r="G1616" s="7" t="s">
        <v>10721</v>
      </c>
      <c r="I1616" s="8" t="s">
        <v>10722</v>
      </c>
      <c r="J1616" s="9">
        <v>4.9</v>
      </c>
      <c r="K1616" s="10" t="s">
        <v>11</v>
      </c>
      <c r="L1616" s="6"/>
      <c r="M1616" s="11" t="s">
        <v>12</v>
      </c>
      <c r="N1616" s="6" t="s">
        <v>10723</v>
      </c>
      <c r="O1616" s="6" t="s">
        <v>10724</v>
      </c>
      <c r="P1616" s="10" t="s">
        <v>15</v>
      </c>
      <c r="Q1616" s="6"/>
      <c r="R1616" s="6"/>
      <c r="S1616" s="6"/>
      <c r="T1616" s="6" t="s">
        <v>16</v>
      </c>
      <c r="U1616" s="9" t="s">
        <v>17</v>
      </c>
      <c r="AI1616" s="6" t="s">
        <v>18</v>
      </c>
      <c r="AJ1616" s="12" t="s">
        <v>10725</v>
      </c>
      <c r="AL1616" s="13" t="s">
        <v>20</v>
      </c>
    </row>
    <row r="1617">
      <c r="A1617" s="5" t="s">
        <v>10726</v>
      </c>
      <c r="B1617" s="5" t="s">
        <v>10727</v>
      </c>
      <c r="C1617" s="5" t="s">
        <v>10720</v>
      </c>
      <c r="D1617" s="5" t="s">
        <v>507</v>
      </c>
      <c r="E1617" s="6"/>
      <c r="F1617" s="6"/>
      <c r="G1617" s="7" t="s">
        <v>10728</v>
      </c>
      <c r="I1617" s="8" t="s">
        <v>10729</v>
      </c>
      <c r="J1617" s="9">
        <v>13.5</v>
      </c>
      <c r="K1617" s="10" t="s">
        <v>11</v>
      </c>
      <c r="L1617" s="6"/>
      <c r="M1617" s="11" t="s">
        <v>12</v>
      </c>
      <c r="N1617" s="6" t="s">
        <v>10730</v>
      </c>
      <c r="O1617" s="6" t="s">
        <v>10731</v>
      </c>
      <c r="P1617" s="10" t="s">
        <v>15</v>
      </c>
      <c r="Q1617" s="6"/>
      <c r="R1617" s="6"/>
      <c r="S1617" s="6"/>
      <c r="T1617" s="6" t="s">
        <v>16</v>
      </c>
      <c r="U1617" s="9" t="s">
        <v>17</v>
      </c>
      <c r="AI1617" s="6" t="s">
        <v>18</v>
      </c>
      <c r="AJ1617" s="12" t="s">
        <v>10725</v>
      </c>
      <c r="AL1617" s="13" t="s">
        <v>20</v>
      </c>
    </row>
    <row r="1618">
      <c r="A1618" s="5" t="s">
        <v>10732</v>
      </c>
      <c r="B1618" s="5" t="s">
        <v>10733</v>
      </c>
      <c r="C1618" s="5" t="s">
        <v>10734</v>
      </c>
      <c r="D1618" s="5" t="s">
        <v>8</v>
      </c>
      <c r="E1618" s="6"/>
      <c r="F1618" s="6"/>
      <c r="G1618" s="7" t="s">
        <v>10735</v>
      </c>
      <c r="I1618" s="8" t="s">
        <v>10736</v>
      </c>
      <c r="J1618" s="9">
        <v>11.9</v>
      </c>
      <c r="K1618" s="10" t="s">
        <v>11</v>
      </c>
      <c r="L1618" s="6"/>
      <c r="M1618" s="11" t="s">
        <v>12</v>
      </c>
      <c r="N1618" s="6" t="s">
        <v>10737</v>
      </c>
      <c r="O1618" s="6" t="s">
        <v>10738</v>
      </c>
      <c r="P1618" s="10" t="s">
        <v>15</v>
      </c>
      <c r="Q1618" s="6"/>
      <c r="R1618" s="6"/>
      <c r="S1618" s="6"/>
      <c r="T1618" s="6" t="s">
        <v>16</v>
      </c>
      <c r="U1618" s="9" t="s">
        <v>17</v>
      </c>
      <c r="AI1618" s="6" t="s">
        <v>18</v>
      </c>
      <c r="AJ1618" s="12" t="s">
        <v>10739</v>
      </c>
      <c r="AL1618" s="13" t="s">
        <v>20</v>
      </c>
    </row>
    <row r="1619">
      <c r="A1619" s="5" t="s">
        <v>10740</v>
      </c>
      <c r="B1619" s="5" t="s">
        <v>10741</v>
      </c>
      <c r="C1619" s="5" t="s">
        <v>10742</v>
      </c>
      <c r="D1619" s="5" t="s">
        <v>8</v>
      </c>
      <c r="E1619" s="6"/>
      <c r="F1619" s="6"/>
      <c r="G1619" s="7" t="s">
        <v>10743</v>
      </c>
      <c r="I1619" s="8" t="s">
        <v>10744</v>
      </c>
      <c r="J1619" s="9">
        <v>15.9</v>
      </c>
      <c r="K1619" s="10" t="s">
        <v>11</v>
      </c>
      <c r="L1619" s="6"/>
      <c r="M1619" s="11" t="s">
        <v>12</v>
      </c>
      <c r="N1619" s="6" t="s">
        <v>10745</v>
      </c>
      <c r="O1619" s="6" t="s">
        <v>10746</v>
      </c>
      <c r="P1619" s="10" t="s">
        <v>15</v>
      </c>
      <c r="Q1619" s="6"/>
      <c r="R1619" s="6"/>
      <c r="S1619" s="6" t="s">
        <v>10747</v>
      </c>
      <c r="T1619" s="6" t="s">
        <v>16</v>
      </c>
      <c r="U1619" s="9" t="s">
        <v>17</v>
      </c>
      <c r="AI1619" s="6" t="s">
        <v>18</v>
      </c>
      <c r="AJ1619" s="12" t="s">
        <v>10748</v>
      </c>
      <c r="AL1619" s="13" t="s">
        <v>20</v>
      </c>
    </row>
    <row r="1620">
      <c r="A1620" s="5" t="s">
        <v>10749</v>
      </c>
      <c r="B1620" s="5" t="s">
        <v>10750</v>
      </c>
      <c r="C1620" s="5" t="s">
        <v>10734</v>
      </c>
      <c r="D1620" s="5" t="s">
        <v>8</v>
      </c>
      <c r="E1620" s="6"/>
      <c r="F1620" s="6"/>
      <c r="G1620" s="7" t="s">
        <v>10751</v>
      </c>
      <c r="I1620" s="8" t="s">
        <v>10752</v>
      </c>
      <c r="J1620" s="9">
        <v>24.9</v>
      </c>
      <c r="K1620" s="10" t="s">
        <v>11</v>
      </c>
      <c r="L1620" s="6"/>
      <c r="M1620" s="11" t="s">
        <v>12</v>
      </c>
      <c r="N1620" s="6" t="s">
        <v>10753</v>
      </c>
      <c r="O1620" s="6" t="s">
        <v>10754</v>
      </c>
      <c r="P1620" s="10" t="s">
        <v>15</v>
      </c>
      <c r="Q1620" s="6"/>
      <c r="R1620" s="6"/>
      <c r="S1620" s="6"/>
      <c r="T1620" s="6" t="s">
        <v>16</v>
      </c>
      <c r="U1620" s="9" t="s">
        <v>17</v>
      </c>
      <c r="AI1620" s="6" t="s">
        <v>18</v>
      </c>
      <c r="AJ1620" s="12" t="s">
        <v>10739</v>
      </c>
      <c r="AL1620" s="13" t="s">
        <v>20</v>
      </c>
    </row>
    <row r="1621">
      <c r="A1621" s="5" t="s">
        <v>10755</v>
      </c>
      <c r="B1621" s="5" t="s">
        <v>10756</v>
      </c>
      <c r="C1621" s="5" t="s">
        <v>10757</v>
      </c>
      <c r="D1621" s="5" t="s">
        <v>8</v>
      </c>
      <c r="E1621" s="6"/>
      <c r="F1621" s="6"/>
      <c r="G1621" s="7" t="s">
        <v>10758</v>
      </c>
      <c r="I1621" s="8" t="s">
        <v>10759</v>
      </c>
      <c r="J1621" s="9">
        <v>7.9</v>
      </c>
      <c r="K1621" s="10" t="s">
        <v>11</v>
      </c>
      <c r="L1621" s="6"/>
      <c r="M1621" s="11" t="s">
        <v>12</v>
      </c>
      <c r="N1621" s="6" t="s">
        <v>10760</v>
      </c>
      <c r="O1621" s="6" t="s">
        <v>10761</v>
      </c>
      <c r="P1621" s="10" t="s">
        <v>15</v>
      </c>
      <c r="Q1621" s="6"/>
      <c r="R1621" s="6"/>
      <c r="S1621" s="6"/>
      <c r="T1621" s="6" t="s">
        <v>16</v>
      </c>
      <c r="U1621" s="9" t="s">
        <v>17</v>
      </c>
      <c r="AI1621" s="6" t="s">
        <v>18</v>
      </c>
      <c r="AJ1621" s="12" t="s">
        <v>10762</v>
      </c>
      <c r="AL1621" s="13" t="s">
        <v>20</v>
      </c>
    </row>
    <row r="1622">
      <c r="A1622" s="5" t="s">
        <v>10763</v>
      </c>
      <c r="B1622" s="5" t="s">
        <v>10764</v>
      </c>
      <c r="C1622" s="5" t="s">
        <v>10757</v>
      </c>
      <c r="D1622" s="5" t="s">
        <v>8</v>
      </c>
      <c r="E1622" s="6"/>
      <c r="F1622" s="6"/>
      <c r="G1622" s="7" t="s">
        <v>10765</v>
      </c>
      <c r="I1622" s="8" t="s">
        <v>10766</v>
      </c>
      <c r="J1622" s="9">
        <v>14.9</v>
      </c>
      <c r="K1622" s="10" t="s">
        <v>11</v>
      </c>
      <c r="L1622" s="6"/>
      <c r="M1622" s="11" t="s">
        <v>12</v>
      </c>
      <c r="N1622" s="6" t="s">
        <v>10767</v>
      </c>
      <c r="O1622" s="6" t="s">
        <v>10768</v>
      </c>
      <c r="P1622" s="10" t="s">
        <v>15</v>
      </c>
      <c r="Q1622" s="6"/>
      <c r="R1622" s="6"/>
      <c r="S1622" s="6"/>
      <c r="T1622" s="6" t="s">
        <v>16</v>
      </c>
      <c r="U1622" s="9" t="s">
        <v>17</v>
      </c>
      <c r="AI1622" s="6" t="s">
        <v>18</v>
      </c>
      <c r="AJ1622" s="12" t="s">
        <v>10762</v>
      </c>
      <c r="AL1622" s="13" t="s">
        <v>20</v>
      </c>
    </row>
    <row r="1623">
      <c r="A1623" s="5" t="s">
        <v>10769</v>
      </c>
      <c r="B1623" s="5" t="s">
        <v>10770</v>
      </c>
      <c r="C1623" s="5" t="s">
        <v>10757</v>
      </c>
      <c r="D1623" s="5" t="s">
        <v>8</v>
      </c>
      <c r="E1623" s="6"/>
      <c r="F1623" s="6"/>
      <c r="G1623" s="7" t="s">
        <v>10771</v>
      </c>
      <c r="I1623" s="8" t="s">
        <v>10772</v>
      </c>
      <c r="J1623" s="9">
        <v>7.9</v>
      </c>
      <c r="K1623" s="10" t="s">
        <v>11</v>
      </c>
      <c r="L1623" s="6"/>
      <c r="M1623" s="11" t="s">
        <v>12</v>
      </c>
      <c r="N1623" s="6" t="s">
        <v>10773</v>
      </c>
      <c r="O1623" s="6" t="s">
        <v>10774</v>
      </c>
      <c r="P1623" s="10" t="s">
        <v>15</v>
      </c>
      <c r="Q1623" s="6"/>
      <c r="R1623" s="6"/>
      <c r="S1623" s="6"/>
      <c r="T1623" s="6" t="s">
        <v>16</v>
      </c>
      <c r="U1623" s="9" t="s">
        <v>17</v>
      </c>
      <c r="AI1623" s="6" t="s">
        <v>18</v>
      </c>
      <c r="AJ1623" s="12" t="s">
        <v>10775</v>
      </c>
      <c r="AL1623" s="13" t="s">
        <v>20</v>
      </c>
    </row>
    <row r="1624">
      <c r="A1624" s="5" t="s">
        <v>10776</v>
      </c>
      <c r="B1624" s="5" t="s">
        <v>10777</v>
      </c>
      <c r="C1624" s="5" t="s">
        <v>10757</v>
      </c>
      <c r="D1624" s="5" t="s">
        <v>8</v>
      </c>
      <c r="E1624" s="6"/>
      <c r="F1624" s="6"/>
      <c r="G1624" s="7" t="s">
        <v>10778</v>
      </c>
      <c r="I1624" s="8" t="s">
        <v>10779</v>
      </c>
      <c r="J1624" s="9">
        <v>18.9</v>
      </c>
      <c r="K1624" s="10" t="s">
        <v>11</v>
      </c>
      <c r="L1624" s="6"/>
      <c r="M1624" s="11" t="s">
        <v>12</v>
      </c>
      <c r="N1624" s="6" t="s">
        <v>10780</v>
      </c>
      <c r="O1624" s="6" t="s">
        <v>10781</v>
      </c>
      <c r="P1624" s="10" t="s">
        <v>15</v>
      </c>
      <c r="Q1624" s="6"/>
      <c r="R1624" s="6"/>
      <c r="S1624" s="6"/>
      <c r="T1624" s="6" t="s">
        <v>16</v>
      </c>
      <c r="U1624" s="9" t="s">
        <v>17</v>
      </c>
      <c r="AI1624" s="6" t="s">
        <v>18</v>
      </c>
      <c r="AJ1624" s="12" t="s">
        <v>10775</v>
      </c>
      <c r="AL1624" s="13" t="s">
        <v>20</v>
      </c>
    </row>
    <row r="1625">
      <c r="A1625" s="5" t="s">
        <v>10782</v>
      </c>
      <c r="B1625" s="5" t="s">
        <v>10783</v>
      </c>
      <c r="C1625" s="5" t="s">
        <v>10784</v>
      </c>
      <c r="D1625" s="5" t="s">
        <v>507</v>
      </c>
      <c r="E1625" s="6"/>
      <c r="F1625" s="6"/>
      <c r="G1625" s="7" t="s">
        <v>10785</v>
      </c>
      <c r="I1625" s="8" t="s">
        <v>10786</v>
      </c>
      <c r="J1625" s="9">
        <v>9.9</v>
      </c>
      <c r="K1625" s="10" t="s">
        <v>11</v>
      </c>
      <c r="L1625" s="6"/>
      <c r="M1625" s="11" t="s">
        <v>12</v>
      </c>
      <c r="N1625" s="6" t="s">
        <v>10787</v>
      </c>
      <c r="O1625" s="6" t="s">
        <v>10788</v>
      </c>
      <c r="P1625" s="10" t="s">
        <v>15</v>
      </c>
      <c r="Q1625" s="6"/>
      <c r="R1625" s="6"/>
      <c r="S1625" s="6"/>
      <c r="T1625" s="6" t="s">
        <v>16</v>
      </c>
      <c r="U1625" s="9" t="s">
        <v>17</v>
      </c>
      <c r="AI1625" s="6" t="s">
        <v>18</v>
      </c>
      <c r="AJ1625" s="12" t="s">
        <v>10789</v>
      </c>
      <c r="AL1625" s="13" t="s">
        <v>20</v>
      </c>
    </row>
    <row r="1626">
      <c r="A1626" s="5" t="s">
        <v>10790</v>
      </c>
      <c r="B1626" s="5" t="s">
        <v>10791</v>
      </c>
      <c r="C1626" s="5" t="s">
        <v>10784</v>
      </c>
      <c r="D1626" s="5" t="s">
        <v>507</v>
      </c>
      <c r="E1626" s="6"/>
      <c r="F1626" s="6"/>
      <c r="G1626" s="7" t="s">
        <v>10792</v>
      </c>
      <c r="I1626" s="8" t="s">
        <v>10793</v>
      </c>
      <c r="J1626" s="9">
        <v>25.5</v>
      </c>
      <c r="K1626" s="10" t="s">
        <v>11</v>
      </c>
      <c r="L1626" s="6"/>
      <c r="M1626" s="11" t="s">
        <v>12</v>
      </c>
      <c r="N1626" s="6" t="s">
        <v>10794</v>
      </c>
      <c r="O1626" s="6" t="s">
        <v>10795</v>
      </c>
      <c r="P1626" s="10" t="s">
        <v>15</v>
      </c>
      <c r="Q1626" s="6"/>
      <c r="R1626" s="6"/>
      <c r="S1626" s="6"/>
      <c r="T1626" s="6" t="s">
        <v>16</v>
      </c>
      <c r="U1626" s="9" t="s">
        <v>17</v>
      </c>
      <c r="AI1626" s="6" t="s">
        <v>18</v>
      </c>
      <c r="AJ1626" s="12" t="s">
        <v>10789</v>
      </c>
      <c r="AL1626" s="13" t="s">
        <v>20</v>
      </c>
    </row>
    <row r="1627">
      <c r="A1627" s="5" t="s">
        <v>10796</v>
      </c>
      <c r="B1627" s="5" t="s">
        <v>10797</v>
      </c>
      <c r="C1627" s="5" t="s">
        <v>10798</v>
      </c>
      <c r="D1627" s="5" t="s">
        <v>507</v>
      </c>
      <c r="E1627" s="6"/>
      <c r="F1627" s="6"/>
      <c r="G1627" s="7" t="s">
        <v>10799</v>
      </c>
      <c r="I1627" s="8" t="s">
        <v>10800</v>
      </c>
      <c r="J1627" s="9">
        <v>9.9</v>
      </c>
      <c r="K1627" s="10" t="s">
        <v>11</v>
      </c>
      <c r="L1627" s="6"/>
      <c r="M1627" s="11" t="s">
        <v>12</v>
      </c>
      <c r="N1627" s="6" t="s">
        <v>10801</v>
      </c>
      <c r="O1627" s="6" t="s">
        <v>10802</v>
      </c>
      <c r="P1627" s="10" t="s">
        <v>15</v>
      </c>
      <c r="Q1627" s="6"/>
      <c r="R1627" s="6"/>
      <c r="S1627" s="6"/>
      <c r="T1627" s="6" t="s">
        <v>16</v>
      </c>
      <c r="U1627" s="9" t="s">
        <v>17</v>
      </c>
      <c r="AI1627" s="6" t="s">
        <v>18</v>
      </c>
      <c r="AJ1627" s="12" t="s">
        <v>10803</v>
      </c>
      <c r="AL1627" s="13" t="s">
        <v>20</v>
      </c>
    </row>
    <row r="1628">
      <c r="A1628" s="5" t="s">
        <v>10804</v>
      </c>
      <c r="B1628" s="5" t="s">
        <v>10805</v>
      </c>
      <c r="C1628" s="5" t="s">
        <v>10798</v>
      </c>
      <c r="D1628" s="5" t="s">
        <v>507</v>
      </c>
      <c r="E1628" s="6"/>
      <c r="F1628" s="6"/>
      <c r="G1628" s="7" t="s">
        <v>10806</v>
      </c>
      <c r="I1628" s="8" t="s">
        <v>10807</v>
      </c>
      <c r="J1628" s="9">
        <v>29.5</v>
      </c>
      <c r="K1628" s="10" t="s">
        <v>11</v>
      </c>
      <c r="L1628" s="6"/>
      <c r="M1628" s="11" t="s">
        <v>12</v>
      </c>
      <c r="N1628" s="6" t="s">
        <v>10808</v>
      </c>
      <c r="O1628" s="6" t="s">
        <v>10809</v>
      </c>
      <c r="P1628" s="10" t="s">
        <v>15</v>
      </c>
      <c r="Q1628" s="6"/>
      <c r="R1628" s="6"/>
      <c r="S1628" s="6"/>
      <c r="T1628" s="6" t="s">
        <v>16</v>
      </c>
      <c r="U1628" s="9" t="s">
        <v>17</v>
      </c>
      <c r="AI1628" s="6" t="s">
        <v>18</v>
      </c>
      <c r="AJ1628" s="12" t="s">
        <v>10803</v>
      </c>
      <c r="AL1628" s="13" t="s">
        <v>20</v>
      </c>
    </row>
    <row r="1629">
      <c r="A1629" s="5" t="s">
        <v>10810</v>
      </c>
      <c r="B1629" s="5" t="s">
        <v>10811</v>
      </c>
      <c r="C1629" s="5" t="s">
        <v>10812</v>
      </c>
      <c r="D1629" s="5" t="s">
        <v>507</v>
      </c>
      <c r="E1629" s="6"/>
      <c r="F1629" s="6"/>
      <c r="G1629" s="7" t="s">
        <v>10813</v>
      </c>
      <c r="I1629" s="8" t="s">
        <v>10814</v>
      </c>
      <c r="J1629" s="9">
        <v>9.9</v>
      </c>
      <c r="K1629" s="10" t="s">
        <v>11</v>
      </c>
      <c r="L1629" s="6"/>
      <c r="M1629" s="11" t="s">
        <v>12</v>
      </c>
      <c r="N1629" s="6" t="s">
        <v>10815</v>
      </c>
      <c r="O1629" s="6" t="s">
        <v>10816</v>
      </c>
      <c r="P1629" s="10" t="s">
        <v>15</v>
      </c>
      <c r="Q1629" s="6"/>
      <c r="R1629" s="6"/>
      <c r="S1629" s="6"/>
      <c r="T1629" s="6" t="s">
        <v>16</v>
      </c>
      <c r="U1629" s="9" t="s">
        <v>17</v>
      </c>
      <c r="AI1629" s="6" t="s">
        <v>18</v>
      </c>
      <c r="AJ1629" s="12" t="s">
        <v>10817</v>
      </c>
      <c r="AL1629" s="13" t="s">
        <v>20</v>
      </c>
    </row>
    <row r="1630">
      <c r="A1630" s="5" t="s">
        <v>10818</v>
      </c>
      <c r="B1630" s="5" t="s">
        <v>10819</v>
      </c>
      <c r="C1630" s="5" t="s">
        <v>10812</v>
      </c>
      <c r="D1630" s="5" t="s">
        <v>507</v>
      </c>
      <c r="E1630" s="6"/>
      <c r="F1630" s="6"/>
      <c r="G1630" s="7" t="s">
        <v>10820</v>
      </c>
      <c r="I1630" s="8" t="s">
        <v>10821</v>
      </c>
      <c r="J1630" s="9">
        <v>23.5</v>
      </c>
      <c r="K1630" s="10" t="s">
        <v>11</v>
      </c>
      <c r="L1630" s="6"/>
      <c r="M1630" s="11" t="s">
        <v>12</v>
      </c>
      <c r="N1630" s="6" t="s">
        <v>10822</v>
      </c>
      <c r="O1630" s="6" t="s">
        <v>10823</v>
      </c>
      <c r="P1630" s="10" t="s">
        <v>15</v>
      </c>
      <c r="Q1630" s="6"/>
      <c r="R1630" s="6"/>
      <c r="S1630" s="6"/>
      <c r="T1630" s="6" t="s">
        <v>16</v>
      </c>
      <c r="U1630" s="9" t="s">
        <v>17</v>
      </c>
      <c r="AI1630" s="6" t="s">
        <v>18</v>
      </c>
      <c r="AJ1630" s="12" t="s">
        <v>10817</v>
      </c>
      <c r="AL1630" s="13" t="s">
        <v>20</v>
      </c>
    </row>
    <row r="1631">
      <c r="A1631" s="5" t="s">
        <v>10824</v>
      </c>
      <c r="B1631" s="5" t="s">
        <v>10825</v>
      </c>
      <c r="C1631" s="5" t="s">
        <v>10826</v>
      </c>
      <c r="D1631" s="5" t="s">
        <v>8</v>
      </c>
      <c r="E1631" s="6"/>
      <c r="F1631" s="6"/>
      <c r="G1631" s="7" t="s">
        <v>10827</v>
      </c>
      <c r="I1631" s="8" t="s">
        <v>10828</v>
      </c>
      <c r="J1631" s="9">
        <v>7.9</v>
      </c>
      <c r="K1631" s="10" t="s">
        <v>11</v>
      </c>
      <c r="L1631" s="6"/>
      <c r="M1631" s="11" t="s">
        <v>12</v>
      </c>
      <c r="N1631" s="6" t="s">
        <v>10829</v>
      </c>
      <c r="O1631" s="6" t="s">
        <v>10830</v>
      </c>
      <c r="P1631" s="10" t="s">
        <v>15</v>
      </c>
      <c r="Q1631" s="6"/>
      <c r="R1631" s="6"/>
      <c r="S1631" s="6"/>
      <c r="T1631" s="6" t="s">
        <v>16</v>
      </c>
      <c r="U1631" s="9" t="s">
        <v>17</v>
      </c>
      <c r="AI1631" s="6" t="s">
        <v>18</v>
      </c>
      <c r="AJ1631" s="12" t="s">
        <v>10831</v>
      </c>
      <c r="AL1631" s="13" t="s">
        <v>20</v>
      </c>
    </row>
    <row r="1632">
      <c r="A1632" s="5" t="s">
        <v>10832</v>
      </c>
      <c r="B1632" s="5" t="s">
        <v>10833</v>
      </c>
      <c r="C1632" s="5" t="s">
        <v>10826</v>
      </c>
      <c r="D1632" s="5" t="s">
        <v>8</v>
      </c>
      <c r="E1632" s="6"/>
      <c r="F1632" s="6"/>
      <c r="G1632" s="7" t="s">
        <v>10834</v>
      </c>
      <c r="I1632" s="8" t="s">
        <v>10835</v>
      </c>
      <c r="J1632" s="9">
        <v>13.9</v>
      </c>
      <c r="K1632" s="10" t="s">
        <v>11</v>
      </c>
      <c r="L1632" s="6"/>
      <c r="M1632" s="11" t="s">
        <v>12</v>
      </c>
      <c r="N1632" s="6" t="s">
        <v>10836</v>
      </c>
      <c r="O1632" s="6" t="s">
        <v>10837</v>
      </c>
      <c r="P1632" s="10" t="s">
        <v>15</v>
      </c>
      <c r="Q1632" s="6"/>
      <c r="R1632" s="6"/>
      <c r="S1632" s="6"/>
      <c r="T1632" s="6" t="s">
        <v>16</v>
      </c>
      <c r="U1632" s="9" t="s">
        <v>17</v>
      </c>
      <c r="AI1632" s="6" t="s">
        <v>18</v>
      </c>
      <c r="AJ1632" s="12" t="s">
        <v>10831</v>
      </c>
      <c r="AL1632" s="13" t="s">
        <v>20</v>
      </c>
    </row>
    <row r="1633">
      <c r="A1633" s="5" t="s">
        <v>10838</v>
      </c>
      <c r="B1633" s="5" t="s">
        <v>10839</v>
      </c>
      <c r="C1633" s="5" t="s">
        <v>10840</v>
      </c>
      <c r="D1633" s="5" t="s">
        <v>507</v>
      </c>
      <c r="E1633" s="6"/>
      <c r="F1633" s="6"/>
      <c r="G1633" s="7" t="s">
        <v>10841</v>
      </c>
      <c r="I1633" s="8" t="s">
        <v>10842</v>
      </c>
      <c r="J1633" s="9">
        <v>6.9</v>
      </c>
      <c r="K1633" s="10" t="s">
        <v>11</v>
      </c>
      <c r="L1633" s="6"/>
      <c r="M1633" s="11" t="s">
        <v>12</v>
      </c>
      <c r="N1633" s="6" t="s">
        <v>10843</v>
      </c>
      <c r="O1633" s="6" t="s">
        <v>10844</v>
      </c>
      <c r="P1633" s="10" t="s">
        <v>15</v>
      </c>
      <c r="Q1633" s="6"/>
      <c r="R1633" s="6"/>
      <c r="S1633" s="6"/>
      <c r="T1633" s="6" t="s">
        <v>16</v>
      </c>
      <c r="U1633" s="9" t="s">
        <v>17</v>
      </c>
      <c r="AI1633" s="6" t="s">
        <v>18</v>
      </c>
      <c r="AJ1633" s="12" t="s">
        <v>10845</v>
      </c>
      <c r="AL1633" s="13" t="s">
        <v>20</v>
      </c>
    </row>
    <row r="1634">
      <c r="A1634" s="5" t="s">
        <v>10846</v>
      </c>
      <c r="B1634" s="5" t="s">
        <v>10847</v>
      </c>
      <c r="C1634" s="5" t="s">
        <v>10840</v>
      </c>
      <c r="D1634" s="5" t="s">
        <v>507</v>
      </c>
      <c r="E1634" s="6"/>
      <c r="F1634" s="6"/>
      <c r="G1634" s="7" t="s">
        <v>10848</v>
      </c>
      <c r="I1634" s="8" t="s">
        <v>10849</v>
      </c>
      <c r="J1634" s="9">
        <v>19.0</v>
      </c>
      <c r="K1634" s="10" t="s">
        <v>11</v>
      </c>
      <c r="L1634" s="6"/>
      <c r="M1634" s="11" t="s">
        <v>12</v>
      </c>
      <c r="N1634" s="6" t="s">
        <v>10850</v>
      </c>
      <c r="O1634" s="6" t="s">
        <v>10851</v>
      </c>
      <c r="P1634" s="10" t="s">
        <v>15</v>
      </c>
      <c r="Q1634" s="6"/>
      <c r="R1634" s="6"/>
      <c r="S1634" s="6"/>
      <c r="T1634" s="6" t="s">
        <v>16</v>
      </c>
      <c r="U1634" s="9" t="s">
        <v>17</v>
      </c>
      <c r="AI1634" s="6" t="s">
        <v>18</v>
      </c>
      <c r="AJ1634" s="12" t="s">
        <v>10845</v>
      </c>
      <c r="AL1634" s="13" t="s">
        <v>20</v>
      </c>
    </row>
    <row r="1635">
      <c r="A1635" s="5" t="s">
        <v>10852</v>
      </c>
      <c r="B1635" s="5" t="s">
        <v>10853</v>
      </c>
      <c r="C1635" s="5" t="s">
        <v>10854</v>
      </c>
      <c r="D1635" s="5" t="s">
        <v>507</v>
      </c>
      <c r="E1635" s="6"/>
      <c r="F1635" s="6"/>
      <c r="G1635" s="7" t="s">
        <v>10855</v>
      </c>
      <c r="I1635" s="8" t="s">
        <v>10856</v>
      </c>
      <c r="J1635" s="9">
        <v>9.9</v>
      </c>
      <c r="K1635" s="10" t="s">
        <v>11</v>
      </c>
      <c r="L1635" s="6"/>
      <c r="M1635" s="11" t="s">
        <v>12</v>
      </c>
      <c r="N1635" s="6" t="s">
        <v>10857</v>
      </c>
      <c r="O1635" s="6" t="s">
        <v>10858</v>
      </c>
      <c r="P1635" s="10" t="s">
        <v>15</v>
      </c>
      <c r="Q1635" s="6"/>
      <c r="R1635" s="6"/>
      <c r="S1635" s="6"/>
      <c r="T1635" s="6" t="s">
        <v>16</v>
      </c>
      <c r="U1635" s="9" t="s">
        <v>17</v>
      </c>
      <c r="AI1635" s="6" t="s">
        <v>18</v>
      </c>
      <c r="AJ1635" s="12" t="s">
        <v>10859</v>
      </c>
      <c r="AL1635" s="13" t="s">
        <v>20</v>
      </c>
    </row>
    <row r="1636">
      <c r="A1636" s="5" t="s">
        <v>10860</v>
      </c>
      <c r="B1636" s="5" t="s">
        <v>10861</v>
      </c>
      <c r="C1636" s="5" t="s">
        <v>10854</v>
      </c>
      <c r="D1636" s="5" t="s">
        <v>507</v>
      </c>
      <c r="E1636" s="6"/>
      <c r="F1636" s="6"/>
      <c r="G1636" s="7" t="s">
        <v>10862</v>
      </c>
      <c r="I1636" s="8" t="s">
        <v>10863</v>
      </c>
      <c r="J1636" s="9">
        <v>19.7</v>
      </c>
      <c r="K1636" s="10" t="s">
        <v>11</v>
      </c>
      <c r="L1636" s="6"/>
      <c r="M1636" s="11" t="s">
        <v>12</v>
      </c>
      <c r="N1636" s="6" t="s">
        <v>10864</v>
      </c>
      <c r="O1636" s="6" t="s">
        <v>10865</v>
      </c>
      <c r="P1636" s="10" t="s">
        <v>15</v>
      </c>
      <c r="Q1636" s="6"/>
      <c r="R1636" s="6"/>
      <c r="S1636" s="6"/>
      <c r="T1636" s="6" t="s">
        <v>16</v>
      </c>
      <c r="U1636" s="9" t="s">
        <v>17</v>
      </c>
      <c r="AI1636" s="6" t="s">
        <v>18</v>
      </c>
      <c r="AJ1636" s="12" t="s">
        <v>10859</v>
      </c>
      <c r="AL1636" s="13" t="s">
        <v>20</v>
      </c>
    </row>
    <row r="1637">
      <c r="A1637" s="5" t="s">
        <v>10866</v>
      </c>
      <c r="B1637" s="5" t="s">
        <v>10867</v>
      </c>
      <c r="C1637" s="5" t="s">
        <v>10868</v>
      </c>
      <c r="D1637" s="5" t="s">
        <v>507</v>
      </c>
      <c r="E1637" s="6"/>
      <c r="F1637" s="6"/>
      <c r="G1637" s="7" t="s">
        <v>10869</v>
      </c>
      <c r="I1637" s="8" t="s">
        <v>10870</v>
      </c>
      <c r="J1637" s="9">
        <v>9.9</v>
      </c>
      <c r="K1637" s="10" t="s">
        <v>11</v>
      </c>
      <c r="L1637" s="6"/>
      <c r="M1637" s="11" t="s">
        <v>12</v>
      </c>
      <c r="N1637" s="6" t="s">
        <v>10871</v>
      </c>
      <c r="O1637" s="6" t="s">
        <v>10872</v>
      </c>
      <c r="P1637" s="10" t="s">
        <v>15</v>
      </c>
      <c r="Q1637" s="6"/>
      <c r="R1637" s="6"/>
      <c r="S1637" s="6"/>
      <c r="T1637" s="6" t="s">
        <v>16</v>
      </c>
      <c r="U1637" s="9" t="s">
        <v>17</v>
      </c>
      <c r="AI1637" s="6" t="s">
        <v>18</v>
      </c>
      <c r="AJ1637" s="12" t="s">
        <v>10873</v>
      </c>
      <c r="AL1637" s="13" t="s">
        <v>20</v>
      </c>
    </row>
    <row r="1638">
      <c r="A1638" s="5" t="s">
        <v>10874</v>
      </c>
      <c r="B1638" s="5" t="s">
        <v>10875</v>
      </c>
      <c r="C1638" s="5" t="s">
        <v>10868</v>
      </c>
      <c r="D1638" s="5" t="s">
        <v>507</v>
      </c>
      <c r="E1638" s="6"/>
      <c r="F1638" s="6"/>
      <c r="G1638" s="7" t="s">
        <v>10876</v>
      </c>
      <c r="I1638" s="8" t="s">
        <v>10877</v>
      </c>
      <c r="J1638" s="9">
        <v>29.5</v>
      </c>
      <c r="K1638" s="10" t="s">
        <v>11</v>
      </c>
      <c r="L1638" s="6"/>
      <c r="M1638" s="11" t="s">
        <v>12</v>
      </c>
      <c r="N1638" s="6" t="s">
        <v>10878</v>
      </c>
      <c r="O1638" s="6" t="s">
        <v>10879</v>
      </c>
      <c r="P1638" s="10" t="s">
        <v>15</v>
      </c>
      <c r="Q1638" s="6"/>
      <c r="R1638" s="6"/>
      <c r="S1638" s="6"/>
      <c r="T1638" s="6" t="s">
        <v>16</v>
      </c>
      <c r="U1638" s="9" t="s">
        <v>17</v>
      </c>
      <c r="AI1638" s="6" t="s">
        <v>18</v>
      </c>
      <c r="AJ1638" s="12" t="s">
        <v>10873</v>
      </c>
      <c r="AL1638" s="13" t="s">
        <v>20</v>
      </c>
    </row>
    <row r="1639">
      <c r="A1639" s="5" t="s">
        <v>10880</v>
      </c>
      <c r="B1639" s="5" t="s">
        <v>10881</v>
      </c>
      <c r="C1639" s="5" t="s">
        <v>10882</v>
      </c>
      <c r="D1639" s="5" t="s">
        <v>8</v>
      </c>
      <c r="E1639" s="6"/>
      <c r="F1639" s="6"/>
      <c r="G1639" s="7" t="s">
        <v>10883</v>
      </c>
      <c r="I1639" s="8" t="s">
        <v>10884</v>
      </c>
      <c r="J1639" s="9">
        <v>39.9</v>
      </c>
      <c r="K1639" s="10" t="s">
        <v>11</v>
      </c>
      <c r="L1639" s="6"/>
      <c r="M1639" s="11" t="s">
        <v>12</v>
      </c>
      <c r="N1639" s="6" t="s">
        <v>10885</v>
      </c>
      <c r="O1639" s="6" t="s">
        <v>10886</v>
      </c>
      <c r="P1639" s="10" t="s">
        <v>15</v>
      </c>
      <c r="Q1639" s="6"/>
      <c r="R1639" s="6"/>
      <c r="S1639" s="6"/>
      <c r="T1639" s="6" t="s">
        <v>16</v>
      </c>
      <c r="U1639" s="9" t="s">
        <v>17</v>
      </c>
      <c r="AI1639" s="6" t="s">
        <v>18</v>
      </c>
      <c r="AJ1639" s="12" t="s">
        <v>10887</v>
      </c>
      <c r="AL1639" s="13" t="s">
        <v>20</v>
      </c>
    </row>
    <row r="1640">
      <c r="A1640" s="5" t="s">
        <v>10888</v>
      </c>
      <c r="B1640" s="5" t="s">
        <v>10889</v>
      </c>
      <c r="C1640" s="5" t="s">
        <v>10890</v>
      </c>
      <c r="D1640" s="5" t="s">
        <v>507</v>
      </c>
      <c r="E1640" s="6"/>
      <c r="F1640" s="6"/>
      <c r="G1640" s="7" t="s">
        <v>10891</v>
      </c>
      <c r="I1640" s="8" t="s">
        <v>10892</v>
      </c>
      <c r="J1640" s="9">
        <v>4.9</v>
      </c>
      <c r="K1640" s="10" t="s">
        <v>11</v>
      </c>
      <c r="L1640" s="6"/>
      <c r="M1640" s="11" t="s">
        <v>12</v>
      </c>
      <c r="N1640" s="6" t="s">
        <v>10893</v>
      </c>
      <c r="O1640" s="6" t="s">
        <v>10894</v>
      </c>
      <c r="P1640" s="10" t="s">
        <v>15</v>
      </c>
      <c r="Q1640" s="6"/>
      <c r="R1640" s="6"/>
      <c r="S1640" s="6"/>
      <c r="T1640" s="6" t="s">
        <v>16</v>
      </c>
      <c r="U1640" s="9" t="s">
        <v>17</v>
      </c>
      <c r="AI1640" s="6" t="s">
        <v>18</v>
      </c>
      <c r="AJ1640" s="12" t="s">
        <v>10895</v>
      </c>
      <c r="AL1640" s="13" t="s">
        <v>20</v>
      </c>
    </row>
    <row r="1641">
      <c r="A1641" s="5" t="s">
        <v>10896</v>
      </c>
      <c r="B1641" s="5" t="s">
        <v>10897</v>
      </c>
      <c r="C1641" s="5" t="s">
        <v>10890</v>
      </c>
      <c r="D1641" s="5" t="s">
        <v>507</v>
      </c>
      <c r="E1641" s="6"/>
      <c r="F1641" s="6"/>
      <c r="G1641" s="7" t="s">
        <v>10898</v>
      </c>
      <c r="I1641" s="8" t="s">
        <v>10899</v>
      </c>
      <c r="J1641" s="9">
        <v>15.4</v>
      </c>
      <c r="K1641" s="10" t="s">
        <v>11</v>
      </c>
      <c r="L1641" s="6"/>
      <c r="M1641" s="11" t="s">
        <v>12</v>
      </c>
      <c r="N1641" s="6" t="s">
        <v>10900</v>
      </c>
      <c r="O1641" s="6" t="s">
        <v>10901</v>
      </c>
      <c r="P1641" s="10" t="s">
        <v>15</v>
      </c>
      <c r="Q1641" s="6"/>
      <c r="R1641" s="6"/>
      <c r="S1641" s="6"/>
      <c r="T1641" s="6" t="s">
        <v>16</v>
      </c>
      <c r="U1641" s="9" t="s">
        <v>17</v>
      </c>
      <c r="AI1641" s="6" t="s">
        <v>18</v>
      </c>
      <c r="AJ1641" s="12" t="s">
        <v>10895</v>
      </c>
      <c r="AL1641" s="13" t="s">
        <v>20</v>
      </c>
    </row>
    <row r="1642">
      <c r="A1642" s="5" t="s">
        <v>10902</v>
      </c>
      <c r="B1642" s="5" t="s">
        <v>10903</v>
      </c>
      <c r="C1642" s="5" t="s">
        <v>10904</v>
      </c>
      <c r="D1642" s="5" t="s">
        <v>507</v>
      </c>
      <c r="E1642" s="6"/>
      <c r="F1642" s="6"/>
      <c r="G1642" s="7" t="s">
        <v>10905</v>
      </c>
      <c r="I1642" s="8" t="s">
        <v>10906</v>
      </c>
      <c r="J1642" s="9">
        <v>9.9</v>
      </c>
      <c r="K1642" s="10" t="s">
        <v>11</v>
      </c>
      <c r="L1642" s="6"/>
      <c r="M1642" s="11" t="s">
        <v>12</v>
      </c>
      <c r="N1642" s="6" t="s">
        <v>10907</v>
      </c>
      <c r="O1642" s="6" t="s">
        <v>10908</v>
      </c>
      <c r="P1642" s="10" t="s">
        <v>15</v>
      </c>
      <c r="Q1642" s="6"/>
      <c r="R1642" s="6"/>
      <c r="S1642" s="6"/>
      <c r="T1642" s="6" t="s">
        <v>16</v>
      </c>
      <c r="U1642" s="9" t="s">
        <v>17</v>
      </c>
      <c r="AI1642" s="6" t="s">
        <v>18</v>
      </c>
      <c r="AJ1642" s="12" t="s">
        <v>10909</v>
      </c>
      <c r="AL1642" s="13" t="s">
        <v>20</v>
      </c>
    </row>
    <row r="1643">
      <c r="A1643" s="5" t="s">
        <v>10910</v>
      </c>
      <c r="B1643" s="5" t="s">
        <v>10911</v>
      </c>
      <c r="C1643" s="5" t="s">
        <v>10904</v>
      </c>
      <c r="D1643" s="5" t="s">
        <v>507</v>
      </c>
      <c r="E1643" s="6"/>
      <c r="F1643" s="6"/>
      <c r="G1643" s="7" t="s">
        <v>10912</v>
      </c>
      <c r="I1643" s="8" t="s">
        <v>10913</v>
      </c>
      <c r="J1643" s="9">
        <v>29.5</v>
      </c>
      <c r="K1643" s="10" t="s">
        <v>11</v>
      </c>
      <c r="L1643" s="6"/>
      <c r="M1643" s="11" t="s">
        <v>12</v>
      </c>
      <c r="N1643" s="6" t="s">
        <v>10914</v>
      </c>
      <c r="O1643" s="6" t="s">
        <v>10915</v>
      </c>
      <c r="P1643" s="10" t="s">
        <v>15</v>
      </c>
      <c r="Q1643" s="6"/>
      <c r="R1643" s="6"/>
      <c r="S1643" s="6"/>
      <c r="T1643" s="6" t="s">
        <v>16</v>
      </c>
      <c r="U1643" s="9" t="s">
        <v>17</v>
      </c>
      <c r="AI1643" s="6" t="s">
        <v>18</v>
      </c>
      <c r="AJ1643" s="12" t="s">
        <v>10909</v>
      </c>
      <c r="AL1643" s="13" t="s">
        <v>20</v>
      </c>
    </row>
    <row r="1644">
      <c r="A1644" s="5" t="s">
        <v>10916</v>
      </c>
      <c r="B1644" s="5" t="s">
        <v>10917</v>
      </c>
      <c r="C1644" s="5" t="s">
        <v>10918</v>
      </c>
      <c r="D1644" s="5" t="s">
        <v>507</v>
      </c>
      <c r="E1644" s="6"/>
      <c r="F1644" s="6"/>
      <c r="G1644" s="7" t="s">
        <v>10919</v>
      </c>
      <c r="I1644" s="8" t="s">
        <v>10920</v>
      </c>
      <c r="J1644" s="9">
        <v>9.9</v>
      </c>
      <c r="K1644" s="10" t="s">
        <v>11</v>
      </c>
      <c r="L1644" s="6"/>
      <c r="M1644" s="11" t="s">
        <v>12</v>
      </c>
      <c r="N1644" s="6" t="s">
        <v>10921</v>
      </c>
      <c r="O1644" s="6" t="s">
        <v>10922</v>
      </c>
      <c r="P1644" s="10" t="s">
        <v>15</v>
      </c>
      <c r="Q1644" s="6"/>
      <c r="R1644" s="6"/>
      <c r="S1644" s="6"/>
      <c r="T1644" s="6" t="s">
        <v>16</v>
      </c>
      <c r="U1644" s="9" t="s">
        <v>17</v>
      </c>
      <c r="AI1644" s="6" t="s">
        <v>18</v>
      </c>
      <c r="AJ1644" s="12" t="s">
        <v>10923</v>
      </c>
      <c r="AL1644" s="13" t="s">
        <v>20</v>
      </c>
    </row>
    <row r="1645">
      <c r="A1645" s="5" t="s">
        <v>10924</v>
      </c>
      <c r="B1645" s="5" t="s">
        <v>10925</v>
      </c>
      <c r="C1645" s="5" t="s">
        <v>10918</v>
      </c>
      <c r="D1645" s="5" t="s">
        <v>507</v>
      </c>
      <c r="E1645" s="6"/>
      <c r="F1645" s="6"/>
      <c r="G1645" s="7" t="s">
        <v>10926</v>
      </c>
      <c r="I1645" s="8" t="s">
        <v>10927</v>
      </c>
      <c r="J1645" s="9">
        <v>29.5</v>
      </c>
      <c r="K1645" s="10" t="s">
        <v>11</v>
      </c>
      <c r="L1645" s="6"/>
      <c r="M1645" s="11" t="s">
        <v>12</v>
      </c>
      <c r="N1645" s="6" t="s">
        <v>10928</v>
      </c>
      <c r="O1645" s="6" t="s">
        <v>10929</v>
      </c>
      <c r="P1645" s="10" t="s">
        <v>15</v>
      </c>
      <c r="Q1645" s="6"/>
      <c r="R1645" s="6"/>
      <c r="S1645" s="6"/>
      <c r="T1645" s="6" t="s">
        <v>16</v>
      </c>
      <c r="U1645" s="9" t="s">
        <v>17</v>
      </c>
      <c r="AI1645" s="6" t="s">
        <v>18</v>
      </c>
      <c r="AJ1645" s="12" t="s">
        <v>10923</v>
      </c>
      <c r="AL1645" s="13" t="s">
        <v>20</v>
      </c>
    </row>
    <row r="1646">
      <c r="A1646" s="5" t="s">
        <v>10930</v>
      </c>
      <c r="B1646" s="5" t="s">
        <v>10931</v>
      </c>
      <c r="C1646" s="5" t="s">
        <v>10932</v>
      </c>
      <c r="D1646" s="5" t="s">
        <v>507</v>
      </c>
      <c r="E1646" s="6"/>
      <c r="F1646" s="6"/>
      <c r="G1646" s="7" t="s">
        <v>10933</v>
      </c>
      <c r="I1646" s="8" t="s">
        <v>10934</v>
      </c>
      <c r="J1646" s="9">
        <v>9.6</v>
      </c>
      <c r="K1646" s="10" t="s">
        <v>11</v>
      </c>
      <c r="L1646" s="6"/>
      <c r="M1646" s="11" t="s">
        <v>12</v>
      </c>
      <c r="N1646" s="6" t="s">
        <v>10935</v>
      </c>
      <c r="O1646" s="6" t="s">
        <v>10936</v>
      </c>
      <c r="P1646" s="10" t="s">
        <v>15</v>
      </c>
      <c r="Q1646" s="6"/>
      <c r="R1646" s="6"/>
      <c r="S1646" s="6"/>
      <c r="T1646" s="6" t="s">
        <v>16</v>
      </c>
      <c r="U1646" s="9" t="s">
        <v>17</v>
      </c>
      <c r="AI1646" s="6" t="s">
        <v>18</v>
      </c>
      <c r="AJ1646" s="12" t="s">
        <v>10937</v>
      </c>
      <c r="AL1646" s="13" t="s">
        <v>20</v>
      </c>
    </row>
    <row r="1647">
      <c r="A1647" s="5" t="s">
        <v>10938</v>
      </c>
      <c r="B1647" s="5" t="s">
        <v>10939</v>
      </c>
      <c r="C1647" s="5" t="s">
        <v>10932</v>
      </c>
      <c r="D1647" s="5" t="s">
        <v>507</v>
      </c>
      <c r="E1647" s="6"/>
      <c r="F1647" s="6"/>
      <c r="G1647" s="7" t="s">
        <v>10940</v>
      </c>
      <c r="I1647" s="8" t="s">
        <v>10941</v>
      </c>
      <c r="J1647" s="9">
        <v>19.0</v>
      </c>
      <c r="K1647" s="10" t="s">
        <v>11</v>
      </c>
      <c r="L1647" s="6"/>
      <c r="M1647" s="11" t="s">
        <v>12</v>
      </c>
      <c r="N1647" s="6" t="s">
        <v>10942</v>
      </c>
      <c r="O1647" s="6" t="s">
        <v>10943</v>
      </c>
      <c r="P1647" s="10" t="s">
        <v>15</v>
      </c>
      <c r="Q1647" s="6"/>
      <c r="R1647" s="6"/>
      <c r="S1647" s="6"/>
      <c r="T1647" s="6" t="s">
        <v>16</v>
      </c>
      <c r="U1647" s="9" t="s">
        <v>17</v>
      </c>
      <c r="AI1647" s="6" t="s">
        <v>18</v>
      </c>
      <c r="AJ1647" s="12" t="s">
        <v>10937</v>
      </c>
      <c r="AL1647" s="13" t="s">
        <v>20</v>
      </c>
    </row>
    <row r="1648">
      <c r="A1648" s="5" t="s">
        <v>10944</v>
      </c>
      <c r="B1648" s="5" t="s">
        <v>10945</v>
      </c>
      <c r="C1648" s="5" t="s">
        <v>10946</v>
      </c>
      <c r="D1648" s="5" t="s">
        <v>507</v>
      </c>
      <c r="E1648" s="6"/>
      <c r="F1648" s="6"/>
      <c r="G1648" s="7" t="s">
        <v>10947</v>
      </c>
      <c r="I1648" s="8" t="s">
        <v>10948</v>
      </c>
      <c r="J1648" s="9">
        <v>9.6</v>
      </c>
      <c r="K1648" s="10" t="s">
        <v>11</v>
      </c>
      <c r="L1648" s="6"/>
      <c r="M1648" s="11" t="s">
        <v>12</v>
      </c>
      <c r="N1648" s="6" t="s">
        <v>10949</v>
      </c>
      <c r="O1648" s="6" t="s">
        <v>10950</v>
      </c>
      <c r="P1648" s="10" t="s">
        <v>15</v>
      </c>
      <c r="Q1648" s="6"/>
      <c r="R1648" s="6"/>
      <c r="S1648" s="6"/>
      <c r="T1648" s="6" t="s">
        <v>16</v>
      </c>
      <c r="U1648" s="9" t="s">
        <v>17</v>
      </c>
      <c r="AI1648" s="6" t="s">
        <v>18</v>
      </c>
      <c r="AJ1648" s="12" t="s">
        <v>10951</v>
      </c>
      <c r="AL1648" s="13" t="s">
        <v>20</v>
      </c>
    </row>
    <row r="1649">
      <c r="A1649" s="5" t="s">
        <v>10952</v>
      </c>
      <c r="B1649" s="5" t="s">
        <v>10953</v>
      </c>
      <c r="C1649" s="5" t="s">
        <v>10946</v>
      </c>
      <c r="D1649" s="5" t="s">
        <v>507</v>
      </c>
      <c r="E1649" s="6"/>
      <c r="F1649" s="6"/>
      <c r="G1649" s="7" t="s">
        <v>10954</v>
      </c>
      <c r="I1649" s="8" t="s">
        <v>10955</v>
      </c>
      <c r="J1649" s="9">
        <v>19.0</v>
      </c>
      <c r="K1649" s="10" t="s">
        <v>11</v>
      </c>
      <c r="L1649" s="6"/>
      <c r="M1649" s="11" t="s">
        <v>12</v>
      </c>
      <c r="N1649" s="6" t="s">
        <v>10956</v>
      </c>
      <c r="O1649" s="6" t="s">
        <v>10957</v>
      </c>
      <c r="P1649" s="10" t="s">
        <v>15</v>
      </c>
      <c r="Q1649" s="6"/>
      <c r="R1649" s="6"/>
      <c r="S1649" s="6"/>
      <c r="T1649" s="6" t="s">
        <v>16</v>
      </c>
      <c r="U1649" s="9" t="s">
        <v>17</v>
      </c>
      <c r="AI1649" s="6" t="s">
        <v>18</v>
      </c>
      <c r="AJ1649" s="12" t="s">
        <v>10951</v>
      </c>
      <c r="AL1649" s="13" t="s">
        <v>20</v>
      </c>
    </row>
    <row r="1650">
      <c r="A1650" s="5" t="s">
        <v>10958</v>
      </c>
      <c r="B1650" s="5" t="s">
        <v>10959</v>
      </c>
      <c r="C1650" s="5" t="s">
        <v>10960</v>
      </c>
      <c r="D1650" s="5" t="s">
        <v>8</v>
      </c>
      <c r="E1650" s="6"/>
      <c r="F1650" s="6"/>
      <c r="G1650" s="7" t="s">
        <v>10961</v>
      </c>
      <c r="I1650" s="8" t="s">
        <v>10962</v>
      </c>
      <c r="J1650" s="9">
        <v>9.9</v>
      </c>
      <c r="K1650" s="10" t="s">
        <v>11</v>
      </c>
      <c r="L1650" s="6"/>
      <c r="M1650" s="11" t="s">
        <v>12</v>
      </c>
      <c r="N1650" s="6" t="s">
        <v>10963</v>
      </c>
      <c r="O1650" s="6" t="s">
        <v>10964</v>
      </c>
      <c r="P1650" s="10" t="s">
        <v>15</v>
      </c>
      <c r="Q1650" s="6"/>
      <c r="R1650" s="6"/>
      <c r="S1650" s="6"/>
      <c r="T1650" s="6" t="s">
        <v>16</v>
      </c>
      <c r="U1650" s="9" t="s">
        <v>17</v>
      </c>
      <c r="AI1650" s="6" t="s">
        <v>18</v>
      </c>
      <c r="AJ1650" s="12" t="s">
        <v>10965</v>
      </c>
      <c r="AL1650" s="13" t="s">
        <v>20</v>
      </c>
    </row>
    <row r="1651">
      <c r="A1651" s="5" t="s">
        <v>10966</v>
      </c>
      <c r="B1651" s="5" t="s">
        <v>10967</v>
      </c>
      <c r="C1651" s="5" t="s">
        <v>10960</v>
      </c>
      <c r="D1651" s="5" t="s">
        <v>8</v>
      </c>
      <c r="E1651" s="6"/>
      <c r="F1651" s="6"/>
      <c r="G1651" s="7" t="s">
        <v>10968</v>
      </c>
      <c r="I1651" s="8" t="s">
        <v>10969</v>
      </c>
      <c r="J1651" s="9">
        <v>16.9</v>
      </c>
      <c r="K1651" s="10" t="s">
        <v>11</v>
      </c>
      <c r="L1651" s="6"/>
      <c r="M1651" s="11" t="s">
        <v>12</v>
      </c>
      <c r="N1651" s="6" t="s">
        <v>10970</v>
      </c>
      <c r="O1651" s="6" t="s">
        <v>10971</v>
      </c>
      <c r="P1651" s="10" t="s">
        <v>15</v>
      </c>
      <c r="Q1651" s="6"/>
      <c r="R1651" s="6"/>
      <c r="S1651" s="6"/>
      <c r="T1651" s="6" t="s">
        <v>16</v>
      </c>
      <c r="U1651" s="9" t="s">
        <v>17</v>
      </c>
      <c r="AI1651" s="6" t="s">
        <v>18</v>
      </c>
      <c r="AJ1651" s="12" t="s">
        <v>10965</v>
      </c>
      <c r="AL1651" s="13" t="s">
        <v>20</v>
      </c>
    </row>
    <row r="1652">
      <c r="A1652" s="5" t="s">
        <v>10972</v>
      </c>
      <c r="B1652" s="5" t="s">
        <v>10973</v>
      </c>
      <c r="C1652" s="5" t="s">
        <v>10974</v>
      </c>
      <c r="D1652" s="5" t="s">
        <v>507</v>
      </c>
      <c r="E1652" s="6"/>
      <c r="F1652" s="6"/>
      <c r="G1652" s="7" t="s">
        <v>10975</v>
      </c>
      <c r="I1652" s="8" t="s">
        <v>10976</v>
      </c>
      <c r="J1652" s="9">
        <v>9.7</v>
      </c>
      <c r="K1652" s="10" t="s">
        <v>11</v>
      </c>
      <c r="L1652" s="6"/>
      <c r="M1652" s="11" t="s">
        <v>12</v>
      </c>
      <c r="N1652" s="6" t="s">
        <v>10977</v>
      </c>
      <c r="O1652" s="6" t="s">
        <v>10978</v>
      </c>
      <c r="P1652" s="10" t="s">
        <v>15</v>
      </c>
      <c r="Q1652" s="6"/>
      <c r="R1652" s="6"/>
      <c r="S1652" s="6"/>
      <c r="T1652" s="6" t="s">
        <v>16</v>
      </c>
      <c r="U1652" s="9" t="s">
        <v>17</v>
      </c>
      <c r="AI1652" s="6" t="s">
        <v>18</v>
      </c>
      <c r="AJ1652" s="12" t="s">
        <v>10979</v>
      </c>
      <c r="AL1652" s="13" t="s">
        <v>20</v>
      </c>
    </row>
    <row r="1653">
      <c r="A1653" s="5" t="s">
        <v>10980</v>
      </c>
      <c r="B1653" s="5" t="s">
        <v>10981</v>
      </c>
      <c r="C1653" s="5" t="s">
        <v>10974</v>
      </c>
      <c r="D1653" s="5" t="s">
        <v>507</v>
      </c>
      <c r="E1653" s="6"/>
      <c r="F1653" s="6"/>
      <c r="G1653" s="7" t="s">
        <v>10982</v>
      </c>
      <c r="I1653" s="8" t="s">
        <v>10983</v>
      </c>
      <c r="J1653" s="9">
        <v>28.8</v>
      </c>
      <c r="K1653" s="10" t="s">
        <v>11</v>
      </c>
      <c r="L1653" s="6"/>
      <c r="M1653" s="11" t="s">
        <v>12</v>
      </c>
      <c r="N1653" s="6" t="s">
        <v>10984</v>
      </c>
      <c r="O1653" s="6" t="s">
        <v>10985</v>
      </c>
      <c r="P1653" s="10" t="s">
        <v>15</v>
      </c>
      <c r="Q1653" s="6"/>
      <c r="R1653" s="6"/>
      <c r="S1653" s="6"/>
      <c r="T1653" s="6" t="s">
        <v>16</v>
      </c>
      <c r="U1653" s="9" t="s">
        <v>17</v>
      </c>
      <c r="AI1653" s="6" t="s">
        <v>18</v>
      </c>
      <c r="AJ1653" s="12" t="s">
        <v>10979</v>
      </c>
      <c r="AL1653" s="13" t="s">
        <v>20</v>
      </c>
    </row>
    <row r="1654">
      <c r="A1654" s="5" t="s">
        <v>10986</v>
      </c>
      <c r="B1654" s="5" t="s">
        <v>10987</v>
      </c>
      <c r="C1654" s="5" t="s">
        <v>10988</v>
      </c>
      <c r="D1654" s="5" t="s">
        <v>8</v>
      </c>
      <c r="E1654" s="6"/>
      <c r="F1654" s="6"/>
      <c r="G1654" s="7" t="s">
        <v>10989</v>
      </c>
      <c r="I1654" s="8" t="s">
        <v>10990</v>
      </c>
      <c r="J1654" s="9">
        <v>7.9</v>
      </c>
      <c r="K1654" s="10" t="s">
        <v>11</v>
      </c>
      <c r="L1654" s="6"/>
      <c r="M1654" s="11" t="s">
        <v>12</v>
      </c>
      <c r="N1654" s="6" t="s">
        <v>10991</v>
      </c>
      <c r="O1654" s="6" t="s">
        <v>10992</v>
      </c>
      <c r="P1654" s="10" t="s">
        <v>15</v>
      </c>
      <c r="Q1654" s="6"/>
      <c r="R1654" s="6"/>
      <c r="S1654" s="6"/>
      <c r="T1654" s="6" t="s">
        <v>16</v>
      </c>
      <c r="U1654" s="9" t="s">
        <v>17</v>
      </c>
      <c r="AI1654" s="6" t="s">
        <v>18</v>
      </c>
      <c r="AJ1654" s="12" t="s">
        <v>10993</v>
      </c>
      <c r="AL1654" s="13" t="s">
        <v>20</v>
      </c>
    </row>
    <row r="1655">
      <c r="A1655" s="5" t="s">
        <v>10994</v>
      </c>
      <c r="B1655" s="5" t="s">
        <v>10995</v>
      </c>
      <c r="C1655" s="5" t="s">
        <v>10988</v>
      </c>
      <c r="D1655" s="5" t="s">
        <v>8</v>
      </c>
      <c r="E1655" s="6"/>
      <c r="F1655" s="6"/>
      <c r="G1655" s="7" t="s">
        <v>10996</v>
      </c>
      <c r="I1655" s="8" t="s">
        <v>10997</v>
      </c>
      <c r="J1655" s="9">
        <v>17.9</v>
      </c>
      <c r="K1655" s="10" t="s">
        <v>11</v>
      </c>
      <c r="L1655" s="6"/>
      <c r="M1655" s="11" t="s">
        <v>12</v>
      </c>
      <c r="N1655" s="6" t="s">
        <v>10998</v>
      </c>
      <c r="O1655" s="6" t="s">
        <v>10999</v>
      </c>
      <c r="P1655" s="10" t="s">
        <v>15</v>
      </c>
      <c r="Q1655" s="6"/>
      <c r="R1655" s="6"/>
      <c r="S1655" s="6"/>
      <c r="T1655" s="6" t="s">
        <v>16</v>
      </c>
      <c r="U1655" s="9" t="s">
        <v>17</v>
      </c>
      <c r="AI1655" s="6" t="s">
        <v>18</v>
      </c>
      <c r="AJ1655" s="12" t="s">
        <v>10993</v>
      </c>
      <c r="AL1655" s="13" t="s">
        <v>20</v>
      </c>
    </row>
    <row r="1656">
      <c r="A1656" s="5" t="s">
        <v>11000</v>
      </c>
      <c r="B1656" s="5" t="s">
        <v>11001</v>
      </c>
      <c r="C1656" s="5" t="s">
        <v>11002</v>
      </c>
      <c r="D1656" s="5" t="s">
        <v>8</v>
      </c>
      <c r="E1656" s="6"/>
      <c r="F1656" s="6"/>
      <c r="G1656" s="7" t="s">
        <v>11003</v>
      </c>
      <c r="I1656" s="8" t="s">
        <v>11004</v>
      </c>
      <c r="J1656" s="9">
        <v>9.9</v>
      </c>
      <c r="K1656" s="10" t="s">
        <v>11</v>
      </c>
      <c r="L1656" s="6"/>
      <c r="M1656" s="11" t="s">
        <v>12</v>
      </c>
      <c r="N1656" s="6" t="s">
        <v>11005</v>
      </c>
      <c r="O1656" s="6" t="s">
        <v>11006</v>
      </c>
      <c r="P1656" s="10" t="s">
        <v>15</v>
      </c>
      <c r="Q1656" s="6"/>
      <c r="R1656" s="6"/>
      <c r="S1656" s="6"/>
      <c r="T1656" s="6" t="s">
        <v>16</v>
      </c>
      <c r="U1656" s="9" t="s">
        <v>17</v>
      </c>
      <c r="AI1656" s="6" t="s">
        <v>18</v>
      </c>
      <c r="AJ1656" s="12" t="s">
        <v>11007</v>
      </c>
      <c r="AL1656" s="13" t="s">
        <v>20</v>
      </c>
    </row>
    <row r="1657">
      <c r="A1657" s="5" t="s">
        <v>11008</v>
      </c>
      <c r="B1657" s="5" t="s">
        <v>11009</v>
      </c>
      <c r="C1657" s="5" t="s">
        <v>11002</v>
      </c>
      <c r="D1657" s="5" t="s">
        <v>8</v>
      </c>
      <c r="E1657" s="6"/>
      <c r="F1657" s="6"/>
      <c r="G1657" s="7" t="s">
        <v>11010</v>
      </c>
      <c r="I1657" s="8" t="s">
        <v>11011</v>
      </c>
      <c r="J1657" s="9">
        <v>14.9</v>
      </c>
      <c r="K1657" s="10" t="s">
        <v>11</v>
      </c>
      <c r="L1657" s="6"/>
      <c r="M1657" s="11" t="s">
        <v>12</v>
      </c>
      <c r="N1657" s="6" t="s">
        <v>11012</v>
      </c>
      <c r="O1657" s="6" t="s">
        <v>11013</v>
      </c>
      <c r="P1657" s="10" t="s">
        <v>15</v>
      </c>
      <c r="Q1657" s="6"/>
      <c r="R1657" s="6"/>
      <c r="S1657" s="6"/>
      <c r="T1657" s="6" t="s">
        <v>16</v>
      </c>
      <c r="U1657" s="9" t="s">
        <v>17</v>
      </c>
      <c r="AI1657" s="6" t="s">
        <v>18</v>
      </c>
      <c r="AJ1657" s="12" t="s">
        <v>11007</v>
      </c>
      <c r="AL1657" s="13" t="s">
        <v>20</v>
      </c>
    </row>
    <row r="1658">
      <c r="A1658" s="5" t="s">
        <v>11014</v>
      </c>
      <c r="B1658" s="5" t="s">
        <v>11015</v>
      </c>
      <c r="C1658" s="5" t="s">
        <v>11016</v>
      </c>
      <c r="D1658" s="5" t="s">
        <v>8</v>
      </c>
      <c r="E1658" s="6"/>
      <c r="F1658" s="6"/>
      <c r="G1658" s="7" t="s">
        <v>11017</v>
      </c>
      <c r="I1658" s="8" t="s">
        <v>11018</v>
      </c>
      <c r="J1658" s="9">
        <v>8.9</v>
      </c>
      <c r="K1658" s="10" t="s">
        <v>11</v>
      </c>
      <c r="L1658" s="6"/>
      <c r="M1658" s="11" t="s">
        <v>12</v>
      </c>
      <c r="N1658" s="6" t="s">
        <v>11019</v>
      </c>
      <c r="O1658" s="6" t="s">
        <v>11020</v>
      </c>
      <c r="P1658" s="10" t="s">
        <v>15</v>
      </c>
      <c r="Q1658" s="6"/>
      <c r="R1658" s="6"/>
      <c r="S1658" s="6" t="s">
        <v>11021</v>
      </c>
      <c r="T1658" s="6" t="s">
        <v>16</v>
      </c>
      <c r="U1658" s="9" t="s">
        <v>17</v>
      </c>
      <c r="AI1658" s="6" t="s">
        <v>18</v>
      </c>
      <c r="AJ1658" s="12" t="s">
        <v>11022</v>
      </c>
      <c r="AL1658" s="13" t="s">
        <v>20</v>
      </c>
    </row>
    <row r="1659">
      <c r="A1659" s="5" t="s">
        <v>11023</v>
      </c>
      <c r="B1659" s="5" t="s">
        <v>11024</v>
      </c>
      <c r="C1659" s="5" t="s">
        <v>11016</v>
      </c>
      <c r="D1659" s="5" t="s">
        <v>8</v>
      </c>
      <c r="E1659" s="6"/>
      <c r="F1659" s="6"/>
      <c r="G1659" s="7" t="s">
        <v>11025</v>
      </c>
      <c r="I1659" s="8" t="s">
        <v>11026</v>
      </c>
      <c r="J1659" s="9">
        <v>17.9</v>
      </c>
      <c r="K1659" s="10" t="s">
        <v>11</v>
      </c>
      <c r="L1659" s="6"/>
      <c r="M1659" s="11" t="s">
        <v>12</v>
      </c>
      <c r="N1659" s="6" t="s">
        <v>11019</v>
      </c>
      <c r="O1659" s="6" t="s">
        <v>11027</v>
      </c>
      <c r="P1659" s="10" t="s">
        <v>15</v>
      </c>
      <c r="Q1659" s="6"/>
      <c r="R1659" s="6"/>
      <c r="S1659" s="6" t="s">
        <v>11021</v>
      </c>
      <c r="T1659" s="6" t="s">
        <v>16</v>
      </c>
      <c r="U1659" s="9" t="s">
        <v>17</v>
      </c>
      <c r="AI1659" s="6" t="s">
        <v>18</v>
      </c>
      <c r="AJ1659" s="12" t="s">
        <v>11022</v>
      </c>
      <c r="AL1659" s="13" t="s">
        <v>20</v>
      </c>
    </row>
    <row r="1660">
      <c r="A1660" s="5" t="s">
        <v>11028</v>
      </c>
      <c r="B1660" s="5" t="s">
        <v>11029</v>
      </c>
      <c r="C1660" s="5" t="s">
        <v>11030</v>
      </c>
      <c r="D1660" s="5" t="s">
        <v>8</v>
      </c>
      <c r="E1660" s="6"/>
      <c r="F1660" s="6"/>
      <c r="G1660" s="7" t="s">
        <v>11031</v>
      </c>
      <c r="I1660" s="8" t="s">
        <v>11032</v>
      </c>
      <c r="J1660" s="9">
        <v>13.9</v>
      </c>
      <c r="K1660" s="10" t="s">
        <v>11</v>
      </c>
      <c r="L1660" s="6"/>
      <c r="M1660" s="11" t="s">
        <v>12</v>
      </c>
      <c r="N1660" s="6" t="s">
        <v>11033</v>
      </c>
      <c r="O1660" s="6" t="s">
        <v>11034</v>
      </c>
      <c r="P1660" s="10" t="s">
        <v>15</v>
      </c>
      <c r="Q1660" s="6"/>
      <c r="R1660" s="6"/>
      <c r="S1660" s="6"/>
      <c r="T1660" s="6" t="s">
        <v>16</v>
      </c>
      <c r="U1660" s="9" t="s">
        <v>17</v>
      </c>
      <c r="AI1660" s="6" t="s">
        <v>18</v>
      </c>
      <c r="AJ1660" s="12" t="s">
        <v>11035</v>
      </c>
      <c r="AL1660" s="13" t="s">
        <v>20</v>
      </c>
    </row>
    <row r="1661">
      <c r="A1661" s="5" t="s">
        <v>11036</v>
      </c>
      <c r="B1661" s="5" t="s">
        <v>11037</v>
      </c>
      <c r="C1661" s="5" t="s">
        <v>11030</v>
      </c>
      <c r="D1661" s="5" t="s">
        <v>8</v>
      </c>
      <c r="E1661" s="6"/>
      <c r="F1661" s="6"/>
      <c r="G1661" s="7" t="s">
        <v>11038</v>
      </c>
      <c r="I1661" s="8" t="s">
        <v>11039</v>
      </c>
      <c r="J1661" s="9">
        <v>24.9</v>
      </c>
      <c r="K1661" s="10" t="s">
        <v>11</v>
      </c>
      <c r="L1661" s="6"/>
      <c r="M1661" s="11" t="s">
        <v>12</v>
      </c>
      <c r="N1661" s="6" t="s">
        <v>11040</v>
      </c>
      <c r="O1661" s="6" t="s">
        <v>11041</v>
      </c>
      <c r="P1661" s="10" t="s">
        <v>15</v>
      </c>
      <c r="Q1661" s="6"/>
      <c r="R1661" s="6"/>
      <c r="S1661" s="6"/>
      <c r="T1661" s="6" t="s">
        <v>16</v>
      </c>
      <c r="U1661" s="9" t="s">
        <v>17</v>
      </c>
      <c r="AI1661" s="6" t="s">
        <v>18</v>
      </c>
      <c r="AJ1661" s="12" t="s">
        <v>11035</v>
      </c>
      <c r="AL1661" s="13" t="s">
        <v>20</v>
      </c>
    </row>
    <row r="1662">
      <c r="A1662" s="5" t="s">
        <v>11042</v>
      </c>
      <c r="B1662" s="5" t="s">
        <v>11043</v>
      </c>
      <c r="C1662" s="5" t="s">
        <v>11044</v>
      </c>
      <c r="D1662" s="5" t="s">
        <v>507</v>
      </c>
      <c r="E1662" s="6"/>
      <c r="F1662" s="6"/>
      <c r="G1662" s="7" t="s">
        <v>11045</v>
      </c>
      <c r="I1662" s="8" t="s">
        <v>11046</v>
      </c>
      <c r="J1662" s="9">
        <v>9.4</v>
      </c>
      <c r="K1662" s="10" t="s">
        <v>11</v>
      </c>
      <c r="L1662" s="6"/>
      <c r="M1662" s="11" t="s">
        <v>12</v>
      </c>
      <c r="N1662" s="6" t="s">
        <v>11047</v>
      </c>
      <c r="O1662" s="6" t="s">
        <v>11048</v>
      </c>
      <c r="P1662" s="10" t="s">
        <v>15</v>
      </c>
      <c r="Q1662" s="6"/>
      <c r="R1662" s="6"/>
      <c r="S1662" s="6"/>
      <c r="T1662" s="6" t="s">
        <v>16</v>
      </c>
      <c r="U1662" s="9" t="s">
        <v>17</v>
      </c>
      <c r="AI1662" s="6" t="s">
        <v>18</v>
      </c>
      <c r="AJ1662" s="12" t="s">
        <v>11049</v>
      </c>
      <c r="AL1662" s="13" t="s">
        <v>20</v>
      </c>
    </row>
    <row r="1663">
      <c r="A1663" s="5" t="s">
        <v>11050</v>
      </c>
      <c r="B1663" s="5" t="s">
        <v>11051</v>
      </c>
      <c r="C1663" s="5" t="s">
        <v>11044</v>
      </c>
      <c r="D1663" s="5" t="s">
        <v>507</v>
      </c>
      <c r="E1663" s="6"/>
      <c r="F1663" s="6"/>
      <c r="G1663" s="7" t="s">
        <v>11052</v>
      </c>
      <c r="I1663" s="8" t="s">
        <v>11053</v>
      </c>
      <c r="J1663" s="9">
        <v>27.9</v>
      </c>
      <c r="K1663" s="10" t="s">
        <v>11</v>
      </c>
      <c r="L1663" s="6"/>
      <c r="M1663" s="11" t="s">
        <v>12</v>
      </c>
      <c r="N1663" s="6" t="s">
        <v>11054</v>
      </c>
      <c r="O1663" s="6" t="s">
        <v>11055</v>
      </c>
      <c r="P1663" s="10" t="s">
        <v>15</v>
      </c>
      <c r="Q1663" s="6"/>
      <c r="R1663" s="6"/>
      <c r="S1663" s="6"/>
      <c r="T1663" s="6" t="s">
        <v>16</v>
      </c>
      <c r="U1663" s="9" t="s">
        <v>17</v>
      </c>
      <c r="AI1663" s="6" t="s">
        <v>18</v>
      </c>
      <c r="AJ1663" s="12" t="s">
        <v>11049</v>
      </c>
      <c r="AL1663" s="13" t="s">
        <v>20</v>
      </c>
    </row>
    <row r="1664">
      <c r="A1664" s="5" t="s">
        <v>11056</v>
      </c>
      <c r="B1664" s="5" t="s">
        <v>11057</v>
      </c>
      <c r="C1664" s="5" t="s">
        <v>11058</v>
      </c>
      <c r="D1664" s="5" t="s">
        <v>507</v>
      </c>
      <c r="E1664" s="6"/>
      <c r="F1664" s="6"/>
      <c r="G1664" s="7" t="s">
        <v>11059</v>
      </c>
      <c r="I1664" s="8" t="s">
        <v>11060</v>
      </c>
      <c r="J1664" s="9">
        <v>9.7</v>
      </c>
      <c r="K1664" s="10" t="s">
        <v>11</v>
      </c>
      <c r="L1664" s="6"/>
      <c r="M1664" s="11" t="s">
        <v>12</v>
      </c>
      <c r="N1664" s="6" t="s">
        <v>11061</v>
      </c>
      <c r="O1664" s="6" t="s">
        <v>11062</v>
      </c>
      <c r="P1664" s="10" t="s">
        <v>15</v>
      </c>
      <c r="Q1664" s="6"/>
      <c r="R1664" s="6"/>
      <c r="S1664" s="6"/>
      <c r="T1664" s="6" t="s">
        <v>16</v>
      </c>
      <c r="U1664" s="9" t="s">
        <v>17</v>
      </c>
      <c r="AI1664" s="6" t="s">
        <v>18</v>
      </c>
      <c r="AJ1664" s="12" t="s">
        <v>11063</v>
      </c>
      <c r="AL1664" s="13" t="s">
        <v>20</v>
      </c>
    </row>
    <row r="1665">
      <c r="A1665" s="5" t="s">
        <v>11064</v>
      </c>
      <c r="B1665" s="5" t="s">
        <v>11065</v>
      </c>
      <c r="C1665" s="5" t="s">
        <v>11058</v>
      </c>
      <c r="D1665" s="5" t="s">
        <v>507</v>
      </c>
      <c r="E1665" s="6"/>
      <c r="F1665" s="6"/>
      <c r="G1665" s="7" t="s">
        <v>11066</v>
      </c>
      <c r="I1665" s="8" t="s">
        <v>11067</v>
      </c>
      <c r="J1665" s="9">
        <v>28.9</v>
      </c>
      <c r="K1665" s="10" t="s">
        <v>11</v>
      </c>
      <c r="L1665" s="6"/>
      <c r="M1665" s="11" t="s">
        <v>12</v>
      </c>
      <c r="N1665" s="6" t="s">
        <v>11068</v>
      </c>
      <c r="O1665" s="6" t="s">
        <v>11069</v>
      </c>
      <c r="P1665" s="10" t="s">
        <v>15</v>
      </c>
      <c r="Q1665" s="6"/>
      <c r="R1665" s="6"/>
      <c r="S1665" s="6"/>
      <c r="T1665" s="6" t="s">
        <v>16</v>
      </c>
      <c r="U1665" s="9" t="s">
        <v>17</v>
      </c>
      <c r="AI1665" s="6" t="s">
        <v>18</v>
      </c>
      <c r="AJ1665" s="12" t="s">
        <v>11063</v>
      </c>
      <c r="AL1665" s="13" t="s">
        <v>20</v>
      </c>
    </row>
    <row r="1666">
      <c r="A1666" s="5" t="s">
        <v>11070</v>
      </c>
      <c r="B1666" s="5" t="s">
        <v>11071</v>
      </c>
      <c r="C1666" s="5" t="s">
        <v>11072</v>
      </c>
      <c r="D1666" s="5" t="s">
        <v>507</v>
      </c>
      <c r="E1666" s="6"/>
      <c r="F1666" s="6"/>
      <c r="G1666" s="7" t="s">
        <v>11073</v>
      </c>
      <c r="I1666" s="8" t="s">
        <v>11074</v>
      </c>
      <c r="J1666" s="9">
        <v>9.9</v>
      </c>
      <c r="K1666" s="10" t="s">
        <v>11</v>
      </c>
      <c r="L1666" s="6"/>
      <c r="M1666" s="11" t="s">
        <v>12</v>
      </c>
      <c r="N1666" s="6" t="s">
        <v>11075</v>
      </c>
      <c r="O1666" s="6" t="s">
        <v>11076</v>
      </c>
      <c r="P1666" s="10" t="s">
        <v>15</v>
      </c>
      <c r="Q1666" s="6"/>
      <c r="R1666" s="6"/>
      <c r="S1666" s="6"/>
      <c r="T1666" s="6" t="s">
        <v>16</v>
      </c>
      <c r="U1666" s="9" t="s">
        <v>17</v>
      </c>
      <c r="AI1666" s="6" t="s">
        <v>18</v>
      </c>
      <c r="AJ1666" s="12" t="s">
        <v>11077</v>
      </c>
      <c r="AL1666" s="13" t="s">
        <v>20</v>
      </c>
    </row>
    <row r="1667">
      <c r="A1667" s="5" t="s">
        <v>11078</v>
      </c>
      <c r="B1667" s="5" t="s">
        <v>11079</v>
      </c>
      <c r="C1667" s="5" t="s">
        <v>11072</v>
      </c>
      <c r="D1667" s="5" t="s">
        <v>507</v>
      </c>
      <c r="E1667" s="6"/>
      <c r="F1667" s="6"/>
      <c r="G1667" s="7" t="s">
        <v>11080</v>
      </c>
      <c r="I1667" s="8" t="s">
        <v>11081</v>
      </c>
      <c r="J1667" s="9">
        <v>19.7</v>
      </c>
      <c r="K1667" s="10" t="s">
        <v>11</v>
      </c>
      <c r="L1667" s="6"/>
      <c r="M1667" s="11" t="s">
        <v>12</v>
      </c>
      <c r="N1667" s="6" t="s">
        <v>11082</v>
      </c>
      <c r="O1667" s="6" t="s">
        <v>11083</v>
      </c>
      <c r="P1667" s="10" t="s">
        <v>15</v>
      </c>
      <c r="Q1667" s="6"/>
      <c r="R1667" s="6"/>
      <c r="S1667" s="6"/>
      <c r="T1667" s="6" t="s">
        <v>16</v>
      </c>
      <c r="U1667" s="9" t="s">
        <v>17</v>
      </c>
      <c r="AI1667" s="6" t="s">
        <v>18</v>
      </c>
      <c r="AJ1667" s="12" t="s">
        <v>11077</v>
      </c>
      <c r="AL1667" s="13" t="s">
        <v>20</v>
      </c>
    </row>
    <row r="1668">
      <c r="A1668" s="5" t="s">
        <v>11084</v>
      </c>
      <c r="B1668" s="5" t="s">
        <v>11085</v>
      </c>
      <c r="C1668" s="5" t="s">
        <v>11086</v>
      </c>
      <c r="D1668" s="5" t="s">
        <v>8</v>
      </c>
      <c r="E1668" s="6"/>
      <c r="F1668" s="6"/>
      <c r="G1668" s="7" t="s">
        <v>11087</v>
      </c>
      <c r="I1668" s="8" t="s">
        <v>11088</v>
      </c>
      <c r="J1668" s="9">
        <v>6.5</v>
      </c>
      <c r="K1668" s="10" t="s">
        <v>11</v>
      </c>
      <c r="L1668" s="6"/>
      <c r="M1668" s="11" t="s">
        <v>12</v>
      </c>
      <c r="N1668" s="6" t="s">
        <v>11089</v>
      </c>
      <c r="O1668" s="6" t="s">
        <v>11090</v>
      </c>
      <c r="P1668" s="10" t="s">
        <v>15</v>
      </c>
      <c r="Q1668" s="6"/>
      <c r="R1668" s="6"/>
      <c r="S1668" s="6"/>
      <c r="T1668" s="6" t="s">
        <v>16</v>
      </c>
      <c r="U1668" s="9" t="s">
        <v>17</v>
      </c>
      <c r="AI1668" s="6" t="s">
        <v>18</v>
      </c>
      <c r="AJ1668" s="12" t="s">
        <v>11091</v>
      </c>
      <c r="AL1668" s="13" t="s">
        <v>20</v>
      </c>
    </row>
    <row r="1669">
      <c r="A1669" s="5" t="s">
        <v>11092</v>
      </c>
      <c r="B1669" s="5" t="s">
        <v>11093</v>
      </c>
      <c r="C1669" s="5" t="s">
        <v>11086</v>
      </c>
      <c r="D1669" s="5" t="s">
        <v>8</v>
      </c>
      <c r="E1669" s="6"/>
      <c r="F1669" s="6"/>
      <c r="G1669" s="7" t="s">
        <v>11094</v>
      </c>
      <c r="I1669" s="8" t="s">
        <v>11095</v>
      </c>
      <c r="J1669" s="9">
        <v>33.6</v>
      </c>
      <c r="K1669" s="10" t="s">
        <v>11</v>
      </c>
      <c r="L1669" s="6"/>
      <c r="M1669" s="11" t="s">
        <v>12</v>
      </c>
      <c r="N1669" s="6" t="s">
        <v>11096</v>
      </c>
      <c r="O1669" s="6" t="s">
        <v>11097</v>
      </c>
      <c r="P1669" s="10" t="s">
        <v>15</v>
      </c>
      <c r="Q1669" s="6"/>
      <c r="R1669" s="6"/>
      <c r="S1669" s="6"/>
      <c r="T1669" s="6" t="s">
        <v>16</v>
      </c>
      <c r="U1669" s="9" t="s">
        <v>17</v>
      </c>
      <c r="AI1669" s="6" t="s">
        <v>18</v>
      </c>
      <c r="AJ1669" s="12" t="s">
        <v>11091</v>
      </c>
      <c r="AL1669" s="13" t="s">
        <v>20</v>
      </c>
    </row>
    <row r="1670">
      <c r="A1670" s="5" t="s">
        <v>11098</v>
      </c>
      <c r="B1670" s="5" t="s">
        <v>11099</v>
      </c>
      <c r="C1670" s="5" t="s">
        <v>11100</v>
      </c>
      <c r="D1670" s="5" t="s">
        <v>507</v>
      </c>
      <c r="E1670" s="6"/>
      <c r="F1670" s="6"/>
      <c r="G1670" s="7" t="s">
        <v>11101</v>
      </c>
      <c r="I1670" s="8" t="s">
        <v>11102</v>
      </c>
      <c r="J1670" s="9">
        <v>9.9</v>
      </c>
      <c r="K1670" s="10" t="s">
        <v>11</v>
      </c>
      <c r="L1670" s="6"/>
      <c r="M1670" s="11" t="s">
        <v>12</v>
      </c>
      <c r="N1670" s="6" t="s">
        <v>11103</v>
      </c>
      <c r="O1670" s="6" t="s">
        <v>11104</v>
      </c>
      <c r="P1670" s="10" t="s">
        <v>15</v>
      </c>
      <c r="Q1670" s="6"/>
      <c r="R1670" s="6"/>
      <c r="S1670" s="6"/>
      <c r="T1670" s="6" t="s">
        <v>16</v>
      </c>
      <c r="U1670" s="9" t="s">
        <v>17</v>
      </c>
      <c r="AI1670" s="6" t="s">
        <v>18</v>
      </c>
      <c r="AJ1670" s="12" t="s">
        <v>11105</v>
      </c>
      <c r="AL1670" s="13" t="s">
        <v>20</v>
      </c>
    </row>
    <row r="1671">
      <c r="A1671" s="5" t="s">
        <v>11106</v>
      </c>
      <c r="B1671" s="5" t="s">
        <v>11107</v>
      </c>
      <c r="C1671" s="5" t="s">
        <v>11100</v>
      </c>
      <c r="D1671" s="5" t="s">
        <v>507</v>
      </c>
      <c r="E1671" s="6"/>
      <c r="F1671" s="6"/>
      <c r="G1671" s="7" t="s">
        <v>11108</v>
      </c>
      <c r="I1671" s="8" t="s">
        <v>11109</v>
      </c>
      <c r="J1671" s="9">
        <v>23.4</v>
      </c>
      <c r="K1671" s="10" t="s">
        <v>11</v>
      </c>
      <c r="L1671" s="6"/>
      <c r="M1671" s="11" t="s">
        <v>12</v>
      </c>
      <c r="N1671" s="6" t="s">
        <v>11110</v>
      </c>
      <c r="O1671" s="6" t="s">
        <v>11111</v>
      </c>
      <c r="P1671" s="10" t="s">
        <v>15</v>
      </c>
      <c r="Q1671" s="6"/>
      <c r="R1671" s="6"/>
      <c r="S1671" s="6"/>
      <c r="T1671" s="6" t="s">
        <v>16</v>
      </c>
      <c r="U1671" s="9" t="s">
        <v>17</v>
      </c>
      <c r="AI1671" s="6" t="s">
        <v>18</v>
      </c>
      <c r="AJ1671" s="12" t="s">
        <v>11105</v>
      </c>
      <c r="AL1671" s="13" t="s">
        <v>20</v>
      </c>
    </row>
    <row r="1672">
      <c r="A1672" s="5" t="s">
        <v>11112</v>
      </c>
      <c r="B1672" s="5" t="s">
        <v>11113</v>
      </c>
      <c r="C1672" s="5" t="s">
        <v>11114</v>
      </c>
      <c r="D1672" s="5" t="s">
        <v>8</v>
      </c>
      <c r="E1672" s="6"/>
      <c r="F1672" s="6"/>
      <c r="G1672" s="7" t="s">
        <v>11115</v>
      </c>
      <c r="I1672" s="8" t="s">
        <v>11116</v>
      </c>
      <c r="J1672" s="9">
        <v>7.9</v>
      </c>
      <c r="K1672" s="10" t="s">
        <v>11</v>
      </c>
      <c r="L1672" s="6"/>
      <c r="M1672" s="11" t="s">
        <v>12</v>
      </c>
      <c r="N1672" s="6" t="s">
        <v>11117</v>
      </c>
      <c r="O1672" s="6" t="s">
        <v>11118</v>
      </c>
      <c r="P1672" s="10" t="s">
        <v>15</v>
      </c>
      <c r="Q1672" s="6"/>
      <c r="R1672" s="6"/>
      <c r="S1672" s="6"/>
      <c r="T1672" s="6" t="s">
        <v>16</v>
      </c>
      <c r="U1672" s="9" t="s">
        <v>17</v>
      </c>
      <c r="AI1672" s="6" t="s">
        <v>18</v>
      </c>
      <c r="AJ1672" s="12" t="s">
        <v>11119</v>
      </c>
      <c r="AL1672" s="13" t="s">
        <v>20</v>
      </c>
    </row>
    <row r="1673">
      <c r="A1673" s="5" t="s">
        <v>11120</v>
      </c>
      <c r="B1673" s="5" t="s">
        <v>11121</v>
      </c>
      <c r="C1673" s="5" t="s">
        <v>11114</v>
      </c>
      <c r="D1673" s="5" t="s">
        <v>8</v>
      </c>
      <c r="E1673" s="6"/>
      <c r="F1673" s="6"/>
      <c r="G1673" s="7" t="s">
        <v>11122</v>
      </c>
      <c r="I1673" s="8" t="s">
        <v>11123</v>
      </c>
      <c r="J1673" s="9">
        <v>14.5</v>
      </c>
      <c r="K1673" s="10" t="s">
        <v>11</v>
      </c>
      <c r="L1673" s="6"/>
      <c r="M1673" s="11" t="s">
        <v>12</v>
      </c>
      <c r="N1673" s="6" t="s">
        <v>11124</v>
      </c>
      <c r="O1673" s="6" t="s">
        <v>11125</v>
      </c>
      <c r="P1673" s="10" t="s">
        <v>15</v>
      </c>
      <c r="Q1673" s="6"/>
      <c r="R1673" s="6"/>
      <c r="S1673" s="6"/>
      <c r="T1673" s="6" t="s">
        <v>16</v>
      </c>
      <c r="U1673" s="9" t="s">
        <v>17</v>
      </c>
      <c r="AI1673" s="6" t="s">
        <v>18</v>
      </c>
      <c r="AJ1673" s="12" t="s">
        <v>11119</v>
      </c>
      <c r="AL1673" s="13" t="s">
        <v>20</v>
      </c>
    </row>
    <row r="1674">
      <c r="A1674" s="5" t="s">
        <v>11126</v>
      </c>
      <c r="B1674" s="5" t="s">
        <v>11127</v>
      </c>
      <c r="C1674" s="5" t="s">
        <v>11128</v>
      </c>
      <c r="D1674" s="5" t="s">
        <v>8</v>
      </c>
      <c r="E1674" s="6"/>
      <c r="F1674" s="6"/>
      <c r="G1674" s="7" t="s">
        <v>11129</v>
      </c>
      <c r="I1674" s="8" t="s">
        <v>11130</v>
      </c>
      <c r="J1674" s="9">
        <v>8.5</v>
      </c>
      <c r="K1674" s="10" t="s">
        <v>11</v>
      </c>
      <c r="L1674" s="6"/>
      <c r="M1674" s="11" t="s">
        <v>12</v>
      </c>
      <c r="N1674" s="6" t="s">
        <v>11131</v>
      </c>
      <c r="O1674" s="6" t="s">
        <v>11132</v>
      </c>
      <c r="P1674" s="10" t="s">
        <v>15</v>
      </c>
      <c r="Q1674" s="6"/>
      <c r="R1674" s="6"/>
      <c r="S1674" s="6"/>
      <c r="T1674" s="6" t="s">
        <v>16</v>
      </c>
      <c r="U1674" s="9" t="s">
        <v>17</v>
      </c>
      <c r="AI1674" s="6" t="s">
        <v>18</v>
      </c>
      <c r="AJ1674" s="12" t="s">
        <v>11133</v>
      </c>
      <c r="AL1674" s="13" t="s">
        <v>20</v>
      </c>
    </row>
    <row r="1675">
      <c r="A1675" s="5" t="s">
        <v>11134</v>
      </c>
      <c r="B1675" s="5" t="s">
        <v>11135</v>
      </c>
      <c r="C1675" s="5" t="s">
        <v>11128</v>
      </c>
      <c r="D1675" s="5" t="s">
        <v>8</v>
      </c>
      <c r="E1675" s="6"/>
      <c r="F1675" s="6"/>
      <c r="G1675" s="7" t="s">
        <v>11136</v>
      </c>
      <c r="I1675" s="8" t="s">
        <v>11137</v>
      </c>
      <c r="J1675" s="9">
        <v>16.9</v>
      </c>
      <c r="K1675" s="10" t="s">
        <v>11</v>
      </c>
      <c r="L1675" s="6"/>
      <c r="M1675" s="11" t="s">
        <v>12</v>
      </c>
      <c r="N1675" s="6" t="s">
        <v>11138</v>
      </c>
      <c r="O1675" s="6" t="s">
        <v>11139</v>
      </c>
      <c r="P1675" s="10" t="s">
        <v>15</v>
      </c>
      <c r="Q1675" s="6"/>
      <c r="R1675" s="6"/>
      <c r="S1675" s="6"/>
      <c r="T1675" s="6" t="s">
        <v>16</v>
      </c>
      <c r="U1675" s="9" t="s">
        <v>17</v>
      </c>
      <c r="AI1675" s="6" t="s">
        <v>18</v>
      </c>
      <c r="AJ1675" s="12" t="s">
        <v>11133</v>
      </c>
      <c r="AL1675" s="13" t="s">
        <v>20</v>
      </c>
    </row>
    <row r="1676">
      <c r="A1676" s="5" t="s">
        <v>11140</v>
      </c>
      <c r="B1676" s="5" t="s">
        <v>11141</v>
      </c>
      <c r="C1676" s="5" t="s">
        <v>11142</v>
      </c>
      <c r="D1676" s="5" t="s">
        <v>507</v>
      </c>
      <c r="E1676" s="6"/>
      <c r="F1676" s="6"/>
      <c r="G1676" s="7" t="s">
        <v>11143</v>
      </c>
      <c r="I1676" s="8" t="s">
        <v>11144</v>
      </c>
      <c r="J1676" s="9">
        <v>9.8</v>
      </c>
      <c r="K1676" s="10" t="s">
        <v>11</v>
      </c>
      <c r="L1676" s="6"/>
      <c r="M1676" s="11" t="s">
        <v>12</v>
      </c>
      <c r="N1676" s="6" t="s">
        <v>11145</v>
      </c>
      <c r="O1676" s="6" t="s">
        <v>11146</v>
      </c>
      <c r="P1676" s="10" t="s">
        <v>15</v>
      </c>
      <c r="Q1676" s="6"/>
      <c r="R1676" s="6"/>
      <c r="S1676" s="6"/>
      <c r="T1676" s="6" t="s">
        <v>16</v>
      </c>
      <c r="U1676" s="9" t="s">
        <v>17</v>
      </c>
      <c r="AI1676" s="6" t="s">
        <v>18</v>
      </c>
      <c r="AJ1676" s="12" t="s">
        <v>11147</v>
      </c>
      <c r="AL1676" s="13" t="s">
        <v>20</v>
      </c>
    </row>
    <row r="1677">
      <c r="A1677" s="5" t="s">
        <v>11148</v>
      </c>
      <c r="B1677" s="5" t="s">
        <v>11149</v>
      </c>
      <c r="C1677" s="5" t="s">
        <v>11150</v>
      </c>
      <c r="D1677" s="5" t="s">
        <v>8</v>
      </c>
      <c r="E1677" s="6"/>
      <c r="F1677" s="6"/>
      <c r="G1677" s="7" t="s">
        <v>11151</v>
      </c>
      <c r="I1677" s="8" t="s">
        <v>11152</v>
      </c>
      <c r="J1677" s="9">
        <v>7.9</v>
      </c>
      <c r="K1677" s="10" t="s">
        <v>11</v>
      </c>
      <c r="L1677" s="6"/>
      <c r="M1677" s="11" t="s">
        <v>12</v>
      </c>
      <c r="N1677" s="6" t="s">
        <v>11153</v>
      </c>
      <c r="O1677" s="6" t="s">
        <v>11154</v>
      </c>
      <c r="P1677" s="10" t="s">
        <v>15</v>
      </c>
      <c r="Q1677" s="6"/>
      <c r="R1677" s="6"/>
      <c r="S1677" s="6"/>
      <c r="T1677" s="6" t="s">
        <v>16</v>
      </c>
      <c r="U1677" s="9" t="s">
        <v>17</v>
      </c>
      <c r="AI1677" s="6" t="s">
        <v>18</v>
      </c>
      <c r="AJ1677" s="12" t="s">
        <v>11155</v>
      </c>
      <c r="AL1677" s="13" t="s">
        <v>20</v>
      </c>
    </row>
    <row r="1678">
      <c r="A1678" s="5" t="s">
        <v>11156</v>
      </c>
      <c r="B1678" s="5" t="s">
        <v>11157</v>
      </c>
      <c r="C1678" s="5" t="s">
        <v>11150</v>
      </c>
      <c r="D1678" s="5" t="s">
        <v>8</v>
      </c>
      <c r="E1678" s="6"/>
      <c r="F1678" s="6"/>
      <c r="G1678" s="7" t="s">
        <v>11158</v>
      </c>
      <c r="I1678" s="8" t="s">
        <v>11159</v>
      </c>
      <c r="J1678" s="9">
        <v>13.5</v>
      </c>
      <c r="K1678" s="10" t="s">
        <v>11</v>
      </c>
      <c r="L1678" s="6"/>
      <c r="M1678" s="11" t="s">
        <v>12</v>
      </c>
      <c r="N1678" s="6" t="s">
        <v>11160</v>
      </c>
      <c r="O1678" s="6" t="s">
        <v>11161</v>
      </c>
      <c r="P1678" s="10" t="s">
        <v>15</v>
      </c>
      <c r="Q1678" s="6"/>
      <c r="R1678" s="6"/>
      <c r="S1678" s="6"/>
      <c r="T1678" s="6" t="s">
        <v>16</v>
      </c>
      <c r="U1678" s="9" t="s">
        <v>17</v>
      </c>
      <c r="AI1678" s="6" t="s">
        <v>18</v>
      </c>
      <c r="AJ1678" s="12" t="s">
        <v>11155</v>
      </c>
      <c r="AL1678" s="13" t="s">
        <v>20</v>
      </c>
    </row>
    <row r="1679">
      <c r="A1679" s="5" t="s">
        <v>11162</v>
      </c>
      <c r="B1679" s="5" t="s">
        <v>11163</v>
      </c>
      <c r="C1679" s="5" t="s">
        <v>11164</v>
      </c>
      <c r="D1679" s="5" t="s">
        <v>507</v>
      </c>
      <c r="E1679" s="6"/>
      <c r="F1679" s="6"/>
      <c r="G1679" s="7" t="s">
        <v>11165</v>
      </c>
      <c r="I1679" s="8" t="s">
        <v>11166</v>
      </c>
      <c r="J1679" s="9">
        <v>9.3</v>
      </c>
      <c r="K1679" s="10" t="s">
        <v>11</v>
      </c>
      <c r="L1679" s="6"/>
      <c r="M1679" s="11" t="s">
        <v>12</v>
      </c>
      <c r="N1679" s="6" t="s">
        <v>11167</v>
      </c>
      <c r="O1679" s="6" t="s">
        <v>11168</v>
      </c>
      <c r="P1679" s="10" t="s">
        <v>15</v>
      </c>
      <c r="Q1679" s="6"/>
      <c r="R1679" s="6"/>
      <c r="S1679" s="6"/>
      <c r="T1679" s="6" t="s">
        <v>16</v>
      </c>
      <c r="U1679" s="9" t="s">
        <v>17</v>
      </c>
      <c r="AI1679" s="6" t="s">
        <v>18</v>
      </c>
      <c r="AJ1679" s="12" t="s">
        <v>11169</v>
      </c>
      <c r="AL1679" s="13" t="s">
        <v>20</v>
      </c>
    </row>
    <row r="1680">
      <c r="A1680" s="5" t="s">
        <v>11170</v>
      </c>
      <c r="B1680" s="5" t="s">
        <v>11171</v>
      </c>
      <c r="C1680" s="5" t="s">
        <v>11172</v>
      </c>
      <c r="D1680" s="5" t="s">
        <v>507</v>
      </c>
      <c r="E1680" s="6"/>
      <c r="F1680" s="6"/>
      <c r="G1680" s="7" t="s">
        <v>11173</v>
      </c>
      <c r="I1680" s="8" t="s">
        <v>11174</v>
      </c>
      <c r="J1680" s="9">
        <v>9.3</v>
      </c>
      <c r="K1680" s="10" t="s">
        <v>11</v>
      </c>
      <c r="L1680" s="6"/>
      <c r="M1680" s="11" t="s">
        <v>12</v>
      </c>
      <c r="N1680" s="6" t="s">
        <v>11175</v>
      </c>
      <c r="O1680" s="6" t="s">
        <v>11176</v>
      </c>
      <c r="P1680" s="10" t="s">
        <v>15</v>
      </c>
      <c r="Q1680" s="6"/>
      <c r="R1680" s="6"/>
      <c r="S1680" s="6"/>
      <c r="T1680" s="6" t="s">
        <v>16</v>
      </c>
      <c r="U1680" s="9" t="s">
        <v>17</v>
      </c>
      <c r="AI1680" s="6" t="s">
        <v>18</v>
      </c>
      <c r="AJ1680" s="12" t="s">
        <v>11177</v>
      </c>
      <c r="AL1680" s="13" t="s">
        <v>20</v>
      </c>
    </row>
    <row r="1681">
      <c r="A1681" s="5" t="s">
        <v>11178</v>
      </c>
      <c r="B1681" s="5" t="s">
        <v>11179</v>
      </c>
      <c r="C1681" s="5" t="s">
        <v>11180</v>
      </c>
      <c r="D1681" s="5" t="s">
        <v>507</v>
      </c>
      <c r="E1681" s="6"/>
      <c r="F1681" s="6"/>
      <c r="G1681" s="7" t="s">
        <v>11181</v>
      </c>
      <c r="I1681" s="8" t="s">
        <v>11182</v>
      </c>
      <c r="J1681" s="9">
        <v>9.7</v>
      </c>
      <c r="K1681" s="10" t="s">
        <v>11</v>
      </c>
      <c r="L1681" s="6"/>
      <c r="M1681" s="11" t="s">
        <v>12</v>
      </c>
      <c r="N1681" s="6" t="s">
        <v>11183</v>
      </c>
      <c r="O1681" s="6" t="s">
        <v>11184</v>
      </c>
      <c r="P1681" s="10" t="s">
        <v>15</v>
      </c>
      <c r="Q1681" s="6"/>
      <c r="R1681" s="6"/>
      <c r="S1681" s="6"/>
      <c r="T1681" s="6" t="s">
        <v>16</v>
      </c>
      <c r="U1681" s="9" t="s">
        <v>17</v>
      </c>
      <c r="AI1681" s="6" t="s">
        <v>18</v>
      </c>
      <c r="AJ1681" s="12" t="s">
        <v>11185</v>
      </c>
      <c r="AL1681" s="13" t="s">
        <v>20</v>
      </c>
    </row>
    <row r="1682">
      <c r="A1682" s="5" t="s">
        <v>11186</v>
      </c>
      <c r="B1682" s="5" t="s">
        <v>11187</v>
      </c>
      <c r="C1682" s="5" t="s">
        <v>11180</v>
      </c>
      <c r="D1682" s="5" t="s">
        <v>507</v>
      </c>
      <c r="E1682" s="6"/>
      <c r="F1682" s="6"/>
      <c r="G1682" s="7" t="s">
        <v>11188</v>
      </c>
      <c r="I1682" s="8" t="s">
        <v>11189</v>
      </c>
      <c r="J1682" s="9">
        <v>22.9</v>
      </c>
      <c r="K1682" s="10" t="s">
        <v>11</v>
      </c>
      <c r="L1682" s="6"/>
      <c r="M1682" s="11" t="s">
        <v>12</v>
      </c>
      <c r="N1682" s="6" t="s">
        <v>11190</v>
      </c>
      <c r="O1682" s="6" t="s">
        <v>11191</v>
      </c>
      <c r="P1682" s="10" t="s">
        <v>15</v>
      </c>
      <c r="Q1682" s="6"/>
      <c r="R1682" s="6"/>
      <c r="S1682" s="6"/>
      <c r="T1682" s="6" t="s">
        <v>16</v>
      </c>
      <c r="U1682" s="9" t="s">
        <v>17</v>
      </c>
      <c r="AI1682" s="6" t="s">
        <v>18</v>
      </c>
      <c r="AJ1682" s="12" t="s">
        <v>11185</v>
      </c>
      <c r="AL1682" s="13" t="s">
        <v>20</v>
      </c>
    </row>
    <row r="1683">
      <c r="A1683" s="5" t="s">
        <v>11192</v>
      </c>
      <c r="B1683" s="5" t="s">
        <v>11193</v>
      </c>
      <c r="C1683" s="5" t="s">
        <v>11194</v>
      </c>
      <c r="D1683" s="5" t="s">
        <v>8</v>
      </c>
      <c r="E1683" s="6"/>
      <c r="F1683" s="6"/>
      <c r="G1683" s="7" t="s">
        <v>11195</v>
      </c>
      <c r="I1683" s="8" t="s">
        <v>11196</v>
      </c>
      <c r="J1683" s="9">
        <v>8.9</v>
      </c>
      <c r="K1683" s="10" t="s">
        <v>11</v>
      </c>
      <c r="L1683" s="6"/>
      <c r="M1683" s="11" t="s">
        <v>12</v>
      </c>
      <c r="N1683" s="6" t="s">
        <v>11197</v>
      </c>
      <c r="O1683" s="6" t="s">
        <v>11198</v>
      </c>
      <c r="P1683" s="10" t="s">
        <v>15</v>
      </c>
      <c r="Q1683" s="6"/>
      <c r="R1683" s="6"/>
      <c r="S1683" s="6"/>
      <c r="T1683" s="6" t="s">
        <v>16</v>
      </c>
      <c r="U1683" s="9" t="s">
        <v>17</v>
      </c>
      <c r="AI1683" s="6" t="s">
        <v>18</v>
      </c>
      <c r="AJ1683" s="12" t="s">
        <v>11199</v>
      </c>
      <c r="AL1683" s="13" t="s">
        <v>20</v>
      </c>
    </row>
    <row r="1684">
      <c r="A1684" s="5" t="s">
        <v>11200</v>
      </c>
      <c r="B1684" s="5" t="s">
        <v>11201</v>
      </c>
      <c r="C1684" s="5" t="s">
        <v>11194</v>
      </c>
      <c r="D1684" s="5" t="s">
        <v>8</v>
      </c>
      <c r="E1684" s="6"/>
      <c r="F1684" s="6"/>
      <c r="G1684" s="7" t="s">
        <v>11202</v>
      </c>
      <c r="I1684" s="8" t="s">
        <v>11203</v>
      </c>
      <c r="J1684" s="9">
        <v>18.9</v>
      </c>
      <c r="K1684" s="10" t="s">
        <v>11</v>
      </c>
      <c r="L1684" s="6"/>
      <c r="M1684" s="11" t="s">
        <v>12</v>
      </c>
      <c r="N1684" s="6" t="s">
        <v>11204</v>
      </c>
      <c r="O1684" s="6" t="s">
        <v>11205</v>
      </c>
      <c r="P1684" s="10" t="s">
        <v>15</v>
      </c>
      <c r="Q1684" s="6"/>
      <c r="R1684" s="6"/>
      <c r="S1684" s="6"/>
      <c r="T1684" s="6" t="s">
        <v>16</v>
      </c>
      <c r="U1684" s="9" t="s">
        <v>17</v>
      </c>
      <c r="AI1684" s="6" t="s">
        <v>18</v>
      </c>
      <c r="AJ1684" s="12" t="s">
        <v>11199</v>
      </c>
      <c r="AL1684" s="13" t="s">
        <v>20</v>
      </c>
    </row>
    <row r="1685">
      <c r="A1685" s="5" t="s">
        <v>11206</v>
      </c>
      <c r="B1685" s="5" t="s">
        <v>11207</v>
      </c>
      <c r="C1685" s="5" t="s">
        <v>11208</v>
      </c>
      <c r="D1685" s="5" t="s">
        <v>507</v>
      </c>
      <c r="E1685" s="6"/>
      <c r="F1685" s="6"/>
      <c r="G1685" s="7" t="s">
        <v>11209</v>
      </c>
      <c r="I1685" s="8" t="s">
        <v>11210</v>
      </c>
      <c r="J1685" s="9">
        <v>9.8</v>
      </c>
      <c r="K1685" s="10" t="s">
        <v>11</v>
      </c>
      <c r="L1685" s="6"/>
      <c r="M1685" s="11" t="s">
        <v>12</v>
      </c>
      <c r="N1685" s="6" t="s">
        <v>11211</v>
      </c>
      <c r="O1685" s="6" t="s">
        <v>11212</v>
      </c>
      <c r="P1685" s="10" t="s">
        <v>15</v>
      </c>
      <c r="Q1685" s="6"/>
      <c r="R1685" s="6"/>
      <c r="S1685" s="6"/>
      <c r="T1685" s="6" t="s">
        <v>16</v>
      </c>
      <c r="U1685" s="9" t="s">
        <v>17</v>
      </c>
      <c r="AI1685" s="6" t="s">
        <v>18</v>
      </c>
      <c r="AJ1685" s="12" t="s">
        <v>11213</v>
      </c>
      <c r="AL1685" s="13" t="s">
        <v>20</v>
      </c>
    </row>
    <row r="1686">
      <c r="A1686" s="5" t="s">
        <v>11214</v>
      </c>
      <c r="B1686" s="5" t="s">
        <v>11215</v>
      </c>
      <c r="C1686" s="5" t="s">
        <v>11208</v>
      </c>
      <c r="D1686" s="5" t="s">
        <v>507</v>
      </c>
      <c r="E1686" s="6"/>
      <c r="F1686" s="6"/>
      <c r="G1686" s="7" t="s">
        <v>11216</v>
      </c>
      <c r="I1686" s="8" t="s">
        <v>11217</v>
      </c>
      <c r="J1686" s="9">
        <v>28.9</v>
      </c>
      <c r="K1686" s="10" t="s">
        <v>11</v>
      </c>
      <c r="L1686" s="6"/>
      <c r="M1686" s="11" t="s">
        <v>12</v>
      </c>
      <c r="N1686" s="6" t="s">
        <v>11218</v>
      </c>
      <c r="O1686" s="6" t="s">
        <v>11219</v>
      </c>
      <c r="P1686" s="10" t="s">
        <v>15</v>
      </c>
      <c r="Q1686" s="6"/>
      <c r="R1686" s="6"/>
      <c r="S1686" s="6"/>
      <c r="T1686" s="6" t="s">
        <v>16</v>
      </c>
      <c r="U1686" s="9" t="s">
        <v>17</v>
      </c>
      <c r="AI1686" s="6" t="s">
        <v>18</v>
      </c>
      <c r="AJ1686" s="12" t="s">
        <v>11213</v>
      </c>
      <c r="AL1686" s="13" t="s">
        <v>20</v>
      </c>
    </row>
    <row r="1687">
      <c r="A1687" s="5" t="s">
        <v>11220</v>
      </c>
      <c r="B1687" s="5" t="s">
        <v>11221</v>
      </c>
      <c r="C1687" s="5" t="s">
        <v>11222</v>
      </c>
      <c r="D1687" s="5" t="s">
        <v>507</v>
      </c>
      <c r="E1687" s="6"/>
      <c r="F1687" s="6"/>
      <c r="G1687" s="7" t="s">
        <v>11223</v>
      </c>
      <c r="I1687" s="8" t="s">
        <v>11224</v>
      </c>
      <c r="J1687" s="9">
        <v>9.3</v>
      </c>
      <c r="K1687" s="10" t="s">
        <v>11</v>
      </c>
      <c r="L1687" s="6"/>
      <c r="M1687" s="11" t="s">
        <v>12</v>
      </c>
      <c r="N1687" s="6" t="s">
        <v>11225</v>
      </c>
      <c r="O1687" s="6" t="s">
        <v>11226</v>
      </c>
      <c r="P1687" s="10" t="s">
        <v>15</v>
      </c>
      <c r="Q1687" s="6"/>
      <c r="R1687" s="6"/>
      <c r="S1687" s="6"/>
      <c r="T1687" s="6" t="s">
        <v>16</v>
      </c>
      <c r="U1687" s="9" t="s">
        <v>17</v>
      </c>
      <c r="AI1687" s="6" t="s">
        <v>18</v>
      </c>
      <c r="AJ1687" s="12" t="s">
        <v>11227</v>
      </c>
      <c r="AL1687" s="13" t="s">
        <v>20</v>
      </c>
    </row>
    <row r="1688">
      <c r="A1688" s="5" t="s">
        <v>11228</v>
      </c>
      <c r="B1688" s="5" t="s">
        <v>11229</v>
      </c>
      <c r="C1688" s="5" t="s">
        <v>11230</v>
      </c>
      <c r="D1688" s="5" t="s">
        <v>8</v>
      </c>
      <c r="E1688" s="6"/>
      <c r="F1688" s="6"/>
      <c r="G1688" s="7" t="s">
        <v>11231</v>
      </c>
      <c r="I1688" s="8" t="s">
        <v>11232</v>
      </c>
      <c r="J1688" s="9">
        <v>9.9</v>
      </c>
      <c r="K1688" s="10" t="s">
        <v>11</v>
      </c>
      <c r="L1688" s="6"/>
      <c r="M1688" s="11" t="s">
        <v>12</v>
      </c>
      <c r="N1688" s="6" t="s">
        <v>11233</v>
      </c>
      <c r="O1688" s="6" t="s">
        <v>11234</v>
      </c>
      <c r="P1688" s="10" t="s">
        <v>15</v>
      </c>
      <c r="Q1688" s="6"/>
      <c r="R1688" s="6"/>
      <c r="S1688" s="6"/>
      <c r="T1688" s="6" t="s">
        <v>16</v>
      </c>
      <c r="U1688" s="9" t="s">
        <v>17</v>
      </c>
      <c r="AI1688" s="6" t="s">
        <v>18</v>
      </c>
      <c r="AJ1688" s="12" t="s">
        <v>11235</v>
      </c>
      <c r="AL1688" s="13" t="s">
        <v>20</v>
      </c>
    </row>
    <row r="1689">
      <c r="A1689" s="5" t="s">
        <v>11236</v>
      </c>
      <c r="B1689" s="5" t="s">
        <v>11237</v>
      </c>
      <c r="C1689" s="5" t="s">
        <v>11230</v>
      </c>
      <c r="D1689" s="5" t="s">
        <v>8</v>
      </c>
      <c r="E1689" s="6"/>
      <c r="F1689" s="6"/>
      <c r="G1689" s="7" t="s">
        <v>11238</v>
      </c>
      <c r="I1689" s="8" t="s">
        <v>11239</v>
      </c>
      <c r="J1689" s="9">
        <v>19.9</v>
      </c>
      <c r="K1689" s="10" t="s">
        <v>11</v>
      </c>
      <c r="L1689" s="6"/>
      <c r="M1689" s="11" t="s">
        <v>12</v>
      </c>
      <c r="N1689" s="6" t="s">
        <v>11240</v>
      </c>
      <c r="O1689" s="6" t="s">
        <v>11241</v>
      </c>
      <c r="P1689" s="10" t="s">
        <v>15</v>
      </c>
      <c r="Q1689" s="6"/>
      <c r="R1689" s="6"/>
      <c r="S1689" s="6"/>
      <c r="T1689" s="6" t="s">
        <v>16</v>
      </c>
      <c r="U1689" s="9" t="s">
        <v>17</v>
      </c>
      <c r="AI1689" s="6" t="s">
        <v>18</v>
      </c>
      <c r="AJ1689" s="12" t="s">
        <v>11235</v>
      </c>
      <c r="AL1689" s="13" t="s">
        <v>20</v>
      </c>
    </row>
    <row r="1690">
      <c r="A1690" s="5" t="s">
        <v>11242</v>
      </c>
      <c r="B1690" s="5" t="s">
        <v>11243</v>
      </c>
      <c r="C1690" s="5" t="s">
        <v>11244</v>
      </c>
      <c r="D1690" s="5" t="s">
        <v>8</v>
      </c>
      <c r="E1690" s="6"/>
      <c r="F1690" s="6"/>
      <c r="G1690" s="7" t="s">
        <v>11245</v>
      </c>
      <c r="I1690" s="8" t="s">
        <v>11246</v>
      </c>
      <c r="J1690" s="9">
        <v>7.9</v>
      </c>
      <c r="K1690" s="10" t="s">
        <v>11</v>
      </c>
      <c r="L1690" s="6"/>
      <c r="M1690" s="11" t="s">
        <v>12</v>
      </c>
      <c r="N1690" s="6" t="s">
        <v>11247</v>
      </c>
      <c r="O1690" s="6" t="s">
        <v>11248</v>
      </c>
      <c r="P1690" s="10" t="s">
        <v>15</v>
      </c>
      <c r="Q1690" s="6"/>
      <c r="R1690" s="6"/>
      <c r="S1690" s="6"/>
      <c r="T1690" s="6" t="s">
        <v>16</v>
      </c>
      <c r="U1690" s="9" t="s">
        <v>17</v>
      </c>
      <c r="AI1690" s="6" t="s">
        <v>18</v>
      </c>
      <c r="AJ1690" s="12" t="s">
        <v>11249</v>
      </c>
      <c r="AL1690" s="13" t="s">
        <v>20</v>
      </c>
    </row>
    <row r="1691">
      <c r="A1691" s="5" t="s">
        <v>11250</v>
      </c>
      <c r="B1691" s="5" t="s">
        <v>11251</v>
      </c>
      <c r="C1691" s="5" t="s">
        <v>11244</v>
      </c>
      <c r="D1691" s="5" t="s">
        <v>8</v>
      </c>
      <c r="E1691" s="6"/>
      <c r="F1691" s="6"/>
      <c r="G1691" s="7" t="s">
        <v>11252</v>
      </c>
      <c r="I1691" s="8" t="s">
        <v>11253</v>
      </c>
      <c r="J1691" s="9">
        <v>12.9</v>
      </c>
      <c r="K1691" s="10" t="s">
        <v>11</v>
      </c>
      <c r="L1691" s="6"/>
      <c r="M1691" s="11" t="s">
        <v>12</v>
      </c>
      <c r="N1691" s="6" t="s">
        <v>11254</v>
      </c>
      <c r="O1691" s="6" t="s">
        <v>11255</v>
      </c>
      <c r="P1691" s="10" t="s">
        <v>15</v>
      </c>
      <c r="Q1691" s="6"/>
      <c r="R1691" s="6"/>
      <c r="S1691" s="6"/>
      <c r="T1691" s="6" t="s">
        <v>16</v>
      </c>
      <c r="U1691" s="9" t="s">
        <v>17</v>
      </c>
      <c r="AI1691" s="6" t="s">
        <v>18</v>
      </c>
      <c r="AJ1691" s="12" t="s">
        <v>11249</v>
      </c>
      <c r="AL1691" s="13" t="s">
        <v>20</v>
      </c>
    </row>
    <row r="1692">
      <c r="A1692" s="5" t="s">
        <v>11256</v>
      </c>
      <c r="B1692" s="5" t="s">
        <v>11257</v>
      </c>
      <c r="C1692" s="5" t="s">
        <v>11258</v>
      </c>
      <c r="D1692" s="5" t="s">
        <v>507</v>
      </c>
      <c r="E1692" s="6"/>
      <c r="F1692" s="6"/>
      <c r="G1692" s="7" t="s">
        <v>11259</v>
      </c>
      <c r="I1692" s="8" t="s">
        <v>11260</v>
      </c>
      <c r="J1692" s="9">
        <v>8.3</v>
      </c>
      <c r="K1692" s="10" t="s">
        <v>11</v>
      </c>
      <c r="L1692" s="6"/>
      <c r="M1692" s="11" t="s">
        <v>12</v>
      </c>
      <c r="N1692" s="6" t="s">
        <v>11261</v>
      </c>
      <c r="O1692" s="6" t="s">
        <v>11262</v>
      </c>
      <c r="P1692" s="10" t="s">
        <v>15</v>
      </c>
      <c r="Q1692" s="6"/>
      <c r="R1692" s="6"/>
      <c r="S1692" s="6"/>
      <c r="T1692" s="6" t="s">
        <v>16</v>
      </c>
      <c r="U1692" s="9" t="s">
        <v>17</v>
      </c>
      <c r="AI1692" s="6" t="s">
        <v>18</v>
      </c>
      <c r="AJ1692" s="12" t="s">
        <v>11263</v>
      </c>
      <c r="AL1692" s="13" t="s">
        <v>20</v>
      </c>
    </row>
    <row r="1693">
      <c r="A1693" s="5" t="s">
        <v>11264</v>
      </c>
      <c r="B1693" s="5" t="s">
        <v>11265</v>
      </c>
      <c r="C1693" s="5" t="s">
        <v>11258</v>
      </c>
      <c r="D1693" s="5" t="s">
        <v>507</v>
      </c>
      <c r="E1693" s="6"/>
      <c r="F1693" s="6"/>
      <c r="G1693" s="7" t="s">
        <v>11266</v>
      </c>
      <c r="I1693" s="8" t="s">
        <v>11267</v>
      </c>
      <c r="J1693" s="9">
        <v>24.7</v>
      </c>
      <c r="K1693" s="10" t="s">
        <v>11</v>
      </c>
      <c r="L1693" s="6"/>
      <c r="M1693" s="11" t="s">
        <v>12</v>
      </c>
      <c r="N1693" s="6" t="s">
        <v>11268</v>
      </c>
      <c r="O1693" s="6" t="s">
        <v>11269</v>
      </c>
      <c r="P1693" s="10" t="s">
        <v>15</v>
      </c>
      <c r="Q1693" s="6"/>
      <c r="R1693" s="6"/>
      <c r="S1693" s="6"/>
      <c r="T1693" s="6" t="s">
        <v>16</v>
      </c>
      <c r="U1693" s="9" t="s">
        <v>17</v>
      </c>
      <c r="AI1693" s="6" t="s">
        <v>18</v>
      </c>
      <c r="AJ1693" s="12" t="s">
        <v>11263</v>
      </c>
      <c r="AL1693" s="13" t="s">
        <v>20</v>
      </c>
    </row>
    <row r="1694">
      <c r="A1694" s="5" t="s">
        <v>11270</v>
      </c>
      <c r="B1694" s="5" t="s">
        <v>11271</v>
      </c>
      <c r="C1694" s="5" t="s">
        <v>11272</v>
      </c>
      <c r="D1694" s="5" t="s">
        <v>8</v>
      </c>
      <c r="E1694" s="6"/>
      <c r="F1694" s="6"/>
      <c r="G1694" s="7" t="s">
        <v>11273</v>
      </c>
      <c r="I1694" s="8" t="s">
        <v>11274</v>
      </c>
      <c r="J1694" s="9">
        <v>8.9</v>
      </c>
      <c r="K1694" s="10" t="s">
        <v>11</v>
      </c>
      <c r="L1694" s="6"/>
      <c r="M1694" s="11" t="s">
        <v>12</v>
      </c>
      <c r="N1694" s="6" t="s">
        <v>11275</v>
      </c>
      <c r="O1694" s="6" t="s">
        <v>11276</v>
      </c>
      <c r="P1694" s="10" t="s">
        <v>15</v>
      </c>
      <c r="Q1694" s="6"/>
      <c r="R1694" s="6"/>
      <c r="S1694" s="6"/>
      <c r="T1694" s="6" t="s">
        <v>16</v>
      </c>
      <c r="U1694" s="9" t="s">
        <v>17</v>
      </c>
      <c r="AI1694" s="6" t="s">
        <v>18</v>
      </c>
      <c r="AJ1694" s="12" t="s">
        <v>11277</v>
      </c>
      <c r="AL1694" s="13" t="s">
        <v>20</v>
      </c>
    </row>
    <row r="1695">
      <c r="A1695" s="5" t="s">
        <v>11278</v>
      </c>
      <c r="B1695" s="5" t="s">
        <v>11279</v>
      </c>
      <c r="C1695" s="5" t="s">
        <v>11272</v>
      </c>
      <c r="D1695" s="5" t="s">
        <v>8</v>
      </c>
      <c r="E1695" s="6"/>
      <c r="F1695" s="6"/>
      <c r="G1695" s="7" t="s">
        <v>11280</v>
      </c>
      <c r="I1695" s="8" t="s">
        <v>11281</v>
      </c>
      <c r="J1695" s="9">
        <v>16.9</v>
      </c>
      <c r="K1695" s="10" t="s">
        <v>11</v>
      </c>
      <c r="L1695" s="6"/>
      <c r="M1695" s="11" t="s">
        <v>12</v>
      </c>
      <c r="N1695" s="6" t="s">
        <v>11282</v>
      </c>
      <c r="O1695" s="6" t="s">
        <v>11283</v>
      </c>
      <c r="P1695" s="10" t="s">
        <v>15</v>
      </c>
      <c r="Q1695" s="6"/>
      <c r="R1695" s="6"/>
      <c r="S1695" s="6"/>
      <c r="T1695" s="6" t="s">
        <v>16</v>
      </c>
      <c r="U1695" s="9" t="s">
        <v>17</v>
      </c>
      <c r="AI1695" s="6" t="s">
        <v>18</v>
      </c>
      <c r="AJ1695" s="12" t="s">
        <v>11277</v>
      </c>
      <c r="AL1695" s="13" t="s">
        <v>20</v>
      </c>
    </row>
    <row r="1696">
      <c r="A1696" s="5" t="s">
        <v>11284</v>
      </c>
      <c r="B1696" s="5" t="s">
        <v>11285</v>
      </c>
      <c r="C1696" s="5" t="s">
        <v>11286</v>
      </c>
      <c r="D1696" s="5" t="s">
        <v>507</v>
      </c>
      <c r="E1696" s="6"/>
      <c r="F1696" s="6"/>
      <c r="G1696" s="7" t="s">
        <v>11287</v>
      </c>
      <c r="I1696" s="8" t="s">
        <v>11288</v>
      </c>
      <c r="J1696" s="9">
        <v>9.5</v>
      </c>
      <c r="K1696" s="10" t="s">
        <v>11</v>
      </c>
      <c r="L1696" s="6"/>
      <c r="M1696" s="11" t="s">
        <v>12</v>
      </c>
      <c r="N1696" s="6" t="s">
        <v>11289</v>
      </c>
      <c r="O1696" s="6" t="s">
        <v>11290</v>
      </c>
      <c r="P1696" s="10" t="s">
        <v>15</v>
      </c>
      <c r="Q1696" s="6"/>
      <c r="R1696" s="6"/>
      <c r="S1696" s="6"/>
      <c r="T1696" s="6" t="s">
        <v>16</v>
      </c>
      <c r="U1696" s="9" t="s">
        <v>17</v>
      </c>
      <c r="AI1696" s="6" t="s">
        <v>18</v>
      </c>
      <c r="AJ1696" s="12" t="s">
        <v>11291</v>
      </c>
      <c r="AL1696" s="13" t="s">
        <v>20</v>
      </c>
    </row>
    <row r="1697">
      <c r="A1697" s="5" t="s">
        <v>11292</v>
      </c>
      <c r="B1697" s="5" t="s">
        <v>11293</v>
      </c>
      <c r="C1697" s="5" t="s">
        <v>11286</v>
      </c>
      <c r="D1697" s="5" t="s">
        <v>507</v>
      </c>
      <c r="E1697" s="6"/>
      <c r="F1697" s="6"/>
      <c r="G1697" s="7" t="s">
        <v>11294</v>
      </c>
      <c r="I1697" s="8" t="s">
        <v>11295</v>
      </c>
      <c r="J1697" s="9">
        <v>28.6</v>
      </c>
      <c r="K1697" s="10" t="s">
        <v>11</v>
      </c>
      <c r="L1697" s="6"/>
      <c r="M1697" s="11" t="s">
        <v>12</v>
      </c>
      <c r="N1697" s="6" t="s">
        <v>11296</v>
      </c>
      <c r="O1697" s="6" t="s">
        <v>11297</v>
      </c>
      <c r="P1697" s="10" t="s">
        <v>15</v>
      </c>
      <c r="Q1697" s="6"/>
      <c r="R1697" s="6"/>
      <c r="S1697" s="6"/>
      <c r="T1697" s="6" t="s">
        <v>16</v>
      </c>
      <c r="U1697" s="9" t="s">
        <v>17</v>
      </c>
      <c r="AI1697" s="6" t="s">
        <v>18</v>
      </c>
      <c r="AJ1697" s="12" t="s">
        <v>11291</v>
      </c>
      <c r="AL1697" s="13" t="s">
        <v>20</v>
      </c>
    </row>
    <row r="1698">
      <c r="A1698" s="5" t="s">
        <v>11298</v>
      </c>
      <c r="B1698" s="5" t="s">
        <v>11299</v>
      </c>
      <c r="C1698" s="5" t="s">
        <v>11300</v>
      </c>
      <c r="D1698" s="5" t="s">
        <v>8</v>
      </c>
      <c r="E1698" s="6"/>
      <c r="F1698" s="6"/>
      <c r="G1698" s="7" t="s">
        <v>11301</v>
      </c>
      <c r="I1698" s="8" t="s">
        <v>11302</v>
      </c>
      <c r="J1698" s="9">
        <v>9.9</v>
      </c>
      <c r="K1698" s="10" t="s">
        <v>11</v>
      </c>
      <c r="L1698" s="6"/>
      <c r="M1698" s="11" t="s">
        <v>12</v>
      </c>
      <c r="N1698" s="6" t="s">
        <v>11303</v>
      </c>
      <c r="O1698" s="6" t="s">
        <v>11304</v>
      </c>
      <c r="P1698" s="10" t="s">
        <v>15</v>
      </c>
      <c r="Q1698" s="6"/>
      <c r="R1698" s="6"/>
      <c r="S1698" s="6"/>
      <c r="T1698" s="6" t="s">
        <v>16</v>
      </c>
      <c r="U1698" s="9" t="s">
        <v>17</v>
      </c>
      <c r="AI1698" s="6" t="s">
        <v>18</v>
      </c>
      <c r="AJ1698" s="12" t="s">
        <v>11305</v>
      </c>
      <c r="AL1698" s="13" t="s">
        <v>20</v>
      </c>
    </row>
    <row r="1699">
      <c r="A1699" s="5" t="s">
        <v>11306</v>
      </c>
      <c r="B1699" s="5" t="s">
        <v>11307</v>
      </c>
      <c r="C1699" s="5" t="s">
        <v>11300</v>
      </c>
      <c r="D1699" s="5" t="s">
        <v>8</v>
      </c>
      <c r="E1699" s="6"/>
      <c r="F1699" s="6"/>
      <c r="G1699" s="7" t="s">
        <v>11308</v>
      </c>
      <c r="I1699" s="8" t="s">
        <v>11309</v>
      </c>
      <c r="J1699" s="9">
        <v>21.9</v>
      </c>
      <c r="K1699" s="10" t="s">
        <v>11</v>
      </c>
      <c r="L1699" s="6"/>
      <c r="M1699" s="11" t="s">
        <v>12</v>
      </c>
      <c r="N1699" s="6" t="s">
        <v>11310</v>
      </c>
      <c r="O1699" s="6" t="s">
        <v>11311</v>
      </c>
      <c r="P1699" s="10" t="s">
        <v>15</v>
      </c>
      <c r="Q1699" s="6"/>
      <c r="R1699" s="6"/>
      <c r="S1699" s="6"/>
      <c r="T1699" s="6" t="s">
        <v>16</v>
      </c>
      <c r="U1699" s="9" t="s">
        <v>17</v>
      </c>
      <c r="AI1699" s="6" t="s">
        <v>18</v>
      </c>
      <c r="AJ1699" s="12" t="s">
        <v>11305</v>
      </c>
      <c r="AL1699" s="13" t="s">
        <v>20</v>
      </c>
    </row>
    <row r="1700">
      <c r="A1700" s="5" t="s">
        <v>11312</v>
      </c>
      <c r="B1700" s="5" t="s">
        <v>11313</v>
      </c>
      <c r="C1700" s="5" t="s">
        <v>11314</v>
      </c>
      <c r="D1700" s="5" t="s">
        <v>507</v>
      </c>
      <c r="E1700" s="6"/>
      <c r="F1700" s="6"/>
      <c r="G1700" s="7" t="s">
        <v>11315</v>
      </c>
      <c r="I1700" s="8" t="s">
        <v>11316</v>
      </c>
      <c r="J1700" s="9">
        <v>9.7</v>
      </c>
      <c r="K1700" s="10" t="s">
        <v>11</v>
      </c>
      <c r="L1700" s="6"/>
      <c r="M1700" s="11" t="s">
        <v>12</v>
      </c>
      <c r="N1700" s="6" t="s">
        <v>11317</v>
      </c>
      <c r="O1700" s="6" t="s">
        <v>11318</v>
      </c>
      <c r="P1700" s="10" t="s">
        <v>15</v>
      </c>
      <c r="Q1700" s="6"/>
      <c r="R1700" s="6"/>
      <c r="S1700" s="6"/>
      <c r="T1700" s="6" t="s">
        <v>16</v>
      </c>
      <c r="U1700" s="9" t="s">
        <v>17</v>
      </c>
      <c r="AI1700" s="6" t="s">
        <v>18</v>
      </c>
      <c r="AJ1700" s="12" t="s">
        <v>11319</v>
      </c>
      <c r="AL1700" s="13" t="s">
        <v>20</v>
      </c>
    </row>
    <row r="1701">
      <c r="A1701" s="5" t="s">
        <v>11320</v>
      </c>
      <c r="B1701" s="5" t="s">
        <v>11321</v>
      </c>
      <c r="C1701" s="5" t="s">
        <v>11314</v>
      </c>
      <c r="D1701" s="5" t="s">
        <v>507</v>
      </c>
      <c r="E1701" s="6"/>
      <c r="F1701" s="6"/>
      <c r="G1701" s="7" t="s">
        <v>11322</v>
      </c>
      <c r="I1701" s="8" t="s">
        <v>11323</v>
      </c>
      <c r="J1701" s="9">
        <v>28.9</v>
      </c>
      <c r="K1701" s="10" t="s">
        <v>11</v>
      </c>
      <c r="L1701" s="6"/>
      <c r="M1701" s="11" t="s">
        <v>12</v>
      </c>
      <c r="N1701" s="6" t="s">
        <v>11324</v>
      </c>
      <c r="O1701" s="6" t="s">
        <v>11325</v>
      </c>
      <c r="P1701" s="10" t="s">
        <v>15</v>
      </c>
      <c r="Q1701" s="6"/>
      <c r="R1701" s="6"/>
      <c r="S1701" s="6"/>
      <c r="T1701" s="6" t="s">
        <v>16</v>
      </c>
      <c r="U1701" s="9" t="s">
        <v>17</v>
      </c>
      <c r="AI1701" s="6" t="s">
        <v>18</v>
      </c>
      <c r="AJ1701" s="12" t="s">
        <v>11319</v>
      </c>
      <c r="AL1701" s="13" t="s">
        <v>20</v>
      </c>
    </row>
    <row r="1702">
      <c r="A1702" s="5" t="s">
        <v>11326</v>
      </c>
      <c r="B1702" s="5" t="s">
        <v>11327</v>
      </c>
      <c r="C1702" s="5" t="s">
        <v>10663</v>
      </c>
      <c r="D1702" s="17" t="s">
        <v>507</v>
      </c>
      <c r="E1702" s="6"/>
      <c r="F1702" s="6"/>
      <c r="G1702" s="7" t="s">
        <v>11328</v>
      </c>
      <c r="I1702" s="8" t="s">
        <v>11329</v>
      </c>
      <c r="J1702" s="9">
        <v>9.9</v>
      </c>
      <c r="K1702" s="10" t="s">
        <v>11</v>
      </c>
      <c r="L1702" s="6"/>
      <c r="M1702" s="11" t="s">
        <v>12</v>
      </c>
      <c r="N1702" s="6" t="s">
        <v>11330</v>
      </c>
      <c r="O1702" s="6" t="s">
        <v>11331</v>
      </c>
      <c r="P1702" s="10" t="s">
        <v>15</v>
      </c>
      <c r="Q1702" s="6"/>
      <c r="R1702" s="6"/>
      <c r="S1702" s="6"/>
      <c r="T1702" s="6" t="s">
        <v>16</v>
      </c>
      <c r="U1702" s="9" t="s">
        <v>17</v>
      </c>
      <c r="AI1702" s="6" t="s">
        <v>18</v>
      </c>
      <c r="AJ1702" s="12" t="s">
        <v>11332</v>
      </c>
      <c r="AL1702" s="13" t="s">
        <v>20</v>
      </c>
    </row>
    <row r="1703">
      <c r="A1703" s="5" t="s">
        <v>11333</v>
      </c>
      <c r="B1703" s="5" t="s">
        <v>11334</v>
      </c>
      <c r="C1703" s="5" t="s">
        <v>10663</v>
      </c>
      <c r="D1703" s="17" t="s">
        <v>507</v>
      </c>
      <c r="E1703" s="6"/>
      <c r="F1703" s="6"/>
      <c r="G1703" s="7" t="s">
        <v>11335</v>
      </c>
      <c r="I1703" s="8" t="s">
        <v>11336</v>
      </c>
      <c r="J1703" s="9">
        <v>29.5</v>
      </c>
      <c r="K1703" s="10" t="s">
        <v>11</v>
      </c>
      <c r="L1703" s="6"/>
      <c r="M1703" s="11" t="s">
        <v>12</v>
      </c>
      <c r="N1703" s="6" t="s">
        <v>11337</v>
      </c>
      <c r="O1703" s="6" t="s">
        <v>11338</v>
      </c>
      <c r="P1703" s="10" t="s">
        <v>15</v>
      </c>
      <c r="Q1703" s="6"/>
      <c r="R1703" s="6"/>
      <c r="S1703" s="6"/>
      <c r="T1703" s="6" t="s">
        <v>16</v>
      </c>
      <c r="U1703" s="9" t="s">
        <v>17</v>
      </c>
      <c r="AI1703" s="6" t="s">
        <v>18</v>
      </c>
      <c r="AJ1703" s="12" t="s">
        <v>11332</v>
      </c>
      <c r="AL1703" s="13" t="s">
        <v>20</v>
      </c>
    </row>
    <row r="1704">
      <c r="A1704" s="5" t="s">
        <v>11339</v>
      </c>
      <c r="B1704" s="5" t="s">
        <v>11340</v>
      </c>
      <c r="C1704" s="5" t="s">
        <v>11341</v>
      </c>
      <c r="D1704" s="5" t="s">
        <v>8</v>
      </c>
      <c r="E1704" s="6"/>
      <c r="F1704" s="6"/>
      <c r="G1704" s="7" t="s">
        <v>11342</v>
      </c>
      <c r="I1704" s="8" t="s">
        <v>11343</v>
      </c>
      <c r="J1704" s="9">
        <v>6.9</v>
      </c>
      <c r="K1704" s="10" t="s">
        <v>11</v>
      </c>
      <c r="L1704" s="6"/>
      <c r="M1704" s="11" t="s">
        <v>12</v>
      </c>
      <c r="N1704" s="6" t="s">
        <v>11344</v>
      </c>
      <c r="O1704" s="6" t="s">
        <v>11345</v>
      </c>
      <c r="P1704" s="10" t="s">
        <v>15</v>
      </c>
      <c r="Q1704" s="6"/>
      <c r="R1704" s="6"/>
      <c r="S1704" s="6"/>
      <c r="T1704" s="6" t="s">
        <v>16</v>
      </c>
      <c r="U1704" s="9" t="s">
        <v>17</v>
      </c>
      <c r="AI1704" s="6" t="s">
        <v>18</v>
      </c>
      <c r="AJ1704" s="12" t="s">
        <v>11346</v>
      </c>
      <c r="AL1704" s="13" t="s">
        <v>20</v>
      </c>
    </row>
    <row r="1705">
      <c r="A1705" s="5" t="s">
        <v>11347</v>
      </c>
      <c r="B1705" s="5" t="s">
        <v>11348</v>
      </c>
      <c r="C1705" s="5" t="s">
        <v>11341</v>
      </c>
      <c r="D1705" s="5" t="s">
        <v>8</v>
      </c>
      <c r="E1705" s="6"/>
      <c r="F1705" s="6"/>
      <c r="G1705" s="7" t="s">
        <v>11349</v>
      </c>
      <c r="I1705" s="8" t="s">
        <v>11350</v>
      </c>
      <c r="J1705" s="9">
        <v>15.9</v>
      </c>
      <c r="K1705" s="10" t="s">
        <v>11</v>
      </c>
      <c r="L1705" s="6"/>
      <c r="M1705" s="11" t="s">
        <v>12</v>
      </c>
      <c r="N1705" s="6" t="s">
        <v>11351</v>
      </c>
      <c r="O1705" s="6" t="s">
        <v>11352</v>
      </c>
      <c r="P1705" s="10" t="s">
        <v>15</v>
      </c>
      <c r="Q1705" s="6"/>
      <c r="R1705" s="6"/>
      <c r="S1705" s="6"/>
      <c r="T1705" s="6" t="s">
        <v>16</v>
      </c>
      <c r="U1705" s="9" t="s">
        <v>17</v>
      </c>
      <c r="AI1705" s="6" t="s">
        <v>18</v>
      </c>
      <c r="AJ1705" s="12" t="s">
        <v>11346</v>
      </c>
      <c r="AL1705" s="13" t="s">
        <v>20</v>
      </c>
    </row>
    <row r="1706">
      <c r="A1706" s="5" t="s">
        <v>11353</v>
      </c>
      <c r="B1706" s="5" t="s">
        <v>11354</v>
      </c>
      <c r="C1706" s="5" t="s">
        <v>11355</v>
      </c>
      <c r="D1706" s="5" t="s">
        <v>8</v>
      </c>
      <c r="E1706" s="6"/>
      <c r="F1706" s="6"/>
      <c r="G1706" s="7" t="s">
        <v>11356</v>
      </c>
      <c r="I1706" s="8" t="s">
        <v>11357</v>
      </c>
      <c r="J1706" s="9">
        <v>7.9</v>
      </c>
      <c r="K1706" s="10" t="s">
        <v>11</v>
      </c>
      <c r="L1706" s="6"/>
      <c r="M1706" s="11" t="s">
        <v>12</v>
      </c>
      <c r="N1706" s="6" t="s">
        <v>11358</v>
      </c>
      <c r="O1706" s="6" t="s">
        <v>11359</v>
      </c>
      <c r="P1706" s="10" t="s">
        <v>15</v>
      </c>
      <c r="Q1706" s="6"/>
      <c r="R1706" s="6"/>
      <c r="S1706" s="6"/>
      <c r="T1706" s="6" t="s">
        <v>16</v>
      </c>
      <c r="U1706" s="9" t="s">
        <v>17</v>
      </c>
      <c r="AI1706" s="6" t="s">
        <v>18</v>
      </c>
      <c r="AJ1706" s="12" t="s">
        <v>11360</v>
      </c>
      <c r="AL1706" s="13" t="s">
        <v>20</v>
      </c>
    </row>
    <row r="1707">
      <c r="A1707" s="5" t="s">
        <v>11361</v>
      </c>
      <c r="B1707" s="5" t="s">
        <v>11362</v>
      </c>
      <c r="C1707" s="5" t="s">
        <v>11355</v>
      </c>
      <c r="D1707" s="5" t="s">
        <v>8</v>
      </c>
      <c r="E1707" s="6"/>
      <c r="F1707" s="6"/>
      <c r="G1707" s="7" t="s">
        <v>11363</v>
      </c>
      <c r="I1707" s="8" t="s">
        <v>11364</v>
      </c>
      <c r="J1707" s="9">
        <v>14.9</v>
      </c>
      <c r="K1707" s="10" t="s">
        <v>11</v>
      </c>
      <c r="L1707" s="6"/>
      <c r="M1707" s="11" t="s">
        <v>12</v>
      </c>
      <c r="N1707" s="6" t="s">
        <v>11365</v>
      </c>
      <c r="O1707" s="6" t="s">
        <v>11366</v>
      </c>
      <c r="P1707" s="10" t="s">
        <v>15</v>
      </c>
      <c r="Q1707" s="6"/>
      <c r="R1707" s="6"/>
      <c r="S1707" s="6"/>
      <c r="T1707" s="6" t="s">
        <v>16</v>
      </c>
      <c r="U1707" s="9" t="s">
        <v>17</v>
      </c>
      <c r="AI1707" s="6" t="s">
        <v>18</v>
      </c>
      <c r="AJ1707" s="12" t="s">
        <v>11360</v>
      </c>
      <c r="AL1707" s="13" t="s">
        <v>20</v>
      </c>
    </row>
    <row r="1708">
      <c r="A1708" s="5" t="s">
        <v>11367</v>
      </c>
      <c r="B1708" s="5" t="s">
        <v>11368</v>
      </c>
      <c r="C1708" s="5" t="s">
        <v>11369</v>
      </c>
      <c r="D1708" s="5" t="s">
        <v>507</v>
      </c>
      <c r="E1708" s="6"/>
      <c r="F1708" s="6"/>
      <c r="G1708" s="7" t="s">
        <v>11370</v>
      </c>
      <c r="I1708" s="8" t="s">
        <v>11371</v>
      </c>
      <c r="J1708" s="9">
        <v>9.6</v>
      </c>
      <c r="K1708" s="10" t="s">
        <v>11</v>
      </c>
      <c r="L1708" s="6"/>
      <c r="M1708" s="11" t="s">
        <v>12</v>
      </c>
      <c r="N1708" s="6" t="s">
        <v>11372</v>
      </c>
      <c r="O1708" s="6" t="s">
        <v>11373</v>
      </c>
      <c r="P1708" s="10" t="s">
        <v>15</v>
      </c>
      <c r="Q1708" s="6"/>
      <c r="R1708" s="6"/>
      <c r="S1708" s="6"/>
      <c r="T1708" s="6" t="s">
        <v>16</v>
      </c>
      <c r="U1708" s="9" t="s">
        <v>17</v>
      </c>
      <c r="AI1708" s="6" t="s">
        <v>18</v>
      </c>
      <c r="AJ1708" s="12" t="s">
        <v>11374</v>
      </c>
      <c r="AL1708" s="13" t="s">
        <v>20</v>
      </c>
    </row>
    <row r="1709">
      <c r="A1709" s="5" t="s">
        <v>11375</v>
      </c>
      <c r="B1709" s="5" t="s">
        <v>11376</v>
      </c>
      <c r="C1709" s="5" t="s">
        <v>11377</v>
      </c>
      <c r="D1709" s="5" t="s">
        <v>8</v>
      </c>
      <c r="E1709" s="6"/>
      <c r="F1709" s="6"/>
      <c r="G1709" s="7" t="s">
        <v>11378</v>
      </c>
      <c r="I1709" s="8" t="s">
        <v>11379</v>
      </c>
      <c r="J1709" s="9">
        <v>7.9</v>
      </c>
      <c r="K1709" s="10" t="s">
        <v>11</v>
      </c>
      <c r="L1709" s="6"/>
      <c r="M1709" s="11" t="s">
        <v>12</v>
      </c>
      <c r="N1709" s="6" t="s">
        <v>11380</v>
      </c>
      <c r="O1709" s="6" t="s">
        <v>11381</v>
      </c>
      <c r="P1709" s="10" t="s">
        <v>15</v>
      </c>
      <c r="Q1709" s="6"/>
      <c r="R1709" s="6"/>
      <c r="S1709" s="6"/>
      <c r="T1709" s="6" t="s">
        <v>16</v>
      </c>
      <c r="U1709" s="9" t="s">
        <v>17</v>
      </c>
      <c r="AI1709" s="6" t="s">
        <v>18</v>
      </c>
      <c r="AJ1709" s="12" t="s">
        <v>11382</v>
      </c>
      <c r="AL1709" s="13" t="s">
        <v>20</v>
      </c>
    </row>
    <row r="1710">
      <c r="A1710" s="5" t="s">
        <v>11383</v>
      </c>
      <c r="B1710" s="5" t="s">
        <v>11384</v>
      </c>
      <c r="C1710" s="5" t="s">
        <v>11385</v>
      </c>
      <c r="D1710" s="5" t="s">
        <v>8</v>
      </c>
      <c r="E1710" s="6"/>
      <c r="F1710" s="6"/>
      <c r="G1710" s="7" t="s">
        <v>11386</v>
      </c>
      <c r="I1710" s="8" t="s">
        <v>11387</v>
      </c>
      <c r="J1710" s="9">
        <v>8.9</v>
      </c>
      <c r="K1710" s="10" t="s">
        <v>11</v>
      </c>
      <c r="L1710" s="6"/>
      <c r="M1710" s="11" t="s">
        <v>12</v>
      </c>
      <c r="N1710" s="6" t="s">
        <v>11388</v>
      </c>
      <c r="O1710" s="6" t="s">
        <v>11389</v>
      </c>
      <c r="P1710" s="10" t="s">
        <v>15</v>
      </c>
      <c r="Q1710" s="6"/>
      <c r="R1710" s="6"/>
      <c r="S1710" s="6"/>
      <c r="T1710" s="6" t="s">
        <v>16</v>
      </c>
      <c r="U1710" s="9" t="s">
        <v>17</v>
      </c>
      <c r="AI1710" s="6" t="s">
        <v>18</v>
      </c>
      <c r="AJ1710" s="12" t="s">
        <v>11390</v>
      </c>
      <c r="AL1710" s="13" t="s">
        <v>20</v>
      </c>
    </row>
    <row r="1711">
      <c r="A1711" s="5" t="s">
        <v>11391</v>
      </c>
      <c r="B1711" s="5" t="s">
        <v>11392</v>
      </c>
      <c r="C1711" s="5" t="s">
        <v>11385</v>
      </c>
      <c r="D1711" s="5" t="s">
        <v>8</v>
      </c>
      <c r="E1711" s="6"/>
      <c r="F1711" s="6"/>
      <c r="G1711" s="7" t="s">
        <v>11393</v>
      </c>
      <c r="I1711" s="8" t="s">
        <v>11394</v>
      </c>
      <c r="J1711" s="9">
        <v>15.9</v>
      </c>
      <c r="K1711" s="10" t="s">
        <v>11</v>
      </c>
      <c r="L1711" s="6"/>
      <c r="M1711" s="11" t="s">
        <v>12</v>
      </c>
      <c r="N1711" s="6" t="s">
        <v>11395</v>
      </c>
      <c r="O1711" s="6" t="s">
        <v>11396</v>
      </c>
      <c r="P1711" s="10" t="s">
        <v>15</v>
      </c>
      <c r="Q1711" s="6"/>
      <c r="R1711" s="6"/>
      <c r="S1711" s="6"/>
      <c r="T1711" s="6" t="s">
        <v>16</v>
      </c>
      <c r="U1711" s="9" t="s">
        <v>17</v>
      </c>
      <c r="AI1711" s="6" t="s">
        <v>18</v>
      </c>
      <c r="AJ1711" s="12" t="s">
        <v>11390</v>
      </c>
      <c r="AL1711" s="13" t="s">
        <v>20</v>
      </c>
    </row>
    <row r="1712">
      <c r="A1712" s="5" t="s">
        <v>11397</v>
      </c>
      <c r="B1712" s="5" t="s">
        <v>11398</v>
      </c>
      <c r="C1712" s="5" t="s">
        <v>11377</v>
      </c>
      <c r="D1712" s="5" t="s">
        <v>8</v>
      </c>
      <c r="E1712" s="6"/>
      <c r="F1712" s="6"/>
      <c r="G1712" s="7" t="s">
        <v>11399</v>
      </c>
      <c r="I1712" s="8" t="s">
        <v>11400</v>
      </c>
      <c r="J1712" s="9">
        <v>16.9</v>
      </c>
      <c r="K1712" s="10" t="s">
        <v>11</v>
      </c>
      <c r="L1712" s="6"/>
      <c r="M1712" s="11" t="s">
        <v>12</v>
      </c>
      <c r="N1712" s="6" t="s">
        <v>11401</v>
      </c>
      <c r="O1712" s="6" t="s">
        <v>11402</v>
      </c>
      <c r="P1712" s="10" t="s">
        <v>15</v>
      </c>
      <c r="Q1712" s="6"/>
      <c r="R1712" s="6"/>
      <c r="S1712" s="6"/>
      <c r="T1712" s="6" t="s">
        <v>16</v>
      </c>
      <c r="U1712" s="9" t="s">
        <v>17</v>
      </c>
      <c r="AI1712" s="6" t="s">
        <v>18</v>
      </c>
      <c r="AJ1712" s="12" t="s">
        <v>11382</v>
      </c>
      <c r="AL1712" s="13" t="s">
        <v>20</v>
      </c>
    </row>
    <row r="1713">
      <c r="A1713" s="5" t="s">
        <v>11403</v>
      </c>
      <c r="B1713" s="5" t="s">
        <v>11404</v>
      </c>
      <c r="C1713" s="5" t="s">
        <v>11405</v>
      </c>
      <c r="D1713" s="5" t="s">
        <v>8</v>
      </c>
      <c r="E1713" s="6"/>
      <c r="F1713" s="6"/>
      <c r="G1713" s="7" t="s">
        <v>11406</v>
      </c>
      <c r="I1713" s="8" t="s">
        <v>11407</v>
      </c>
      <c r="J1713" s="9">
        <v>7.9</v>
      </c>
      <c r="K1713" s="10" t="s">
        <v>11</v>
      </c>
      <c r="L1713" s="6"/>
      <c r="M1713" s="11" t="s">
        <v>12</v>
      </c>
      <c r="N1713" s="6" t="s">
        <v>11408</v>
      </c>
      <c r="O1713" s="6" t="s">
        <v>11409</v>
      </c>
      <c r="P1713" s="10" t="s">
        <v>15</v>
      </c>
      <c r="Q1713" s="6"/>
      <c r="R1713" s="6"/>
      <c r="S1713" s="6"/>
      <c r="T1713" s="6" t="s">
        <v>16</v>
      </c>
      <c r="U1713" s="9" t="s">
        <v>17</v>
      </c>
      <c r="AI1713" s="6" t="s">
        <v>18</v>
      </c>
      <c r="AJ1713" s="12" t="s">
        <v>11410</v>
      </c>
      <c r="AL1713" s="13" t="s">
        <v>20</v>
      </c>
    </row>
    <row r="1714">
      <c r="A1714" s="5" t="s">
        <v>11411</v>
      </c>
      <c r="B1714" s="5" t="s">
        <v>11412</v>
      </c>
      <c r="C1714" s="5" t="s">
        <v>11405</v>
      </c>
      <c r="D1714" s="5" t="s">
        <v>8</v>
      </c>
      <c r="E1714" s="6"/>
      <c r="F1714" s="6"/>
      <c r="G1714" s="7" t="s">
        <v>11413</v>
      </c>
      <c r="I1714" s="8" t="s">
        <v>11414</v>
      </c>
      <c r="J1714" s="9">
        <v>17.9</v>
      </c>
      <c r="K1714" s="10" t="s">
        <v>11</v>
      </c>
      <c r="L1714" s="6"/>
      <c r="M1714" s="11" t="s">
        <v>12</v>
      </c>
      <c r="N1714" s="6" t="s">
        <v>11415</v>
      </c>
      <c r="O1714" s="6" t="s">
        <v>11416</v>
      </c>
      <c r="P1714" s="10" t="s">
        <v>15</v>
      </c>
      <c r="Q1714" s="6"/>
      <c r="R1714" s="6"/>
      <c r="S1714" s="6"/>
      <c r="T1714" s="6" t="s">
        <v>16</v>
      </c>
      <c r="U1714" s="9" t="s">
        <v>17</v>
      </c>
      <c r="AI1714" s="6" t="s">
        <v>18</v>
      </c>
      <c r="AJ1714" s="12" t="s">
        <v>11410</v>
      </c>
      <c r="AL1714" s="13" t="s">
        <v>20</v>
      </c>
    </row>
    <row r="1715">
      <c r="A1715" s="5" t="s">
        <v>11417</v>
      </c>
      <c r="B1715" s="5" t="s">
        <v>11418</v>
      </c>
      <c r="C1715" s="5" t="s">
        <v>10932</v>
      </c>
      <c r="D1715" s="5" t="s">
        <v>8</v>
      </c>
      <c r="E1715" s="6"/>
      <c r="F1715" s="6"/>
      <c r="G1715" s="7" t="s">
        <v>11419</v>
      </c>
      <c r="I1715" s="8" t="s">
        <v>11420</v>
      </c>
      <c r="J1715" s="9">
        <v>7.9</v>
      </c>
      <c r="K1715" s="10" t="s">
        <v>11</v>
      </c>
      <c r="L1715" s="6"/>
      <c r="M1715" s="11" t="s">
        <v>12</v>
      </c>
      <c r="N1715" s="6" t="s">
        <v>11421</v>
      </c>
      <c r="O1715" s="6" t="s">
        <v>11422</v>
      </c>
      <c r="P1715" s="10" t="s">
        <v>15</v>
      </c>
      <c r="Q1715" s="6"/>
      <c r="R1715" s="6"/>
      <c r="S1715" s="6"/>
      <c r="T1715" s="6" t="s">
        <v>16</v>
      </c>
      <c r="U1715" s="9" t="s">
        <v>17</v>
      </c>
      <c r="AI1715" s="6" t="s">
        <v>18</v>
      </c>
      <c r="AJ1715" s="12" t="s">
        <v>11423</v>
      </c>
      <c r="AL1715" s="13" t="s">
        <v>20</v>
      </c>
    </row>
    <row r="1716">
      <c r="A1716" s="5" t="s">
        <v>11424</v>
      </c>
      <c r="B1716" s="5" t="s">
        <v>11425</v>
      </c>
      <c r="C1716" s="5" t="s">
        <v>10932</v>
      </c>
      <c r="D1716" s="5" t="s">
        <v>8</v>
      </c>
      <c r="E1716" s="6"/>
      <c r="F1716" s="6"/>
      <c r="G1716" s="7" t="s">
        <v>11426</v>
      </c>
      <c r="I1716" s="8" t="s">
        <v>11427</v>
      </c>
      <c r="J1716" s="9">
        <v>18.9</v>
      </c>
      <c r="K1716" s="10" t="s">
        <v>11</v>
      </c>
      <c r="L1716" s="6"/>
      <c r="M1716" s="11" t="s">
        <v>12</v>
      </c>
      <c r="N1716" s="6" t="s">
        <v>11428</v>
      </c>
      <c r="O1716" s="6" t="s">
        <v>11429</v>
      </c>
      <c r="P1716" s="10" t="s">
        <v>15</v>
      </c>
      <c r="Q1716" s="6"/>
      <c r="R1716" s="6"/>
      <c r="S1716" s="6"/>
      <c r="T1716" s="6" t="s">
        <v>16</v>
      </c>
      <c r="U1716" s="9" t="s">
        <v>17</v>
      </c>
      <c r="AI1716" s="6" t="s">
        <v>18</v>
      </c>
      <c r="AJ1716" s="12" t="s">
        <v>11423</v>
      </c>
      <c r="AL1716" s="13" t="s">
        <v>20</v>
      </c>
    </row>
    <row r="1717">
      <c r="A1717" s="5" t="s">
        <v>11430</v>
      </c>
      <c r="B1717" s="5" t="s">
        <v>11431</v>
      </c>
      <c r="C1717" s="5" t="s">
        <v>11432</v>
      </c>
      <c r="D1717" s="5" t="s">
        <v>8</v>
      </c>
      <c r="E1717" s="6"/>
      <c r="F1717" s="6"/>
      <c r="G1717" s="7" t="s">
        <v>11433</v>
      </c>
      <c r="I1717" s="8" t="s">
        <v>11434</v>
      </c>
      <c r="J1717" s="9">
        <v>8.9</v>
      </c>
      <c r="K1717" s="10" t="s">
        <v>11</v>
      </c>
      <c r="L1717" s="6"/>
      <c r="M1717" s="11" t="s">
        <v>12</v>
      </c>
      <c r="N1717" s="6" t="s">
        <v>11435</v>
      </c>
      <c r="O1717" s="6" t="s">
        <v>11436</v>
      </c>
      <c r="P1717" s="10" t="s">
        <v>15</v>
      </c>
      <c r="Q1717" s="6"/>
      <c r="R1717" s="6"/>
      <c r="S1717" s="6"/>
      <c r="T1717" s="6" t="s">
        <v>16</v>
      </c>
      <c r="U1717" s="9" t="s">
        <v>17</v>
      </c>
      <c r="AI1717" s="6" t="s">
        <v>18</v>
      </c>
      <c r="AJ1717" s="12" t="s">
        <v>11437</v>
      </c>
      <c r="AL1717" s="13" t="s">
        <v>20</v>
      </c>
    </row>
    <row r="1718">
      <c r="A1718" s="5" t="s">
        <v>11438</v>
      </c>
      <c r="B1718" s="5" t="s">
        <v>11439</v>
      </c>
      <c r="C1718" s="5" t="s">
        <v>11432</v>
      </c>
      <c r="D1718" s="5" t="s">
        <v>8</v>
      </c>
      <c r="E1718" s="6"/>
      <c r="F1718" s="6"/>
      <c r="G1718" s="7" t="s">
        <v>11440</v>
      </c>
      <c r="I1718" s="8" t="s">
        <v>11441</v>
      </c>
      <c r="J1718" s="9">
        <v>14.9</v>
      </c>
      <c r="K1718" s="10" t="s">
        <v>11</v>
      </c>
      <c r="L1718" s="6"/>
      <c r="M1718" s="11" t="s">
        <v>12</v>
      </c>
      <c r="N1718" s="6" t="s">
        <v>11442</v>
      </c>
      <c r="O1718" s="6" t="s">
        <v>11443</v>
      </c>
      <c r="P1718" s="10" t="s">
        <v>15</v>
      </c>
      <c r="Q1718" s="6"/>
      <c r="R1718" s="6"/>
      <c r="S1718" s="6"/>
      <c r="T1718" s="6" t="s">
        <v>16</v>
      </c>
      <c r="U1718" s="9" t="s">
        <v>17</v>
      </c>
      <c r="AI1718" s="6" t="s">
        <v>18</v>
      </c>
      <c r="AJ1718" s="12" t="s">
        <v>11437</v>
      </c>
      <c r="AL1718" s="13" t="s">
        <v>20</v>
      </c>
    </row>
    <row r="1719">
      <c r="A1719" s="5" t="s">
        <v>11444</v>
      </c>
      <c r="B1719" s="5" t="s">
        <v>11445</v>
      </c>
      <c r="C1719" s="5" t="s">
        <v>11446</v>
      </c>
      <c r="D1719" s="5" t="s">
        <v>8</v>
      </c>
      <c r="E1719" s="6"/>
      <c r="F1719" s="6"/>
      <c r="G1719" s="7" t="s">
        <v>11447</v>
      </c>
      <c r="I1719" s="8" t="s">
        <v>11448</v>
      </c>
      <c r="J1719" s="9">
        <v>9.9</v>
      </c>
      <c r="K1719" s="10" t="s">
        <v>11</v>
      </c>
      <c r="L1719" s="6"/>
      <c r="M1719" s="11" t="s">
        <v>12</v>
      </c>
      <c r="N1719" s="6" t="s">
        <v>11449</v>
      </c>
      <c r="O1719" s="6" t="s">
        <v>11450</v>
      </c>
      <c r="P1719" s="10" t="s">
        <v>15</v>
      </c>
      <c r="Q1719" s="6"/>
      <c r="R1719" s="6"/>
      <c r="S1719" s="6"/>
      <c r="T1719" s="6" t="s">
        <v>16</v>
      </c>
      <c r="U1719" s="9" t="s">
        <v>17</v>
      </c>
      <c r="AI1719" s="6" t="s">
        <v>18</v>
      </c>
      <c r="AJ1719" s="12" t="s">
        <v>11451</v>
      </c>
      <c r="AL1719" s="13" t="s">
        <v>20</v>
      </c>
    </row>
    <row r="1720">
      <c r="A1720" s="5" t="s">
        <v>11452</v>
      </c>
      <c r="B1720" s="5" t="s">
        <v>11453</v>
      </c>
      <c r="C1720" s="5" t="s">
        <v>11446</v>
      </c>
      <c r="D1720" s="5" t="s">
        <v>507</v>
      </c>
      <c r="E1720" s="6"/>
      <c r="F1720" s="6"/>
      <c r="G1720" s="7" t="s">
        <v>11454</v>
      </c>
      <c r="I1720" s="8" t="s">
        <v>11455</v>
      </c>
      <c r="J1720" s="9">
        <v>17.9</v>
      </c>
      <c r="K1720" s="10" t="s">
        <v>11</v>
      </c>
      <c r="L1720" s="6"/>
      <c r="M1720" s="11" t="s">
        <v>12</v>
      </c>
      <c r="N1720" s="6" t="s">
        <v>11456</v>
      </c>
      <c r="O1720" s="6" t="s">
        <v>11457</v>
      </c>
      <c r="P1720" s="10" t="s">
        <v>15</v>
      </c>
      <c r="Q1720" s="6" t="s">
        <v>11458</v>
      </c>
      <c r="R1720" s="6"/>
      <c r="S1720" s="6"/>
      <c r="T1720" s="6" t="s">
        <v>16</v>
      </c>
      <c r="U1720" s="9" t="s">
        <v>17</v>
      </c>
      <c r="AI1720" s="6" t="s">
        <v>18</v>
      </c>
      <c r="AJ1720" s="12" t="s">
        <v>11451</v>
      </c>
      <c r="AL1720" s="13" t="s">
        <v>20</v>
      </c>
    </row>
    <row r="1721">
      <c r="A1721" s="5" t="s">
        <v>11459</v>
      </c>
      <c r="B1721" s="5" t="s">
        <v>11460</v>
      </c>
      <c r="C1721" s="5" t="s">
        <v>11461</v>
      </c>
      <c r="D1721" s="5" t="s">
        <v>8</v>
      </c>
      <c r="E1721" s="6"/>
      <c r="F1721" s="6"/>
      <c r="G1721" s="7" t="s">
        <v>11462</v>
      </c>
      <c r="I1721" s="8" t="s">
        <v>11463</v>
      </c>
      <c r="J1721" s="9">
        <v>8.9</v>
      </c>
      <c r="K1721" s="10" t="s">
        <v>11</v>
      </c>
      <c r="L1721" s="6"/>
      <c r="M1721" s="11" t="s">
        <v>12</v>
      </c>
      <c r="N1721" s="6" t="s">
        <v>11464</v>
      </c>
      <c r="O1721" s="6" t="s">
        <v>11465</v>
      </c>
      <c r="P1721" s="10" t="s">
        <v>15</v>
      </c>
      <c r="Q1721" s="6"/>
      <c r="R1721" s="6"/>
      <c r="S1721" s="6"/>
      <c r="T1721" s="6" t="s">
        <v>16</v>
      </c>
      <c r="U1721" s="9" t="s">
        <v>17</v>
      </c>
      <c r="AI1721" s="6" t="s">
        <v>18</v>
      </c>
      <c r="AJ1721" s="12" t="s">
        <v>11466</v>
      </c>
      <c r="AL1721" s="13" t="s">
        <v>20</v>
      </c>
    </row>
    <row r="1722">
      <c r="A1722" s="5" t="s">
        <v>11467</v>
      </c>
      <c r="B1722" s="5" t="s">
        <v>11468</v>
      </c>
      <c r="C1722" s="5" t="s">
        <v>11461</v>
      </c>
      <c r="D1722" s="5" t="s">
        <v>8</v>
      </c>
      <c r="E1722" s="6"/>
      <c r="F1722" s="6"/>
      <c r="G1722" s="7" t="s">
        <v>11469</v>
      </c>
      <c r="I1722" s="8" t="s">
        <v>11470</v>
      </c>
      <c r="J1722" s="9">
        <v>16.9</v>
      </c>
      <c r="K1722" s="10" t="s">
        <v>11</v>
      </c>
      <c r="L1722" s="6"/>
      <c r="M1722" s="11" t="s">
        <v>12</v>
      </c>
      <c r="N1722" s="6" t="s">
        <v>11471</v>
      </c>
      <c r="O1722" s="6" t="s">
        <v>11472</v>
      </c>
      <c r="P1722" s="10" t="s">
        <v>15</v>
      </c>
      <c r="Q1722" s="6"/>
      <c r="R1722" s="6"/>
      <c r="S1722" s="6"/>
      <c r="T1722" s="6" t="s">
        <v>16</v>
      </c>
      <c r="U1722" s="9" t="s">
        <v>17</v>
      </c>
      <c r="AI1722" s="6" t="s">
        <v>18</v>
      </c>
      <c r="AJ1722" s="12" t="s">
        <v>11466</v>
      </c>
      <c r="AL1722" s="13" t="s">
        <v>20</v>
      </c>
    </row>
    <row r="1723">
      <c r="A1723" s="5" t="s">
        <v>11473</v>
      </c>
      <c r="B1723" s="5" t="s">
        <v>11474</v>
      </c>
      <c r="C1723" s="5" t="s">
        <v>11475</v>
      </c>
      <c r="D1723" s="5" t="s">
        <v>8</v>
      </c>
      <c r="E1723" s="6"/>
      <c r="F1723" s="6"/>
      <c r="G1723" s="7" t="s">
        <v>11476</v>
      </c>
      <c r="I1723" s="8" t="s">
        <v>11477</v>
      </c>
      <c r="J1723" s="9">
        <v>9.9</v>
      </c>
      <c r="K1723" s="10" t="s">
        <v>11</v>
      </c>
      <c r="L1723" s="6"/>
      <c r="M1723" s="11" t="s">
        <v>12</v>
      </c>
      <c r="N1723" s="6" t="s">
        <v>11478</v>
      </c>
      <c r="O1723" s="6" t="s">
        <v>11479</v>
      </c>
      <c r="P1723" s="10" t="s">
        <v>15</v>
      </c>
      <c r="Q1723" s="6"/>
      <c r="R1723" s="6"/>
      <c r="S1723" s="6"/>
      <c r="T1723" s="6" t="s">
        <v>16</v>
      </c>
      <c r="U1723" s="9" t="s">
        <v>17</v>
      </c>
      <c r="AI1723" s="6" t="s">
        <v>18</v>
      </c>
      <c r="AJ1723" s="12" t="s">
        <v>11480</v>
      </c>
      <c r="AL1723" s="13" t="s">
        <v>20</v>
      </c>
    </row>
    <row r="1724">
      <c r="A1724" s="5" t="s">
        <v>11481</v>
      </c>
      <c r="B1724" s="5" t="s">
        <v>11482</v>
      </c>
      <c r="C1724" s="5" t="s">
        <v>11475</v>
      </c>
      <c r="D1724" s="5" t="s">
        <v>8</v>
      </c>
      <c r="E1724" s="6"/>
      <c r="F1724" s="6"/>
      <c r="G1724" s="7" t="s">
        <v>11483</v>
      </c>
      <c r="I1724" s="8" t="s">
        <v>11484</v>
      </c>
      <c r="J1724" s="9">
        <v>18.9</v>
      </c>
      <c r="K1724" s="10" t="s">
        <v>11</v>
      </c>
      <c r="L1724" s="6"/>
      <c r="M1724" s="11" t="s">
        <v>12</v>
      </c>
      <c r="N1724" s="6" t="s">
        <v>11485</v>
      </c>
      <c r="O1724" s="6" t="s">
        <v>11486</v>
      </c>
      <c r="P1724" s="10" t="s">
        <v>15</v>
      </c>
      <c r="Q1724" s="6" t="s">
        <v>11487</v>
      </c>
      <c r="R1724" s="6"/>
      <c r="S1724" s="6"/>
      <c r="T1724" s="6" t="s">
        <v>16</v>
      </c>
      <c r="U1724" s="9" t="s">
        <v>17</v>
      </c>
      <c r="AI1724" s="6" t="s">
        <v>18</v>
      </c>
      <c r="AJ1724" s="12" t="s">
        <v>11480</v>
      </c>
      <c r="AL1724" s="13" t="s">
        <v>20</v>
      </c>
    </row>
    <row r="1725">
      <c r="A1725" s="5" t="s">
        <v>11488</v>
      </c>
      <c r="B1725" s="5" t="s">
        <v>11489</v>
      </c>
      <c r="C1725" s="5" t="s">
        <v>11490</v>
      </c>
      <c r="D1725" s="5" t="s">
        <v>8</v>
      </c>
      <c r="E1725" s="6"/>
      <c r="F1725" s="6"/>
      <c r="G1725" s="7" t="s">
        <v>11491</v>
      </c>
      <c r="I1725" s="8" t="s">
        <v>11492</v>
      </c>
      <c r="J1725" s="9">
        <v>10.9</v>
      </c>
      <c r="K1725" s="10" t="s">
        <v>11</v>
      </c>
      <c r="L1725" s="6"/>
      <c r="M1725" s="11" t="s">
        <v>12</v>
      </c>
      <c r="N1725" s="6" t="s">
        <v>11493</v>
      </c>
      <c r="O1725" s="6" t="s">
        <v>11494</v>
      </c>
      <c r="P1725" s="10" t="s">
        <v>15</v>
      </c>
      <c r="Q1725" s="6"/>
      <c r="R1725" s="6"/>
      <c r="S1725" s="6"/>
      <c r="T1725" s="6" t="s">
        <v>16</v>
      </c>
      <c r="U1725" s="9" t="s">
        <v>17</v>
      </c>
      <c r="AI1725" s="6" t="s">
        <v>18</v>
      </c>
      <c r="AJ1725" s="12" t="s">
        <v>11495</v>
      </c>
      <c r="AL1725" s="13" t="s">
        <v>20</v>
      </c>
    </row>
    <row r="1726">
      <c r="A1726" s="5" t="s">
        <v>11496</v>
      </c>
      <c r="B1726" s="5" t="s">
        <v>11497</v>
      </c>
      <c r="C1726" s="5" t="s">
        <v>11490</v>
      </c>
      <c r="D1726" s="5" t="s">
        <v>8</v>
      </c>
      <c r="E1726" s="6"/>
      <c r="F1726" s="6"/>
      <c r="G1726" s="7" t="s">
        <v>11498</v>
      </c>
      <c r="I1726" s="8" t="s">
        <v>11499</v>
      </c>
      <c r="J1726" s="9">
        <v>24.7</v>
      </c>
      <c r="K1726" s="10" t="s">
        <v>11</v>
      </c>
      <c r="L1726" s="6"/>
      <c r="M1726" s="11" t="s">
        <v>12</v>
      </c>
      <c r="N1726" s="6" t="s">
        <v>11500</v>
      </c>
      <c r="O1726" s="6" t="s">
        <v>11501</v>
      </c>
      <c r="P1726" s="10" t="s">
        <v>15</v>
      </c>
      <c r="Q1726" s="6"/>
      <c r="R1726" s="6"/>
      <c r="S1726" s="6"/>
      <c r="T1726" s="6" t="s">
        <v>16</v>
      </c>
      <c r="U1726" s="9" t="s">
        <v>17</v>
      </c>
      <c r="AI1726" s="6" t="s">
        <v>18</v>
      </c>
      <c r="AJ1726" s="12" t="s">
        <v>11495</v>
      </c>
      <c r="AL1726" s="13" t="s">
        <v>20</v>
      </c>
    </row>
    <row r="1727">
      <c r="A1727" s="5" t="s">
        <v>11502</v>
      </c>
      <c r="B1727" s="5" t="s">
        <v>11503</v>
      </c>
      <c r="C1727" s="5" t="s">
        <v>11504</v>
      </c>
      <c r="D1727" s="5" t="s">
        <v>8</v>
      </c>
      <c r="E1727" s="6"/>
      <c r="F1727" s="6"/>
      <c r="G1727" s="7" t="s">
        <v>11505</v>
      </c>
      <c r="I1727" s="8" t="s">
        <v>11506</v>
      </c>
      <c r="J1727" s="9">
        <v>31.0</v>
      </c>
      <c r="K1727" s="10">
        <v>22.94</v>
      </c>
      <c r="L1727" s="6"/>
      <c r="M1727" s="11" t="s">
        <v>17</v>
      </c>
      <c r="N1727" s="6"/>
      <c r="O1727" s="6" t="s">
        <v>11507</v>
      </c>
      <c r="P1727" s="10" t="s">
        <v>15</v>
      </c>
      <c r="Q1727" s="6"/>
      <c r="R1727" s="6"/>
      <c r="S1727" s="6"/>
      <c r="T1727" s="6" t="s">
        <v>16</v>
      </c>
      <c r="U1727" s="9" t="s">
        <v>17</v>
      </c>
      <c r="AI1727" s="6" t="s">
        <v>4393</v>
      </c>
      <c r="AJ1727" s="12" t="s">
        <v>11508</v>
      </c>
      <c r="AL1727" s="13" t="s">
        <v>4395</v>
      </c>
    </row>
    <row r="1728">
      <c r="A1728" s="5" t="s">
        <v>11509</v>
      </c>
      <c r="B1728" s="5" t="s">
        <v>11510</v>
      </c>
      <c r="C1728" s="5" t="s">
        <v>11511</v>
      </c>
      <c r="D1728" s="5" t="s">
        <v>8</v>
      </c>
      <c r="E1728" s="6"/>
      <c r="F1728" s="6"/>
      <c r="G1728" s="7" t="s">
        <v>11512</v>
      </c>
      <c r="I1728" s="8" t="s">
        <v>11513</v>
      </c>
      <c r="J1728" s="9">
        <v>12.9</v>
      </c>
      <c r="K1728" s="10">
        <v>11.61</v>
      </c>
      <c r="L1728" s="6"/>
      <c r="M1728" s="11" t="s">
        <v>17</v>
      </c>
      <c r="N1728" s="6"/>
      <c r="O1728" s="6" t="s">
        <v>11514</v>
      </c>
      <c r="P1728" s="10" t="s">
        <v>15</v>
      </c>
      <c r="Q1728" s="6"/>
      <c r="R1728" s="6"/>
      <c r="S1728" s="6"/>
      <c r="T1728" s="6" t="s">
        <v>16</v>
      </c>
      <c r="U1728" s="9" t="s">
        <v>17</v>
      </c>
      <c r="AI1728" s="6" t="s">
        <v>18</v>
      </c>
      <c r="AJ1728" s="12" t="s">
        <v>11515</v>
      </c>
      <c r="AL1728" s="13" t="s">
        <v>1921</v>
      </c>
    </row>
    <row r="1729">
      <c r="A1729" s="5" t="s">
        <v>11516</v>
      </c>
      <c r="B1729" s="5" t="s">
        <v>11517</v>
      </c>
      <c r="C1729" s="5" t="s">
        <v>11518</v>
      </c>
      <c r="D1729" s="5" t="s">
        <v>8</v>
      </c>
      <c r="E1729" s="6"/>
      <c r="F1729" s="6"/>
      <c r="G1729" s="7" t="s">
        <v>11519</v>
      </c>
      <c r="I1729" s="8" t="s">
        <v>11520</v>
      </c>
      <c r="J1729" s="9">
        <v>3.0</v>
      </c>
      <c r="K1729" s="10" t="s">
        <v>11</v>
      </c>
      <c r="L1729" s="6"/>
      <c r="M1729" s="11" t="s">
        <v>17</v>
      </c>
      <c r="N1729" s="6"/>
      <c r="O1729" s="6" t="s">
        <v>11521</v>
      </c>
      <c r="P1729" s="10" t="s">
        <v>15</v>
      </c>
      <c r="Q1729" s="6"/>
      <c r="R1729" s="6"/>
      <c r="S1729" s="6"/>
      <c r="T1729" s="6" t="s">
        <v>16</v>
      </c>
      <c r="U1729" s="9" t="s">
        <v>17</v>
      </c>
      <c r="AI1729" s="6" t="s">
        <v>3406</v>
      </c>
      <c r="AJ1729" s="12" t="s">
        <v>11522</v>
      </c>
      <c r="AL1729" s="13" t="s">
        <v>1921</v>
      </c>
    </row>
    <row r="1730">
      <c r="A1730" s="5" t="s">
        <v>11523</v>
      </c>
      <c r="B1730" s="5" t="s">
        <v>11524</v>
      </c>
      <c r="C1730" s="5" t="s">
        <v>11525</v>
      </c>
      <c r="D1730" s="5" t="s">
        <v>8</v>
      </c>
      <c r="E1730" s="6"/>
      <c r="F1730" s="6"/>
      <c r="G1730" s="7" t="s">
        <v>11526</v>
      </c>
      <c r="I1730" s="8" t="s">
        <v>11527</v>
      </c>
      <c r="J1730" s="9">
        <v>15.3</v>
      </c>
      <c r="K1730" s="10" t="s">
        <v>11</v>
      </c>
      <c r="L1730" s="6"/>
      <c r="M1730" s="11" t="s">
        <v>17</v>
      </c>
      <c r="N1730" s="6"/>
      <c r="O1730" s="6" t="s">
        <v>11528</v>
      </c>
      <c r="P1730" s="10" t="s">
        <v>15</v>
      </c>
      <c r="Q1730" s="6"/>
      <c r="R1730" s="6"/>
      <c r="S1730" s="6"/>
      <c r="T1730" s="6" t="s">
        <v>16</v>
      </c>
      <c r="U1730" s="9" t="s">
        <v>17</v>
      </c>
      <c r="AI1730" s="6" t="s">
        <v>11529</v>
      </c>
      <c r="AJ1730" s="12" t="s">
        <v>11530</v>
      </c>
      <c r="AL1730" s="13" t="s">
        <v>4741</v>
      </c>
    </row>
    <row r="1731">
      <c r="A1731" s="5" t="s">
        <v>11531</v>
      </c>
      <c r="B1731" s="5" t="s">
        <v>11532</v>
      </c>
      <c r="C1731" s="5" t="s">
        <v>11525</v>
      </c>
      <c r="D1731" s="5" t="s">
        <v>8</v>
      </c>
      <c r="E1731" s="6"/>
      <c r="F1731" s="6"/>
      <c r="G1731" s="7" t="s">
        <v>11533</v>
      </c>
      <c r="I1731" s="8" t="s">
        <v>11534</v>
      </c>
      <c r="J1731" s="9">
        <v>40.4</v>
      </c>
      <c r="K1731" s="10" t="s">
        <v>11</v>
      </c>
      <c r="L1731" s="6"/>
      <c r="M1731" s="11" t="s">
        <v>17</v>
      </c>
      <c r="N1731" s="6"/>
      <c r="O1731" s="6" t="s">
        <v>11535</v>
      </c>
      <c r="P1731" s="10" t="s">
        <v>15</v>
      </c>
      <c r="Q1731" s="6"/>
      <c r="R1731" s="6"/>
      <c r="S1731" s="6"/>
      <c r="T1731" s="6" t="s">
        <v>16</v>
      </c>
      <c r="U1731" s="9" t="s">
        <v>17</v>
      </c>
      <c r="AI1731" s="6" t="s">
        <v>11529</v>
      </c>
      <c r="AJ1731" s="12" t="s">
        <v>11530</v>
      </c>
      <c r="AL1731" s="13" t="s">
        <v>4741</v>
      </c>
    </row>
    <row r="1732">
      <c r="A1732" s="5" t="s">
        <v>11536</v>
      </c>
      <c r="B1732" s="5" t="s">
        <v>11537</v>
      </c>
      <c r="C1732" s="5" t="s">
        <v>11525</v>
      </c>
      <c r="D1732" s="5" t="s">
        <v>8</v>
      </c>
      <c r="E1732" s="6"/>
      <c r="F1732" s="6"/>
      <c r="G1732" s="7" t="s">
        <v>11538</v>
      </c>
      <c r="I1732" s="8" t="s">
        <v>11539</v>
      </c>
      <c r="J1732" s="9">
        <v>16.2</v>
      </c>
      <c r="K1732" s="10" t="s">
        <v>11</v>
      </c>
      <c r="L1732" s="6"/>
      <c r="M1732" s="11" t="s">
        <v>17</v>
      </c>
      <c r="N1732" s="6"/>
      <c r="O1732" s="6" t="s">
        <v>11540</v>
      </c>
      <c r="P1732" s="10" t="s">
        <v>15</v>
      </c>
      <c r="Q1732" s="6"/>
      <c r="R1732" s="6"/>
      <c r="S1732" s="6"/>
      <c r="T1732" s="6" t="s">
        <v>16</v>
      </c>
      <c r="U1732" s="9" t="s">
        <v>17</v>
      </c>
      <c r="AI1732" s="6" t="s">
        <v>11529</v>
      </c>
      <c r="AJ1732" s="12" t="s">
        <v>11541</v>
      </c>
      <c r="AL1732" s="13" t="s">
        <v>4741</v>
      </c>
    </row>
    <row r="1733">
      <c r="A1733" s="5" t="s">
        <v>11542</v>
      </c>
      <c r="B1733" s="5" t="s">
        <v>11543</v>
      </c>
      <c r="C1733" s="5" t="s">
        <v>11525</v>
      </c>
      <c r="D1733" s="5" t="s">
        <v>8</v>
      </c>
      <c r="E1733" s="6"/>
      <c r="F1733" s="6"/>
      <c r="G1733" s="7" t="s">
        <v>11544</v>
      </c>
      <c r="I1733" s="8" t="s">
        <v>11545</v>
      </c>
      <c r="J1733" s="9">
        <v>43.1</v>
      </c>
      <c r="K1733" s="10" t="s">
        <v>11</v>
      </c>
      <c r="L1733" s="6"/>
      <c r="M1733" s="11" t="s">
        <v>17</v>
      </c>
      <c r="N1733" s="6"/>
      <c r="O1733" s="6" t="s">
        <v>11546</v>
      </c>
      <c r="P1733" s="10" t="s">
        <v>15</v>
      </c>
      <c r="Q1733" s="6"/>
      <c r="R1733" s="6"/>
      <c r="S1733" s="6"/>
      <c r="T1733" s="6" t="s">
        <v>16</v>
      </c>
      <c r="U1733" s="9" t="s">
        <v>17</v>
      </c>
      <c r="AI1733" s="6" t="s">
        <v>11529</v>
      </c>
      <c r="AJ1733" s="12" t="s">
        <v>11541</v>
      </c>
      <c r="AL1733" s="13" t="s">
        <v>4741</v>
      </c>
    </row>
    <row r="1734">
      <c r="A1734" s="5" t="s">
        <v>11547</v>
      </c>
      <c r="B1734" s="5" t="s">
        <v>11548</v>
      </c>
      <c r="C1734" s="5" t="s">
        <v>11525</v>
      </c>
      <c r="D1734" s="5" t="s">
        <v>507</v>
      </c>
      <c r="E1734" s="6"/>
      <c r="F1734" s="6"/>
      <c r="G1734" s="7" t="s">
        <v>11549</v>
      </c>
      <c r="I1734" s="8" t="s">
        <v>11550</v>
      </c>
      <c r="J1734" s="9">
        <v>45.4</v>
      </c>
      <c r="K1734" s="10" t="s">
        <v>11</v>
      </c>
      <c r="L1734" s="6"/>
      <c r="M1734" s="11" t="s">
        <v>17</v>
      </c>
      <c r="N1734" s="6"/>
      <c r="O1734" s="6" t="s">
        <v>11551</v>
      </c>
      <c r="P1734" s="10" t="s">
        <v>15</v>
      </c>
      <c r="Q1734" s="6"/>
      <c r="R1734" s="6"/>
      <c r="S1734" s="6"/>
      <c r="T1734" s="6" t="s">
        <v>16</v>
      </c>
      <c r="U1734" s="9" t="s">
        <v>17</v>
      </c>
      <c r="AI1734" s="6" t="s">
        <v>11529</v>
      </c>
      <c r="AJ1734" s="12" t="s">
        <v>11552</v>
      </c>
      <c r="AL1734" s="13" t="s">
        <v>4741</v>
      </c>
    </row>
    <row r="1735">
      <c r="A1735" s="5" t="s">
        <v>11553</v>
      </c>
      <c r="B1735" s="5" t="s">
        <v>11554</v>
      </c>
      <c r="C1735" s="5" t="s">
        <v>11525</v>
      </c>
      <c r="D1735" s="5" t="s">
        <v>8</v>
      </c>
      <c r="E1735" s="6"/>
      <c r="F1735" s="6"/>
      <c r="G1735" s="7" t="s">
        <v>11555</v>
      </c>
      <c r="I1735" s="8" t="s">
        <v>11556</v>
      </c>
      <c r="J1735" s="9">
        <v>43.7</v>
      </c>
      <c r="K1735" s="10" t="s">
        <v>11</v>
      </c>
      <c r="L1735" s="6"/>
      <c r="M1735" s="11" t="s">
        <v>17</v>
      </c>
      <c r="N1735" s="6"/>
      <c r="O1735" s="6" t="s">
        <v>11557</v>
      </c>
      <c r="P1735" s="10" t="s">
        <v>15</v>
      </c>
      <c r="Q1735" s="6"/>
      <c r="R1735" s="6"/>
      <c r="S1735" s="6"/>
      <c r="T1735" s="6" t="s">
        <v>16</v>
      </c>
      <c r="U1735" s="9" t="s">
        <v>17</v>
      </c>
      <c r="AI1735" s="6" t="s">
        <v>11529</v>
      </c>
      <c r="AJ1735" s="12" t="s">
        <v>11558</v>
      </c>
      <c r="AL1735" s="13" t="s">
        <v>4741</v>
      </c>
    </row>
    <row r="1736">
      <c r="A1736" s="5" t="s">
        <v>11559</v>
      </c>
      <c r="B1736" s="5" t="s">
        <v>11560</v>
      </c>
      <c r="C1736" s="5" t="s">
        <v>11525</v>
      </c>
      <c r="D1736" s="5" t="s">
        <v>8</v>
      </c>
      <c r="E1736" s="6"/>
      <c r="F1736" s="6"/>
      <c r="G1736" s="7" t="s">
        <v>11561</v>
      </c>
      <c r="I1736" s="8" t="s">
        <v>11562</v>
      </c>
      <c r="J1736" s="9">
        <v>16.4</v>
      </c>
      <c r="K1736" s="10" t="s">
        <v>11</v>
      </c>
      <c r="L1736" s="6"/>
      <c r="M1736" s="11" t="s">
        <v>17</v>
      </c>
      <c r="N1736" s="6"/>
      <c r="O1736" s="6" t="s">
        <v>11563</v>
      </c>
      <c r="P1736" s="10" t="s">
        <v>15</v>
      </c>
      <c r="Q1736" s="6"/>
      <c r="R1736" s="6"/>
      <c r="S1736" s="6"/>
      <c r="T1736" s="6" t="s">
        <v>16</v>
      </c>
      <c r="U1736" s="9" t="s">
        <v>17</v>
      </c>
      <c r="AI1736" s="6" t="s">
        <v>11529</v>
      </c>
      <c r="AJ1736" s="12" t="s">
        <v>11564</v>
      </c>
      <c r="AL1736" s="13" t="s">
        <v>4741</v>
      </c>
    </row>
    <row r="1737">
      <c r="A1737" s="5" t="s">
        <v>11565</v>
      </c>
      <c r="B1737" s="5" t="s">
        <v>11566</v>
      </c>
      <c r="C1737" s="5" t="s">
        <v>11525</v>
      </c>
      <c r="D1737" s="5" t="s">
        <v>8</v>
      </c>
      <c r="E1737" s="6"/>
      <c r="F1737" s="6"/>
      <c r="G1737" s="7" t="s">
        <v>11567</v>
      </c>
      <c r="I1737" s="8" t="s">
        <v>11568</v>
      </c>
      <c r="J1737" s="9">
        <v>43.7</v>
      </c>
      <c r="K1737" s="10" t="s">
        <v>11</v>
      </c>
      <c r="L1737" s="6"/>
      <c r="M1737" s="11" t="s">
        <v>17</v>
      </c>
      <c r="N1737" s="6"/>
      <c r="O1737" s="6" t="s">
        <v>11569</v>
      </c>
      <c r="P1737" s="10" t="s">
        <v>15</v>
      </c>
      <c r="Q1737" s="6"/>
      <c r="R1737" s="6"/>
      <c r="S1737" s="6"/>
      <c r="T1737" s="6" t="s">
        <v>16</v>
      </c>
      <c r="U1737" s="9" t="s">
        <v>17</v>
      </c>
      <c r="AI1737" s="6" t="s">
        <v>11529</v>
      </c>
      <c r="AJ1737" s="12" t="s">
        <v>11564</v>
      </c>
      <c r="AL1737" s="13" t="s">
        <v>4741</v>
      </c>
    </row>
    <row r="1738">
      <c r="A1738" s="5" t="s">
        <v>11570</v>
      </c>
      <c r="B1738" s="5" t="s">
        <v>11571</v>
      </c>
      <c r="C1738" s="5" t="s">
        <v>11525</v>
      </c>
      <c r="D1738" s="5" t="s">
        <v>8</v>
      </c>
      <c r="E1738" s="6"/>
      <c r="F1738" s="6"/>
      <c r="G1738" s="7" t="s">
        <v>11572</v>
      </c>
      <c r="I1738" s="8" t="s">
        <v>11573</v>
      </c>
      <c r="J1738" s="9">
        <v>16.3</v>
      </c>
      <c r="K1738" s="10" t="s">
        <v>11</v>
      </c>
      <c r="L1738" s="6"/>
      <c r="M1738" s="11" t="s">
        <v>17</v>
      </c>
      <c r="N1738" s="6"/>
      <c r="O1738" s="6" t="s">
        <v>11574</v>
      </c>
      <c r="P1738" s="10" t="s">
        <v>15</v>
      </c>
      <c r="Q1738" s="6"/>
      <c r="R1738" s="6"/>
      <c r="S1738" s="6"/>
      <c r="T1738" s="6" t="s">
        <v>16</v>
      </c>
      <c r="U1738" s="9" t="s">
        <v>17</v>
      </c>
      <c r="AI1738" s="6" t="s">
        <v>11529</v>
      </c>
      <c r="AJ1738" s="12" t="s">
        <v>11575</v>
      </c>
      <c r="AL1738" s="13" t="s">
        <v>4741</v>
      </c>
    </row>
    <row r="1739">
      <c r="A1739" s="5" t="s">
        <v>11576</v>
      </c>
      <c r="B1739" s="5" t="s">
        <v>11577</v>
      </c>
      <c r="C1739" s="5" t="s">
        <v>11525</v>
      </c>
      <c r="D1739" s="5" t="s">
        <v>8</v>
      </c>
      <c r="E1739" s="6"/>
      <c r="F1739" s="6"/>
      <c r="G1739" s="7" t="s">
        <v>11578</v>
      </c>
      <c r="I1739" s="8" t="s">
        <v>11579</v>
      </c>
      <c r="J1739" s="9">
        <v>45.4</v>
      </c>
      <c r="K1739" s="10" t="s">
        <v>11</v>
      </c>
      <c r="L1739" s="6"/>
      <c r="M1739" s="11" t="s">
        <v>17</v>
      </c>
      <c r="N1739" s="6"/>
      <c r="O1739" s="6" t="s">
        <v>11580</v>
      </c>
      <c r="P1739" s="10" t="s">
        <v>15</v>
      </c>
      <c r="Q1739" s="6"/>
      <c r="R1739" s="6"/>
      <c r="S1739" s="6"/>
      <c r="T1739" s="6" t="s">
        <v>16</v>
      </c>
      <c r="U1739" s="9" t="s">
        <v>17</v>
      </c>
      <c r="AI1739" s="6" t="s">
        <v>11529</v>
      </c>
      <c r="AJ1739" s="12" t="s">
        <v>11575</v>
      </c>
      <c r="AL1739" s="13" t="s">
        <v>4741</v>
      </c>
    </row>
    <row r="1740">
      <c r="A1740" s="5" t="s">
        <v>11581</v>
      </c>
      <c r="B1740" s="5" t="s">
        <v>11582</v>
      </c>
      <c r="C1740" s="5" t="s">
        <v>11525</v>
      </c>
      <c r="D1740" s="5" t="s">
        <v>8</v>
      </c>
      <c r="E1740" s="6"/>
      <c r="F1740" s="6"/>
      <c r="G1740" s="7" t="s">
        <v>11583</v>
      </c>
      <c r="I1740" s="8" t="s">
        <v>11584</v>
      </c>
      <c r="J1740" s="9">
        <v>16.3</v>
      </c>
      <c r="K1740" s="10" t="s">
        <v>11</v>
      </c>
      <c r="L1740" s="6"/>
      <c r="M1740" s="11" t="s">
        <v>17</v>
      </c>
      <c r="N1740" s="6"/>
      <c r="O1740" s="6" t="s">
        <v>11585</v>
      </c>
      <c r="P1740" s="10" t="s">
        <v>15</v>
      </c>
      <c r="Q1740" s="6"/>
      <c r="R1740" s="6"/>
      <c r="S1740" s="6"/>
      <c r="T1740" s="6" t="s">
        <v>16</v>
      </c>
      <c r="U1740" s="9" t="s">
        <v>17</v>
      </c>
      <c r="AI1740" s="6" t="s">
        <v>11529</v>
      </c>
      <c r="AJ1740" s="12" t="s">
        <v>11586</v>
      </c>
      <c r="AL1740" s="13" t="s">
        <v>4741</v>
      </c>
    </row>
    <row r="1741">
      <c r="A1741" s="5" t="s">
        <v>11587</v>
      </c>
      <c r="B1741" s="5" t="s">
        <v>11588</v>
      </c>
      <c r="C1741" s="5" t="s">
        <v>11525</v>
      </c>
      <c r="D1741" s="5" t="s">
        <v>8</v>
      </c>
      <c r="E1741" s="6"/>
      <c r="F1741" s="6"/>
      <c r="G1741" s="7" t="s">
        <v>11589</v>
      </c>
      <c r="I1741" s="8" t="s">
        <v>11590</v>
      </c>
      <c r="J1741" s="9">
        <v>45.4</v>
      </c>
      <c r="K1741" s="10" t="s">
        <v>11</v>
      </c>
      <c r="L1741" s="6"/>
      <c r="M1741" s="11" t="s">
        <v>17</v>
      </c>
      <c r="N1741" s="6"/>
      <c r="O1741" s="6" t="s">
        <v>11591</v>
      </c>
      <c r="P1741" s="10" t="s">
        <v>15</v>
      </c>
      <c r="Q1741" s="6"/>
      <c r="R1741" s="6"/>
      <c r="S1741" s="6"/>
      <c r="T1741" s="6" t="s">
        <v>16</v>
      </c>
      <c r="U1741" s="9" t="s">
        <v>17</v>
      </c>
      <c r="AI1741" s="6" t="s">
        <v>11529</v>
      </c>
      <c r="AJ1741" s="12" t="s">
        <v>11586</v>
      </c>
      <c r="AL1741" s="13" t="s">
        <v>4741</v>
      </c>
    </row>
    <row r="1742">
      <c r="A1742" s="5" t="s">
        <v>11592</v>
      </c>
      <c r="B1742" s="5" t="s">
        <v>11593</v>
      </c>
      <c r="C1742" s="5" t="s">
        <v>11525</v>
      </c>
      <c r="D1742" s="5" t="s">
        <v>8</v>
      </c>
      <c r="E1742" s="6"/>
      <c r="F1742" s="6"/>
      <c r="G1742" s="7" t="s">
        <v>11594</v>
      </c>
      <c r="I1742" s="8" t="s">
        <v>11595</v>
      </c>
      <c r="J1742" s="9">
        <v>42.2</v>
      </c>
      <c r="K1742" s="10" t="s">
        <v>11</v>
      </c>
      <c r="L1742" s="6"/>
      <c r="M1742" s="11" t="s">
        <v>17</v>
      </c>
      <c r="N1742" s="6"/>
      <c r="O1742" s="6" t="s">
        <v>11596</v>
      </c>
      <c r="P1742" s="10" t="s">
        <v>15</v>
      </c>
      <c r="Q1742" s="6"/>
      <c r="R1742" s="6"/>
      <c r="S1742" s="6"/>
      <c r="T1742" s="6" t="s">
        <v>16</v>
      </c>
      <c r="U1742" s="9" t="s">
        <v>17</v>
      </c>
      <c r="AI1742" s="6" t="s">
        <v>11529</v>
      </c>
      <c r="AJ1742" s="12" t="s">
        <v>11597</v>
      </c>
      <c r="AL1742" s="13" t="s">
        <v>4741</v>
      </c>
    </row>
    <row r="1743">
      <c r="A1743" s="5" t="s">
        <v>11598</v>
      </c>
      <c r="B1743" s="5" t="s">
        <v>11599</v>
      </c>
      <c r="C1743" s="5" t="s">
        <v>11525</v>
      </c>
      <c r="D1743" s="5" t="s">
        <v>8</v>
      </c>
      <c r="E1743" s="6"/>
      <c r="F1743" s="6"/>
      <c r="G1743" s="7" t="s">
        <v>11600</v>
      </c>
      <c r="I1743" s="8" t="s">
        <v>11601</v>
      </c>
      <c r="J1743" s="9">
        <v>16.0</v>
      </c>
      <c r="K1743" s="10" t="s">
        <v>11</v>
      </c>
      <c r="L1743" s="6"/>
      <c r="M1743" s="11" t="s">
        <v>17</v>
      </c>
      <c r="N1743" s="6"/>
      <c r="O1743" s="6" t="s">
        <v>11602</v>
      </c>
      <c r="P1743" s="10" t="s">
        <v>15</v>
      </c>
      <c r="Q1743" s="6"/>
      <c r="R1743" s="6"/>
      <c r="S1743" s="6"/>
      <c r="T1743" s="6" t="s">
        <v>16</v>
      </c>
      <c r="U1743" s="9" t="s">
        <v>17</v>
      </c>
      <c r="AI1743" s="6" t="s">
        <v>11529</v>
      </c>
      <c r="AJ1743" s="12" t="s">
        <v>11603</v>
      </c>
      <c r="AL1743" s="13" t="s">
        <v>4741</v>
      </c>
    </row>
    <row r="1744">
      <c r="A1744" s="5" t="s">
        <v>11604</v>
      </c>
      <c r="B1744" s="5" t="s">
        <v>11605</v>
      </c>
      <c r="C1744" s="5" t="s">
        <v>11525</v>
      </c>
      <c r="D1744" s="5" t="s">
        <v>8</v>
      </c>
      <c r="E1744" s="6"/>
      <c r="F1744" s="6"/>
      <c r="G1744" s="7" t="s">
        <v>11606</v>
      </c>
      <c r="I1744" s="8" t="s">
        <v>11607</v>
      </c>
      <c r="J1744" s="9">
        <v>42.5</v>
      </c>
      <c r="K1744" s="10" t="s">
        <v>11</v>
      </c>
      <c r="L1744" s="6"/>
      <c r="M1744" s="11" t="s">
        <v>17</v>
      </c>
      <c r="N1744" s="6"/>
      <c r="O1744" s="6" t="s">
        <v>11608</v>
      </c>
      <c r="P1744" s="10" t="s">
        <v>15</v>
      </c>
      <c r="Q1744" s="6"/>
      <c r="R1744" s="6"/>
      <c r="S1744" s="6"/>
      <c r="T1744" s="6" t="s">
        <v>16</v>
      </c>
      <c r="U1744" s="9" t="s">
        <v>17</v>
      </c>
      <c r="AI1744" s="6" t="s">
        <v>11529</v>
      </c>
      <c r="AJ1744" s="12" t="s">
        <v>11603</v>
      </c>
      <c r="AL1744" s="13" t="s">
        <v>4741</v>
      </c>
    </row>
    <row r="1745">
      <c r="A1745" s="5" t="s">
        <v>11609</v>
      </c>
      <c r="B1745" s="5" t="s">
        <v>11610</v>
      </c>
      <c r="C1745" s="5" t="s">
        <v>11525</v>
      </c>
      <c r="D1745" s="5" t="s">
        <v>8</v>
      </c>
      <c r="E1745" s="6"/>
      <c r="F1745" s="6"/>
      <c r="G1745" s="7" t="s">
        <v>11611</v>
      </c>
      <c r="I1745" s="8" t="s">
        <v>11612</v>
      </c>
      <c r="J1745" s="9">
        <v>41.3</v>
      </c>
      <c r="K1745" s="10" t="s">
        <v>11</v>
      </c>
      <c r="L1745" s="6"/>
      <c r="M1745" s="11" t="s">
        <v>17</v>
      </c>
      <c r="N1745" s="6"/>
      <c r="O1745" s="6" t="s">
        <v>11613</v>
      </c>
      <c r="P1745" s="10" t="s">
        <v>15</v>
      </c>
      <c r="Q1745" s="6"/>
      <c r="R1745" s="6"/>
      <c r="S1745" s="6"/>
      <c r="T1745" s="6" t="s">
        <v>16</v>
      </c>
      <c r="U1745" s="9" t="s">
        <v>17</v>
      </c>
      <c r="AI1745" s="6" t="s">
        <v>11529</v>
      </c>
      <c r="AJ1745" s="12" t="s">
        <v>11614</v>
      </c>
      <c r="AL1745" s="13" t="s">
        <v>4741</v>
      </c>
    </row>
    <row r="1746">
      <c r="A1746" s="5" t="s">
        <v>11615</v>
      </c>
      <c r="B1746" s="5" t="s">
        <v>11616</v>
      </c>
      <c r="C1746" s="5" t="s">
        <v>11525</v>
      </c>
      <c r="D1746" s="5" t="s">
        <v>8</v>
      </c>
      <c r="E1746" s="6"/>
      <c r="F1746" s="6"/>
      <c r="G1746" s="7" t="s">
        <v>11617</v>
      </c>
      <c r="I1746" s="8" t="s">
        <v>11618</v>
      </c>
      <c r="J1746" s="9">
        <v>15.2</v>
      </c>
      <c r="K1746" s="10" t="s">
        <v>11</v>
      </c>
      <c r="L1746" s="6"/>
      <c r="M1746" s="11" t="s">
        <v>17</v>
      </c>
      <c r="N1746" s="6"/>
      <c r="O1746" s="6" t="s">
        <v>11619</v>
      </c>
      <c r="P1746" s="10" t="s">
        <v>15</v>
      </c>
      <c r="Q1746" s="6"/>
      <c r="R1746" s="6"/>
      <c r="S1746" s="6"/>
      <c r="T1746" s="6" t="s">
        <v>16</v>
      </c>
      <c r="U1746" s="9" t="s">
        <v>17</v>
      </c>
      <c r="AI1746" s="6" t="s">
        <v>11529</v>
      </c>
      <c r="AJ1746" s="12" t="s">
        <v>11620</v>
      </c>
      <c r="AL1746" s="13" t="s">
        <v>4741</v>
      </c>
    </row>
    <row r="1747">
      <c r="A1747" s="5" t="s">
        <v>11621</v>
      </c>
      <c r="B1747" s="5" t="s">
        <v>11622</v>
      </c>
      <c r="C1747" s="5" t="s">
        <v>11525</v>
      </c>
      <c r="D1747" s="5" t="s">
        <v>8</v>
      </c>
      <c r="E1747" s="6"/>
      <c r="F1747" s="6"/>
      <c r="G1747" s="7" t="s">
        <v>11623</v>
      </c>
      <c r="I1747" s="8" t="s">
        <v>11624</v>
      </c>
      <c r="J1747" s="9">
        <v>40.1</v>
      </c>
      <c r="K1747" s="10" t="s">
        <v>11</v>
      </c>
      <c r="L1747" s="6"/>
      <c r="M1747" s="11" t="s">
        <v>17</v>
      </c>
      <c r="N1747" s="6"/>
      <c r="O1747" s="6" t="s">
        <v>11625</v>
      </c>
      <c r="P1747" s="10" t="s">
        <v>15</v>
      </c>
      <c r="Q1747" s="6"/>
      <c r="R1747" s="6"/>
      <c r="S1747" s="6"/>
      <c r="T1747" s="6" t="s">
        <v>16</v>
      </c>
      <c r="U1747" s="9" t="s">
        <v>17</v>
      </c>
      <c r="AI1747" s="6" t="s">
        <v>11529</v>
      </c>
      <c r="AJ1747" s="12" t="s">
        <v>11620</v>
      </c>
      <c r="AL1747" s="13" t="s">
        <v>4741</v>
      </c>
    </row>
    <row r="1748">
      <c r="A1748" s="5" t="s">
        <v>11626</v>
      </c>
      <c r="B1748" s="5" t="s">
        <v>11627</v>
      </c>
      <c r="C1748" s="5" t="s">
        <v>11525</v>
      </c>
      <c r="D1748" s="5" t="s">
        <v>8</v>
      </c>
      <c r="E1748" s="6"/>
      <c r="F1748" s="6"/>
      <c r="G1748" s="7" t="s">
        <v>11628</v>
      </c>
      <c r="I1748" s="8" t="s">
        <v>11629</v>
      </c>
      <c r="J1748" s="9">
        <v>15.2</v>
      </c>
      <c r="K1748" s="10" t="s">
        <v>11</v>
      </c>
      <c r="L1748" s="6"/>
      <c r="M1748" s="11" t="s">
        <v>17</v>
      </c>
      <c r="N1748" s="6"/>
      <c r="O1748" s="6" t="s">
        <v>11630</v>
      </c>
      <c r="P1748" s="10" t="s">
        <v>15</v>
      </c>
      <c r="Q1748" s="6"/>
      <c r="R1748" s="6"/>
      <c r="S1748" s="6"/>
      <c r="T1748" s="6" t="s">
        <v>16</v>
      </c>
      <c r="U1748" s="9" t="s">
        <v>17</v>
      </c>
      <c r="AI1748" s="6" t="s">
        <v>11529</v>
      </c>
      <c r="AJ1748" s="12" t="s">
        <v>11631</v>
      </c>
      <c r="AL1748" s="13" t="s">
        <v>4741</v>
      </c>
    </row>
    <row r="1749">
      <c r="A1749" s="5" t="s">
        <v>11632</v>
      </c>
      <c r="B1749" s="5" t="s">
        <v>11633</v>
      </c>
      <c r="C1749" s="5" t="s">
        <v>11525</v>
      </c>
      <c r="D1749" s="5" t="s">
        <v>8</v>
      </c>
      <c r="E1749" s="6"/>
      <c r="F1749" s="6"/>
      <c r="G1749" s="7" t="s">
        <v>11634</v>
      </c>
      <c r="I1749" s="8" t="s">
        <v>11635</v>
      </c>
      <c r="J1749" s="9">
        <v>40.1</v>
      </c>
      <c r="K1749" s="10" t="s">
        <v>11</v>
      </c>
      <c r="L1749" s="6"/>
      <c r="M1749" s="11" t="s">
        <v>17</v>
      </c>
      <c r="N1749" s="6"/>
      <c r="O1749" s="6" t="s">
        <v>11636</v>
      </c>
      <c r="P1749" s="10" t="s">
        <v>15</v>
      </c>
      <c r="Q1749" s="6"/>
      <c r="R1749" s="6"/>
      <c r="S1749" s="6"/>
      <c r="T1749" s="6" t="s">
        <v>16</v>
      </c>
      <c r="U1749" s="9" t="s">
        <v>17</v>
      </c>
      <c r="AI1749" s="6" t="s">
        <v>11529</v>
      </c>
      <c r="AJ1749" s="12" t="s">
        <v>11631</v>
      </c>
      <c r="AL1749" s="13" t="s">
        <v>4741</v>
      </c>
    </row>
    <row r="1750">
      <c r="A1750" s="5" t="s">
        <v>11637</v>
      </c>
      <c r="B1750" s="5" t="s">
        <v>11638</v>
      </c>
      <c r="C1750" s="5" t="s">
        <v>11525</v>
      </c>
      <c r="D1750" s="5" t="s">
        <v>8</v>
      </c>
      <c r="E1750" s="6"/>
      <c r="F1750" s="6"/>
      <c r="G1750" s="7" t="s">
        <v>11639</v>
      </c>
      <c r="I1750" s="8" t="s">
        <v>11640</v>
      </c>
      <c r="J1750" s="9">
        <v>15.2</v>
      </c>
      <c r="K1750" s="10" t="s">
        <v>11</v>
      </c>
      <c r="L1750" s="6"/>
      <c r="M1750" s="11" t="s">
        <v>17</v>
      </c>
      <c r="N1750" s="6"/>
      <c r="O1750" s="6" t="s">
        <v>11641</v>
      </c>
      <c r="P1750" s="10" t="s">
        <v>15</v>
      </c>
      <c r="Q1750" s="6"/>
      <c r="R1750" s="6"/>
      <c r="S1750" s="6"/>
      <c r="T1750" s="6" t="s">
        <v>16</v>
      </c>
      <c r="U1750" s="9" t="s">
        <v>17</v>
      </c>
      <c r="AI1750" s="6" t="s">
        <v>11529</v>
      </c>
      <c r="AJ1750" s="12" t="s">
        <v>11642</v>
      </c>
      <c r="AL1750" s="13" t="s">
        <v>4741</v>
      </c>
    </row>
    <row r="1751">
      <c r="A1751" s="5" t="s">
        <v>11643</v>
      </c>
      <c r="B1751" s="5" t="s">
        <v>11644</v>
      </c>
      <c r="C1751" s="5" t="s">
        <v>11525</v>
      </c>
      <c r="D1751" s="5" t="s">
        <v>8</v>
      </c>
      <c r="E1751" s="6"/>
      <c r="F1751" s="6"/>
      <c r="G1751" s="7" t="s">
        <v>11645</v>
      </c>
      <c r="I1751" s="8" t="s">
        <v>11646</v>
      </c>
      <c r="J1751" s="9">
        <v>40.1</v>
      </c>
      <c r="K1751" s="10" t="s">
        <v>11</v>
      </c>
      <c r="L1751" s="6"/>
      <c r="M1751" s="11" t="s">
        <v>17</v>
      </c>
      <c r="N1751" s="6"/>
      <c r="O1751" s="6" t="s">
        <v>11647</v>
      </c>
      <c r="P1751" s="10" t="s">
        <v>15</v>
      </c>
      <c r="Q1751" s="6"/>
      <c r="R1751" s="6"/>
      <c r="S1751" s="6"/>
      <c r="T1751" s="6" t="s">
        <v>16</v>
      </c>
      <c r="U1751" s="9" t="s">
        <v>17</v>
      </c>
      <c r="AI1751" s="6" t="s">
        <v>11529</v>
      </c>
      <c r="AJ1751" s="12" t="s">
        <v>11642</v>
      </c>
      <c r="AL1751" s="13" t="s">
        <v>4741</v>
      </c>
    </row>
    <row r="1752">
      <c r="A1752" s="5" t="s">
        <v>11648</v>
      </c>
      <c r="B1752" s="5" t="s">
        <v>11649</v>
      </c>
      <c r="C1752" s="5" t="s">
        <v>11525</v>
      </c>
      <c r="D1752" s="5" t="s">
        <v>8</v>
      </c>
      <c r="E1752" s="6"/>
      <c r="F1752" s="6"/>
      <c r="G1752" s="7" t="s">
        <v>11650</v>
      </c>
      <c r="I1752" s="8" t="s">
        <v>11651</v>
      </c>
      <c r="J1752" s="9">
        <v>16.6</v>
      </c>
      <c r="K1752" s="10" t="s">
        <v>11</v>
      </c>
      <c r="L1752" s="6"/>
      <c r="M1752" s="11" t="s">
        <v>17</v>
      </c>
      <c r="N1752" s="6"/>
      <c r="O1752" s="6" t="s">
        <v>11652</v>
      </c>
      <c r="P1752" s="10" t="s">
        <v>15</v>
      </c>
      <c r="Q1752" s="6"/>
      <c r="R1752" s="6"/>
      <c r="S1752" s="6"/>
      <c r="T1752" s="6" t="s">
        <v>16</v>
      </c>
      <c r="U1752" s="9" t="s">
        <v>17</v>
      </c>
      <c r="AI1752" s="6" t="s">
        <v>11529</v>
      </c>
      <c r="AJ1752" s="12" t="s">
        <v>11653</v>
      </c>
      <c r="AL1752" s="13" t="s">
        <v>4741</v>
      </c>
    </row>
    <row r="1753">
      <c r="A1753" s="5" t="s">
        <v>11654</v>
      </c>
      <c r="B1753" s="5" t="s">
        <v>11655</v>
      </c>
      <c r="C1753" s="5" t="s">
        <v>11525</v>
      </c>
      <c r="D1753" s="5" t="s">
        <v>8</v>
      </c>
      <c r="E1753" s="6"/>
      <c r="F1753" s="6"/>
      <c r="G1753" s="7" t="s">
        <v>11656</v>
      </c>
      <c r="I1753" s="8" t="s">
        <v>11657</v>
      </c>
      <c r="J1753" s="9">
        <v>44.3</v>
      </c>
      <c r="K1753" s="10" t="s">
        <v>11</v>
      </c>
      <c r="L1753" s="6"/>
      <c r="M1753" s="11" t="s">
        <v>17</v>
      </c>
      <c r="N1753" s="6"/>
      <c r="O1753" s="6" t="s">
        <v>11658</v>
      </c>
      <c r="P1753" s="10" t="s">
        <v>15</v>
      </c>
      <c r="Q1753" s="6"/>
      <c r="R1753" s="6"/>
      <c r="S1753" s="6"/>
      <c r="T1753" s="6" t="s">
        <v>16</v>
      </c>
      <c r="U1753" s="9" t="s">
        <v>17</v>
      </c>
      <c r="AI1753" s="6" t="s">
        <v>11529</v>
      </c>
      <c r="AJ1753" s="12" t="s">
        <v>11653</v>
      </c>
      <c r="AL1753" s="13" t="s">
        <v>4741</v>
      </c>
    </row>
    <row r="1754">
      <c r="A1754" s="5" t="s">
        <v>11659</v>
      </c>
      <c r="B1754" s="5" t="s">
        <v>11660</v>
      </c>
      <c r="C1754" s="5" t="s">
        <v>11525</v>
      </c>
      <c r="D1754" s="5" t="s">
        <v>8</v>
      </c>
      <c r="E1754" s="6"/>
      <c r="F1754" s="6"/>
      <c r="G1754" s="7" t="s">
        <v>11661</v>
      </c>
      <c r="I1754" s="8" t="s">
        <v>11662</v>
      </c>
      <c r="J1754" s="9">
        <v>16.2</v>
      </c>
      <c r="K1754" s="10" t="s">
        <v>11</v>
      </c>
      <c r="L1754" s="6"/>
      <c r="M1754" s="11" t="s">
        <v>17</v>
      </c>
      <c r="N1754" s="6"/>
      <c r="O1754" s="6" t="s">
        <v>11663</v>
      </c>
      <c r="P1754" s="10" t="s">
        <v>15</v>
      </c>
      <c r="Q1754" s="6"/>
      <c r="R1754" s="6"/>
      <c r="S1754" s="6"/>
      <c r="T1754" s="6" t="s">
        <v>16</v>
      </c>
      <c r="U1754" s="9" t="s">
        <v>17</v>
      </c>
      <c r="AI1754" s="6" t="s">
        <v>11529</v>
      </c>
      <c r="AJ1754" s="12" t="s">
        <v>11664</v>
      </c>
      <c r="AL1754" s="13" t="s">
        <v>4741</v>
      </c>
    </row>
    <row r="1755">
      <c r="A1755" s="5" t="s">
        <v>11665</v>
      </c>
      <c r="B1755" s="5" t="s">
        <v>11666</v>
      </c>
      <c r="C1755" s="5" t="s">
        <v>11525</v>
      </c>
      <c r="D1755" s="5" t="s">
        <v>8</v>
      </c>
      <c r="E1755" s="6"/>
      <c r="F1755" s="6"/>
      <c r="G1755" s="7" t="s">
        <v>11667</v>
      </c>
      <c r="I1755" s="8" t="s">
        <v>11668</v>
      </c>
      <c r="J1755" s="9">
        <v>43.1</v>
      </c>
      <c r="K1755" s="10" t="s">
        <v>11</v>
      </c>
      <c r="L1755" s="6"/>
      <c r="M1755" s="11" t="s">
        <v>17</v>
      </c>
      <c r="N1755" s="6"/>
      <c r="O1755" s="6" t="s">
        <v>11669</v>
      </c>
      <c r="P1755" s="10" t="s">
        <v>15</v>
      </c>
      <c r="Q1755" s="6"/>
      <c r="R1755" s="6"/>
      <c r="S1755" s="6"/>
      <c r="T1755" s="6" t="s">
        <v>16</v>
      </c>
      <c r="U1755" s="9" t="s">
        <v>17</v>
      </c>
      <c r="AI1755" s="6" t="s">
        <v>11529</v>
      </c>
      <c r="AJ1755" s="12" t="s">
        <v>11664</v>
      </c>
      <c r="AL1755" s="13" t="s">
        <v>4741</v>
      </c>
    </row>
    <row r="1756">
      <c r="A1756" s="5" t="s">
        <v>11670</v>
      </c>
      <c r="B1756" s="5" t="s">
        <v>11671</v>
      </c>
      <c r="C1756" s="5" t="s">
        <v>11525</v>
      </c>
      <c r="D1756" s="5" t="s">
        <v>8</v>
      </c>
      <c r="E1756" s="6"/>
      <c r="F1756" s="6"/>
      <c r="G1756" s="7" t="s">
        <v>11672</v>
      </c>
      <c r="I1756" s="8" t="s">
        <v>11673</v>
      </c>
      <c r="J1756" s="9">
        <v>15.7</v>
      </c>
      <c r="K1756" s="10" t="s">
        <v>11</v>
      </c>
      <c r="L1756" s="6"/>
      <c r="M1756" s="11" t="s">
        <v>17</v>
      </c>
      <c r="N1756" s="6"/>
      <c r="O1756" s="6" t="s">
        <v>11674</v>
      </c>
      <c r="P1756" s="10" t="s">
        <v>15</v>
      </c>
      <c r="Q1756" s="6"/>
      <c r="R1756" s="6"/>
      <c r="S1756" s="6"/>
      <c r="T1756" s="6" t="s">
        <v>16</v>
      </c>
      <c r="U1756" s="9" t="s">
        <v>17</v>
      </c>
      <c r="AI1756" s="6" t="s">
        <v>11529</v>
      </c>
      <c r="AJ1756" s="12" t="s">
        <v>11675</v>
      </c>
      <c r="AL1756" s="13" t="s">
        <v>4741</v>
      </c>
    </row>
    <row r="1757">
      <c r="A1757" s="5" t="s">
        <v>11676</v>
      </c>
      <c r="B1757" s="5" t="s">
        <v>11677</v>
      </c>
      <c r="C1757" s="5" t="s">
        <v>11525</v>
      </c>
      <c r="D1757" s="5" t="s">
        <v>8</v>
      </c>
      <c r="E1757" s="6"/>
      <c r="F1757" s="6"/>
      <c r="G1757" s="7" t="s">
        <v>11678</v>
      </c>
      <c r="I1757" s="8" t="s">
        <v>11679</v>
      </c>
      <c r="J1757" s="9">
        <v>41.6</v>
      </c>
      <c r="K1757" s="10" t="s">
        <v>11</v>
      </c>
      <c r="L1757" s="6"/>
      <c r="M1757" s="11" t="s">
        <v>17</v>
      </c>
      <c r="N1757" s="6"/>
      <c r="O1757" s="6" t="s">
        <v>11680</v>
      </c>
      <c r="P1757" s="10" t="s">
        <v>15</v>
      </c>
      <c r="Q1757" s="6"/>
      <c r="R1757" s="6"/>
      <c r="S1757" s="6"/>
      <c r="T1757" s="6" t="s">
        <v>16</v>
      </c>
      <c r="U1757" s="9" t="s">
        <v>17</v>
      </c>
      <c r="AI1757" s="6" t="s">
        <v>11529</v>
      </c>
      <c r="AJ1757" s="12" t="s">
        <v>11675</v>
      </c>
      <c r="AL1757" s="13" t="s">
        <v>4741</v>
      </c>
    </row>
    <row r="1758">
      <c r="A1758" s="5" t="s">
        <v>11681</v>
      </c>
      <c r="B1758" s="5" t="s">
        <v>11682</v>
      </c>
      <c r="C1758" s="5" t="s">
        <v>11525</v>
      </c>
      <c r="D1758" s="5" t="s">
        <v>8</v>
      </c>
      <c r="E1758" s="6"/>
      <c r="F1758" s="6"/>
      <c r="G1758" s="7" t="s">
        <v>11683</v>
      </c>
      <c r="I1758" s="8" t="s">
        <v>11684</v>
      </c>
      <c r="J1758" s="9">
        <v>16.4</v>
      </c>
      <c r="K1758" s="10" t="s">
        <v>11</v>
      </c>
      <c r="L1758" s="6"/>
      <c r="M1758" s="11" t="s">
        <v>17</v>
      </c>
      <c r="N1758" s="6"/>
      <c r="O1758" s="6" t="s">
        <v>11685</v>
      </c>
      <c r="P1758" s="10" t="s">
        <v>15</v>
      </c>
      <c r="Q1758" s="6"/>
      <c r="R1758" s="6"/>
      <c r="S1758" s="6"/>
      <c r="T1758" s="6" t="s">
        <v>16</v>
      </c>
      <c r="U1758" s="9" t="s">
        <v>17</v>
      </c>
      <c r="AI1758" s="6" t="s">
        <v>11529</v>
      </c>
      <c r="AJ1758" s="12" t="s">
        <v>11686</v>
      </c>
      <c r="AL1758" s="13" t="s">
        <v>4741</v>
      </c>
    </row>
    <row r="1759">
      <c r="A1759" s="5" t="s">
        <v>11687</v>
      </c>
      <c r="B1759" s="5" t="s">
        <v>11688</v>
      </c>
      <c r="C1759" s="5" t="s">
        <v>11525</v>
      </c>
      <c r="D1759" s="5" t="s">
        <v>8</v>
      </c>
      <c r="E1759" s="6"/>
      <c r="F1759" s="6"/>
      <c r="G1759" s="7" t="s">
        <v>11689</v>
      </c>
      <c r="I1759" s="8" t="s">
        <v>11690</v>
      </c>
      <c r="J1759" s="9">
        <v>43.7</v>
      </c>
      <c r="K1759" s="10" t="s">
        <v>11</v>
      </c>
      <c r="L1759" s="6"/>
      <c r="M1759" s="11" t="s">
        <v>17</v>
      </c>
      <c r="N1759" s="6"/>
      <c r="O1759" s="6" t="s">
        <v>11691</v>
      </c>
      <c r="P1759" s="10" t="s">
        <v>15</v>
      </c>
      <c r="Q1759" s="6"/>
      <c r="R1759" s="6"/>
      <c r="S1759" s="6"/>
      <c r="T1759" s="6" t="s">
        <v>16</v>
      </c>
      <c r="U1759" s="9" t="s">
        <v>17</v>
      </c>
      <c r="AI1759" s="6" t="s">
        <v>11529</v>
      </c>
      <c r="AJ1759" s="12" t="s">
        <v>11686</v>
      </c>
      <c r="AL1759" s="13" t="s">
        <v>4741</v>
      </c>
    </row>
    <row r="1760">
      <c r="A1760" s="5" t="s">
        <v>11692</v>
      </c>
      <c r="B1760" s="5" t="s">
        <v>11693</v>
      </c>
      <c r="C1760" s="5" t="s">
        <v>11525</v>
      </c>
      <c r="D1760" s="5" t="s">
        <v>8</v>
      </c>
      <c r="E1760" s="6"/>
      <c r="F1760" s="6"/>
      <c r="G1760" s="18" t="s">
        <v>11694</v>
      </c>
      <c r="I1760" s="8" t="s">
        <v>11695</v>
      </c>
      <c r="J1760" s="9">
        <v>16.4</v>
      </c>
      <c r="K1760" s="10" t="s">
        <v>11</v>
      </c>
      <c r="L1760" s="6"/>
      <c r="M1760" s="11" t="s">
        <v>17</v>
      </c>
      <c r="N1760" s="6"/>
      <c r="O1760" s="6" t="s">
        <v>11696</v>
      </c>
      <c r="P1760" s="10" t="s">
        <v>15</v>
      </c>
      <c r="Q1760" s="6"/>
      <c r="R1760" s="6"/>
      <c r="S1760" s="6"/>
      <c r="T1760" s="6" t="s">
        <v>16</v>
      </c>
      <c r="U1760" s="9" t="s">
        <v>17</v>
      </c>
      <c r="AI1760" s="6" t="s">
        <v>11529</v>
      </c>
      <c r="AJ1760" s="12" t="s">
        <v>11697</v>
      </c>
      <c r="AL1760" s="13" t="s">
        <v>4741</v>
      </c>
    </row>
    <row r="1761">
      <c r="A1761" s="5" t="s">
        <v>11698</v>
      </c>
      <c r="B1761" s="5" t="s">
        <v>11699</v>
      </c>
      <c r="C1761" s="5" t="s">
        <v>11525</v>
      </c>
      <c r="D1761" s="5" t="s">
        <v>8</v>
      </c>
      <c r="E1761" s="6"/>
      <c r="F1761" s="6"/>
      <c r="G1761" s="7" t="s">
        <v>11700</v>
      </c>
      <c r="I1761" s="8" t="s">
        <v>11701</v>
      </c>
      <c r="J1761" s="9">
        <v>43.7</v>
      </c>
      <c r="K1761" s="10" t="s">
        <v>11</v>
      </c>
      <c r="L1761" s="6"/>
      <c r="M1761" s="11" t="s">
        <v>17</v>
      </c>
      <c r="N1761" s="6"/>
      <c r="O1761" s="6" t="s">
        <v>11702</v>
      </c>
      <c r="P1761" s="10" t="s">
        <v>15</v>
      </c>
      <c r="Q1761" s="6"/>
      <c r="R1761" s="6"/>
      <c r="S1761" s="6"/>
      <c r="T1761" s="6" t="s">
        <v>16</v>
      </c>
      <c r="U1761" s="9" t="s">
        <v>17</v>
      </c>
      <c r="AI1761" s="6" t="s">
        <v>11529</v>
      </c>
      <c r="AJ1761" s="12" t="s">
        <v>11697</v>
      </c>
      <c r="AL1761" s="13" t="s">
        <v>4741</v>
      </c>
    </row>
    <row r="1762">
      <c r="A1762" s="5" t="s">
        <v>11703</v>
      </c>
      <c r="B1762" s="5" t="s">
        <v>11704</v>
      </c>
      <c r="C1762" s="5" t="s">
        <v>11525</v>
      </c>
      <c r="D1762" s="5" t="s">
        <v>8</v>
      </c>
      <c r="E1762" s="6"/>
      <c r="F1762" s="6"/>
      <c r="G1762" s="7" t="s">
        <v>11705</v>
      </c>
      <c r="I1762" s="8" t="s">
        <v>11706</v>
      </c>
      <c r="J1762" s="9">
        <v>17.1</v>
      </c>
      <c r="K1762" s="10" t="s">
        <v>11</v>
      </c>
      <c r="L1762" s="6"/>
      <c r="M1762" s="11" t="s">
        <v>17</v>
      </c>
      <c r="N1762" s="6"/>
      <c r="O1762" s="6" t="s">
        <v>11707</v>
      </c>
      <c r="P1762" s="10" t="s">
        <v>15</v>
      </c>
      <c r="Q1762" s="6"/>
      <c r="R1762" s="6"/>
      <c r="S1762" s="6"/>
      <c r="T1762" s="6" t="s">
        <v>16</v>
      </c>
      <c r="U1762" s="9" t="s">
        <v>17</v>
      </c>
      <c r="AI1762" s="6" t="s">
        <v>11529</v>
      </c>
      <c r="AJ1762" s="12" t="s">
        <v>11708</v>
      </c>
      <c r="AL1762" s="13" t="s">
        <v>4741</v>
      </c>
    </row>
    <row r="1763">
      <c r="A1763" s="5" t="s">
        <v>11709</v>
      </c>
      <c r="B1763" s="5" t="s">
        <v>11710</v>
      </c>
      <c r="C1763" s="5" t="s">
        <v>11525</v>
      </c>
      <c r="D1763" s="5" t="s">
        <v>8</v>
      </c>
      <c r="E1763" s="6"/>
      <c r="F1763" s="6"/>
      <c r="G1763" s="7" t="s">
        <v>11711</v>
      </c>
      <c r="I1763" s="8" t="s">
        <v>11712</v>
      </c>
      <c r="J1763" s="9">
        <v>45.8</v>
      </c>
      <c r="K1763" s="10" t="s">
        <v>11</v>
      </c>
      <c r="L1763" s="6"/>
      <c r="M1763" s="11" t="s">
        <v>17</v>
      </c>
      <c r="N1763" s="6"/>
      <c r="O1763" s="6" t="s">
        <v>11713</v>
      </c>
      <c r="P1763" s="10" t="s">
        <v>15</v>
      </c>
      <c r="Q1763" s="6"/>
      <c r="R1763" s="6"/>
      <c r="S1763" s="6"/>
      <c r="T1763" s="6" t="s">
        <v>16</v>
      </c>
      <c r="U1763" s="9" t="s">
        <v>17</v>
      </c>
      <c r="AI1763" s="6" t="s">
        <v>11529</v>
      </c>
      <c r="AJ1763" s="12" t="s">
        <v>11708</v>
      </c>
      <c r="AL1763" s="13" t="s">
        <v>4741</v>
      </c>
    </row>
    <row r="1764">
      <c r="A1764" s="5" t="s">
        <v>11714</v>
      </c>
      <c r="B1764" s="5" t="s">
        <v>11715</v>
      </c>
      <c r="C1764" s="5" t="s">
        <v>11525</v>
      </c>
      <c r="D1764" s="5" t="s">
        <v>8</v>
      </c>
      <c r="E1764" s="6"/>
      <c r="F1764" s="6"/>
      <c r="G1764" s="7" t="s">
        <v>11716</v>
      </c>
      <c r="I1764" s="8" t="s">
        <v>11717</v>
      </c>
      <c r="J1764" s="9">
        <v>16.6</v>
      </c>
      <c r="K1764" s="10" t="s">
        <v>11</v>
      </c>
      <c r="L1764" s="6"/>
      <c r="M1764" s="11" t="s">
        <v>17</v>
      </c>
      <c r="N1764" s="6"/>
      <c r="O1764" s="6" t="s">
        <v>11718</v>
      </c>
      <c r="P1764" s="10" t="s">
        <v>15</v>
      </c>
      <c r="Q1764" s="6"/>
      <c r="R1764" s="6"/>
      <c r="S1764" s="6"/>
      <c r="T1764" s="6" t="s">
        <v>16</v>
      </c>
      <c r="U1764" s="9" t="s">
        <v>17</v>
      </c>
      <c r="AI1764" s="6" t="s">
        <v>11529</v>
      </c>
      <c r="AJ1764" s="12" t="s">
        <v>11719</v>
      </c>
      <c r="AL1764" s="13" t="s">
        <v>4741</v>
      </c>
    </row>
    <row r="1765">
      <c r="A1765" s="5" t="s">
        <v>11720</v>
      </c>
      <c r="B1765" s="5" t="s">
        <v>11721</v>
      </c>
      <c r="C1765" s="5" t="s">
        <v>11525</v>
      </c>
      <c r="D1765" s="5" t="s">
        <v>8</v>
      </c>
      <c r="E1765" s="6"/>
      <c r="F1765" s="6"/>
      <c r="G1765" s="7" t="s">
        <v>11722</v>
      </c>
      <c r="I1765" s="8" t="s">
        <v>11723</v>
      </c>
      <c r="J1765" s="9">
        <v>44.3</v>
      </c>
      <c r="K1765" s="10" t="s">
        <v>11</v>
      </c>
      <c r="L1765" s="6"/>
      <c r="M1765" s="11" t="s">
        <v>17</v>
      </c>
      <c r="N1765" s="6"/>
      <c r="O1765" s="6" t="s">
        <v>11724</v>
      </c>
      <c r="P1765" s="10" t="s">
        <v>15</v>
      </c>
      <c r="Q1765" s="6"/>
      <c r="R1765" s="6"/>
      <c r="S1765" s="6"/>
      <c r="T1765" s="6" t="s">
        <v>16</v>
      </c>
      <c r="U1765" s="9" t="s">
        <v>17</v>
      </c>
      <c r="AI1765" s="6" t="s">
        <v>11529</v>
      </c>
      <c r="AJ1765" s="12" t="s">
        <v>11719</v>
      </c>
      <c r="AL1765" s="13" t="s">
        <v>4741</v>
      </c>
    </row>
    <row r="1766">
      <c r="A1766" s="5" t="s">
        <v>11725</v>
      </c>
      <c r="B1766" s="5" t="s">
        <v>11726</v>
      </c>
      <c r="C1766" s="5" t="s">
        <v>11525</v>
      </c>
      <c r="D1766" s="5" t="s">
        <v>8</v>
      </c>
      <c r="E1766" s="6"/>
      <c r="F1766" s="6"/>
      <c r="G1766" s="7" t="s">
        <v>11727</v>
      </c>
      <c r="I1766" s="8" t="s">
        <v>11728</v>
      </c>
      <c r="J1766" s="9">
        <v>15.2</v>
      </c>
      <c r="K1766" s="10" t="s">
        <v>11</v>
      </c>
      <c r="L1766" s="6"/>
      <c r="M1766" s="11" t="s">
        <v>17</v>
      </c>
      <c r="N1766" s="6"/>
      <c r="O1766" s="6" t="s">
        <v>11729</v>
      </c>
      <c r="P1766" s="10" t="s">
        <v>15</v>
      </c>
      <c r="Q1766" s="6"/>
      <c r="R1766" s="6"/>
      <c r="S1766" s="6"/>
      <c r="T1766" s="6" t="s">
        <v>16</v>
      </c>
      <c r="U1766" s="9" t="s">
        <v>17</v>
      </c>
      <c r="AI1766" s="6" t="s">
        <v>11529</v>
      </c>
      <c r="AJ1766" s="12" t="s">
        <v>11730</v>
      </c>
      <c r="AL1766" s="13" t="s">
        <v>4741</v>
      </c>
    </row>
    <row r="1767">
      <c r="A1767" s="5" t="s">
        <v>11731</v>
      </c>
      <c r="B1767" s="5" t="s">
        <v>11732</v>
      </c>
      <c r="C1767" s="5" t="s">
        <v>11525</v>
      </c>
      <c r="D1767" s="5" t="s">
        <v>8</v>
      </c>
      <c r="E1767" s="6"/>
      <c r="F1767" s="6"/>
      <c r="G1767" s="7" t="s">
        <v>11733</v>
      </c>
      <c r="I1767" s="8" t="s">
        <v>11734</v>
      </c>
      <c r="J1767" s="9">
        <v>40.1</v>
      </c>
      <c r="K1767" s="10" t="s">
        <v>11</v>
      </c>
      <c r="L1767" s="6"/>
      <c r="M1767" s="11" t="s">
        <v>17</v>
      </c>
      <c r="N1767" s="6"/>
      <c r="O1767" s="6" t="s">
        <v>11735</v>
      </c>
      <c r="P1767" s="10" t="s">
        <v>15</v>
      </c>
      <c r="Q1767" s="6"/>
      <c r="R1767" s="6"/>
      <c r="S1767" s="6"/>
      <c r="T1767" s="6" t="s">
        <v>16</v>
      </c>
      <c r="U1767" s="9" t="s">
        <v>17</v>
      </c>
      <c r="AI1767" s="6" t="s">
        <v>11529</v>
      </c>
      <c r="AJ1767" s="12" t="s">
        <v>11730</v>
      </c>
      <c r="AL1767" s="13" t="s">
        <v>4741</v>
      </c>
    </row>
    <row r="1768">
      <c r="A1768" s="5" t="s">
        <v>11736</v>
      </c>
      <c r="B1768" s="5" t="s">
        <v>11737</v>
      </c>
      <c r="C1768" s="5" t="s">
        <v>11525</v>
      </c>
      <c r="D1768" s="5" t="s">
        <v>8</v>
      </c>
      <c r="E1768" s="6"/>
      <c r="F1768" s="6"/>
      <c r="G1768" s="7" t="s">
        <v>11738</v>
      </c>
      <c r="I1768" s="8" t="s">
        <v>11739</v>
      </c>
      <c r="J1768" s="9">
        <v>14.8</v>
      </c>
      <c r="K1768" s="10" t="s">
        <v>11</v>
      </c>
      <c r="L1768" s="6"/>
      <c r="M1768" s="11" t="s">
        <v>17</v>
      </c>
      <c r="N1768" s="6"/>
      <c r="O1768" s="6" t="s">
        <v>11740</v>
      </c>
      <c r="P1768" s="10" t="s">
        <v>15</v>
      </c>
      <c r="Q1768" s="6"/>
      <c r="R1768" s="6"/>
      <c r="S1768" s="6"/>
      <c r="T1768" s="6" t="s">
        <v>16</v>
      </c>
      <c r="U1768" s="9" t="s">
        <v>17</v>
      </c>
      <c r="AI1768" s="6" t="s">
        <v>11529</v>
      </c>
      <c r="AJ1768" s="12" t="s">
        <v>11741</v>
      </c>
      <c r="AL1768" s="13" t="s">
        <v>4741</v>
      </c>
    </row>
    <row r="1769">
      <c r="A1769" s="5" t="s">
        <v>11742</v>
      </c>
      <c r="B1769" s="5" t="s">
        <v>11743</v>
      </c>
      <c r="C1769" s="5" t="s">
        <v>11525</v>
      </c>
      <c r="D1769" s="5" t="s">
        <v>8</v>
      </c>
      <c r="E1769" s="6"/>
      <c r="F1769" s="6"/>
      <c r="G1769" s="7" t="s">
        <v>11744</v>
      </c>
      <c r="I1769" s="8" t="s">
        <v>11745</v>
      </c>
      <c r="J1769" s="9">
        <v>38.9</v>
      </c>
      <c r="K1769" s="10" t="s">
        <v>11</v>
      </c>
      <c r="L1769" s="6"/>
      <c r="M1769" s="11" t="s">
        <v>17</v>
      </c>
      <c r="N1769" s="6"/>
      <c r="O1769" s="6" t="s">
        <v>11746</v>
      </c>
      <c r="P1769" s="10" t="s">
        <v>15</v>
      </c>
      <c r="Q1769" s="6"/>
      <c r="R1769" s="6"/>
      <c r="S1769" s="6"/>
      <c r="T1769" s="6" t="s">
        <v>16</v>
      </c>
      <c r="U1769" s="9" t="s">
        <v>17</v>
      </c>
      <c r="AI1769" s="6" t="s">
        <v>11529</v>
      </c>
      <c r="AJ1769" s="12" t="s">
        <v>11741</v>
      </c>
      <c r="AL1769" s="13" t="s">
        <v>4741</v>
      </c>
    </row>
    <row r="1770">
      <c r="A1770" s="5" t="s">
        <v>11747</v>
      </c>
      <c r="B1770" s="5" t="s">
        <v>11748</v>
      </c>
      <c r="C1770" s="5" t="s">
        <v>11525</v>
      </c>
      <c r="D1770" s="5" t="s">
        <v>8</v>
      </c>
      <c r="E1770" s="6"/>
      <c r="F1770" s="6"/>
      <c r="G1770" s="7" t="s">
        <v>11749</v>
      </c>
      <c r="I1770" s="8" t="s">
        <v>11750</v>
      </c>
      <c r="J1770" s="9">
        <v>15.2</v>
      </c>
      <c r="K1770" s="10" t="s">
        <v>11</v>
      </c>
      <c r="L1770" s="6"/>
      <c r="M1770" s="11" t="s">
        <v>17</v>
      </c>
      <c r="N1770" s="6"/>
      <c r="O1770" s="6" t="s">
        <v>11751</v>
      </c>
      <c r="P1770" s="10" t="s">
        <v>15</v>
      </c>
      <c r="Q1770" s="6"/>
      <c r="R1770" s="6"/>
      <c r="S1770" s="6"/>
      <c r="T1770" s="6" t="s">
        <v>16</v>
      </c>
      <c r="U1770" s="9" t="s">
        <v>17</v>
      </c>
      <c r="AI1770" s="6" t="s">
        <v>11529</v>
      </c>
      <c r="AJ1770" s="12" t="s">
        <v>11752</v>
      </c>
      <c r="AL1770" s="13" t="s">
        <v>4741</v>
      </c>
    </row>
    <row r="1771">
      <c r="A1771" s="5" t="s">
        <v>11753</v>
      </c>
      <c r="B1771" s="5" t="s">
        <v>11754</v>
      </c>
      <c r="C1771" s="5" t="s">
        <v>11525</v>
      </c>
      <c r="D1771" s="5" t="s">
        <v>8</v>
      </c>
      <c r="E1771" s="6"/>
      <c r="F1771" s="6"/>
      <c r="G1771" s="7" t="s">
        <v>11755</v>
      </c>
      <c r="I1771" s="8" t="s">
        <v>11756</v>
      </c>
      <c r="J1771" s="9">
        <v>40.1</v>
      </c>
      <c r="K1771" s="10" t="s">
        <v>11</v>
      </c>
      <c r="L1771" s="6"/>
      <c r="M1771" s="11" t="s">
        <v>17</v>
      </c>
      <c r="N1771" s="6"/>
      <c r="O1771" s="6" t="s">
        <v>11757</v>
      </c>
      <c r="P1771" s="10" t="s">
        <v>15</v>
      </c>
      <c r="Q1771" s="6"/>
      <c r="R1771" s="6"/>
      <c r="S1771" s="6"/>
      <c r="T1771" s="6" t="s">
        <v>16</v>
      </c>
      <c r="U1771" s="9" t="s">
        <v>17</v>
      </c>
      <c r="AI1771" s="6" t="s">
        <v>11529</v>
      </c>
      <c r="AJ1771" s="12" t="s">
        <v>11752</v>
      </c>
      <c r="AL1771" s="13" t="s">
        <v>4741</v>
      </c>
    </row>
    <row r="1772">
      <c r="A1772" s="5" t="s">
        <v>11758</v>
      </c>
      <c r="B1772" s="5" t="s">
        <v>11759</v>
      </c>
      <c r="C1772" s="5" t="s">
        <v>11525</v>
      </c>
      <c r="D1772" s="5" t="s">
        <v>8</v>
      </c>
      <c r="E1772" s="6"/>
      <c r="F1772" s="6"/>
      <c r="G1772" s="7" t="s">
        <v>11760</v>
      </c>
      <c r="I1772" s="8" t="s">
        <v>11761</v>
      </c>
      <c r="J1772" s="9">
        <v>19.0</v>
      </c>
      <c r="K1772" s="10" t="s">
        <v>11</v>
      </c>
      <c r="L1772" s="6"/>
      <c r="M1772" s="11" t="s">
        <v>17</v>
      </c>
      <c r="N1772" s="6"/>
      <c r="O1772" s="6" t="s">
        <v>11762</v>
      </c>
      <c r="P1772" s="10" t="s">
        <v>15</v>
      </c>
      <c r="Q1772" s="6"/>
      <c r="R1772" s="6"/>
      <c r="S1772" s="6"/>
      <c r="T1772" s="6" t="s">
        <v>16</v>
      </c>
      <c r="U1772" s="9" t="s">
        <v>17</v>
      </c>
      <c r="AI1772" s="6" t="s">
        <v>11529</v>
      </c>
      <c r="AJ1772" s="12" t="s">
        <v>11763</v>
      </c>
      <c r="AL1772" s="13" t="s">
        <v>4741</v>
      </c>
    </row>
    <row r="1773">
      <c r="A1773" s="5" t="s">
        <v>11764</v>
      </c>
      <c r="B1773" s="5" t="s">
        <v>11765</v>
      </c>
      <c r="C1773" s="5" t="s">
        <v>11525</v>
      </c>
      <c r="D1773" s="5" t="s">
        <v>8</v>
      </c>
      <c r="E1773" s="6"/>
      <c r="F1773" s="6"/>
      <c r="G1773" s="7" t="s">
        <v>11766</v>
      </c>
      <c r="I1773" s="8" t="s">
        <v>11767</v>
      </c>
      <c r="J1773" s="9">
        <v>51.5</v>
      </c>
      <c r="K1773" s="10" t="s">
        <v>11</v>
      </c>
      <c r="L1773" s="6"/>
      <c r="M1773" s="11" t="s">
        <v>17</v>
      </c>
      <c r="N1773" s="6"/>
      <c r="O1773" s="6" t="s">
        <v>11768</v>
      </c>
      <c r="P1773" s="10" t="s">
        <v>15</v>
      </c>
      <c r="Q1773" s="6"/>
      <c r="R1773" s="6"/>
      <c r="S1773" s="6"/>
      <c r="T1773" s="6" t="s">
        <v>16</v>
      </c>
      <c r="U1773" s="9" t="s">
        <v>17</v>
      </c>
      <c r="AI1773" s="6" t="s">
        <v>11529</v>
      </c>
      <c r="AJ1773" s="12" t="s">
        <v>11763</v>
      </c>
      <c r="AL1773" s="13" t="s">
        <v>4741</v>
      </c>
    </row>
    <row r="1774">
      <c r="A1774" s="5" t="s">
        <v>11769</v>
      </c>
      <c r="B1774" s="5" t="s">
        <v>11770</v>
      </c>
      <c r="C1774" s="5" t="s">
        <v>11525</v>
      </c>
      <c r="D1774" s="5" t="s">
        <v>8</v>
      </c>
      <c r="E1774" s="6"/>
      <c r="F1774" s="6"/>
      <c r="G1774" s="7" t="s">
        <v>11771</v>
      </c>
      <c r="I1774" s="8" t="s">
        <v>11772</v>
      </c>
      <c r="J1774" s="9">
        <v>13.9</v>
      </c>
      <c r="K1774" s="10" t="s">
        <v>11</v>
      </c>
      <c r="L1774" s="6"/>
      <c r="M1774" s="11" t="s">
        <v>17</v>
      </c>
      <c r="N1774" s="6"/>
      <c r="O1774" s="6" t="s">
        <v>11773</v>
      </c>
      <c r="P1774" s="10" t="s">
        <v>15</v>
      </c>
      <c r="Q1774" s="6"/>
      <c r="R1774" s="6"/>
      <c r="S1774" s="6"/>
      <c r="T1774" s="6" t="s">
        <v>16</v>
      </c>
      <c r="U1774" s="9" t="s">
        <v>17</v>
      </c>
      <c r="AI1774" s="6" t="s">
        <v>11529</v>
      </c>
      <c r="AJ1774" s="12" t="s">
        <v>11774</v>
      </c>
      <c r="AL1774" s="13" t="s">
        <v>4741</v>
      </c>
    </row>
    <row r="1775">
      <c r="A1775" s="5" t="s">
        <v>11775</v>
      </c>
      <c r="B1775" s="5" t="s">
        <v>11776</v>
      </c>
      <c r="C1775" s="5" t="s">
        <v>11777</v>
      </c>
      <c r="D1775" s="5" t="s">
        <v>8</v>
      </c>
      <c r="E1775" s="6"/>
      <c r="F1775" s="6"/>
      <c r="G1775" s="7" t="s">
        <v>11778</v>
      </c>
      <c r="I1775" s="8" t="s">
        <v>11779</v>
      </c>
      <c r="J1775" s="9">
        <v>13.9</v>
      </c>
      <c r="K1775" s="10" t="s">
        <v>11</v>
      </c>
      <c r="L1775" s="6"/>
      <c r="M1775" s="11" t="s">
        <v>17</v>
      </c>
      <c r="N1775" s="6"/>
      <c r="O1775" s="6" t="s">
        <v>11780</v>
      </c>
      <c r="P1775" s="10" t="s">
        <v>15</v>
      </c>
      <c r="Q1775" s="6"/>
      <c r="R1775" s="6"/>
      <c r="S1775" s="6"/>
      <c r="T1775" s="6" t="s">
        <v>16</v>
      </c>
      <c r="U1775" s="9" t="s">
        <v>17</v>
      </c>
      <c r="AI1775" s="6" t="s">
        <v>11529</v>
      </c>
      <c r="AJ1775" s="12" t="s">
        <v>11781</v>
      </c>
      <c r="AL1775" s="13" t="s">
        <v>4741</v>
      </c>
    </row>
    <row r="1776">
      <c r="A1776" s="5" t="s">
        <v>11782</v>
      </c>
      <c r="B1776" s="5" t="s">
        <v>11783</v>
      </c>
      <c r="C1776" s="5" t="s">
        <v>11777</v>
      </c>
      <c r="D1776" s="5" t="s">
        <v>8</v>
      </c>
      <c r="E1776" s="6"/>
      <c r="F1776" s="6"/>
      <c r="G1776" s="7" t="s">
        <v>11784</v>
      </c>
      <c r="I1776" s="8" t="s">
        <v>11785</v>
      </c>
      <c r="J1776" s="9">
        <v>43.7</v>
      </c>
      <c r="K1776" s="10" t="s">
        <v>11</v>
      </c>
      <c r="L1776" s="6"/>
      <c r="M1776" s="11" t="s">
        <v>17</v>
      </c>
      <c r="N1776" s="6"/>
      <c r="O1776" s="6" t="s">
        <v>11786</v>
      </c>
      <c r="P1776" s="10" t="s">
        <v>15</v>
      </c>
      <c r="Q1776" s="6"/>
      <c r="R1776" s="6"/>
      <c r="S1776" s="6"/>
      <c r="T1776" s="6" t="s">
        <v>16</v>
      </c>
      <c r="U1776" s="9" t="s">
        <v>17</v>
      </c>
      <c r="AI1776" s="6" t="s">
        <v>11529</v>
      </c>
      <c r="AJ1776" s="12" t="s">
        <v>11781</v>
      </c>
      <c r="AL1776" s="13" t="s">
        <v>4741</v>
      </c>
    </row>
    <row r="1777">
      <c r="A1777" s="5" t="s">
        <v>11787</v>
      </c>
      <c r="B1777" s="5" t="s">
        <v>11788</v>
      </c>
      <c r="C1777" s="5" t="s">
        <v>11525</v>
      </c>
      <c r="D1777" s="5" t="s">
        <v>8</v>
      </c>
      <c r="E1777" s="6"/>
      <c r="F1777" s="6"/>
      <c r="G1777" s="7" t="s">
        <v>11789</v>
      </c>
      <c r="I1777" s="8" t="s">
        <v>11790</v>
      </c>
      <c r="J1777" s="9">
        <v>43.7</v>
      </c>
      <c r="K1777" s="10" t="s">
        <v>11</v>
      </c>
      <c r="L1777" s="6"/>
      <c r="M1777" s="11" t="s">
        <v>17</v>
      </c>
      <c r="N1777" s="6"/>
      <c r="O1777" s="6" t="s">
        <v>11791</v>
      </c>
      <c r="P1777" s="10" t="s">
        <v>15</v>
      </c>
      <c r="Q1777" s="6"/>
      <c r="R1777" s="6"/>
      <c r="S1777" s="6"/>
      <c r="T1777" s="6" t="s">
        <v>16</v>
      </c>
      <c r="U1777" s="9" t="s">
        <v>17</v>
      </c>
      <c r="AI1777" s="6" t="s">
        <v>11529</v>
      </c>
      <c r="AJ1777" s="12" t="s">
        <v>11792</v>
      </c>
      <c r="AL1777" s="13" t="s">
        <v>4741</v>
      </c>
    </row>
    <row r="1778">
      <c r="A1778" s="5" t="s">
        <v>11793</v>
      </c>
      <c r="B1778" s="5" t="s">
        <v>11794</v>
      </c>
      <c r="C1778" s="5" t="s">
        <v>11525</v>
      </c>
      <c r="D1778" s="5" t="s">
        <v>8</v>
      </c>
      <c r="E1778" s="6"/>
      <c r="F1778" s="6"/>
      <c r="G1778" s="7" t="s">
        <v>11795</v>
      </c>
      <c r="I1778" s="8" t="s">
        <v>11796</v>
      </c>
      <c r="J1778" s="9">
        <v>16.7</v>
      </c>
      <c r="K1778" s="10" t="s">
        <v>11</v>
      </c>
      <c r="L1778" s="6"/>
      <c r="M1778" s="11" t="s">
        <v>17</v>
      </c>
      <c r="N1778" s="6"/>
      <c r="O1778" s="6" t="s">
        <v>11797</v>
      </c>
      <c r="P1778" s="10" t="s">
        <v>15</v>
      </c>
      <c r="Q1778" s="6"/>
      <c r="R1778" s="6"/>
      <c r="S1778" s="6"/>
      <c r="T1778" s="6" t="s">
        <v>16</v>
      </c>
      <c r="U1778" s="9" t="s">
        <v>17</v>
      </c>
      <c r="AI1778" s="6" t="s">
        <v>11529</v>
      </c>
      <c r="AJ1778" s="12" t="s">
        <v>11798</v>
      </c>
      <c r="AL1778" s="13" t="s">
        <v>4741</v>
      </c>
    </row>
    <row r="1779">
      <c r="A1779" s="5" t="s">
        <v>11799</v>
      </c>
      <c r="B1779" s="5" t="s">
        <v>11800</v>
      </c>
      <c r="C1779" s="5" t="s">
        <v>11525</v>
      </c>
      <c r="D1779" s="5" t="s">
        <v>8</v>
      </c>
      <c r="E1779" s="6"/>
      <c r="F1779" s="6"/>
      <c r="G1779" s="7" t="s">
        <v>11801</v>
      </c>
      <c r="I1779" s="8" t="s">
        <v>11802</v>
      </c>
      <c r="J1779" s="9">
        <v>44.6</v>
      </c>
      <c r="K1779" s="10" t="s">
        <v>11</v>
      </c>
      <c r="L1779" s="6"/>
      <c r="M1779" s="11" t="s">
        <v>17</v>
      </c>
      <c r="N1779" s="6"/>
      <c r="O1779" s="6" t="s">
        <v>11803</v>
      </c>
      <c r="P1779" s="10" t="s">
        <v>15</v>
      </c>
      <c r="Q1779" s="6"/>
      <c r="R1779" s="6"/>
      <c r="S1779" s="6"/>
      <c r="T1779" s="6" t="s">
        <v>16</v>
      </c>
      <c r="U1779" s="9" t="s">
        <v>17</v>
      </c>
      <c r="AI1779" s="6" t="s">
        <v>11529</v>
      </c>
      <c r="AJ1779" s="12" t="s">
        <v>11798</v>
      </c>
      <c r="AL1779" s="13" t="s">
        <v>4741</v>
      </c>
    </row>
    <row r="1780">
      <c r="A1780" s="5" t="s">
        <v>11804</v>
      </c>
      <c r="B1780" s="5" t="s">
        <v>11805</v>
      </c>
      <c r="C1780" s="5" t="s">
        <v>11525</v>
      </c>
      <c r="D1780" s="5" t="s">
        <v>8</v>
      </c>
      <c r="E1780" s="6"/>
      <c r="F1780" s="6"/>
      <c r="G1780" s="7" t="s">
        <v>11806</v>
      </c>
      <c r="I1780" s="8" t="s">
        <v>11807</v>
      </c>
      <c r="J1780" s="9">
        <v>16.7</v>
      </c>
      <c r="K1780" s="10" t="s">
        <v>11</v>
      </c>
      <c r="L1780" s="6"/>
      <c r="M1780" s="11" t="s">
        <v>17</v>
      </c>
      <c r="N1780" s="6"/>
      <c r="O1780" s="6" t="s">
        <v>11808</v>
      </c>
      <c r="P1780" s="10" t="s">
        <v>15</v>
      </c>
      <c r="Q1780" s="6"/>
      <c r="R1780" s="6"/>
      <c r="S1780" s="6"/>
      <c r="T1780" s="6" t="s">
        <v>16</v>
      </c>
      <c r="U1780" s="9" t="s">
        <v>17</v>
      </c>
      <c r="AI1780" s="6" t="s">
        <v>11529</v>
      </c>
      <c r="AJ1780" s="12" t="s">
        <v>11809</v>
      </c>
      <c r="AL1780" s="13" t="s">
        <v>4741</v>
      </c>
    </row>
    <row r="1781">
      <c r="A1781" s="5" t="s">
        <v>11810</v>
      </c>
      <c r="B1781" s="5" t="s">
        <v>11811</v>
      </c>
      <c r="C1781" s="5" t="s">
        <v>11525</v>
      </c>
      <c r="D1781" s="5" t="s">
        <v>8</v>
      </c>
      <c r="E1781" s="6"/>
      <c r="F1781" s="6"/>
      <c r="G1781" s="7" t="s">
        <v>11812</v>
      </c>
      <c r="I1781" s="8" t="s">
        <v>11813</v>
      </c>
      <c r="J1781" s="9">
        <v>44.6</v>
      </c>
      <c r="K1781" s="10" t="s">
        <v>11</v>
      </c>
      <c r="L1781" s="6"/>
      <c r="M1781" s="11" t="s">
        <v>17</v>
      </c>
      <c r="N1781" s="6"/>
      <c r="O1781" s="6" t="s">
        <v>11814</v>
      </c>
      <c r="P1781" s="10" t="s">
        <v>15</v>
      </c>
      <c r="Q1781" s="6"/>
      <c r="R1781" s="6"/>
      <c r="S1781" s="6"/>
      <c r="T1781" s="6" t="s">
        <v>16</v>
      </c>
      <c r="U1781" s="9" t="s">
        <v>17</v>
      </c>
      <c r="AI1781" s="6" t="s">
        <v>11529</v>
      </c>
      <c r="AJ1781" s="12" t="s">
        <v>11809</v>
      </c>
      <c r="AL1781" s="13" t="s">
        <v>4741</v>
      </c>
    </row>
    <row r="1782">
      <c r="A1782" s="5" t="s">
        <v>11815</v>
      </c>
      <c r="B1782" s="5" t="s">
        <v>11816</v>
      </c>
      <c r="C1782" s="5" t="s">
        <v>11525</v>
      </c>
      <c r="D1782" s="5" t="s">
        <v>8</v>
      </c>
      <c r="E1782" s="6"/>
      <c r="F1782" s="6"/>
      <c r="G1782" s="7" t="s">
        <v>11817</v>
      </c>
      <c r="I1782" s="8" t="s">
        <v>11818</v>
      </c>
      <c r="J1782" s="9">
        <v>15.3</v>
      </c>
      <c r="K1782" s="10" t="s">
        <v>11</v>
      </c>
      <c r="L1782" s="6"/>
      <c r="M1782" s="11" t="s">
        <v>17</v>
      </c>
      <c r="N1782" s="6"/>
      <c r="O1782" s="6" t="s">
        <v>11819</v>
      </c>
      <c r="P1782" s="10" t="s">
        <v>15</v>
      </c>
      <c r="Q1782" s="6"/>
      <c r="R1782" s="6"/>
      <c r="S1782" s="6"/>
      <c r="T1782" s="6" t="s">
        <v>16</v>
      </c>
      <c r="U1782" s="9" t="s">
        <v>17</v>
      </c>
      <c r="AI1782" s="6" t="s">
        <v>11529</v>
      </c>
      <c r="AJ1782" s="12" t="s">
        <v>11820</v>
      </c>
      <c r="AL1782" s="13" t="s">
        <v>4741</v>
      </c>
    </row>
    <row r="1783">
      <c r="A1783" s="5" t="s">
        <v>11821</v>
      </c>
      <c r="B1783" s="5" t="s">
        <v>11822</v>
      </c>
      <c r="C1783" s="5" t="s">
        <v>11525</v>
      </c>
      <c r="D1783" s="5" t="s">
        <v>8</v>
      </c>
      <c r="E1783" s="6"/>
      <c r="F1783" s="6"/>
      <c r="G1783" s="7" t="s">
        <v>11823</v>
      </c>
      <c r="I1783" s="8" t="s">
        <v>11824</v>
      </c>
      <c r="J1783" s="9">
        <v>40.4</v>
      </c>
      <c r="K1783" s="10" t="s">
        <v>11</v>
      </c>
      <c r="L1783" s="6"/>
      <c r="M1783" s="11" t="s">
        <v>17</v>
      </c>
      <c r="N1783" s="6"/>
      <c r="O1783" s="6" t="s">
        <v>11825</v>
      </c>
      <c r="P1783" s="10" t="s">
        <v>15</v>
      </c>
      <c r="Q1783" s="6"/>
      <c r="R1783" s="6"/>
      <c r="S1783" s="6"/>
      <c r="T1783" s="6" t="s">
        <v>16</v>
      </c>
      <c r="U1783" s="9" t="s">
        <v>17</v>
      </c>
      <c r="AI1783" s="6" t="s">
        <v>11529</v>
      </c>
      <c r="AJ1783" s="12" t="s">
        <v>11820</v>
      </c>
      <c r="AL1783" s="13" t="s">
        <v>4741</v>
      </c>
    </row>
    <row r="1784">
      <c r="A1784" s="5" t="s">
        <v>11826</v>
      </c>
      <c r="B1784" s="5" t="s">
        <v>11827</v>
      </c>
      <c r="C1784" s="5" t="s">
        <v>11525</v>
      </c>
      <c r="D1784" s="5" t="s">
        <v>8</v>
      </c>
      <c r="E1784" s="6"/>
      <c r="F1784" s="6"/>
      <c r="G1784" s="7" t="s">
        <v>11828</v>
      </c>
      <c r="I1784" s="8" t="s">
        <v>11829</v>
      </c>
      <c r="J1784" s="9">
        <v>15.1</v>
      </c>
      <c r="K1784" s="10" t="s">
        <v>11</v>
      </c>
      <c r="L1784" s="6"/>
      <c r="M1784" s="11" t="s">
        <v>17</v>
      </c>
      <c r="N1784" s="6"/>
      <c r="O1784" s="6" t="s">
        <v>11830</v>
      </c>
      <c r="P1784" s="10" t="s">
        <v>15</v>
      </c>
      <c r="Q1784" s="6"/>
      <c r="R1784" s="6"/>
      <c r="S1784" s="6"/>
      <c r="T1784" s="6" t="s">
        <v>16</v>
      </c>
      <c r="U1784" s="9" t="s">
        <v>17</v>
      </c>
      <c r="AI1784" s="6" t="s">
        <v>11529</v>
      </c>
      <c r="AJ1784" s="12" t="s">
        <v>11831</v>
      </c>
      <c r="AL1784" s="13" t="s">
        <v>4741</v>
      </c>
    </row>
    <row r="1785">
      <c r="A1785" s="5" t="s">
        <v>11832</v>
      </c>
      <c r="B1785" s="5" t="s">
        <v>11833</v>
      </c>
      <c r="C1785" s="5" t="s">
        <v>11525</v>
      </c>
      <c r="D1785" s="5" t="s">
        <v>8</v>
      </c>
      <c r="E1785" s="6"/>
      <c r="F1785" s="6"/>
      <c r="G1785" s="7" t="s">
        <v>11834</v>
      </c>
      <c r="I1785" s="8" t="s">
        <v>11835</v>
      </c>
      <c r="J1785" s="9">
        <v>39.8</v>
      </c>
      <c r="K1785" s="10" t="s">
        <v>11</v>
      </c>
      <c r="L1785" s="6"/>
      <c r="M1785" s="11" t="s">
        <v>17</v>
      </c>
      <c r="N1785" s="6"/>
      <c r="O1785" s="6" t="s">
        <v>11836</v>
      </c>
      <c r="P1785" s="10" t="s">
        <v>15</v>
      </c>
      <c r="Q1785" s="6"/>
      <c r="R1785" s="6"/>
      <c r="S1785" s="6"/>
      <c r="T1785" s="6" t="s">
        <v>16</v>
      </c>
      <c r="U1785" s="9" t="s">
        <v>17</v>
      </c>
      <c r="AI1785" s="6" t="s">
        <v>11529</v>
      </c>
      <c r="AJ1785" s="12" t="s">
        <v>11831</v>
      </c>
      <c r="AL1785" s="13" t="s">
        <v>4741</v>
      </c>
    </row>
    <row r="1786">
      <c r="A1786" s="5" t="s">
        <v>11837</v>
      </c>
      <c r="B1786" s="5" t="s">
        <v>11838</v>
      </c>
      <c r="C1786" s="5" t="s">
        <v>11525</v>
      </c>
      <c r="D1786" s="5" t="s">
        <v>8</v>
      </c>
      <c r="E1786" s="6"/>
      <c r="F1786" s="6"/>
      <c r="G1786" s="7" t="s">
        <v>11839</v>
      </c>
      <c r="I1786" s="8" t="s">
        <v>11840</v>
      </c>
      <c r="J1786" s="9">
        <v>15.2</v>
      </c>
      <c r="K1786" s="10" t="s">
        <v>11</v>
      </c>
      <c r="L1786" s="6"/>
      <c r="M1786" s="11" t="s">
        <v>17</v>
      </c>
      <c r="N1786" s="6"/>
      <c r="O1786" s="6" t="s">
        <v>11841</v>
      </c>
      <c r="P1786" s="10" t="s">
        <v>15</v>
      </c>
      <c r="Q1786" s="6"/>
      <c r="R1786" s="6"/>
      <c r="S1786" s="6"/>
      <c r="T1786" s="6" t="s">
        <v>16</v>
      </c>
      <c r="U1786" s="9" t="s">
        <v>17</v>
      </c>
      <c r="AI1786" s="6" t="s">
        <v>11529</v>
      </c>
      <c r="AJ1786" s="12" t="s">
        <v>11842</v>
      </c>
      <c r="AL1786" s="13" t="s">
        <v>4741</v>
      </c>
    </row>
    <row r="1787">
      <c r="A1787" s="5" t="s">
        <v>11843</v>
      </c>
      <c r="B1787" s="5" t="s">
        <v>11844</v>
      </c>
      <c r="C1787" s="5" t="s">
        <v>11525</v>
      </c>
      <c r="D1787" s="5" t="s">
        <v>8</v>
      </c>
      <c r="E1787" s="6"/>
      <c r="F1787" s="6"/>
      <c r="G1787" s="7" t="s">
        <v>11845</v>
      </c>
      <c r="I1787" s="8" t="s">
        <v>11846</v>
      </c>
      <c r="J1787" s="9">
        <v>40.1</v>
      </c>
      <c r="K1787" s="10" t="s">
        <v>11</v>
      </c>
      <c r="L1787" s="6"/>
      <c r="M1787" s="11" t="s">
        <v>17</v>
      </c>
      <c r="N1787" s="6"/>
      <c r="O1787" s="6" t="s">
        <v>11847</v>
      </c>
      <c r="P1787" s="10" t="s">
        <v>15</v>
      </c>
      <c r="Q1787" s="6"/>
      <c r="R1787" s="6"/>
      <c r="S1787" s="6"/>
      <c r="T1787" s="6" t="s">
        <v>16</v>
      </c>
      <c r="U1787" s="9" t="s">
        <v>17</v>
      </c>
      <c r="AI1787" s="6" t="s">
        <v>11529</v>
      </c>
      <c r="AJ1787" s="12" t="s">
        <v>11842</v>
      </c>
      <c r="AL1787" s="13" t="s">
        <v>4741</v>
      </c>
    </row>
    <row r="1788">
      <c r="A1788" s="5" t="s">
        <v>11848</v>
      </c>
      <c r="B1788" s="5" t="s">
        <v>11849</v>
      </c>
      <c r="C1788" s="5" t="s">
        <v>11525</v>
      </c>
      <c r="D1788" s="5" t="s">
        <v>8</v>
      </c>
      <c r="E1788" s="6"/>
      <c r="F1788" s="6"/>
      <c r="G1788" s="7" t="s">
        <v>11850</v>
      </c>
      <c r="I1788" s="8" t="s">
        <v>11851</v>
      </c>
      <c r="J1788" s="9">
        <v>16.8</v>
      </c>
      <c r="K1788" s="10" t="s">
        <v>11</v>
      </c>
      <c r="L1788" s="6"/>
      <c r="M1788" s="11" t="s">
        <v>17</v>
      </c>
      <c r="N1788" s="6"/>
      <c r="O1788" s="6" t="s">
        <v>11852</v>
      </c>
      <c r="P1788" s="10" t="s">
        <v>15</v>
      </c>
      <c r="Q1788" s="6"/>
      <c r="R1788" s="6"/>
      <c r="S1788" s="6"/>
      <c r="T1788" s="6" t="s">
        <v>16</v>
      </c>
      <c r="U1788" s="9" t="s">
        <v>17</v>
      </c>
      <c r="AI1788" s="6" t="s">
        <v>11529</v>
      </c>
      <c r="AJ1788" s="12" t="s">
        <v>11853</v>
      </c>
      <c r="AL1788" s="13" t="s">
        <v>4741</v>
      </c>
    </row>
    <row r="1789">
      <c r="A1789" s="5" t="s">
        <v>11854</v>
      </c>
      <c r="B1789" s="5" t="s">
        <v>11855</v>
      </c>
      <c r="C1789" s="5" t="s">
        <v>11525</v>
      </c>
      <c r="D1789" s="5" t="s">
        <v>8</v>
      </c>
      <c r="E1789" s="6"/>
      <c r="F1789" s="6"/>
      <c r="G1789" s="7" t="s">
        <v>11856</v>
      </c>
      <c r="I1789" s="8" t="s">
        <v>11857</v>
      </c>
      <c r="J1789" s="9">
        <v>44.9</v>
      </c>
      <c r="K1789" s="10" t="s">
        <v>11</v>
      </c>
      <c r="L1789" s="6"/>
      <c r="M1789" s="11" t="s">
        <v>17</v>
      </c>
      <c r="N1789" s="6"/>
      <c r="O1789" s="6" t="s">
        <v>11858</v>
      </c>
      <c r="P1789" s="10" t="s">
        <v>15</v>
      </c>
      <c r="Q1789" s="6"/>
      <c r="R1789" s="6"/>
      <c r="S1789" s="6"/>
      <c r="T1789" s="6" t="s">
        <v>16</v>
      </c>
      <c r="U1789" s="9" t="s">
        <v>17</v>
      </c>
      <c r="AI1789" s="6" t="s">
        <v>11529</v>
      </c>
      <c r="AJ1789" s="12" t="s">
        <v>11853</v>
      </c>
      <c r="AL1789" s="13" t="s">
        <v>4741</v>
      </c>
    </row>
    <row r="1790">
      <c r="A1790" s="5" t="s">
        <v>11859</v>
      </c>
      <c r="B1790" s="5" t="s">
        <v>11860</v>
      </c>
      <c r="C1790" s="5" t="s">
        <v>11525</v>
      </c>
      <c r="D1790" s="5" t="s">
        <v>8</v>
      </c>
      <c r="E1790" s="6"/>
      <c r="F1790" s="6"/>
      <c r="G1790" s="7" t="s">
        <v>11861</v>
      </c>
      <c r="I1790" s="8" t="s">
        <v>11862</v>
      </c>
      <c r="J1790" s="9">
        <v>16.1</v>
      </c>
      <c r="K1790" s="10" t="s">
        <v>11</v>
      </c>
      <c r="L1790" s="6"/>
      <c r="M1790" s="11" t="s">
        <v>17</v>
      </c>
      <c r="N1790" s="6"/>
      <c r="O1790" s="6" t="s">
        <v>11863</v>
      </c>
      <c r="P1790" s="10" t="s">
        <v>15</v>
      </c>
      <c r="Q1790" s="6"/>
      <c r="R1790" s="6"/>
      <c r="S1790" s="6"/>
      <c r="T1790" s="6" t="s">
        <v>16</v>
      </c>
      <c r="U1790" s="9" t="s">
        <v>17</v>
      </c>
      <c r="AI1790" s="6" t="s">
        <v>11529</v>
      </c>
      <c r="AJ1790" s="12" t="s">
        <v>11864</v>
      </c>
      <c r="AL1790" s="13" t="s">
        <v>4741</v>
      </c>
    </row>
    <row r="1791">
      <c r="A1791" s="5" t="s">
        <v>11865</v>
      </c>
      <c r="B1791" s="5" t="s">
        <v>11866</v>
      </c>
      <c r="C1791" s="5" t="s">
        <v>11525</v>
      </c>
      <c r="D1791" s="5" t="s">
        <v>8</v>
      </c>
      <c r="E1791" s="6"/>
      <c r="F1791" s="6"/>
      <c r="G1791" s="7" t="s">
        <v>11867</v>
      </c>
      <c r="I1791" s="8" t="s">
        <v>11868</v>
      </c>
      <c r="J1791" s="9">
        <v>42.8</v>
      </c>
      <c r="K1791" s="10" t="s">
        <v>11</v>
      </c>
      <c r="L1791" s="6"/>
      <c r="M1791" s="11" t="s">
        <v>17</v>
      </c>
      <c r="N1791" s="6"/>
      <c r="O1791" s="6" t="s">
        <v>11869</v>
      </c>
      <c r="P1791" s="10" t="s">
        <v>15</v>
      </c>
      <c r="Q1791" s="6"/>
      <c r="R1791" s="6"/>
      <c r="S1791" s="6"/>
      <c r="T1791" s="6" t="s">
        <v>16</v>
      </c>
      <c r="U1791" s="9" t="s">
        <v>17</v>
      </c>
      <c r="AI1791" s="6" t="s">
        <v>11529</v>
      </c>
      <c r="AJ1791" s="12" t="s">
        <v>11864</v>
      </c>
      <c r="AL1791" s="13" t="s">
        <v>4741</v>
      </c>
    </row>
    <row r="1792">
      <c r="A1792" s="5" t="s">
        <v>11870</v>
      </c>
      <c r="B1792" s="5" t="s">
        <v>11871</v>
      </c>
      <c r="C1792" s="5" t="s">
        <v>11525</v>
      </c>
      <c r="D1792" s="5" t="s">
        <v>8</v>
      </c>
      <c r="E1792" s="6"/>
      <c r="F1792" s="6"/>
      <c r="G1792" s="7" t="s">
        <v>11872</v>
      </c>
      <c r="I1792" s="8" t="s">
        <v>11873</v>
      </c>
      <c r="J1792" s="9">
        <v>15.1</v>
      </c>
      <c r="K1792" s="10" t="s">
        <v>11</v>
      </c>
      <c r="L1792" s="6"/>
      <c r="M1792" s="11" t="s">
        <v>17</v>
      </c>
      <c r="N1792" s="6"/>
      <c r="O1792" s="6" t="s">
        <v>11874</v>
      </c>
      <c r="P1792" s="10" t="s">
        <v>15</v>
      </c>
      <c r="Q1792" s="6"/>
      <c r="R1792" s="6"/>
      <c r="S1792" s="6"/>
      <c r="T1792" s="6" t="s">
        <v>16</v>
      </c>
      <c r="U1792" s="9" t="s">
        <v>17</v>
      </c>
      <c r="AI1792" s="6" t="s">
        <v>11529</v>
      </c>
      <c r="AJ1792" s="12" t="s">
        <v>11875</v>
      </c>
      <c r="AL1792" s="13" t="s">
        <v>4741</v>
      </c>
    </row>
    <row r="1793">
      <c r="A1793" s="5" t="s">
        <v>11876</v>
      </c>
      <c r="B1793" s="5" t="s">
        <v>11877</v>
      </c>
      <c r="C1793" s="5" t="s">
        <v>11525</v>
      </c>
      <c r="D1793" s="5" t="s">
        <v>8</v>
      </c>
      <c r="E1793" s="6"/>
      <c r="F1793" s="6"/>
      <c r="G1793" s="7" t="s">
        <v>11878</v>
      </c>
      <c r="I1793" s="8" t="s">
        <v>11879</v>
      </c>
      <c r="J1793" s="9">
        <v>39.8</v>
      </c>
      <c r="K1793" s="10" t="s">
        <v>11</v>
      </c>
      <c r="L1793" s="6"/>
      <c r="M1793" s="11" t="s">
        <v>17</v>
      </c>
      <c r="N1793" s="6"/>
      <c r="O1793" s="6" t="s">
        <v>11880</v>
      </c>
      <c r="P1793" s="10" t="s">
        <v>15</v>
      </c>
      <c r="Q1793" s="6"/>
      <c r="R1793" s="6"/>
      <c r="S1793" s="6"/>
      <c r="T1793" s="6" t="s">
        <v>16</v>
      </c>
      <c r="U1793" s="9" t="s">
        <v>17</v>
      </c>
      <c r="AI1793" s="6" t="s">
        <v>11529</v>
      </c>
      <c r="AJ1793" s="12" t="s">
        <v>11875</v>
      </c>
      <c r="AL1793" s="13" t="s">
        <v>4741</v>
      </c>
    </row>
    <row r="1794">
      <c r="A1794" s="5" t="s">
        <v>11881</v>
      </c>
      <c r="B1794" s="5" t="s">
        <v>11882</v>
      </c>
      <c r="C1794" s="5" t="s">
        <v>11883</v>
      </c>
      <c r="D1794" s="5" t="s">
        <v>8</v>
      </c>
      <c r="E1794" s="6"/>
      <c r="F1794" s="6"/>
      <c r="G1794" s="7" t="s">
        <v>11884</v>
      </c>
      <c r="I1794" s="8" t="s">
        <v>11885</v>
      </c>
      <c r="J1794" s="9">
        <v>22.3</v>
      </c>
      <c r="K1794" s="10" t="s">
        <v>11</v>
      </c>
      <c r="L1794" s="6"/>
      <c r="M1794" s="11" t="s">
        <v>17</v>
      </c>
      <c r="N1794" s="6"/>
      <c r="O1794" s="6" t="s">
        <v>11886</v>
      </c>
      <c r="P1794" s="10" t="s">
        <v>15</v>
      </c>
      <c r="Q1794" s="6"/>
      <c r="R1794" s="6"/>
      <c r="S1794" s="6"/>
      <c r="T1794" s="6" t="s">
        <v>16</v>
      </c>
      <c r="U1794" s="9" t="s">
        <v>17</v>
      </c>
      <c r="AI1794" s="6" t="s">
        <v>11529</v>
      </c>
      <c r="AJ1794" s="12" t="s">
        <v>11887</v>
      </c>
      <c r="AL1794" s="13" t="s">
        <v>4741</v>
      </c>
    </row>
    <row r="1795">
      <c r="A1795" s="5" t="s">
        <v>11888</v>
      </c>
      <c r="B1795" s="19" t="s">
        <v>11889</v>
      </c>
      <c r="C1795" s="19" t="s">
        <v>11890</v>
      </c>
      <c r="D1795" s="19" t="s">
        <v>8</v>
      </c>
      <c r="E1795" s="19"/>
      <c r="F1795" s="19"/>
      <c r="G1795" s="20" t="s">
        <v>11891</v>
      </c>
      <c r="H1795" s="19"/>
      <c r="I1795" s="21" t="s">
        <v>11892</v>
      </c>
      <c r="J1795" s="9">
        <v>37.9</v>
      </c>
      <c r="K1795" s="10" t="s">
        <v>11</v>
      </c>
      <c r="L1795" s="6"/>
      <c r="M1795" s="11" t="s">
        <v>12</v>
      </c>
      <c r="N1795" s="6" t="s">
        <v>11893</v>
      </c>
      <c r="O1795" s="6" t="str">
        <f t="shared" ref="O1795:O1886" si="1">"sku-"&amp;A1795</f>
        <v>sku-ADGCP</v>
      </c>
      <c r="P1795" s="10" t="s">
        <v>15</v>
      </c>
      <c r="Q1795" s="6"/>
      <c r="R1795" s="6"/>
      <c r="S1795" s="19"/>
      <c r="T1795" s="6" t="s">
        <v>16</v>
      </c>
      <c r="U1795" s="9" t="s">
        <v>17</v>
      </c>
      <c r="AI1795" s="6" t="s">
        <v>2941</v>
      </c>
      <c r="AJ1795" s="12" t="s">
        <v>11894</v>
      </c>
      <c r="AL1795" s="13" t="s">
        <v>20</v>
      </c>
    </row>
    <row r="1796">
      <c r="A1796" s="5" t="s">
        <v>11895</v>
      </c>
      <c r="B1796" s="19" t="s">
        <v>11896</v>
      </c>
      <c r="C1796" s="19" t="s">
        <v>11890</v>
      </c>
      <c r="D1796" s="19" t="s">
        <v>8</v>
      </c>
      <c r="E1796" s="19"/>
      <c r="F1796" s="19"/>
      <c r="G1796" s="20" t="s">
        <v>11897</v>
      </c>
      <c r="H1796" s="19"/>
      <c r="I1796" s="21" t="s">
        <v>11898</v>
      </c>
      <c r="J1796" s="9">
        <v>26.9</v>
      </c>
      <c r="K1796" s="10" t="s">
        <v>11</v>
      </c>
      <c r="L1796" s="6"/>
      <c r="M1796" s="11" t="s">
        <v>12</v>
      </c>
      <c r="N1796" s="6" t="s">
        <v>11899</v>
      </c>
      <c r="O1796" s="6" t="str">
        <f t="shared" si="1"/>
        <v>sku-ADGGL</v>
      </c>
      <c r="P1796" s="10" t="s">
        <v>15</v>
      </c>
      <c r="Q1796" s="6"/>
      <c r="R1796" s="6"/>
      <c r="S1796" s="19"/>
      <c r="T1796" s="6" t="s">
        <v>16</v>
      </c>
      <c r="U1796" s="9" t="s">
        <v>17</v>
      </c>
      <c r="AI1796" s="6" t="s">
        <v>2941</v>
      </c>
      <c r="AJ1796" s="12" t="s">
        <v>11894</v>
      </c>
      <c r="AL1796" s="13" t="s">
        <v>20</v>
      </c>
    </row>
    <row r="1797">
      <c r="A1797" s="5" t="s">
        <v>11900</v>
      </c>
      <c r="B1797" s="19" t="s">
        <v>11901</v>
      </c>
      <c r="C1797" s="19" t="s">
        <v>959</v>
      </c>
      <c r="D1797" s="19" t="s">
        <v>8</v>
      </c>
      <c r="E1797" s="19"/>
      <c r="F1797" s="19"/>
      <c r="G1797" s="20" t="s">
        <v>11902</v>
      </c>
      <c r="H1797" s="19"/>
      <c r="I1797" s="21" t="s">
        <v>11903</v>
      </c>
      <c r="J1797" s="9">
        <v>33.8</v>
      </c>
      <c r="K1797" s="10">
        <v>30.42</v>
      </c>
      <c r="L1797" s="6"/>
      <c r="M1797" s="11" t="s">
        <v>17</v>
      </c>
      <c r="N1797" s="6"/>
      <c r="O1797" s="6" t="str">
        <f t="shared" si="1"/>
        <v>sku-AGHX2</v>
      </c>
      <c r="P1797" s="10" t="s">
        <v>15</v>
      </c>
      <c r="Q1797" s="6"/>
      <c r="R1797" s="6"/>
      <c r="S1797" s="19" t="s">
        <v>964</v>
      </c>
      <c r="T1797" s="6" t="s">
        <v>16</v>
      </c>
      <c r="U1797" s="9" t="s">
        <v>17</v>
      </c>
      <c r="AI1797" s="6" t="s">
        <v>18</v>
      </c>
      <c r="AJ1797" s="12" t="s">
        <v>965</v>
      </c>
      <c r="AL1797" s="13" t="s">
        <v>20</v>
      </c>
    </row>
    <row r="1798">
      <c r="A1798" s="5" t="s">
        <v>11904</v>
      </c>
      <c r="B1798" s="19" t="s">
        <v>11905</v>
      </c>
      <c r="C1798" s="19" t="s">
        <v>11906</v>
      </c>
      <c r="D1798" s="19" t="s">
        <v>8</v>
      </c>
      <c r="E1798" s="19"/>
      <c r="F1798" s="19"/>
      <c r="G1798" s="20" t="s">
        <v>11907</v>
      </c>
      <c r="H1798" s="19"/>
      <c r="I1798" s="21" t="s">
        <v>11908</v>
      </c>
      <c r="J1798" s="9">
        <v>60.3</v>
      </c>
      <c r="K1798" s="10">
        <v>54.27</v>
      </c>
      <c r="L1798" s="6"/>
      <c r="M1798" s="11" t="s">
        <v>17</v>
      </c>
      <c r="N1798" s="6"/>
      <c r="O1798" s="6" t="str">
        <f t="shared" si="1"/>
        <v>sku-AGQZ+BASC+D083</v>
      </c>
      <c r="P1798" s="10" t="s">
        <v>15</v>
      </c>
      <c r="Q1798" s="6"/>
      <c r="R1798" s="6"/>
      <c r="S1798" s="19"/>
      <c r="T1798" s="6" t="s">
        <v>16</v>
      </c>
      <c r="U1798" s="9" t="s">
        <v>17</v>
      </c>
      <c r="AI1798" s="6" t="s">
        <v>6976</v>
      </c>
      <c r="AJ1798" s="12" t="s">
        <v>11909</v>
      </c>
      <c r="AL1798" s="13" t="s">
        <v>20</v>
      </c>
    </row>
    <row r="1799">
      <c r="A1799" s="5" t="s">
        <v>11910</v>
      </c>
      <c r="B1799" s="19" t="s">
        <v>11911</v>
      </c>
      <c r="C1799" s="19" t="s">
        <v>1228</v>
      </c>
      <c r="D1799" s="19" t="s">
        <v>8</v>
      </c>
      <c r="E1799" s="19"/>
      <c r="F1799" s="19"/>
      <c r="G1799" s="20" t="s">
        <v>11912</v>
      </c>
      <c r="H1799" s="19"/>
      <c r="I1799" s="21" t="s">
        <v>11913</v>
      </c>
      <c r="J1799" s="9">
        <v>21.8</v>
      </c>
      <c r="K1799" s="10" t="s">
        <v>11</v>
      </c>
      <c r="L1799" s="6"/>
      <c r="M1799" s="11" t="s">
        <v>17</v>
      </c>
      <c r="N1799" s="6"/>
      <c r="O1799" s="6" t="str">
        <f t="shared" si="1"/>
        <v>sku-AHHUAX2</v>
      </c>
      <c r="P1799" s="10" t="s">
        <v>15</v>
      </c>
      <c r="Q1799" s="6"/>
      <c r="R1799" s="6"/>
      <c r="S1799" s="19"/>
      <c r="T1799" s="6" t="s">
        <v>16</v>
      </c>
      <c r="U1799" s="9" t="s">
        <v>17</v>
      </c>
      <c r="AI1799" s="6" t="s">
        <v>18</v>
      </c>
      <c r="AJ1799" s="12" t="s">
        <v>1233</v>
      </c>
      <c r="AL1799" s="13" t="s">
        <v>20</v>
      </c>
    </row>
    <row r="1800">
      <c r="A1800" s="5" t="s">
        <v>11914</v>
      </c>
      <c r="B1800" s="19" t="s">
        <v>11915</v>
      </c>
      <c r="C1800" s="19" t="s">
        <v>2180</v>
      </c>
      <c r="D1800" s="19" t="s">
        <v>8</v>
      </c>
      <c r="E1800" s="19"/>
      <c r="F1800" s="19"/>
      <c r="G1800" s="20" t="s">
        <v>11916</v>
      </c>
      <c r="H1800" s="19"/>
      <c r="I1800" s="21" t="s">
        <v>11917</v>
      </c>
      <c r="J1800" s="9">
        <v>26.7</v>
      </c>
      <c r="K1800" s="10">
        <v>24.03</v>
      </c>
      <c r="L1800" s="6"/>
      <c r="M1800" s="11" t="s">
        <v>17</v>
      </c>
      <c r="N1800" s="6"/>
      <c r="O1800" s="6" t="str">
        <f t="shared" si="1"/>
        <v>sku-ALZXX3</v>
      </c>
      <c r="P1800" s="10" t="s">
        <v>15</v>
      </c>
      <c r="Q1800" s="6"/>
      <c r="R1800" s="6"/>
      <c r="S1800" s="19" t="s">
        <v>2185</v>
      </c>
      <c r="T1800" s="6" t="s">
        <v>16</v>
      </c>
      <c r="U1800" s="9" t="s">
        <v>17</v>
      </c>
      <c r="AI1800" s="6" t="s">
        <v>7245</v>
      </c>
      <c r="AJ1800" s="12" t="s">
        <v>2186</v>
      </c>
      <c r="AL1800" s="13" t="s">
        <v>20</v>
      </c>
    </row>
    <row r="1801">
      <c r="A1801" s="5" t="s">
        <v>11918</v>
      </c>
      <c r="B1801" s="19" t="s">
        <v>11919</v>
      </c>
      <c r="C1801" s="19" t="s">
        <v>2277</v>
      </c>
      <c r="D1801" s="19" t="s">
        <v>8</v>
      </c>
      <c r="E1801" s="19"/>
      <c r="F1801" s="19"/>
      <c r="G1801" s="20" t="s">
        <v>11920</v>
      </c>
      <c r="H1801" s="19"/>
      <c r="I1801" s="21" t="s">
        <v>11921</v>
      </c>
      <c r="J1801" s="9">
        <v>22.8</v>
      </c>
      <c r="K1801" s="10">
        <v>20.52</v>
      </c>
      <c r="L1801" s="6"/>
      <c r="M1801" s="11" t="s">
        <v>17</v>
      </c>
      <c r="N1801" s="6"/>
      <c r="O1801" s="6" t="str">
        <f t="shared" si="1"/>
        <v>sku-AMGH+AJGL</v>
      </c>
      <c r="P1801" s="10" t="s">
        <v>15</v>
      </c>
      <c r="Q1801" s="6"/>
      <c r="R1801" s="6"/>
      <c r="S1801" s="19" t="s">
        <v>2282</v>
      </c>
      <c r="T1801" s="6" t="s">
        <v>16</v>
      </c>
      <c r="U1801" s="9" t="s">
        <v>17</v>
      </c>
      <c r="AI1801" s="6" t="s">
        <v>7245</v>
      </c>
      <c r="AJ1801" s="12" t="s">
        <v>2283</v>
      </c>
      <c r="AL1801" s="13" t="s">
        <v>20</v>
      </c>
    </row>
    <row r="1802">
      <c r="A1802" s="5" t="s">
        <v>11922</v>
      </c>
      <c r="B1802" s="19" t="s">
        <v>11923</v>
      </c>
      <c r="C1802" s="19" t="s">
        <v>2766</v>
      </c>
      <c r="D1802" s="19" t="s">
        <v>8</v>
      </c>
      <c r="E1802" s="19"/>
      <c r="F1802" s="19"/>
      <c r="G1802" s="20" t="s">
        <v>11924</v>
      </c>
      <c r="H1802" s="19"/>
      <c r="I1802" s="21" t="s">
        <v>11925</v>
      </c>
      <c r="J1802" s="9">
        <v>19.0</v>
      </c>
      <c r="K1802" s="10" t="s">
        <v>11</v>
      </c>
      <c r="L1802" s="6"/>
      <c r="M1802" s="11" t="s">
        <v>17</v>
      </c>
      <c r="N1802" s="6"/>
      <c r="O1802" s="6" t="str">
        <f t="shared" si="1"/>
        <v>sku-AQSMYZX2</v>
      </c>
      <c r="P1802" s="10" t="s">
        <v>15</v>
      </c>
      <c r="Q1802" s="6"/>
      <c r="R1802" s="6"/>
      <c r="S1802" s="19"/>
      <c r="T1802" s="6" t="s">
        <v>16</v>
      </c>
      <c r="U1802" s="9" t="s">
        <v>17</v>
      </c>
      <c r="AI1802" s="6" t="s">
        <v>7245</v>
      </c>
      <c r="AJ1802" s="12" t="s">
        <v>2771</v>
      </c>
      <c r="AL1802" s="13" t="s">
        <v>20</v>
      </c>
    </row>
    <row r="1803">
      <c r="A1803" s="5" t="s">
        <v>11926</v>
      </c>
      <c r="B1803" s="19" t="s">
        <v>11927</v>
      </c>
      <c r="C1803" s="19" t="s">
        <v>11928</v>
      </c>
      <c r="D1803" s="19" t="s">
        <v>8</v>
      </c>
      <c r="E1803" s="19"/>
      <c r="F1803" s="19"/>
      <c r="G1803" s="20" t="s">
        <v>11929</v>
      </c>
      <c r="H1803" s="19"/>
      <c r="I1803" s="21" t="s">
        <v>11930</v>
      </c>
      <c r="J1803" s="9">
        <v>23.7</v>
      </c>
      <c r="K1803" s="10">
        <v>22.52</v>
      </c>
      <c r="L1803" s="6"/>
      <c r="M1803" s="11" t="s">
        <v>17</v>
      </c>
      <c r="N1803" s="6"/>
      <c r="O1803" s="6" t="str">
        <f t="shared" si="1"/>
        <v>sku-ASGSYZX3</v>
      </c>
      <c r="P1803" s="10" t="s">
        <v>15</v>
      </c>
      <c r="Q1803" s="6"/>
      <c r="R1803" s="6"/>
      <c r="S1803" s="19"/>
      <c r="T1803" s="6" t="s">
        <v>16</v>
      </c>
      <c r="U1803" s="9" t="s">
        <v>17</v>
      </c>
      <c r="AI1803" s="6" t="s">
        <v>7245</v>
      </c>
      <c r="AJ1803" s="12" t="s">
        <v>2981</v>
      </c>
      <c r="AL1803" s="13" t="s">
        <v>20</v>
      </c>
    </row>
    <row r="1804">
      <c r="A1804" s="5" t="s">
        <v>11931</v>
      </c>
      <c r="B1804" s="19" t="s">
        <v>11932</v>
      </c>
      <c r="C1804" s="19" t="s">
        <v>3143</v>
      </c>
      <c r="D1804" s="19" t="s">
        <v>8</v>
      </c>
      <c r="E1804" s="19"/>
      <c r="F1804" s="19"/>
      <c r="G1804" s="20" t="s">
        <v>11933</v>
      </c>
      <c r="H1804" s="19"/>
      <c r="I1804" s="21" t="s">
        <v>11934</v>
      </c>
      <c r="J1804" s="9">
        <v>37.9</v>
      </c>
      <c r="K1804" s="10" t="s">
        <v>11</v>
      </c>
      <c r="L1804" s="6"/>
      <c r="M1804" s="11" t="s">
        <v>12</v>
      </c>
      <c r="N1804" s="6" t="s">
        <v>11935</v>
      </c>
      <c r="O1804" s="6" t="str">
        <f t="shared" si="1"/>
        <v>sku-ASYCP</v>
      </c>
      <c r="P1804" s="10" t="s">
        <v>15</v>
      </c>
      <c r="Q1804" s="6"/>
      <c r="R1804" s="6"/>
      <c r="S1804" s="19"/>
      <c r="T1804" s="6" t="s">
        <v>16</v>
      </c>
      <c r="U1804" s="9" t="s">
        <v>17</v>
      </c>
      <c r="AI1804" s="6" t="s">
        <v>7245</v>
      </c>
      <c r="AJ1804" s="12" t="s">
        <v>3148</v>
      </c>
      <c r="AL1804" s="13" t="s">
        <v>20</v>
      </c>
    </row>
    <row r="1805">
      <c r="A1805" s="5" t="s">
        <v>11936</v>
      </c>
      <c r="B1805" s="19" t="s">
        <v>11937</v>
      </c>
      <c r="C1805" s="19" t="s">
        <v>4681</v>
      </c>
      <c r="D1805" s="19" t="s">
        <v>8</v>
      </c>
      <c r="E1805" s="19"/>
      <c r="F1805" s="19"/>
      <c r="G1805" s="20" t="s">
        <v>11938</v>
      </c>
      <c r="H1805" s="19"/>
      <c r="I1805" s="21" t="s">
        <v>11939</v>
      </c>
      <c r="J1805" s="9">
        <v>47.6</v>
      </c>
      <c r="K1805" s="10">
        <v>42.84</v>
      </c>
      <c r="L1805" s="6"/>
      <c r="M1805" s="11" t="s">
        <v>17</v>
      </c>
      <c r="N1805" s="6"/>
      <c r="O1805" s="6" t="str">
        <f t="shared" si="1"/>
        <v>sku-BXSCX4</v>
      </c>
      <c r="P1805" s="10" t="s">
        <v>15</v>
      </c>
      <c r="Q1805" s="6"/>
      <c r="R1805" s="6"/>
      <c r="S1805" s="19"/>
      <c r="T1805" s="6" t="s">
        <v>16</v>
      </c>
      <c r="U1805" s="9" t="s">
        <v>17</v>
      </c>
      <c r="AI1805" s="6" t="s">
        <v>7245</v>
      </c>
      <c r="AJ1805" s="12" t="s">
        <v>4686</v>
      </c>
      <c r="AL1805" s="13" t="s">
        <v>20</v>
      </c>
    </row>
    <row r="1806">
      <c r="A1806" s="5" t="s">
        <v>11940</v>
      </c>
      <c r="B1806" s="19" t="s">
        <v>11941</v>
      </c>
      <c r="C1806" s="19" t="s">
        <v>4924</v>
      </c>
      <c r="D1806" s="19" t="s">
        <v>8</v>
      </c>
      <c r="E1806" s="19"/>
      <c r="F1806" s="19"/>
      <c r="G1806" s="20" t="s">
        <v>11942</v>
      </c>
      <c r="H1806" s="19"/>
      <c r="I1806" s="21" t="s">
        <v>11943</v>
      </c>
      <c r="J1806" s="9">
        <v>59.8</v>
      </c>
      <c r="K1806" s="10" t="s">
        <v>11</v>
      </c>
      <c r="L1806" s="6"/>
      <c r="M1806" s="11" t="s">
        <v>17</v>
      </c>
      <c r="N1806" s="6"/>
      <c r="O1806" s="6" t="str">
        <f t="shared" si="1"/>
        <v>sku-CBYPX2</v>
      </c>
      <c r="P1806" s="10" t="s">
        <v>15</v>
      </c>
      <c r="Q1806" s="6"/>
      <c r="R1806" s="6"/>
      <c r="S1806" s="19" t="s">
        <v>4929</v>
      </c>
      <c r="T1806" s="6" t="s">
        <v>16</v>
      </c>
      <c r="U1806" s="9" t="s">
        <v>17</v>
      </c>
      <c r="AI1806" s="6" t="s">
        <v>6976</v>
      </c>
      <c r="AJ1806" s="12" t="s">
        <v>4931</v>
      </c>
      <c r="AL1806" s="13" t="s">
        <v>4741</v>
      </c>
    </row>
    <row r="1807">
      <c r="A1807" s="5" t="s">
        <v>11944</v>
      </c>
      <c r="B1807" s="19" t="s">
        <v>11945</v>
      </c>
      <c r="C1807" s="19" t="s">
        <v>11946</v>
      </c>
      <c r="D1807" s="19" t="s">
        <v>8</v>
      </c>
      <c r="E1807" s="19"/>
      <c r="F1807" s="19"/>
      <c r="G1807" s="20" t="s">
        <v>11947</v>
      </c>
      <c r="H1807" s="19"/>
      <c r="I1807" s="21" t="s">
        <v>11948</v>
      </c>
      <c r="J1807" s="9">
        <v>111.5</v>
      </c>
      <c r="K1807" s="10">
        <v>94.78</v>
      </c>
      <c r="L1807" s="6"/>
      <c r="M1807" s="11" t="s">
        <v>17</v>
      </c>
      <c r="N1807" s="6"/>
      <c r="O1807" s="6" t="str">
        <f t="shared" si="1"/>
        <v>sku-COF-28ANS-1</v>
      </c>
      <c r="P1807" s="10" t="s">
        <v>15</v>
      </c>
      <c r="Q1807" s="6"/>
      <c r="R1807" s="6"/>
      <c r="S1807" s="19"/>
      <c r="T1807" s="6" t="s">
        <v>16</v>
      </c>
      <c r="U1807" s="9" t="s">
        <v>17</v>
      </c>
      <c r="AI1807" s="6" t="s">
        <v>6976</v>
      </c>
      <c r="AJ1807" s="12" t="s">
        <v>11949</v>
      </c>
      <c r="AL1807" s="13" t="s">
        <v>4741</v>
      </c>
    </row>
    <row r="1808">
      <c r="A1808" s="5" t="s">
        <v>11950</v>
      </c>
      <c r="B1808" s="19" t="s">
        <v>11951</v>
      </c>
      <c r="C1808" s="19" t="s">
        <v>11946</v>
      </c>
      <c r="D1808" s="19" t="s">
        <v>8</v>
      </c>
      <c r="E1808" s="19"/>
      <c r="F1808" s="19"/>
      <c r="G1808" s="20" t="s">
        <v>11952</v>
      </c>
      <c r="H1808" s="19"/>
      <c r="I1808" s="21" t="s">
        <v>11953</v>
      </c>
      <c r="J1808" s="9">
        <v>84.5</v>
      </c>
      <c r="K1808" s="10">
        <v>76.05</v>
      </c>
      <c r="L1808" s="6"/>
      <c r="M1808" s="11" t="s">
        <v>17</v>
      </c>
      <c r="N1808" s="6"/>
      <c r="O1808" s="6" t="str">
        <f t="shared" si="1"/>
        <v>sku-COF-28ANS-2</v>
      </c>
      <c r="P1808" s="10" t="s">
        <v>15</v>
      </c>
      <c r="Q1808" s="6"/>
      <c r="R1808" s="6"/>
      <c r="S1808" s="19"/>
      <c r="T1808" s="6" t="s">
        <v>16</v>
      </c>
      <c r="U1808" s="9" t="s">
        <v>17</v>
      </c>
      <c r="AI1808" s="6" t="s">
        <v>6976</v>
      </c>
      <c r="AJ1808" s="12" t="s">
        <v>11949</v>
      </c>
      <c r="AL1808" s="13" t="s">
        <v>4741</v>
      </c>
    </row>
    <row r="1809">
      <c r="A1809" s="5" t="s">
        <v>11954</v>
      </c>
      <c r="B1809" s="19" t="s">
        <v>11955</v>
      </c>
      <c r="C1809" s="19" t="s">
        <v>11946</v>
      </c>
      <c r="D1809" s="19" t="s">
        <v>8</v>
      </c>
      <c r="E1809" s="19"/>
      <c r="F1809" s="19"/>
      <c r="G1809" s="20" t="s">
        <v>11956</v>
      </c>
      <c r="H1809" s="19"/>
      <c r="I1809" s="21" t="s">
        <v>11957</v>
      </c>
      <c r="J1809" s="9">
        <v>136.7</v>
      </c>
      <c r="K1809" s="10">
        <v>123.03</v>
      </c>
      <c r="L1809" s="6"/>
      <c r="M1809" s="11" t="s">
        <v>17</v>
      </c>
      <c r="N1809" s="6"/>
      <c r="O1809" s="6" t="str">
        <f t="shared" si="1"/>
        <v>sku-COF-28ANS-3</v>
      </c>
      <c r="P1809" s="10" t="s">
        <v>15</v>
      </c>
      <c r="Q1809" s="6"/>
      <c r="R1809" s="6"/>
      <c r="S1809" s="19"/>
      <c r="T1809" s="6" t="s">
        <v>16</v>
      </c>
      <c r="U1809" s="9" t="s">
        <v>17</v>
      </c>
      <c r="AI1809" s="6" t="s">
        <v>6976</v>
      </c>
      <c r="AJ1809" s="12" t="s">
        <v>11949</v>
      </c>
      <c r="AL1809" s="13" t="s">
        <v>4741</v>
      </c>
    </row>
    <row r="1810">
      <c r="A1810" s="5" t="s">
        <v>11958</v>
      </c>
      <c r="B1810" s="19" t="s">
        <v>11959</v>
      </c>
      <c r="C1810" s="19" t="s">
        <v>11960</v>
      </c>
      <c r="D1810" s="19" t="s">
        <v>8</v>
      </c>
      <c r="E1810" s="19"/>
      <c r="F1810" s="19"/>
      <c r="G1810" s="20" t="s">
        <v>11961</v>
      </c>
      <c r="H1810" s="19"/>
      <c r="I1810" s="21" t="s">
        <v>11962</v>
      </c>
      <c r="J1810" s="9">
        <v>62.8</v>
      </c>
      <c r="K1810" s="10">
        <v>56.52</v>
      </c>
      <c r="L1810" s="6"/>
      <c r="M1810" s="11" t="s">
        <v>17</v>
      </c>
      <c r="N1810" s="6"/>
      <c r="O1810" s="6" t="str">
        <f t="shared" si="1"/>
        <v>sku-COF-ESG</v>
      </c>
      <c r="P1810" s="10" t="s">
        <v>15</v>
      </c>
      <c r="Q1810" s="6"/>
      <c r="R1810" s="6"/>
      <c r="S1810" s="19" t="s">
        <v>11963</v>
      </c>
      <c r="T1810" s="6" t="s">
        <v>16</v>
      </c>
      <c r="U1810" s="9" t="s">
        <v>17</v>
      </c>
      <c r="AI1810" s="6" t="s">
        <v>2941</v>
      </c>
      <c r="AJ1810" s="12" t="s">
        <v>11964</v>
      </c>
      <c r="AL1810" s="13" t="s">
        <v>4741</v>
      </c>
    </row>
    <row r="1811">
      <c r="A1811" s="5" t="s">
        <v>11965</v>
      </c>
      <c r="B1811" s="19" t="s">
        <v>11966</v>
      </c>
      <c r="C1811" s="19" t="s">
        <v>11960</v>
      </c>
      <c r="D1811" s="19" t="s">
        <v>8</v>
      </c>
      <c r="E1811" s="19"/>
      <c r="F1811" s="19"/>
      <c r="G1811" s="20" t="s">
        <v>11967</v>
      </c>
      <c r="H1811" s="19"/>
      <c r="I1811" s="21" t="s">
        <v>11962</v>
      </c>
      <c r="J1811" s="9">
        <v>125.6</v>
      </c>
      <c r="K1811" s="10">
        <v>106.76</v>
      </c>
      <c r="L1811" s="6"/>
      <c r="M1811" s="11" t="s">
        <v>17</v>
      </c>
      <c r="N1811" s="6"/>
      <c r="O1811" s="6" t="str">
        <f t="shared" si="1"/>
        <v>sku-COF-ESGX2</v>
      </c>
      <c r="P1811" s="10" t="s">
        <v>15</v>
      </c>
      <c r="Q1811" s="6"/>
      <c r="R1811" s="6"/>
      <c r="S1811" s="19" t="s">
        <v>11963</v>
      </c>
      <c r="T1811" s="6" t="s">
        <v>16</v>
      </c>
      <c r="U1811" s="9" t="s">
        <v>17</v>
      </c>
      <c r="AI1811" s="6" t="s">
        <v>2941</v>
      </c>
      <c r="AJ1811" s="12" t="s">
        <v>11964</v>
      </c>
      <c r="AL1811" s="13" t="s">
        <v>4741</v>
      </c>
    </row>
    <row r="1812">
      <c r="A1812" s="5" t="s">
        <v>11968</v>
      </c>
      <c r="B1812" s="19" t="s">
        <v>11969</v>
      </c>
      <c r="C1812" s="19" t="s">
        <v>11970</v>
      </c>
      <c r="D1812" s="19" t="s">
        <v>8</v>
      </c>
      <c r="E1812" s="19"/>
      <c r="F1812" s="19"/>
      <c r="G1812" s="20" t="s">
        <v>11971</v>
      </c>
      <c r="H1812" s="19"/>
      <c r="I1812" s="21" t="s">
        <v>11972</v>
      </c>
      <c r="J1812" s="9">
        <v>63.2</v>
      </c>
      <c r="K1812" s="10">
        <v>50.56</v>
      </c>
      <c r="L1812" s="6"/>
      <c r="M1812" s="11" t="s">
        <v>17</v>
      </c>
      <c r="N1812" s="6"/>
      <c r="O1812" s="6" t="str">
        <f t="shared" si="1"/>
        <v>sku-COF-PRINTEMPS</v>
      </c>
      <c r="P1812" s="10" t="s">
        <v>15</v>
      </c>
      <c r="Q1812" s="6"/>
      <c r="R1812" s="6"/>
      <c r="S1812" s="19" t="s">
        <v>11973</v>
      </c>
      <c r="T1812" s="6" t="s">
        <v>16</v>
      </c>
      <c r="U1812" s="9" t="s">
        <v>17</v>
      </c>
      <c r="AI1812" s="6" t="s">
        <v>2941</v>
      </c>
      <c r="AJ1812" s="12" t="s">
        <v>11974</v>
      </c>
      <c r="AL1812" s="13" t="s">
        <v>4741</v>
      </c>
    </row>
    <row r="1813">
      <c r="A1813" s="5" t="s">
        <v>11975</v>
      </c>
      <c r="B1813" s="19" t="s">
        <v>11976</v>
      </c>
      <c r="C1813" s="19" t="s">
        <v>11970</v>
      </c>
      <c r="D1813" s="19" t="s">
        <v>8</v>
      </c>
      <c r="E1813" s="19"/>
      <c r="F1813" s="19"/>
      <c r="G1813" s="20" t="s">
        <v>11977</v>
      </c>
      <c r="H1813" s="19"/>
      <c r="I1813" s="21" t="s">
        <v>11978</v>
      </c>
      <c r="J1813" s="9">
        <v>69.2</v>
      </c>
      <c r="K1813" s="10">
        <v>55.36</v>
      </c>
      <c r="L1813" s="6"/>
      <c r="M1813" s="11" t="s">
        <v>17</v>
      </c>
      <c r="N1813" s="6"/>
      <c r="O1813" s="6" t="str">
        <f t="shared" si="1"/>
        <v>sku-COF-PRINTEMPS2</v>
      </c>
      <c r="P1813" s="10" t="s">
        <v>15</v>
      </c>
      <c r="Q1813" s="6"/>
      <c r="R1813" s="6"/>
      <c r="S1813" s="19" t="s">
        <v>11973</v>
      </c>
      <c r="T1813" s="6" t="s">
        <v>16</v>
      </c>
      <c r="U1813" s="9" t="s">
        <v>17</v>
      </c>
      <c r="AI1813" s="6" t="s">
        <v>2941</v>
      </c>
      <c r="AJ1813" s="12" t="s">
        <v>11974</v>
      </c>
      <c r="AL1813" s="13" t="s">
        <v>4741</v>
      </c>
    </row>
    <row r="1814">
      <c r="A1814" s="5" t="s">
        <v>11979</v>
      </c>
      <c r="B1814" s="19" t="s">
        <v>11980</v>
      </c>
      <c r="C1814" s="19" t="s">
        <v>5906</v>
      </c>
      <c r="D1814" s="19" t="s">
        <v>8</v>
      </c>
      <c r="E1814" s="19"/>
      <c r="F1814" s="19"/>
      <c r="G1814" s="20" t="s">
        <v>11981</v>
      </c>
      <c r="H1814" s="19"/>
      <c r="I1814" s="21" t="s">
        <v>11982</v>
      </c>
      <c r="J1814" s="9">
        <v>167.0</v>
      </c>
      <c r="K1814" s="10">
        <v>125.25</v>
      </c>
      <c r="L1814" s="6"/>
      <c r="M1814" s="11" t="s">
        <v>17</v>
      </c>
      <c r="N1814" s="6"/>
      <c r="O1814" s="6" t="str">
        <f t="shared" si="1"/>
        <v>sku-COF-VECX2</v>
      </c>
      <c r="P1814" s="10" t="s">
        <v>15</v>
      </c>
      <c r="Q1814" s="6"/>
      <c r="R1814" s="6"/>
      <c r="S1814" s="19" t="s">
        <v>5912</v>
      </c>
      <c r="T1814" s="6" t="s">
        <v>16</v>
      </c>
      <c r="U1814" s="9" t="s">
        <v>17</v>
      </c>
      <c r="AI1814" s="6" t="s">
        <v>2941</v>
      </c>
      <c r="AJ1814" s="12" t="s">
        <v>5913</v>
      </c>
      <c r="AL1814" s="13" t="s">
        <v>4741</v>
      </c>
    </row>
    <row r="1815">
      <c r="A1815" s="5" t="s">
        <v>11983</v>
      </c>
      <c r="B1815" s="19" t="s">
        <v>11984</v>
      </c>
      <c r="C1815" s="19" t="s">
        <v>5923</v>
      </c>
      <c r="D1815" s="19" t="s">
        <v>8</v>
      </c>
      <c r="E1815" s="19"/>
      <c r="F1815" s="19"/>
      <c r="G1815" s="20" t="s">
        <v>11985</v>
      </c>
      <c r="H1815" s="19"/>
      <c r="I1815" s="21" t="s">
        <v>11986</v>
      </c>
      <c r="J1815" s="9">
        <v>137.96</v>
      </c>
      <c r="K1815" s="10">
        <v>110.37</v>
      </c>
      <c r="L1815" s="6"/>
      <c r="M1815" s="11" t="s">
        <v>17</v>
      </c>
      <c r="N1815" s="6"/>
      <c r="O1815" s="6" t="str">
        <f t="shared" si="1"/>
        <v>sku-COFBEAUTEX2</v>
      </c>
      <c r="P1815" s="10" t="s">
        <v>15</v>
      </c>
      <c r="Q1815" s="6"/>
      <c r="R1815" s="6"/>
      <c r="S1815" s="19" t="s">
        <v>5929</v>
      </c>
      <c r="T1815" s="6" t="s">
        <v>16</v>
      </c>
      <c r="U1815" s="9" t="s">
        <v>17</v>
      </c>
      <c r="AI1815" s="6" t="s">
        <v>2941</v>
      </c>
      <c r="AJ1815" s="12" t="s">
        <v>5930</v>
      </c>
      <c r="AL1815" s="13" t="s">
        <v>4741</v>
      </c>
    </row>
    <row r="1816">
      <c r="A1816" s="5" t="s">
        <v>11987</v>
      </c>
      <c r="B1816" s="19" t="s">
        <v>11988</v>
      </c>
      <c r="C1816" s="19" t="s">
        <v>11989</v>
      </c>
      <c r="D1816" s="19" t="s">
        <v>8</v>
      </c>
      <c r="E1816" s="19"/>
      <c r="F1816" s="19"/>
      <c r="G1816" s="20" t="s">
        <v>11990</v>
      </c>
      <c r="H1816" s="19"/>
      <c r="I1816" s="21" t="s">
        <v>11991</v>
      </c>
      <c r="J1816" s="9">
        <v>88.9</v>
      </c>
      <c r="K1816" s="10">
        <v>71.12</v>
      </c>
      <c r="L1816" s="6"/>
      <c r="M1816" s="11" t="s">
        <v>17</v>
      </c>
      <c r="N1816" s="6"/>
      <c r="O1816" s="6" t="str">
        <f t="shared" si="1"/>
        <v>sku-COFMTC</v>
      </c>
      <c r="P1816" s="10" t="s">
        <v>15</v>
      </c>
      <c r="Q1816" s="6"/>
      <c r="R1816" s="6"/>
      <c r="S1816" s="19" t="s">
        <v>11992</v>
      </c>
      <c r="T1816" s="6" t="s">
        <v>16</v>
      </c>
      <c r="U1816" s="9" t="s">
        <v>17</v>
      </c>
      <c r="AI1816" s="6" t="s">
        <v>2941</v>
      </c>
      <c r="AJ1816" s="12" t="s">
        <v>11993</v>
      </c>
      <c r="AL1816" s="13" t="s">
        <v>4741</v>
      </c>
    </row>
    <row r="1817">
      <c r="A1817" s="5" t="s">
        <v>11994</v>
      </c>
      <c r="B1817" s="19" t="s">
        <v>11995</v>
      </c>
      <c r="C1817" s="19" t="s">
        <v>11996</v>
      </c>
      <c r="D1817" s="19" t="s">
        <v>8</v>
      </c>
      <c r="E1817" s="19"/>
      <c r="F1817" s="19"/>
      <c r="G1817" s="20" t="s">
        <v>11997</v>
      </c>
      <c r="H1817" s="19"/>
      <c r="I1817" s="21" t="s">
        <v>11998</v>
      </c>
      <c r="J1817" s="9">
        <v>50.9</v>
      </c>
      <c r="K1817" s="10" t="s">
        <v>11</v>
      </c>
      <c r="L1817" s="6"/>
      <c r="M1817" s="11" t="s">
        <v>12</v>
      </c>
      <c r="N1817" s="6" t="s">
        <v>11999</v>
      </c>
      <c r="O1817" s="6" t="str">
        <f t="shared" si="1"/>
        <v>sku-D009CP</v>
      </c>
      <c r="P1817" s="10" t="s">
        <v>15</v>
      </c>
      <c r="Q1817" s="6"/>
      <c r="R1817" s="6"/>
      <c r="S1817" s="19"/>
      <c r="T1817" s="6" t="s">
        <v>16</v>
      </c>
      <c r="U1817" s="9" t="s">
        <v>17</v>
      </c>
      <c r="AI1817" s="6" t="s">
        <v>6976</v>
      </c>
      <c r="AJ1817" s="12" t="s">
        <v>12000</v>
      </c>
      <c r="AL1817" s="13" t="s">
        <v>4741</v>
      </c>
    </row>
    <row r="1818">
      <c r="A1818" s="5" t="s">
        <v>12001</v>
      </c>
      <c r="B1818" s="19" t="s">
        <v>12002</v>
      </c>
      <c r="C1818" s="19" t="s">
        <v>6996</v>
      </c>
      <c r="D1818" s="19" t="s">
        <v>8</v>
      </c>
      <c r="E1818" s="19"/>
      <c r="F1818" s="19"/>
      <c r="G1818" s="20" t="s">
        <v>12003</v>
      </c>
      <c r="H1818" s="19"/>
      <c r="I1818" s="21" t="s">
        <v>12004</v>
      </c>
      <c r="J1818" s="9">
        <v>113.7</v>
      </c>
      <c r="K1818" s="10">
        <v>102.33</v>
      </c>
      <c r="L1818" s="6"/>
      <c r="M1818" s="11" t="s">
        <v>17</v>
      </c>
      <c r="N1818" s="6"/>
      <c r="O1818" s="6" t="str">
        <f t="shared" si="1"/>
        <v>sku-D011X3</v>
      </c>
      <c r="P1818" s="10" t="s">
        <v>15</v>
      </c>
      <c r="Q1818" s="6"/>
      <c r="R1818" s="6"/>
      <c r="S1818" s="19"/>
      <c r="T1818" s="6" t="s">
        <v>16</v>
      </c>
      <c r="U1818" s="9" t="s">
        <v>17</v>
      </c>
      <c r="AI1818" s="6" t="s">
        <v>6976</v>
      </c>
      <c r="AJ1818" s="12" t="s">
        <v>7001</v>
      </c>
      <c r="AL1818" s="13" t="s">
        <v>4741</v>
      </c>
    </row>
    <row r="1819">
      <c r="A1819" s="5" t="s">
        <v>12005</v>
      </c>
      <c r="B1819" s="19" t="s">
        <v>12006</v>
      </c>
      <c r="C1819" s="19" t="s">
        <v>7175</v>
      </c>
      <c r="D1819" s="19" t="s">
        <v>8</v>
      </c>
      <c r="E1819" s="19"/>
      <c r="F1819" s="19"/>
      <c r="G1819" s="20" t="s">
        <v>12007</v>
      </c>
      <c r="H1819" s="19"/>
      <c r="I1819" s="21" t="s">
        <v>12008</v>
      </c>
      <c r="J1819" s="9">
        <v>51.8</v>
      </c>
      <c r="K1819" s="10">
        <v>46.62</v>
      </c>
      <c r="L1819" s="6"/>
      <c r="M1819" s="11" t="s">
        <v>17</v>
      </c>
      <c r="N1819" s="6"/>
      <c r="O1819" s="6" t="str">
        <f t="shared" si="1"/>
        <v>sku-D054+BQSZMB</v>
      </c>
      <c r="P1819" s="10" t="s">
        <v>15</v>
      </c>
      <c r="Q1819" s="6"/>
      <c r="R1819" s="6"/>
      <c r="S1819" s="19" t="s">
        <v>7180</v>
      </c>
      <c r="T1819" s="6" t="s">
        <v>16</v>
      </c>
      <c r="U1819" s="9" t="s">
        <v>17</v>
      </c>
      <c r="AI1819" s="6" t="s">
        <v>6976</v>
      </c>
      <c r="AJ1819" s="12" t="s">
        <v>7181</v>
      </c>
      <c r="AL1819" s="13" t="s">
        <v>4741</v>
      </c>
    </row>
    <row r="1820">
      <c r="A1820" s="5" t="s">
        <v>12009</v>
      </c>
      <c r="B1820" s="19" t="s">
        <v>12010</v>
      </c>
      <c r="C1820" s="19" t="s">
        <v>12011</v>
      </c>
      <c r="D1820" s="19" t="s">
        <v>8</v>
      </c>
      <c r="E1820" s="19"/>
      <c r="F1820" s="19"/>
      <c r="G1820" s="20" t="s">
        <v>12012</v>
      </c>
      <c r="H1820" s="19"/>
      <c r="I1820" s="21" t="s">
        <v>12013</v>
      </c>
      <c r="J1820" s="9">
        <v>149.0</v>
      </c>
      <c r="K1820" s="10" t="s">
        <v>11</v>
      </c>
      <c r="L1820" s="6"/>
      <c r="M1820" s="11" t="s">
        <v>12</v>
      </c>
      <c r="N1820" s="6" t="s">
        <v>12014</v>
      </c>
      <c r="O1820" s="6" t="str">
        <f t="shared" si="1"/>
        <v>sku-D084</v>
      </c>
      <c r="P1820" s="10" t="s">
        <v>15</v>
      </c>
      <c r="Q1820" s="6"/>
      <c r="R1820" s="6"/>
      <c r="S1820" s="19" t="s">
        <v>12015</v>
      </c>
      <c r="T1820" s="6" t="s">
        <v>16</v>
      </c>
      <c r="U1820" s="9" t="s">
        <v>17</v>
      </c>
      <c r="AI1820" s="6" t="s">
        <v>6976</v>
      </c>
      <c r="AJ1820" s="12" t="s">
        <v>12016</v>
      </c>
      <c r="AL1820" s="13" t="s">
        <v>4741</v>
      </c>
    </row>
    <row r="1821">
      <c r="A1821" s="5" t="s">
        <v>12017</v>
      </c>
      <c r="B1821" s="19" t="s">
        <v>12018</v>
      </c>
      <c r="C1821" s="19" t="s">
        <v>5831</v>
      </c>
      <c r="D1821" s="19" t="s">
        <v>8</v>
      </c>
      <c r="E1821" s="19"/>
      <c r="F1821" s="19"/>
      <c r="G1821" s="20" t="s">
        <v>12019</v>
      </c>
      <c r="H1821" s="19"/>
      <c r="I1821" s="21" t="s">
        <v>12020</v>
      </c>
      <c r="J1821" s="9">
        <v>10.8</v>
      </c>
      <c r="K1821" s="10" t="s">
        <v>11</v>
      </c>
      <c r="L1821" s="6"/>
      <c r="M1821" s="11" t="s">
        <v>17</v>
      </c>
      <c r="N1821" s="6"/>
      <c r="O1821" s="6" t="str">
        <f t="shared" si="1"/>
        <v>sku-MA112+MA411</v>
      </c>
      <c r="P1821" s="10" t="s">
        <v>15</v>
      </c>
      <c r="Q1821" s="6"/>
      <c r="R1821" s="6"/>
      <c r="S1821" s="19"/>
      <c r="T1821" s="6" t="s">
        <v>16</v>
      </c>
      <c r="U1821" s="9" t="s">
        <v>17</v>
      </c>
      <c r="AI1821" s="6" t="s">
        <v>8895</v>
      </c>
      <c r="AJ1821" s="12" t="s">
        <v>9075</v>
      </c>
      <c r="AL1821" s="13" t="s">
        <v>8460</v>
      </c>
    </row>
    <row r="1822">
      <c r="A1822" s="5" t="s">
        <v>12021</v>
      </c>
      <c r="B1822" s="19" t="s">
        <v>12022</v>
      </c>
      <c r="C1822" s="19" t="s">
        <v>8510</v>
      </c>
      <c r="D1822" s="19" t="s">
        <v>507</v>
      </c>
      <c r="E1822" s="19"/>
      <c r="F1822" s="19"/>
      <c r="G1822" s="20" t="s">
        <v>12023</v>
      </c>
      <c r="H1822" s="19"/>
      <c r="I1822" s="21" t="s">
        <v>12024</v>
      </c>
      <c r="J1822" s="9">
        <v>2.9</v>
      </c>
      <c r="K1822" s="10" t="s">
        <v>11</v>
      </c>
      <c r="L1822" s="6"/>
      <c r="M1822" s="11" t="s">
        <v>17</v>
      </c>
      <c r="N1822" s="6"/>
      <c r="O1822" s="6" t="str">
        <f t="shared" si="1"/>
        <v>sku-MA213-YL</v>
      </c>
      <c r="P1822" s="10" t="s">
        <v>15</v>
      </c>
      <c r="Q1822" s="6"/>
      <c r="R1822" s="6"/>
      <c r="S1822" s="19" t="s">
        <v>8533</v>
      </c>
      <c r="T1822" s="6" t="s">
        <v>16</v>
      </c>
      <c r="U1822" s="9" t="s">
        <v>17</v>
      </c>
      <c r="AI1822" s="6" t="s">
        <v>8514</v>
      </c>
      <c r="AJ1822" s="12" t="s">
        <v>8535</v>
      </c>
      <c r="AL1822" s="13" t="s">
        <v>8460</v>
      </c>
    </row>
    <row r="1823">
      <c r="A1823" s="5" t="s">
        <v>12025</v>
      </c>
      <c r="B1823" s="19" t="s">
        <v>12026</v>
      </c>
      <c r="C1823" s="19" t="s">
        <v>8510</v>
      </c>
      <c r="D1823" s="19" t="s">
        <v>507</v>
      </c>
      <c r="E1823" s="19"/>
      <c r="F1823" s="19"/>
      <c r="G1823" s="20" t="s">
        <v>12027</v>
      </c>
      <c r="H1823" s="19"/>
      <c r="I1823" s="21" t="s">
        <v>12024</v>
      </c>
      <c r="J1823" s="9">
        <v>29.0</v>
      </c>
      <c r="K1823" s="10" t="s">
        <v>11</v>
      </c>
      <c r="L1823" s="6"/>
      <c r="M1823" s="11" t="s">
        <v>17</v>
      </c>
      <c r="N1823" s="6"/>
      <c r="O1823" s="6" t="str">
        <f t="shared" si="1"/>
        <v>sku-MA213X11-YL</v>
      </c>
      <c r="P1823" s="10" t="s">
        <v>15</v>
      </c>
      <c r="Q1823" s="6"/>
      <c r="R1823" s="6"/>
      <c r="S1823" s="19" t="s">
        <v>8533</v>
      </c>
      <c r="T1823" s="6" t="s">
        <v>16</v>
      </c>
      <c r="U1823" s="9" t="s">
        <v>17</v>
      </c>
      <c r="AI1823" s="6" t="s">
        <v>8514</v>
      </c>
      <c r="AJ1823" s="12" t="s">
        <v>8535</v>
      </c>
      <c r="AL1823" s="13" t="s">
        <v>8460</v>
      </c>
    </row>
    <row r="1824">
      <c r="A1824" s="5" t="s">
        <v>12028</v>
      </c>
      <c r="B1824" s="19" t="s">
        <v>12029</v>
      </c>
      <c r="C1824" s="19" t="s">
        <v>8510</v>
      </c>
      <c r="D1824" s="19" t="s">
        <v>507</v>
      </c>
      <c r="E1824" s="19"/>
      <c r="F1824" s="19"/>
      <c r="G1824" s="20" t="s">
        <v>12030</v>
      </c>
      <c r="H1824" s="19"/>
      <c r="I1824" s="21" t="s">
        <v>12031</v>
      </c>
      <c r="J1824" s="9">
        <v>2.9</v>
      </c>
      <c r="K1824" s="10" t="s">
        <v>11</v>
      </c>
      <c r="L1824" s="6"/>
      <c r="M1824" s="11" t="s">
        <v>17</v>
      </c>
      <c r="N1824" s="6"/>
      <c r="O1824" s="6" t="str">
        <f t="shared" si="1"/>
        <v>sku-MA231-YL</v>
      </c>
      <c r="P1824" s="10" t="s">
        <v>15</v>
      </c>
      <c r="Q1824" s="6"/>
      <c r="R1824" s="6"/>
      <c r="S1824" s="19" t="s">
        <v>8608</v>
      </c>
      <c r="T1824" s="6" t="s">
        <v>16</v>
      </c>
      <c r="U1824" s="9" t="s">
        <v>17</v>
      </c>
      <c r="AI1824" s="6" t="s">
        <v>8514</v>
      </c>
      <c r="AJ1824" s="12" t="s">
        <v>8609</v>
      </c>
      <c r="AL1824" s="13" t="s">
        <v>8460</v>
      </c>
    </row>
    <row r="1825">
      <c r="A1825" s="5" t="s">
        <v>12032</v>
      </c>
      <c r="B1825" s="19" t="s">
        <v>12033</v>
      </c>
      <c r="C1825" s="19" t="s">
        <v>8510</v>
      </c>
      <c r="D1825" s="19" t="s">
        <v>507</v>
      </c>
      <c r="E1825" s="19"/>
      <c r="F1825" s="19"/>
      <c r="G1825" s="20" t="s">
        <v>12034</v>
      </c>
      <c r="H1825" s="19"/>
      <c r="I1825" s="21" t="s">
        <v>12031</v>
      </c>
      <c r="J1825" s="9">
        <v>29.0</v>
      </c>
      <c r="K1825" s="10" t="s">
        <v>11</v>
      </c>
      <c r="L1825" s="6"/>
      <c r="M1825" s="11" t="s">
        <v>17</v>
      </c>
      <c r="N1825" s="6"/>
      <c r="O1825" s="6" t="str">
        <f t="shared" si="1"/>
        <v>sku-MA231X11-YL</v>
      </c>
      <c r="P1825" s="10" t="s">
        <v>15</v>
      </c>
      <c r="Q1825" s="6"/>
      <c r="R1825" s="6"/>
      <c r="S1825" s="19" t="s">
        <v>8608</v>
      </c>
      <c r="T1825" s="6" t="s">
        <v>16</v>
      </c>
      <c r="U1825" s="9" t="s">
        <v>17</v>
      </c>
      <c r="AI1825" s="6" t="s">
        <v>8514</v>
      </c>
      <c r="AJ1825" s="12" t="s">
        <v>8609</v>
      </c>
      <c r="AL1825" s="13" t="s">
        <v>8460</v>
      </c>
    </row>
    <row r="1826">
      <c r="A1826" s="5" t="s">
        <v>12035</v>
      </c>
      <c r="B1826" s="19" t="s">
        <v>12036</v>
      </c>
      <c r="C1826" s="19" t="s">
        <v>8510</v>
      </c>
      <c r="D1826" s="19" t="s">
        <v>507</v>
      </c>
      <c r="E1826" s="19"/>
      <c r="F1826" s="19"/>
      <c r="G1826" s="22" t="s">
        <v>12037</v>
      </c>
      <c r="H1826" s="19"/>
      <c r="I1826" s="19" t="s">
        <v>12038</v>
      </c>
      <c r="J1826" s="9">
        <v>2.9</v>
      </c>
      <c r="K1826" s="10" t="s">
        <v>11</v>
      </c>
      <c r="L1826" s="6"/>
      <c r="M1826" s="11" t="s">
        <v>17</v>
      </c>
      <c r="N1826" s="6"/>
      <c r="O1826" s="6" t="str">
        <f t="shared" si="1"/>
        <v>sku-MA233-YL</v>
      </c>
      <c r="P1826" s="10" t="s">
        <v>15</v>
      </c>
      <c r="Q1826" s="6"/>
      <c r="R1826" s="6"/>
      <c r="S1826" s="19" t="s">
        <v>8628</v>
      </c>
      <c r="T1826" s="6" t="s">
        <v>16</v>
      </c>
      <c r="U1826" s="9" t="s">
        <v>17</v>
      </c>
      <c r="AI1826" s="6" t="s">
        <v>8514</v>
      </c>
      <c r="AJ1826" s="12" t="s">
        <v>8629</v>
      </c>
      <c r="AL1826" s="13" t="s">
        <v>8460</v>
      </c>
    </row>
    <row r="1827">
      <c r="A1827" s="5" t="s">
        <v>12039</v>
      </c>
      <c r="B1827" s="19" t="s">
        <v>12040</v>
      </c>
      <c r="C1827" s="19" t="s">
        <v>8510</v>
      </c>
      <c r="D1827" s="19" t="s">
        <v>507</v>
      </c>
      <c r="E1827" s="19"/>
      <c r="F1827" s="19"/>
      <c r="G1827" s="22" t="s">
        <v>12041</v>
      </c>
      <c r="H1827" s="19"/>
      <c r="I1827" s="19" t="s">
        <v>12038</v>
      </c>
      <c r="J1827" s="9">
        <v>29.0</v>
      </c>
      <c r="K1827" s="10" t="s">
        <v>11</v>
      </c>
      <c r="L1827" s="6"/>
      <c r="M1827" s="11" t="s">
        <v>17</v>
      </c>
      <c r="N1827" s="6"/>
      <c r="O1827" s="6" t="str">
        <f t="shared" si="1"/>
        <v>sku-MA233X11-YL</v>
      </c>
      <c r="P1827" s="10" t="s">
        <v>15</v>
      </c>
      <c r="Q1827" s="6"/>
      <c r="R1827" s="6"/>
      <c r="S1827" s="19" t="s">
        <v>8628</v>
      </c>
      <c r="T1827" s="6" t="s">
        <v>16</v>
      </c>
      <c r="U1827" s="9" t="s">
        <v>17</v>
      </c>
      <c r="AI1827" s="6" t="s">
        <v>8514</v>
      </c>
      <c r="AJ1827" s="12" t="s">
        <v>8629</v>
      </c>
      <c r="AL1827" s="13" t="s">
        <v>8460</v>
      </c>
    </row>
    <row r="1828">
      <c r="A1828" s="5" t="s">
        <v>12042</v>
      </c>
      <c r="B1828" s="19" t="s">
        <v>12043</v>
      </c>
      <c r="C1828" s="19" t="s">
        <v>8510</v>
      </c>
      <c r="D1828" s="19" t="s">
        <v>507</v>
      </c>
      <c r="E1828" s="19"/>
      <c r="F1828" s="19"/>
      <c r="G1828" s="22" t="s">
        <v>12044</v>
      </c>
      <c r="H1828" s="19"/>
      <c r="I1828" s="19" t="s">
        <v>12045</v>
      </c>
      <c r="J1828" s="9">
        <v>2.9</v>
      </c>
      <c r="K1828" s="10" t="s">
        <v>11</v>
      </c>
      <c r="L1828" s="6"/>
      <c r="M1828" s="11" t="s">
        <v>17</v>
      </c>
      <c r="N1828" s="6"/>
      <c r="O1828" s="6" t="str">
        <f t="shared" si="1"/>
        <v>sku-MA243-YL</v>
      </c>
      <c r="P1828" s="10" t="s">
        <v>15</v>
      </c>
      <c r="Q1828" s="6"/>
      <c r="R1828" s="6"/>
      <c r="S1828" s="19" t="s">
        <v>8675</v>
      </c>
      <c r="T1828" s="6" t="s">
        <v>16</v>
      </c>
      <c r="U1828" s="9" t="s">
        <v>17</v>
      </c>
      <c r="AI1828" s="6" t="s">
        <v>8514</v>
      </c>
      <c r="AJ1828" s="12" t="s">
        <v>8677</v>
      </c>
      <c r="AL1828" s="13" t="s">
        <v>8460</v>
      </c>
    </row>
    <row r="1829">
      <c r="A1829" s="5" t="s">
        <v>12046</v>
      </c>
      <c r="B1829" s="19" t="s">
        <v>12047</v>
      </c>
      <c r="C1829" s="19" t="s">
        <v>8510</v>
      </c>
      <c r="D1829" s="19" t="s">
        <v>507</v>
      </c>
      <c r="E1829" s="19"/>
      <c r="F1829" s="19"/>
      <c r="G1829" s="22" t="s">
        <v>12048</v>
      </c>
      <c r="H1829" s="19"/>
      <c r="I1829" s="19" t="s">
        <v>12045</v>
      </c>
      <c r="J1829" s="9">
        <v>29.0</v>
      </c>
      <c r="K1829" s="10" t="s">
        <v>11</v>
      </c>
      <c r="L1829" s="6"/>
      <c r="M1829" s="11" t="s">
        <v>17</v>
      </c>
      <c r="N1829" s="6"/>
      <c r="O1829" s="6" t="str">
        <f t="shared" si="1"/>
        <v>sku-MA243X11-YL</v>
      </c>
      <c r="P1829" s="10" t="s">
        <v>15</v>
      </c>
      <c r="Q1829" s="6"/>
      <c r="R1829" s="6"/>
      <c r="S1829" s="19" t="s">
        <v>8675</v>
      </c>
      <c r="T1829" s="6" t="s">
        <v>16</v>
      </c>
      <c r="U1829" s="9" t="s">
        <v>17</v>
      </c>
      <c r="AI1829" s="6" t="s">
        <v>8514</v>
      </c>
      <c r="AJ1829" s="12" t="s">
        <v>8677</v>
      </c>
      <c r="AL1829" s="13" t="s">
        <v>8460</v>
      </c>
    </row>
    <row r="1830">
      <c r="A1830" s="5" t="s">
        <v>12049</v>
      </c>
      <c r="B1830" s="19" t="s">
        <v>12050</v>
      </c>
      <c r="C1830" s="19" t="s">
        <v>8510</v>
      </c>
      <c r="D1830" s="19" t="s">
        <v>8</v>
      </c>
      <c r="E1830" s="19"/>
      <c r="F1830" s="19"/>
      <c r="G1830" s="22" t="s">
        <v>12051</v>
      </c>
      <c r="H1830" s="19"/>
      <c r="I1830" s="19" t="s">
        <v>12052</v>
      </c>
      <c r="J1830" s="9">
        <v>2.9</v>
      </c>
      <c r="K1830" s="10" t="s">
        <v>11</v>
      </c>
      <c r="L1830" s="6"/>
      <c r="M1830" s="11" t="s">
        <v>17</v>
      </c>
      <c r="N1830" s="6"/>
      <c r="O1830" s="6" t="str">
        <f t="shared" si="1"/>
        <v>sku-MA251-YL</v>
      </c>
      <c r="P1830" s="10" t="s">
        <v>15</v>
      </c>
      <c r="Q1830" s="6"/>
      <c r="R1830" s="6"/>
      <c r="S1830" s="19" t="s">
        <v>8523</v>
      </c>
      <c r="T1830" s="6" t="s">
        <v>16</v>
      </c>
      <c r="U1830" s="9" t="s">
        <v>17</v>
      </c>
      <c r="AI1830" s="6" t="s">
        <v>8514</v>
      </c>
      <c r="AJ1830" s="12" t="s">
        <v>8686</v>
      </c>
      <c r="AL1830" s="13" t="s">
        <v>8460</v>
      </c>
    </row>
    <row r="1831">
      <c r="A1831" s="5" t="s">
        <v>12053</v>
      </c>
      <c r="B1831" s="19" t="s">
        <v>12054</v>
      </c>
      <c r="C1831" s="19" t="s">
        <v>8510</v>
      </c>
      <c r="D1831" s="19" t="s">
        <v>8</v>
      </c>
      <c r="E1831" s="19"/>
      <c r="F1831" s="19"/>
      <c r="G1831" s="22" t="s">
        <v>12055</v>
      </c>
      <c r="H1831" s="19"/>
      <c r="I1831" s="19" t="s">
        <v>12052</v>
      </c>
      <c r="J1831" s="9">
        <v>29.0</v>
      </c>
      <c r="K1831" s="10" t="s">
        <v>11</v>
      </c>
      <c r="L1831" s="6"/>
      <c r="M1831" s="11" t="s">
        <v>17</v>
      </c>
      <c r="N1831" s="6"/>
      <c r="O1831" s="6" t="str">
        <f t="shared" si="1"/>
        <v>sku-MA251X11-YL</v>
      </c>
      <c r="P1831" s="10" t="s">
        <v>15</v>
      </c>
      <c r="Q1831" s="6"/>
      <c r="R1831" s="6"/>
      <c r="S1831" s="19" t="s">
        <v>8523</v>
      </c>
      <c r="T1831" s="6" t="s">
        <v>16</v>
      </c>
      <c r="U1831" s="9" t="s">
        <v>17</v>
      </c>
      <c r="AI1831" s="6" t="s">
        <v>8514</v>
      </c>
      <c r="AJ1831" s="12" t="s">
        <v>8686</v>
      </c>
      <c r="AL1831" s="13" t="s">
        <v>8460</v>
      </c>
    </row>
    <row r="1832">
      <c r="A1832" s="5" t="s">
        <v>12056</v>
      </c>
      <c r="B1832" s="19" t="s">
        <v>12057</v>
      </c>
      <c r="C1832" s="19" t="s">
        <v>8510</v>
      </c>
      <c r="D1832" s="19" t="s">
        <v>507</v>
      </c>
      <c r="E1832" s="19"/>
      <c r="F1832" s="19"/>
      <c r="G1832" s="22" t="s">
        <v>12058</v>
      </c>
      <c r="H1832" s="19"/>
      <c r="I1832" s="19" t="s">
        <v>12059</v>
      </c>
      <c r="J1832" s="9">
        <v>2.9</v>
      </c>
      <c r="K1832" s="10" t="s">
        <v>11</v>
      </c>
      <c r="L1832" s="6"/>
      <c r="M1832" s="11" t="s">
        <v>17</v>
      </c>
      <c r="N1832" s="6"/>
      <c r="O1832" s="6" t="str">
        <f t="shared" si="1"/>
        <v>sku-MA284-YL</v>
      </c>
      <c r="P1832" s="10" t="s">
        <v>15</v>
      </c>
      <c r="Q1832" s="6"/>
      <c r="R1832" s="6"/>
      <c r="S1832" s="19" t="s">
        <v>8775</v>
      </c>
      <c r="T1832" s="6" t="s">
        <v>16</v>
      </c>
      <c r="U1832" s="9" t="s">
        <v>17</v>
      </c>
      <c r="AI1832" s="6" t="s">
        <v>8514</v>
      </c>
      <c r="AJ1832" s="12" t="s">
        <v>8823</v>
      </c>
      <c r="AL1832" s="13" t="s">
        <v>8460</v>
      </c>
    </row>
    <row r="1833">
      <c r="A1833" s="5" t="s">
        <v>12060</v>
      </c>
      <c r="B1833" s="19" t="s">
        <v>12061</v>
      </c>
      <c r="C1833" s="19" t="s">
        <v>8510</v>
      </c>
      <c r="D1833" s="19" t="s">
        <v>507</v>
      </c>
      <c r="E1833" s="19"/>
      <c r="F1833" s="19"/>
      <c r="G1833" s="22" t="s">
        <v>12062</v>
      </c>
      <c r="H1833" s="19"/>
      <c r="I1833" s="19" t="s">
        <v>12059</v>
      </c>
      <c r="J1833" s="9">
        <v>29.0</v>
      </c>
      <c r="K1833" s="10" t="s">
        <v>11</v>
      </c>
      <c r="L1833" s="6"/>
      <c r="M1833" s="11" t="s">
        <v>17</v>
      </c>
      <c r="N1833" s="6"/>
      <c r="O1833" s="6" t="str">
        <f t="shared" si="1"/>
        <v>sku-MA284X11-YL</v>
      </c>
      <c r="P1833" s="10" t="s">
        <v>15</v>
      </c>
      <c r="Q1833" s="6"/>
      <c r="R1833" s="6"/>
      <c r="S1833" s="19" t="s">
        <v>8775</v>
      </c>
      <c r="T1833" s="6" t="s">
        <v>16</v>
      </c>
      <c r="U1833" s="9" t="s">
        <v>17</v>
      </c>
      <c r="AI1833" s="6" t="s">
        <v>8514</v>
      </c>
      <c r="AJ1833" s="12" t="s">
        <v>8823</v>
      </c>
      <c r="AL1833" s="13" t="s">
        <v>8460</v>
      </c>
    </row>
    <row r="1834">
      <c r="A1834" s="5" t="s">
        <v>12063</v>
      </c>
      <c r="B1834" s="19" t="s">
        <v>12064</v>
      </c>
      <c r="C1834" s="19" t="s">
        <v>8510</v>
      </c>
      <c r="D1834" s="19" t="s">
        <v>507</v>
      </c>
      <c r="E1834" s="19"/>
      <c r="F1834" s="19"/>
      <c r="G1834" s="22" t="s">
        <v>12065</v>
      </c>
      <c r="H1834" s="19"/>
      <c r="I1834" s="19" t="s">
        <v>12066</v>
      </c>
      <c r="J1834" s="9">
        <v>119.0</v>
      </c>
      <c r="K1834" s="10">
        <v>47.6</v>
      </c>
      <c r="L1834" s="6"/>
      <c r="M1834" s="11" t="s">
        <v>17</v>
      </c>
      <c r="N1834" s="6"/>
      <c r="O1834" s="6" t="str">
        <f t="shared" si="1"/>
        <v>sku-MA322x11</v>
      </c>
      <c r="P1834" s="10" t="s">
        <v>15</v>
      </c>
      <c r="Q1834" s="6"/>
      <c r="R1834" s="6"/>
      <c r="S1834" s="19"/>
      <c r="T1834" s="6" t="s">
        <v>16</v>
      </c>
      <c r="U1834" s="9" t="s">
        <v>17</v>
      </c>
      <c r="AI1834" s="6" t="s">
        <v>8514</v>
      </c>
      <c r="AJ1834" s="12" t="s">
        <v>12067</v>
      </c>
      <c r="AL1834" s="13" t="s">
        <v>8460</v>
      </c>
    </row>
    <row r="1835">
      <c r="A1835" s="5" t="s">
        <v>12068</v>
      </c>
      <c r="B1835" s="19" t="s">
        <v>12069</v>
      </c>
      <c r="C1835" s="19" t="s">
        <v>8933</v>
      </c>
      <c r="D1835" s="19" t="s">
        <v>8</v>
      </c>
      <c r="E1835" s="19"/>
      <c r="F1835" s="19"/>
      <c r="G1835" s="22" t="s">
        <v>12070</v>
      </c>
      <c r="H1835" s="19"/>
      <c r="I1835" s="19" t="s">
        <v>12071</v>
      </c>
      <c r="J1835" s="9">
        <v>18.8</v>
      </c>
      <c r="K1835" s="10" t="s">
        <v>11</v>
      </c>
      <c r="L1835" s="6"/>
      <c r="M1835" s="11" t="s">
        <v>17</v>
      </c>
      <c r="N1835" s="6"/>
      <c r="O1835" s="6" t="str">
        <f t="shared" si="1"/>
        <v>sku-MA394-YL</v>
      </c>
      <c r="P1835" s="10" t="s">
        <v>15</v>
      </c>
      <c r="Q1835" s="6"/>
      <c r="R1835" s="6"/>
      <c r="S1835" s="19" t="s">
        <v>8937</v>
      </c>
      <c r="T1835" s="6" t="s">
        <v>16</v>
      </c>
      <c r="U1835" s="9" t="s">
        <v>17</v>
      </c>
      <c r="AI1835" s="6" t="s">
        <v>8514</v>
      </c>
      <c r="AJ1835" s="12" t="s">
        <v>8938</v>
      </c>
      <c r="AL1835" s="13" t="s">
        <v>8460</v>
      </c>
    </row>
    <row r="1836">
      <c r="A1836" s="5" t="s">
        <v>12072</v>
      </c>
      <c r="B1836" s="19" t="s">
        <v>12073</v>
      </c>
      <c r="C1836" s="19" t="s">
        <v>8933</v>
      </c>
      <c r="D1836" s="19" t="s">
        <v>8</v>
      </c>
      <c r="E1836" s="19"/>
      <c r="F1836" s="19"/>
      <c r="G1836" s="22" t="s">
        <v>12074</v>
      </c>
      <c r="H1836" s="19"/>
      <c r="I1836" s="19" t="s">
        <v>12071</v>
      </c>
      <c r="J1836" s="9">
        <v>188.0</v>
      </c>
      <c r="K1836" s="10" t="s">
        <v>11</v>
      </c>
      <c r="L1836" s="6"/>
      <c r="M1836" s="11" t="s">
        <v>17</v>
      </c>
      <c r="N1836" s="6"/>
      <c r="O1836" s="6" t="str">
        <f t="shared" si="1"/>
        <v>sku-MA394X10-YL</v>
      </c>
      <c r="P1836" s="10" t="s">
        <v>15</v>
      </c>
      <c r="Q1836" s="6"/>
      <c r="R1836" s="6"/>
      <c r="S1836" s="19" t="s">
        <v>8937</v>
      </c>
      <c r="T1836" s="6" t="s">
        <v>16</v>
      </c>
      <c r="U1836" s="9" t="s">
        <v>17</v>
      </c>
      <c r="AI1836" s="6" t="s">
        <v>8514</v>
      </c>
      <c r="AJ1836" s="12" t="s">
        <v>8938</v>
      </c>
      <c r="AL1836" s="13" t="s">
        <v>8460</v>
      </c>
    </row>
    <row r="1837">
      <c r="A1837" s="5" t="s">
        <v>12075</v>
      </c>
      <c r="B1837" s="19" t="s">
        <v>12076</v>
      </c>
      <c r="C1837" s="19" t="s">
        <v>8510</v>
      </c>
      <c r="D1837" s="19" t="s">
        <v>8</v>
      </c>
      <c r="E1837" s="19"/>
      <c r="F1837" s="19"/>
      <c r="G1837" s="22" t="s">
        <v>12077</v>
      </c>
      <c r="H1837" s="19"/>
      <c r="I1837" s="19" t="s">
        <v>12078</v>
      </c>
      <c r="J1837" s="9">
        <v>18.8</v>
      </c>
      <c r="K1837" s="10" t="s">
        <v>11</v>
      </c>
      <c r="L1837" s="6"/>
      <c r="M1837" s="11" t="s">
        <v>17</v>
      </c>
      <c r="N1837" s="6"/>
      <c r="O1837" s="6" t="str">
        <f t="shared" si="1"/>
        <v>sku-MA396-YL</v>
      </c>
      <c r="P1837" s="10" t="s">
        <v>15</v>
      </c>
      <c r="Q1837" s="6"/>
      <c r="R1837" s="6"/>
      <c r="S1837" s="19" t="s">
        <v>8958</v>
      </c>
      <c r="T1837" s="6" t="s">
        <v>16</v>
      </c>
      <c r="U1837" s="9" t="s">
        <v>17</v>
      </c>
      <c r="AI1837" s="6" t="s">
        <v>8514</v>
      </c>
      <c r="AJ1837" s="12" t="s">
        <v>8959</v>
      </c>
      <c r="AL1837" s="13" t="s">
        <v>8460</v>
      </c>
    </row>
    <row r="1838">
      <c r="A1838" s="5" t="s">
        <v>12079</v>
      </c>
      <c r="B1838" s="19" t="s">
        <v>12080</v>
      </c>
      <c r="C1838" s="19" t="s">
        <v>8510</v>
      </c>
      <c r="D1838" s="19" t="s">
        <v>8</v>
      </c>
      <c r="E1838" s="19"/>
      <c r="F1838" s="19"/>
      <c r="G1838" s="22" t="s">
        <v>12081</v>
      </c>
      <c r="H1838" s="19"/>
      <c r="I1838" s="19" t="s">
        <v>12078</v>
      </c>
      <c r="J1838" s="9">
        <v>188.0</v>
      </c>
      <c r="K1838" s="10" t="s">
        <v>11</v>
      </c>
      <c r="L1838" s="6"/>
      <c r="M1838" s="11" t="s">
        <v>17</v>
      </c>
      <c r="N1838" s="6"/>
      <c r="O1838" s="6" t="str">
        <f t="shared" si="1"/>
        <v>sku-MA396X10-YL</v>
      </c>
      <c r="P1838" s="10" t="s">
        <v>15</v>
      </c>
      <c r="Q1838" s="6"/>
      <c r="R1838" s="6"/>
      <c r="S1838" s="19" t="s">
        <v>8958</v>
      </c>
      <c r="T1838" s="6" t="s">
        <v>16</v>
      </c>
      <c r="U1838" s="9" t="s">
        <v>17</v>
      </c>
      <c r="AI1838" s="6" t="s">
        <v>8514</v>
      </c>
      <c r="AJ1838" s="12" t="s">
        <v>8959</v>
      </c>
      <c r="AL1838" s="13" t="s">
        <v>8460</v>
      </c>
    </row>
    <row r="1839">
      <c r="A1839" s="5" t="s">
        <v>12082</v>
      </c>
      <c r="B1839" s="19" t="s">
        <v>12083</v>
      </c>
      <c r="C1839" s="19" t="s">
        <v>8933</v>
      </c>
      <c r="D1839" s="19" t="s">
        <v>8</v>
      </c>
      <c r="E1839" s="19"/>
      <c r="F1839" s="19"/>
      <c r="G1839" s="22" t="s">
        <v>12084</v>
      </c>
      <c r="H1839" s="19"/>
      <c r="I1839" s="19" t="s">
        <v>12085</v>
      </c>
      <c r="J1839" s="9">
        <v>18.8</v>
      </c>
      <c r="K1839" s="10" t="s">
        <v>11</v>
      </c>
      <c r="L1839" s="6"/>
      <c r="M1839" s="11" t="s">
        <v>17</v>
      </c>
      <c r="N1839" s="6"/>
      <c r="O1839" s="6" t="str">
        <f t="shared" si="1"/>
        <v>sku-MA397-YL</v>
      </c>
      <c r="P1839" s="10" t="s">
        <v>15</v>
      </c>
      <c r="Q1839" s="6"/>
      <c r="R1839" s="6"/>
      <c r="S1839" s="19" t="s">
        <v>8969</v>
      </c>
      <c r="T1839" s="6" t="s">
        <v>16</v>
      </c>
      <c r="U1839" s="9" t="s">
        <v>17</v>
      </c>
      <c r="AI1839" s="6" t="s">
        <v>8514</v>
      </c>
      <c r="AJ1839" s="12" t="s">
        <v>8970</v>
      </c>
      <c r="AL1839" s="13" t="s">
        <v>8460</v>
      </c>
    </row>
    <row r="1840">
      <c r="A1840" s="5" t="s">
        <v>12086</v>
      </c>
      <c r="B1840" s="19" t="s">
        <v>12087</v>
      </c>
      <c r="C1840" s="19" t="s">
        <v>8933</v>
      </c>
      <c r="D1840" s="19" t="s">
        <v>8</v>
      </c>
      <c r="E1840" s="19"/>
      <c r="F1840" s="19"/>
      <c r="G1840" s="22" t="s">
        <v>12088</v>
      </c>
      <c r="H1840" s="19"/>
      <c r="I1840" s="19" t="s">
        <v>12085</v>
      </c>
      <c r="J1840" s="9">
        <v>188.0</v>
      </c>
      <c r="K1840" s="10" t="s">
        <v>11</v>
      </c>
      <c r="L1840" s="6"/>
      <c r="M1840" s="11" t="s">
        <v>17</v>
      </c>
      <c r="N1840" s="6"/>
      <c r="O1840" s="6" t="str">
        <f t="shared" si="1"/>
        <v>sku-MA397X10-YL</v>
      </c>
      <c r="P1840" s="10" t="s">
        <v>15</v>
      </c>
      <c r="Q1840" s="6"/>
      <c r="R1840" s="6"/>
      <c r="S1840" s="19" t="s">
        <v>8969</v>
      </c>
      <c r="T1840" s="6" t="s">
        <v>16</v>
      </c>
      <c r="U1840" s="9" t="s">
        <v>17</v>
      </c>
      <c r="AI1840" s="6" t="s">
        <v>8514</v>
      </c>
      <c r="AJ1840" s="12" t="s">
        <v>8970</v>
      </c>
      <c r="AL1840" s="13" t="s">
        <v>8460</v>
      </c>
    </row>
    <row r="1841">
      <c r="A1841" s="5" t="s">
        <v>12089</v>
      </c>
      <c r="B1841" s="19" t="s">
        <v>12090</v>
      </c>
      <c r="C1841" s="19" t="s">
        <v>8933</v>
      </c>
      <c r="D1841" s="19" t="s">
        <v>8</v>
      </c>
      <c r="E1841" s="19"/>
      <c r="F1841" s="19"/>
      <c r="G1841" s="22" t="s">
        <v>12091</v>
      </c>
      <c r="H1841" s="19"/>
      <c r="I1841" s="19" t="s">
        <v>12092</v>
      </c>
      <c r="J1841" s="9">
        <v>18.8</v>
      </c>
      <c r="K1841" s="10" t="s">
        <v>11</v>
      </c>
      <c r="L1841" s="6"/>
      <c r="M1841" s="11" t="s">
        <v>17</v>
      </c>
      <c r="N1841" s="6"/>
      <c r="O1841" s="6" t="str">
        <f t="shared" si="1"/>
        <v>sku-MA398-YL</v>
      </c>
      <c r="P1841" s="10" t="s">
        <v>15</v>
      </c>
      <c r="Q1841" s="6"/>
      <c r="R1841" s="6"/>
      <c r="S1841" s="19" t="s">
        <v>8980</v>
      </c>
      <c r="T1841" s="6" t="s">
        <v>16</v>
      </c>
      <c r="U1841" s="9" t="s">
        <v>17</v>
      </c>
      <c r="AI1841" s="6" t="s">
        <v>8514</v>
      </c>
      <c r="AJ1841" s="12" t="s">
        <v>8981</v>
      </c>
      <c r="AL1841" s="13" t="s">
        <v>8460</v>
      </c>
    </row>
    <row r="1842">
      <c r="A1842" s="5" t="s">
        <v>12093</v>
      </c>
      <c r="B1842" s="19" t="s">
        <v>12094</v>
      </c>
      <c r="C1842" s="19" t="s">
        <v>8933</v>
      </c>
      <c r="D1842" s="19" t="s">
        <v>8</v>
      </c>
      <c r="E1842" s="19"/>
      <c r="F1842" s="19"/>
      <c r="G1842" s="22" t="s">
        <v>12095</v>
      </c>
      <c r="H1842" s="19"/>
      <c r="I1842" s="19" t="s">
        <v>12092</v>
      </c>
      <c r="J1842" s="9">
        <v>188.0</v>
      </c>
      <c r="K1842" s="10" t="s">
        <v>11</v>
      </c>
      <c r="L1842" s="6"/>
      <c r="M1842" s="11" t="s">
        <v>17</v>
      </c>
      <c r="N1842" s="6"/>
      <c r="O1842" s="6" t="str">
        <f t="shared" si="1"/>
        <v>sku-MA398X10-YL</v>
      </c>
      <c r="P1842" s="10" t="s">
        <v>15</v>
      </c>
      <c r="Q1842" s="6"/>
      <c r="R1842" s="6"/>
      <c r="S1842" s="19" t="s">
        <v>8980</v>
      </c>
      <c r="T1842" s="6" t="s">
        <v>16</v>
      </c>
      <c r="U1842" s="9" t="s">
        <v>17</v>
      </c>
      <c r="AI1842" s="6" t="s">
        <v>8514</v>
      </c>
      <c r="AJ1842" s="12" t="s">
        <v>8981</v>
      </c>
      <c r="AL1842" s="13" t="s">
        <v>8460</v>
      </c>
    </row>
    <row r="1843">
      <c r="A1843" s="5" t="s">
        <v>12096</v>
      </c>
      <c r="B1843" s="19" t="s">
        <v>12097</v>
      </c>
      <c r="C1843" s="19" t="s">
        <v>8933</v>
      </c>
      <c r="D1843" s="19" t="s">
        <v>8</v>
      </c>
      <c r="E1843" s="19"/>
      <c r="F1843" s="19"/>
      <c r="G1843" s="22" t="s">
        <v>12098</v>
      </c>
      <c r="H1843" s="19"/>
      <c r="I1843" s="19" t="s">
        <v>12099</v>
      </c>
      <c r="J1843" s="9">
        <v>18.8</v>
      </c>
      <c r="K1843" s="10" t="s">
        <v>11</v>
      </c>
      <c r="L1843" s="6"/>
      <c r="M1843" s="11" t="s">
        <v>17</v>
      </c>
      <c r="N1843" s="6"/>
      <c r="O1843" s="6" t="str">
        <f t="shared" si="1"/>
        <v>sku-MA399-YL</v>
      </c>
      <c r="P1843" s="10" t="s">
        <v>15</v>
      </c>
      <c r="Q1843" s="6"/>
      <c r="R1843" s="6"/>
      <c r="S1843" s="19" t="s">
        <v>8991</v>
      </c>
      <c r="T1843" s="6" t="s">
        <v>16</v>
      </c>
      <c r="U1843" s="9" t="s">
        <v>17</v>
      </c>
      <c r="AI1843" s="6" t="s">
        <v>8514</v>
      </c>
      <c r="AJ1843" s="12" t="s">
        <v>8992</v>
      </c>
      <c r="AL1843" s="13" t="s">
        <v>8460</v>
      </c>
    </row>
    <row r="1844">
      <c r="A1844" s="5" t="s">
        <v>12100</v>
      </c>
      <c r="B1844" s="19" t="s">
        <v>12101</v>
      </c>
      <c r="C1844" s="19" t="s">
        <v>8933</v>
      </c>
      <c r="D1844" s="19" t="s">
        <v>8</v>
      </c>
      <c r="E1844" s="19"/>
      <c r="F1844" s="19"/>
      <c r="G1844" s="22" t="s">
        <v>12102</v>
      </c>
      <c r="H1844" s="19"/>
      <c r="I1844" s="19" t="s">
        <v>12099</v>
      </c>
      <c r="J1844" s="9">
        <v>188.0</v>
      </c>
      <c r="K1844" s="10" t="s">
        <v>11</v>
      </c>
      <c r="L1844" s="6"/>
      <c r="M1844" s="11" t="s">
        <v>17</v>
      </c>
      <c r="N1844" s="6"/>
      <c r="O1844" s="6" t="str">
        <f t="shared" si="1"/>
        <v>sku-MA399X10-YL</v>
      </c>
      <c r="P1844" s="10" t="s">
        <v>15</v>
      </c>
      <c r="Q1844" s="6"/>
      <c r="R1844" s="6"/>
      <c r="S1844" s="19" t="s">
        <v>8991</v>
      </c>
      <c r="T1844" s="6" t="s">
        <v>16</v>
      </c>
      <c r="U1844" s="9" t="s">
        <v>17</v>
      </c>
      <c r="AI1844" s="6" t="s">
        <v>8514</v>
      </c>
      <c r="AJ1844" s="12" t="s">
        <v>8992</v>
      </c>
      <c r="AL1844" s="13" t="s">
        <v>8460</v>
      </c>
    </row>
    <row r="1845">
      <c r="A1845" s="5" t="s">
        <v>12103</v>
      </c>
      <c r="B1845" s="19" t="s">
        <v>12104</v>
      </c>
      <c r="C1845" s="19" t="s">
        <v>8933</v>
      </c>
      <c r="D1845" s="19" t="s">
        <v>8</v>
      </c>
      <c r="E1845" s="19"/>
      <c r="F1845" s="19"/>
      <c r="G1845" s="22" t="s">
        <v>12105</v>
      </c>
      <c r="H1845" s="19"/>
      <c r="I1845" s="19" t="s">
        <v>12106</v>
      </c>
      <c r="J1845" s="9">
        <v>18.8</v>
      </c>
      <c r="K1845" s="10" t="s">
        <v>11</v>
      </c>
      <c r="L1845" s="6"/>
      <c r="M1845" s="11" t="s">
        <v>17</v>
      </c>
      <c r="N1845" s="6"/>
      <c r="O1845" s="6" t="str">
        <f t="shared" si="1"/>
        <v>sku-MA400-YL</v>
      </c>
      <c r="P1845" s="10" t="s">
        <v>15</v>
      </c>
      <c r="Q1845" s="6"/>
      <c r="R1845" s="6"/>
      <c r="S1845" s="19" t="s">
        <v>9002</v>
      </c>
      <c r="T1845" s="6" t="s">
        <v>16</v>
      </c>
      <c r="U1845" s="9" t="s">
        <v>17</v>
      </c>
      <c r="AI1845" s="6" t="s">
        <v>8514</v>
      </c>
      <c r="AJ1845" s="12" t="s">
        <v>9003</v>
      </c>
      <c r="AL1845" s="13" t="s">
        <v>8460</v>
      </c>
    </row>
    <row r="1846">
      <c r="A1846" s="5" t="s">
        <v>12107</v>
      </c>
      <c r="B1846" s="19" t="s">
        <v>12108</v>
      </c>
      <c r="C1846" s="19" t="s">
        <v>8933</v>
      </c>
      <c r="D1846" s="19" t="s">
        <v>8</v>
      </c>
      <c r="E1846" s="19"/>
      <c r="F1846" s="19"/>
      <c r="G1846" s="22" t="s">
        <v>12109</v>
      </c>
      <c r="H1846" s="19"/>
      <c r="I1846" s="19" t="s">
        <v>12106</v>
      </c>
      <c r="J1846" s="9">
        <v>188.0</v>
      </c>
      <c r="K1846" s="10" t="s">
        <v>11</v>
      </c>
      <c r="L1846" s="6"/>
      <c r="M1846" s="11" t="s">
        <v>17</v>
      </c>
      <c r="N1846" s="6"/>
      <c r="O1846" s="6" t="str">
        <f t="shared" si="1"/>
        <v>sku-MA400X10-YL</v>
      </c>
      <c r="P1846" s="10" t="s">
        <v>15</v>
      </c>
      <c r="Q1846" s="6"/>
      <c r="R1846" s="6"/>
      <c r="S1846" s="19" t="s">
        <v>9002</v>
      </c>
      <c r="T1846" s="6" t="s">
        <v>16</v>
      </c>
      <c r="U1846" s="9" t="s">
        <v>17</v>
      </c>
      <c r="AI1846" s="6" t="s">
        <v>8514</v>
      </c>
      <c r="AJ1846" s="12" t="s">
        <v>9003</v>
      </c>
      <c r="AL1846" s="13" t="s">
        <v>8460</v>
      </c>
    </row>
    <row r="1847">
      <c r="A1847" s="5" t="s">
        <v>12110</v>
      </c>
      <c r="B1847" s="19" t="s">
        <v>12111</v>
      </c>
      <c r="C1847" s="19" t="s">
        <v>8933</v>
      </c>
      <c r="D1847" s="19" t="s">
        <v>8</v>
      </c>
      <c r="E1847" s="19"/>
      <c r="F1847" s="19"/>
      <c r="G1847" s="22" t="s">
        <v>12112</v>
      </c>
      <c r="H1847" s="19"/>
      <c r="I1847" s="19" t="s">
        <v>12113</v>
      </c>
      <c r="J1847" s="9">
        <v>18.8</v>
      </c>
      <c r="K1847" s="10" t="s">
        <v>11</v>
      </c>
      <c r="L1847" s="6"/>
      <c r="M1847" s="11" t="s">
        <v>17</v>
      </c>
      <c r="N1847" s="6"/>
      <c r="O1847" s="6" t="str">
        <f t="shared" si="1"/>
        <v>sku-MA401-YL</v>
      </c>
      <c r="P1847" s="10" t="s">
        <v>15</v>
      </c>
      <c r="Q1847" s="6"/>
      <c r="R1847" s="6"/>
      <c r="S1847" s="19" t="s">
        <v>9013</v>
      </c>
      <c r="T1847" s="6" t="s">
        <v>16</v>
      </c>
      <c r="U1847" s="9" t="s">
        <v>17</v>
      </c>
      <c r="AI1847" s="6" t="s">
        <v>8514</v>
      </c>
      <c r="AJ1847" s="12" t="s">
        <v>9014</v>
      </c>
      <c r="AL1847" s="13" t="s">
        <v>8460</v>
      </c>
    </row>
    <row r="1848">
      <c r="A1848" s="5" t="s">
        <v>12114</v>
      </c>
      <c r="B1848" s="19" t="s">
        <v>12115</v>
      </c>
      <c r="C1848" s="19" t="s">
        <v>8933</v>
      </c>
      <c r="D1848" s="19" t="s">
        <v>8</v>
      </c>
      <c r="E1848" s="19"/>
      <c r="F1848" s="19"/>
      <c r="G1848" s="22" t="s">
        <v>12116</v>
      </c>
      <c r="H1848" s="19"/>
      <c r="I1848" s="19" t="s">
        <v>12113</v>
      </c>
      <c r="J1848" s="9">
        <v>188.0</v>
      </c>
      <c r="K1848" s="10" t="s">
        <v>11</v>
      </c>
      <c r="L1848" s="6"/>
      <c r="M1848" s="11" t="s">
        <v>17</v>
      </c>
      <c r="N1848" s="6"/>
      <c r="O1848" s="6" t="str">
        <f t="shared" si="1"/>
        <v>sku-MA401X10-YL</v>
      </c>
      <c r="P1848" s="10" t="s">
        <v>15</v>
      </c>
      <c r="Q1848" s="6"/>
      <c r="R1848" s="6"/>
      <c r="S1848" s="19" t="s">
        <v>9013</v>
      </c>
      <c r="T1848" s="6" t="s">
        <v>16</v>
      </c>
      <c r="U1848" s="9" t="s">
        <v>17</v>
      </c>
      <c r="AI1848" s="6" t="s">
        <v>8514</v>
      </c>
      <c r="AJ1848" s="12" t="s">
        <v>9014</v>
      </c>
      <c r="AL1848" s="13" t="s">
        <v>8460</v>
      </c>
    </row>
    <row r="1849">
      <c r="A1849" s="5" t="s">
        <v>12117</v>
      </c>
      <c r="B1849" s="19" t="s">
        <v>12118</v>
      </c>
      <c r="C1849" s="19" t="s">
        <v>8933</v>
      </c>
      <c r="D1849" s="19" t="s">
        <v>8</v>
      </c>
      <c r="E1849" s="19"/>
      <c r="F1849" s="19"/>
      <c r="G1849" s="22" t="s">
        <v>12119</v>
      </c>
      <c r="H1849" s="19"/>
      <c r="I1849" s="19" t="s">
        <v>12120</v>
      </c>
      <c r="J1849" s="9">
        <v>18.8</v>
      </c>
      <c r="K1849" s="10" t="s">
        <v>11</v>
      </c>
      <c r="L1849" s="6"/>
      <c r="M1849" s="11" t="s">
        <v>17</v>
      </c>
      <c r="N1849" s="6"/>
      <c r="O1849" s="6" t="str">
        <f t="shared" si="1"/>
        <v>sku-MA402-YL</v>
      </c>
      <c r="P1849" s="10" t="s">
        <v>15</v>
      </c>
      <c r="Q1849" s="6"/>
      <c r="R1849" s="6"/>
      <c r="S1849" s="19" t="s">
        <v>9024</v>
      </c>
      <c r="T1849" s="6" t="s">
        <v>16</v>
      </c>
      <c r="U1849" s="9" t="s">
        <v>17</v>
      </c>
      <c r="AI1849" s="6" t="s">
        <v>8514</v>
      </c>
      <c r="AJ1849" s="12" t="s">
        <v>9025</v>
      </c>
      <c r="AL1849" s="13" t="s">
        <v>8460</v>
      </c>
    </row>
    <row r="1850">
      <c r="A1850" s="5" t="s">
        <v>12121</v>
      </c>
      <c r="B1850" s="19" t="s">
        <v>12122</v>
      </c>
      <c r="C1850" s="19" t="s">
        <v>8933</v>
      </c>
      <c r="D1850" s="19" t="s">
        <v>8</v>
      </c>
      <c r="E1850" s="19"/>
      <c r="F1850" s="19"/>
      <c r="G1850" s="22" t="s">
        <v>12123</v>
      </c>
      <c r="H1850" s="19"/>
      <c r="I1850" s="19" t="s">
        <v>12120</v>
      </c>
      <c r="J1850" s="9">
        <v>188.0</v>
      </c>
      <c r="K1850" s="10" t="s">
        <v>11</v>
      </c>
      <c r="L1850" s="6"/>
      <c r="M1850" s="11" t="s">
        <v>17</v>
      </c>
      <c r="N1850" s="6"/>
      <c r="O1850" s="6" t="str">
        <f t="shared" si="1"/>
        <v>sku-MA402X10-YL</v>
      </c>
      <c r="P1850" s="10" t="s">
        <v>15</v>
      </c>
      <c r="Q1850" s="6"/>
      <c r="R1850" s="6"/>
      <c r="S1850" s="19" t="s">
        <v>9024</v>
      </c>
      <c r="T1850" s="6" t="s">
        <v>16</v>
      </c>
      <c r="U1850" s="9" t="s">
        <v>17</v>
      </c>
      <c r="AI1850" s="6" t="s">
        <v>8514</v>
      </c>
      <c r="AJ1850" s="12" t="s">
        <v>9025</v>
      </c>
      <c r="AL1850" s="13" t="s">
        <v>8460</v>
      </c>
    </row>
    <row r="1851">
      <c r="A1851" s="5" t="s">
        <v>12124</v>
      </c>
      <c r="B1851" s="19" t="s">
        <v>12125</v>
      </c>
      <c r="C1851" s="19" t="s">
        <v>8933</v>
      </c>
      <c r="D1851" s="19" t="s">
        <v>8</v>
      </c>
      <c r="E1851" s="19"/>
      <c r="F1851" s="19"/>
      <c r="G1851" s="22" t="s">
        <v>12126</v>
      </c>
      <c r="H1851" s="19"/>
      <c r="I1851" s="19" t="s">
        <v>12127</v>
      </c>
      <c r="J1851" s="9">
        <v>18.8</v>
      </c>
      <c r="K1851" s="10" t="s">
        <v>11</v>
      </c>
      <c r="L1851" s="6"/>
      <c r="M1851" s="11" t="s">
        <v>17</v>
      </c>
      <c r="N1851" s="6"/>
      <c r="O1851" s="6" t="str">
        <f t="shared" si="1"/>
        <v>sku-MA403-YL</v>
      </c>
      <c r="P1851" s="10" t="s">
        <v>15</v>
      </c>
      <c r="Q1851" s="6"/>
      <c r="R1851" s="6"/>
      <c r="S1851" s="19" t="s">
        <v>9035</v>
      </c>
      <c r="T1851" s="6" t="s">
        <v>16</v>
      </c>
      <c r="U1851" s="9" t="s">
        <v>17</v>
      </c>
      <c r="AI1851" s="6" t="s">
        <v>8514</v>
      </c>
      <c r="AJ1851" s="12" t="s">
        <v>9036</v>
      </c>
      <c r="AL1851" s="13" t="s">
        <v>8460</v>
      </c>
    </row>
    <row r="1852">
      <c r="A1852" s="5" t="s">
        <v>12128</v>
      </c>
      <c r="B1852" s="19" t="s">
        <v>12129</v>
      </c>
      <c r="C1852" s="19" t="s">
        <v>8933</v>
      </c>
      <c r="D1852" s="19" t="s">
        <v>8</v>
      </c>
      <c r="E1852" s="19"/>
      <c r="F1852" s="19"/>
      <c r="G1852" s="22" t="s">
        <v>12130</v>
      </c>
      <c r="H1852" s="19"/>
      <c r="I1852" s="19" t="s">
        <v>12127</v>
      </c>
      <c r="J1852" s="9">
        <v>188.0</v>
      </c>
      <c r="K1852" s="10" t="s">
        <v>11</v>
      </c>
      <c r="L1852" s="6"/>
      <c r="M1852" s="11" t="s">
        <v>17</v>
      </c>
      <c r="N1852" s="6"/>
      <c r="O1852" s="6" t="str">
        <f t="shared" si="1"/>
        <v>sku-MA403X10-YL</v>
      </c>
      <c r="P1852" s="10" t="s">
        <v>15</v>
      </c>
      <c r="Q1852" s="6"/>
      <c r="R1852" s="6"/>
      <c r="S1852" s="19" t="s">
        <v>9035</v>
      </c>
      <c r="T1852" s="6" t="s">
        <v>16</v>
      </c>
      <c r="U1852" s="9" t="s">
        <v>17</v>
      </c>
      <c r="AI1852" s="6" t="s">
        <v>8514</v>
      </c>
      <c r="AJ1852" s="12" t="s">
        <v>9036</v>
      </c>
      <c r="AL1852" s="13" t="s">
        <v>8460</v>
      </c>
    </row>
    <row r="1853">
      <c r="A1853" s="5" t="s">
        <v>12131</v>
      </c>
      <c r="B1853" s="19" t="s">
        <v>12132</v>
      </c>
      <c r="C1853" s="19" t="s">
        <v>8510</v>
      </c>
      <c r="D1853" s="19" t="s">
        <v>8</v>
      </c>
      <c r="E1853" s="19"/>
      <c r="F1853" s="19"/>
      <c r="G1853" s="22" t="s">
        <v>12133</v>
      </c>
      <c r="H1853" s="19"/>
      <c r="I1853" s="19" t="s">
        <v>12134</v>
      </c>
      <c r="J1853" s="9">
        <v>18.8</v>
      </c>
      <c r="K1853" s="10" t="s">
        <v>11</v>
      </c>
      <c r="L1853" s="6"/>
      <c r="M1853" s="11" t="s">
        <v>17</v>
      </c>
      <c r="N1853" s="6"/>
      <c r="O1853" s="6" t="str">
        <f t="shared" si="1"/>
        <v>sku-MA404-YL</v>
      </c>
      <c r="P1853" s="10" t="s">
        <v>15</v>
      </c>
      <c r="Q1853" s="6"/>
      <c r="R1853" s="6"/>
      <c r="S1853" s="19" t="s">
        <v>9046</v>
      </c>
      <c r="T1853" s="6" t="s">
        <v>16</v>
      </c>
      <c r="U1853" s="9" t="s">
        <v>17</v>
      </c>
      <c r="AI1853" s="6" t="s">
        <v>8514</v>
      </c>
      <c r="AJ1853" s="12" t="s">
        <v>9047</v>
      </c>
      <c r="AL1853" s="13" t="s">
        <v>8460</v>
      </c>
    </row>
    <row r="1854">
      <c r="A1854" s="5" t="s">
        <v>12135</v>
      </c>
      <c r="B1854" s="19" t="s">
        <v>12136</v>
      </c>
      <c r="C1854" s="19" t="s">
        <v>8510</v>
      </c>
      <c r="D1854" s="19" t="s">
        <v>8</v>
      </c>
      <c r="E1854" s="19"/>
      <c r="F1854" s="19"/>
      <c r="G1854" s="22" t="s">
        <v>12137</v>
      </c>
      <c r="H1854" s="19"/>
      <c r="I1854" s="19" t="s">
        <v>12134</v>
      </c>
      <c r="J1854" s="9">
        <v>188.0</v>
      </c>
      <c r="K1854" s="10" t="s">
        <v>11</v>
      </c>
      <c r="L1854" s="6"/>
      <c r="M1854" s="11" t="s">
        <v>17</v>
      </c>
      <c r="N1854" s="6"/>
      <c r="O1854" s="6" t="str">
        <f t="shared" si="1"/>
        <v>sku-MA404X10-YL</v>
      </c>
      <c r="P1854" s="10" t="s">
        <v>15</v>
      </c>
      <c r="Q1854" s="6"/>
      <c r="R1854" s="6"/>
      <c r="S1854" s="19" t="s">
        <v>9046</v>
      </c>
      <c r="T1854" s="6" t="s">
        <v>16</v>
      </c>
      <c r="U1854" s="9" t="s">
        <v>17</v>
      </c>
      <c r="AI1854" s="6" t="s">
        <v>8514</v>
      </c>
      <c r="AJ1854" s="12" t="s">
        <v>9047</v>
      </c>
      <c r="AL1854" s="13" t="s">
        <v>8460</v>
      </c>
    </row>
    <row r="1855">
      <c r="A1855" s="5" t="s">
        <v>12138</v>
      </c>
      <c r="B1855" s="19" t="s">
        <v>12139</v>
      </c>
      <c r="C1855" s="19" t="s">
        <v>8510</v>
      </c>
      <c r="D1855" s="19" t="s">
        <v>8</v>
      </c>
      <c r="E1855" s="19"/>
      <c r="F1855" s="19"/>
      <c r="G1855" s="22" t="s">
        <v>12140</v>
      </c>
      <c r="H1855" s="19"/>
      <c r="I1855" s="19" t="s">
        <v>12141</v>
      </c>
      <c r="J1855" s="9">
        <v>18.8</v>
      </c>
      <c r="K1855" s="10" t="s">
        <v>11</v>
      </c>
      <c r="L1855" s="6"/>
      <c r="M1855" s="11" t="s">
        <v>17</v>
      </c>
      <c r="N1855" s="6"/>
      <c r="O1855" s="6" t="str">
        <f t="shared" si="1"/>
        <v>sku-MA405-YL</v>
      </c>
      <c r="P1855" s="10" t="s">
        <v>15</v>
      </c>
      <c r="Q1855" s="6"/>
      <c r="R1855" s="6"/>
      <c r="S1855" s="19" t="s">
        <v>9057</v>
      </c>
      <c r="T1855" s="6" t="s">
        <v>16</v>
      </c>
      <c r="U1855" s="9" t="s">
        <v>17</v>
      </c>
      <c r="AI1855" s="6" t="s">
        <v>8514</v>
      </c>
      <c r="AJ1855" s="12" t="s">
        <v>9058</v>
      </c>
      <c r="AL1855" s="13" t="s">
        <v>8460</v>
      </c>
    </row>
    <row r="1856">
      <c r="A1856" s="5" t="s">
        <v>12142</v>
      </c>
      <c r="B1856" s="19" t="s">
        <v>12143</v>
      </c>
      <c r="C1856" s="19" t="s">
        <v>8510</v>
      </c>
      <c r="D1856" s="19" t="s">
        <v>8</v>
      </c>
      <c r="E1856" s="19"/>
      <c r="F1856" s="19"/>
      <c r="G1856" s="22" t="s">
        <v>12144</v>
      </c>
      <c r="H1856" s="19"/>
      <c r="I1856" s="19" t="s">
        <v>12141</v>
      </c>
      <c r="J1856" s="9">
        <v>188.0</v>
      </c>
      <c r="K1856" s="10" t="s">
        <v>11</v>
      </c>
      <c r="L1856" s="6"/>
      <c r="M1856" s="11" t="s">
        <v>17</v>
      </c>
      <c r="N1856" s="6"/>
      <c r="O1856" s="6" t="str">
        <f t="shared" si="1"/>
        <v>sku-MA405X10-YL</v>
      </c>
      <c r="P1856" s="10" t="s">
        <v>15</v>
      </c>
      <c r="Q1856" s="6"/>
      <c r="R1856" s="6"/>
      <c r="S1856" s="19" t="s">
        <v>9057</v>
      </c>
      <c r="T1856" s="6" t="s">
        <v>16</v>
      </c>
      <c r="U1856" s="9" t="s">
        <v>17</v>
      </c>
      <c r="AI1856" s="6" t="s">
        <v>8514</v>
      </c>
      <c r="AJ1856" s="12" t="s">
        <v>9058</v>
      </c>
      <c r="AL1856" s="13" t="s">
        <v>8460</v>
      </c>
    </row>
    <row r="1857">
      <c r="A1857" s="5" t="s">
        <v>12145</v>
      </c>
      <c r="B1857" s="19" t="s">
        <v>12146</v>
      </c>
      <c r="C1857" s="19" t="s">
        <v>8933</v>
      </c>
      <c r="D1857" s="19" t="s">
        <v>8</v>
      </c>
      <c r="E1857" s="19"/>
      <c r="F1857" s="19"/>
      <c r="G1857" s="22" t="s">
        <v>12147</v>
      </c>
      <c r="H1857" s="19"/>
      <c r="I1857" s="19" t="s">
        <v>12148</v>
      </c>
      <c r="J1857" s="9">
        <v>18.8</v>
      </c>
      <c r="K1857" s="10" t="s">
        <v>11</v>
      </c>
      <c r="L1857" s="6"/>
      <c r="M1857" s="11" t="s">
        <v>17</v>
      </c>
      <c r="N1857" s="6"/>
      <c r="O1857" s="6" t="str">
        <f t="shared" si="1"/>
        <v>sku-MA406-YL</v>
      </c>
      <c r="P1857" s="10" t="s">
        <v>15</v>
      </c>
      <c r="Q1857" s="6"/>
      <c r="R1857" s="6"/>
      <c r="S1857" s="19" t="s">
        <v>9068</v>
      </c>
      <c r="T1857" s="6" t="s">
        <v>16</v>
      </c>
      <c r="U1857" s="9" t="s">
        <v>17</v>
      </c>
      <c r="AI1857" s="6" t="s">
        <v>8514</v>
      </c>
      <c r="AJ1857" s="12" t="s">
        <v>9069</v>
      </c>
      <c r="AL1857" s="13" t="s">
        <v>8460</v>
      </c>
    </row>
    <row r="1858">
      <c r="A1858" s="5" t="s">
        <v>12149</v>
      </c>
      <c r="B1858" s="19" t="s">
        <v>12150</v>
      </c>
      <c r="C1858" s="19" t="s">
        <v>8510</v>
      </c>
      <c r="D1858" s="19" t="s">
        <v>8</v>
      </c>
      <c r="E1858" s="19"/>
      <c r="F1858" s="19"/>
      <c r="G1858" s="22" t="s">
        <v>12151</v>
      </c>
      <c r="H1858" s="19"/>
      <c r="I1858" s="19" t="s">
        <v>12152</v>
      </c>
      <c r="J1858" s="9">
        <v>13.9</v>
      </c>
      <c r="K1858" s="10" t="s">
        <v>11</v>
      </c>
      <c r="L1858" s="6"/>
      <c r="M1858" s="11" t="s">
        <v>17</v>
      </c>
      <c r="N1858" s="6"/>
      <c r="O1858" s="6" t="str">
        <f t="shared" si="1"/>
        <v>sku-MA531-YL</v>
      </c>
      <c r="P1858" s="10" t="s">
        <v>15</v>
      </c>
      <c r="Q1858" s="6"/>
      <c r="R1858" s="6"/>
      <c r="S1858" s="19" t="s">
        <v>9110</v>
      </c>
      <c r="T1858" s="6" t="s">
        <v>16</v>
      </c>
      <c r="U1858" s="9" t="s">
        <v>17</v>
      </c>
      <c r="AI1858" s="6" t="s">
        <v>8514</v>
      </c>
      <c r="AJ1858" s="12" t="s">
        <v>9151</v>
      </c>
      <c r="AL1858" s="13" t="s">
        <v>8460</v>
      </c>
    </row>
    <row r="1859">
      <c r="A1859" s="5" t="s">
        <v>12153</v>
      </c>
      <c r="B1859" s="19" t="s">
        <v>12154</v>
      </c>
      <c r="C1859" s="19" t="s">
        <v>8510</v>
      </c>
      <c r="D1859" s="19" t="s">
        <v>8</v>
      </c>
      <c r="E1859" s="19"/>
      <c r="F1859" s="19"/>
      <c r="G1859" s="22" t="s">
        <v>12155</v>
      </c>
      <c r="H1859" s="19"/>
      <c r="I1859" s="19" t="s">
        <v>12152</v>
      </c>
      <c r="J1859" s="9">
        <v>139.0</v>
      </c>
      <c r="K1859" s="10" t="s">
        <v>11</v>
      </c>
      <c r="L1859" s="6"/>
      <c r="M1859" s="11" t="s">
        <v>17</v>
      </c>
      <c r="N1859" s="6"/>
      <c r="O1859" s="6" t="str">
        <f t="shared" si="1"/>
        <v>sku-MA531X11-YL</v>
      </c>
      <c r="P1859" s="10" t="s">
        <v>15</v>
      </c>
      <c r="Q1859" s="6"/>
      <c r="R1859" s="6"/>
      <c r="S1859" s="19" t="s">
        <v>9110</v>
      </c>
      <c r="T1859" s="6" t="s">
        <v>16</v>
      </c>
      <c r="U1859" s="9" t="s">
        <v>17</v>
      </c>
      <c r="AI1859" s="6" t="s">
        <v>8514</v>
      </c>
      <c r="AJ1859" s="12" t="s">
        <v>9151</v>
      </c>
      <c r="AL1859" s="13" t="s">
        <v>8460</v>
      </c>
    </row>
    <row r="1860">
      <c r="A1860" s="5" t="s">
        <v>12156</v>
      </c>
      <c r="B1860" s="19" t="s">
        <v>12157</v>
      </c>
      <c r="C1860" s="19" t="s">
        <v>8510</v>
      </c>
      <c r="D1860" s="19" t="s">
        <v>8</v>
      </c>
      <c r="E1860" s="19"/>
      <c r="F1860" s="19"/>
      <c r="G1860" s="22" t="s">
        <v>12158</v>
      </c>
      <c r="H1860" s="19"/>
      <c r="I1860" s="19" t="s">
        <v>12159</v>
      </c>
      <c r="J1860" s="9">
        <v>13.9</v>
      </c>
      <c r="K1860" s="10" t="s">
        <v>11</v>
      </c>
      <c r="L1860" s="6"/>
      <c r="M1860" s="11" t="s">
        <v>17</v>
      </c>
      <c r="N1860" s="6"/>
      <c r="O1860" s="6" t="str">
        <f t="shared" si="1"/>
        <v>sku-MA532-YL</v>
      </c>
      <c r="P1860" s="10" t="s">
        <v>15</v>
      </c>
      <c r="Q1860" s="6"/>
      <c r="R1860" s="6"/>
      <c r="S1860" s="19"/>
      <c r="T1860" s="6" t="s">
        <v>16</v>
      </c>
      <c r="U1860" s="9" t="s">
        <v>17</v>
      </c>
      <c r="AI1860" s="6" t="s">
        <v>8514</v>
      </c>
      <c r="AJ1860" s="12" t="s">
        <v>9161</v>
      </c>
      <c r="AL1860" s="13" t="s">
        <v>8460</v>
      </c>
    </row>
    <row r="1861">
      <c r="A1861" s="5" t="s">
        <v>12160</v>
      </c>
      <c r="B1861" s="19" t="s">
        <v>12161</v>
      </c>
      <c r="C1861" s="19" t="s">
        <v>8510</v>
      </c>
      <c r="D1861" s="19" t="s">
        <v>8</v>
      </c>
      <c r="E1861" s="19"/>
      <c r="F1861" s="19"/>
      <c r="G1861" s="22" t="s">
        <v>12162</v>
      </c>
      <c r="H1861" s="19"/>
      <c r="I1861" s="19" t="s">
        <v>12159</v>
      </c>
      <c r="J1861" s="9">
        <v>139.0</v>
      </c>
      <c r="K1861" s="10" t="s">
        <v>11</v>
      </c>
      <c r="L1861" s="6"/>
      <c r="M1861" s="11" t="s">
        <v>17</v>
      </c>
      <c r="N1861" s="6"/>
      <c r="O1861" s="6" t="str">
        <f t="shared" si="1"/>
        <v>sku-MA532X11-YL</v>
      </c>
      <c r="P1861" s="10" t="s">
        <v>15</v>
      </c>
      <c r="Q1861" s="6"/>
      <c r="R1861" s="6"/>
      <c r="S1861" s="19"/>
      <c r="T1861" s="6" t="s">
        <v>16</v>
      </c>
      <c r="U1861" s="9" t="s">
        <v>17</v>
      </c>
      <c r="AI1861" s="6" t="s">
        <v>8514</v>
      </c>
      <c r="AJ1861" s="12" t="s">
        <v>9161</v>
      </c>
      <c r="AL1861" s="13" t="s">
        <v>8460</v>
      </c>
    </row>
    <row r="1862">
      <c r="A1862" s="5" t="s">
        <v>12163</v>
      </c>
      <c r="B1862" s="19" t="s">
        <v>12164</v>
      </c>
      <c r="C1862" s="19" t="s">
        <v>8510</v>
      </c>
      <c r="D1862" s="19" t="s">
        <v>8</v>
      </c>
      <c r="E1862" s="19"/>
      <c r="F1862" s="19"/>
      <c r="G1862" s="22" t="s">
        <v>12165</v>
      </c>
      <c r="H1862" s="19"/>
      <c r="I1862" s="19" t="s">
        <v>12166</v>
      </c>
      <c r="J1862" s="9">
        <v>13.9</v>
      </c>
      <c r="K1862" s="10" t="s">
        <v>11</v>
      </c>
      <c r="L1862" s="6"/>
      <c r="M1862" s="11" t="s">
        <v>17</v>
      </c>
      <c r="N1862" s="6"/>
      <c r="O1862" s="6" t="str">
        <f t="shared" si="1"/>
        <v>sku-MA551-YL</v>
      </c>
      <c r="P1862" s="10" t="s">
        <v>15</v>
      </c>
      <c r="Q1862" s="6"/>
      <c r="R1862" s="6"/>
      <c r="S1862" s="19" t="s">
        <v>9206</v>
      </c>
      <c r="T1862" s="6" t="s">
        <v>16</v>
      </c>
      <c r="U1862" s="9" t="s">
        <v>17</v>
      </c>
      <c r="AI1862" s="6" t="s">
        <v>8514</v>
      </c>
      <c r="AJ1862" s="12" t="s">
        <v>9207</v>
      </c>
      <c r="AL1862" s="13" t="s">
        <v>8460</v>
      </c>
    </row>
    <row r="1863">
      <c r="A1863" s="5" t="s">
        <v>12167</v>
      </c>
      <c r="B1863" s="19" t="s">
        <v>12168</v>
      </c>
      <c r="C1863" s="19" t="s">
        <v>8510</v>
      </c>
      <c r="D1863" s="19" t="s">
        <v>8</v>
      </c>
      <c r="E1863" s="19"/>
      <c r="F1863" s="19"/>
      <c r="G1863" s="22" t="s">
        <v>12169</v>
      </c>
      <c r="H1863" s="19"/>
      <c r="I1863" s="19" t="s">
        <v>12166</v>
      </c>
      <c r="J1863" s="9">
        <v>139.0</v>
      </c>
      <c r="K1863" s="10" t="s">
        <v>11</v>
      </c>
      <c r="L1863" s="6"/>
      <c r="M1863" s="11" t="s">
        <v>17</v>
      </c>
      <c r="N1863" s="6"/>
      <c r="O1863" s="6" t="str">
        <f t="shared" si="1"/>
        <v>sku-MA551X11-YL</v>
      </c>
      <c r="P1863" s="10" t="s">
        <v>15</v>
      </c>
      <c r="Q1863" s="6"/>
      <c r="R1863" s="6"/>
      <c r="S1863" s="19" t="s">
        <v>9206</v>
      </c>
      <c r="T1863" s="6" t="s">
        <v>16</v>
      </c>
      <c r="U1863" s="9" t="s">
        <v>17</v>
      </c>
      <c r="AI1863" s="6" t="s">
        <v>8514</v>
      </c>
      <c r="AJ1863" s="12" t="s">
        <v>9207</v>
      </c>
      <c r="AL1863" s="13" t="s">
        <v>8460</v>
      </c>
    </row>
    <row r="1864">
      <c r="A1864" s="5" t="s">
        <v>12170</v>
      </c>
      <c r="B1864" s="19" t="s">
        <v>12171</v>
      </c>
      <c r="C1864" s="19" t="s">
        <v>8510</v>
      </c>
      <c r="D1864" s="19" t="s">
        <v>8</v>
      </c>
      <c r="E1864" s="19"/>
      <c r="F1864" s="19"/>
      <c r="G1864" s="22" t="s">
        <v>12172</v>
      </c>
      <c r="H1864" s="19"/>
      <c r="I1864" s="19" t="s">
        <v>12173</v>
      </c>
      <c r="J1864" s="9">
        <v>13.9</v>
      </c>
      <c r="K1864" s="10" t="s">
        <v>11</v>
      </c>
      <c r="L1864" s="6"/>
      <c r="M1864" s="11" t="s">
        <v>17</v>
      </c>
      <c r="N1864" s="6"/>
      <c r="O1864" s="6" t="str">
        <f t="shared" si="1"/>
        <v>sku-MA561-YL</v>
      </c>
      <c r="P1864" s="10" t="s">
        <v>15</v>
      </c>
      <c r="Q1864" s="6"/>
      <c r="R1864" s="6"/>
      <c r="S1864" s="19" t="s">
        <v>9235</v>
      </c>
      <c r="T1864" s="6" t="s">
        <v>16</v>
      </c>
      <c r="U1864" s="9" t="s">
        <v>17</v>
      </c>
      <c r="AI1864" s="6" t="s">
        <v>8514</v>
      </c>
      <c r="AJ1864" s="12" t="s">
        <v>9237</v>
      </c>
      <c r="AL1864" s="13" t="s">
        <v>8460</v>
      </c>
    </row>
    <row r="1865">
      <c r="A1865" s="5" t="s">
        <v>12174</v>
      </c>
      <c r="B1865" s="19" t="s">
        <v>12175</v>
      </c>
      <c r="C1865" s="19" t="s">
        <v>8510</v>
      </c>
      <c r="D1865" s="19" t="s">
        <v>8</v>
      </c>
      <c r="E1865" s="19"/>
      <c r="F1865" s="19"/>
      <c r="G1865" s="22" t="s">
        <v>12176</v>
      </c>
      <c r="H1865" s="19"/>
      <c r="I1865" s="19" t="s">
        <v>12173</v>
      </c>
      <c r="J1865" s="9">
        <v>139.0</v>
      </c>
      <c r="K1865" s="10" t="s">
        <v>11</v>
      </c>
      <c r="L1865" s="6"/>
      <c r="M1865" s="11" t="s">
        <v>17</v>
      </c>
      <c r="N1865" s="6"/>
      <c r="O1865" s="6" t="str">
        <f t="shared" si="1"/>
        <v>sku-MA561X10-YL</v>
      </c>
      <c r="P1865" s="10" t="s">
        <v>15</v>
      </c>
      <c r="Q1865" s="6"/>
      <c r="R1865" s="6"/>
      <c r="S1865" s="19" t="s">
        <v>9235</v>
      </c>
      <c r="T1865" s="6" t="s">
        <v>16</v>
      </c>
      <c r="U1865" s="9" t="s">
        <v>17</v>
      </c>
      <c r="AI1865" s="6" t="s">
        <v>8514</v>
      </c>
      <c r="AJ1865" s="12" t="s">
        <v>9237</v>
      </c>
      <c r="AL1865" s="13" t="s">
        <v>8460</v>
      </c>
    </row>
    <row r="1866">
      <c r="A1866" s="5" t="s">
        <v>12177</v>
      </c>
      <c r="B1866" s="19" t="s">
        <v>12178</v>
      </c>
      <c r="C1866" s="19" t="s">
        <v>9330</v>
      </c>
      <c r="D1866" s="19" t="s">
        <v>8</v>
      </c>
      <c r="E1866" s="19"/>
      <c r="F1866" s="19"/>
      <c r="G1866" s="22" t="s">
        <v>12179</v>
      </c>
      <c r="H1866" s="19"/>
      <c r="I1866" s="19" t="s">
        <v>12180</v>
      </c>
      <c r="J1866" s="9">
        <v>16.9</v>
      </c>
      <c r="K1866" s="10" t="s">
        <v>11</v>
      </c>
      <c r="L1866" s="6"/>
      <c r="M1866" s="11" t="s">
        <v>17</v>
      </c>
      <c r="N1866" s="6"/>
      <c r="O1866" s="6" t="str">
        <f t="shared" si="1"/>
        <v>sku-MA644-TBCOUPE</v>
      </c>
      <c r="P1866" s="10" t="s">
        <v>15</v>
      </c>
      <c r="Q1866" s="6"/>
      <c r="R1866" s="6"/>
      <c r="S1866" s="19" t="s">
        <v>12181</v>
      </c>
      <c r="T1866" s="6" t="s">
        <v>16</v>
      </c>
      <c r="U1866" s="9" t="s">
        <v>17</v>
      </c>
      <c r="AI1866" s="6" t="s">
        <v>8458</v>
      </c>
      <c r="AJ1866" s="12" t="s">
        <v>12182</v>
      </c>
      <c r="AL1866" s="13" t="s">
        <v>8460</v>
      </c>
    </row>
    <row r="1867">
      <c r="A1867" s="5" t="s">
        <v>12183</v>
      </c>
      <c r="B1867" s="19" t="s">
        <v>12184</v>
      </c>
      <c r="C1867" s="19" t="s">
        <v>9330</v>
      </c>
      <c r="D1867" s="19" t="s">
        <v>8</v>
      </c>
      <c r="E1867" s="19"/>
      <c r="F1867" s="19"/>
      <c r="G1867" s="22" t="s">
        <v>12185</v>
      </c>
      <c r="H1867" s="19"/>
      <c r="I1867" s="19" t="s">
        <v>12186</v>
      </c>
      <c r="J1867" s="9">
        <v>20.9</v>
      </c>
      <c r="K1867" s="10" t="s">
        <v>11</v>
      </c>
      <c r="L1867" s="6"/>
      <c r="M1867" s="11" t="s">
        <v>17</v>
      </c>
      <c r="N1867" s="6"/>
      <c r="O1867" s="6" t="str">
        <f t="shared" si="1"/>
        <v>sku-MA644-TBMINI</v>
      </c>
      <c r="P1867" s="10" t="s">
        <v>15</v>
      </c>
      <c r="Q1867" s="6"/>
      <c r="R1867" s="6"/>
      <c r="S1867" s="19" t="s">
        <v>12187</v>
      </c>
      <c r="T1867" s="6" t="s">
        <v>16</v>
      </c>
      <c r="U1867" s="9" t="s">
        <v>17</v>
      </c>
      <c r="AI1867" s="6" t="s">
        <v>8458</v>
      </c>
      <c r="AJ1867" s="12" t="s">
        <v>12188</v>
      </c>
      <c r="AL1867" s="13" t="s">
        <v>8460</v>
      </c>
    </row>
    <row r="1868">
      <c r="A1868" s="5" t="s">
        <v>12189</v>
      </c>
      <c r="B1868" s="19" t="s">
        <v>12190</v>
      </c>
      <c r="C1868" s="19" t="s">
        <v>9330</v>
      </c>
      <c r="D1868" s="19" t="s">
        <v>8</v>
      </c>
      <c r="E1868" s="19"/>
      <c r="F1868" s="19"/>
      <c r="G1868" s="22" t="s">
        <v>12191</v>
      </c>
      <c r="H1868" s="19"/>
      <c r="I1868" s="19" t="s">
        <v>12192</v>
      </c>
      <c r="J1868" s="9">
        <v>26.9</v>
      </c>
      <c r="K1868" s="10" t="s">
        <v>11</v>
      </c>
      <c r="L1868" s="6"/>
      <c r="M1868" s="11" t="s">
        <v>17</v>
      </c>
      <c r="N1868" s="6"/>
      <c r="O1868" s="6" t="str">
        <f t="shared" si="1"/>
        <v>sku-MA644-TBVRAC</v>
      </c>
      <c r="P1868" s="10" t="s">
        <v>15</v>
      </c>
      <c r="Q1868" s="6"/>
      <c r="R1868" s="6"/>
      <c r="S1868" s="19" t="s">
        <v>12193</v>
      </c>
      <c r="T1868" s="6" t="s">
        <v>16</v>
      </c>
      <c r="U1868" s="9" t="s">
        <v>17</v>
      </c>
      <c r="AI1868" s="6" t="s">
        <v>8458</v>
      </c>
      <c r="AJ1868" s="12" t="s">
        <v>12194</v>
      </c>
      <c r="AL1868" s="13" t="s">
        <v>8460</v>
      </c>
    </row>
    <row r="1869">
      <c r="A1869" s="5" t="s">
        <v>12195</v>
      </c>
      <c r="B1869" s="19" t="s">
        <v>12196</v>
      </c>
      <c r="C1869" s="19" t="s">
        <v>12197</v>
      </c>
      <c r="D1869" s="19" t="s">
        <v>8</v>
      </c>
      <c r="E1869" s="19"/>
      <c r="F1869" s="19"/>
      <c r="G1869" s="22" t="s">
        <v>12198</v>
      </c>
      <c r="H1869" s="19"/>
      <c r="I1869" s="19" t="s">
        <v>12199</v>
      </c>
      <c r="J1869" s="9">
        <v>9.9</v>
      </c>
      <c r="K1869" s="10" t="s">
        <v>11</v>
      </c>
      <c r="L1869" s="6"/>
      <c r="M1869" s="11" t="s">
        <v>17</v>
      </c>
      <c r="N1869" s="6"/>
      <c r="O1869" s="6" t="str">
        <f t="shared" si="1"/>
        <v>sku-MA645-NYBTN</v>
      </c>
      <c r="P1869" s="10" t="s">
        <v>15</v>
      </c>
      <c r="Q1869" s="6"/>
      <c r="R1869" s="6"/>
      <c r="S1869" s="19" t="s">
        <v>12200</v>
      </c>
      <c r="T1869" s="6" t="s">
        <v>16</v>
      </c>
      <c r="U1869" s="9" t="s">
        <v>17</v>
      </c>
      <c r="AI1869" s="6" t="s">
        <v>8458</v>
      </c>
      <c r="AJ1869" s="12" t="s">
        <v>12201</v>
      </c>
      <c r="AL1869" s="13" t="s">
        <v>8460</v>
      </c>
    </row>
    <row r="1870">
      <c r="A1870" s="5" t="s">
        <v>12202</v>
      </c>
      <c r="B1870" s="19" t="s">
        <v>12203</v>
      </c>
      <c r="C1870" s="19" t="s">
        <v>12204</v>
      </c>
      <c r="D1870" s="19" t="s">
        <v>8</v>
      </c>
      <c r="E1870" s="19"/>
      <c r="F1870" s="19"/>
      <c r="G1870" s="22" t="s">
        <v>12205</v>
      </c>
      <c r="H1870" s="19"/>
      <c r="I1870" s="19" t="s">
        <v>12206</v>
      </c>
      <c r="J1870" s="9">
        <v>8.9</v>
      </c>
      <c r="K1870" s="10" t="s">
        <v>11</v>
      </c>
      <c r="L1870" s="6"/>
      <c r="M1870" s="11" t="s">
        <v>17</v>
      </c>
      <c r="N1870" s="6"/>
      <c r="O1870" s="6" t="str">
        <f t="shared" si="1"/>
        <v>sku-MA645-NYCOUPE</v>
      </c>
      <c r="P1870" s="10" t="s">
        <v>15</v>
      </c>
      <c r="Q1870" s="6"/>
      <c r="R1870" s="6"/>
      <c r="S1870" s="19" t="s">
        <v>12207</v>
      </c>
      <c r="T1870" s="6" t="s">
        <v>16</v>
      </c>
      <c r="U1870" s="9" t="s">
        <v>17</v>
      </c>
      <c r="AI1870" s="6" t="s">
        <v>8458</v>
      </c>
      <c r="AJ1870" s="12" t="s">
        <v>12208</v>
      </c>
      <c r="AL1870" s="13" t="s">
        <v>8460</v>
      </c>
    </row>
    <row r="1871">
      <c r="A1871" s="5" t="s">
        <v>12209</v>
      </c>
      <c r="B1871" s="19" t="s">
        <v>12210</v>
      </c>
      <c r="C1871" s="19" t="s">
        <v>12197</v>
      </c>
      <c r="D1871" s="19" t="s">
        <v>8</v>
      </c>
      <c r="E1871" s="19"/>
      <c r="F1871" s="19"/>
      <c r="G1871" s="22" t="s">
        <v>12211</v>
      </c>
      <c r="H1871" s="19"/>
      <c r="I1871" s="19" t="s">
        <v>12212</v>
      </c>
      <c r="J1871" s="9">
        <v>11.9</v>
      </c>
      <c r="K1871" s="10" t="s">
        <v>11</v>
      </c>
      <c r="L1871" s="6"/>
      <c r="M1871" s="11" t="s">
        <v>17</v>
      </c>
      <c r="N1871" s="6"/>
      <c r="O1871" s="6" t="str">
        <f t="shared" si="1"/>
        <v>sku-MA645-NYMINI</v>
      </c>
      <c r="P1871" s="10" t="s">
        <v>15</v>
      </c>
      <c r="Q1871" s="6"/>
      <c r="R1871" s="6"/>
      <c r="S1871" s="19" t="s">
        <v>12213</v>
      </c>
      <c r="T1871" s="6" t="s">
        <v>16</v>
      </c>
      <c r="U1871" s="9" t="s">
        <v>17</v>
      </c>
      <c r="AI1871" s="6" t="s">
        <v>8458</v>
      </c>
      <c r="AJ1871" s="12" t="s">
        <v>12214</v>
      </c>
      <c r="AL1871" s="13" t="s">
        <v>8460</v>
      </c>
    </row>
    <row r="1872">
      <c r="A1872" s="5" t="s">
        <v>12215</v>
      </c>
      <c r="B1872" s="19" t="s">
        <v>12216</v>
      </c>
      <c r="C1872" s="19" t="s">
        <v>12217</v>
      </c>
      <c r="D1872" s="19" t="s">
        <v>8</v>
      </c>
      <c r="E1872" s="19"/>
      <c r="F1872" s="19"/>
      <c r="G1872" s="22" t="s">
        <v>12218</v>
      </c>
      <c r="H1872" s="19"/>
      <c r="I1872" s="19" t="s">
        <v>12219</v>
      </c>
      <c r="J1872" s="9">
        <v>13.9</v>
      </c>
      <c r="K1872" s="10" t="s">
        <v>11</v>
      </c>
      <c r="L1872" s="6"/>
      <c r="M1872" s="11" t="s">
        <v>17</v>
      </c>
      <c r="N1872" s="6"/>
      <c r="O1872" s="6" t="str">
        <f t="shared" si="1"/>
        <v>sku-MA646-NYBT</v>
      </c>
      <c r="P1872" s="10" t="s">
        <v>15</v>
      </c>
      <c r="Q1872" s="6"/>
      <c r="R1872" s="6"/>
      <c r="S1872" s="19" t="s">
        <v>12220</v>
      </c>
      <c r="T1872" s="6" t="s">
        <v>16</v>
      </c>
      <c r="U1872" s="9" t="s">
        <v>17</v>
      </c>
      <c r="AI1872" s="6" t="s">
        <v>8458</v>
      </c>
      <c r="AJ1872" s="12" t="s">
        <v>12221</v>
      </c>
      <c r="AL1872" s="13" t="s">
        <v>8460</v>
      </c>
    </row>
    <row r="1873">
      <c r="A1873" s="5" t="s">
        <v>12222</v>
      </c>
      <c r="B1873" s="19" t="s">
        <v>12223</v>
      </c>
      <c r="C1873" s="19" t="s">
        <v>12217</v>
      </c>
      <c r="D1873" s="19" t="s">
        <v>8</v>
      </c>
      <c r="E1873" s="19"/>
      <c r="F1873" s="19"/>
      <c r="G1873" s="22" t="s">
        <v>12224</v>
      </c>
      <c r="H1873" s="19"/>
      <c r="I1873" s="19" t="s">
        <v>12225</v>
      </c>
      <c r="J1873" s="9">
        <v>48.9</v>
      </c>
      <c r="K1873" s="10" t="s">
        <v>11</v>
      </c>
      <c r="L1873" s="6"/>
      <c r="M1873" s="11" t="s">
        <v>17</v>
      </c>
      <c r="N1873" s="6"/>
      <c r="O1873" s="6" t="str">
        <f t="shared" si="1"/>
        <v>sku-MA646-NYBTN</v>
      </c>
      <c r="P1873" s="10" t="s">
        <v>15</v>
      </c>
      <c r="Q1873" s="6"/>
      <c r="R1873" s="6"/>
      <c r="S1873" s="19" t="s">
        <v>12226</v>
      </c>
      <c r="T1873" s="6" t="s">
        <v>16</v>
      </c>
      <c r="U1873" s="9" t="s">
        <v>17</v>
      </c>
      <c r="AI1873" s="6" t="s">
        <v>8458</v>
      </c>
      <c r="AJ1873" s="12" t="s">
        <v>12227</v>
      </c>
      <c r="AL1873" s="13" t="s">
        <v>8460</v>
      </c>
    </row>
    <row r="1874">
      <c r="A1874" s="5" t="s">
        <v>12228</v>
      </c>
      <c r="B1874" s="19" t="s">
        <v>12229</v>
      </c>
      <c r="C1874" s="19" t="s">
        <v>12217</v>
      </c>
      <c r="D1874" s="19" t="s">
        <v>8</v>
      </c>
      <c r="E1874" s="19"/>
      <c r="F1874" s="19"/>
      <c r="G1874" s="22" t="s">
        <v>12230</v>
      </c>
      <c r="H1874" s="19"/>
      <c r="I1874" s="19" t="s">
        <v>12231</v>
      </c>
      <c r="J1874" s="9">
        <v>16.9</v>
      </c>
      <c r="K1874" s="10" t="s">
        <v>11</v>
      </c>
      <c r="L1874" s="6"/>
      <c r="M1874" s="11" t="s">
        <v>17</v>
      </c>
      <c r="N1874" s="6"/>
      <c r="O1874" s="6" t="str">
        <f t="shared" si="1"/>
        <v>sku-MA646-NYVRAC</v>
      </c>
      <c r="P1874" s="10" t="s">
        <v>15</v>
      </c>
      <c r="Q1874" s="6"/>
      <c r="R1874" s="6"/>
      <c r="S1874" s="19" t="s">
        <v>12232</v>
      </c>
      <c r="T1874" s="6" t="s">
        <v>16</v>
      </c>
      <c r="U1874" s="9" t="s">
        <v>17</v>
      </c>
      <c r="AI1874" s="6" t="s">
        <v>8458</v>
      </c>
      <c r="AJ1874" s="12" t="s">
        <v>12233</v>
      </c>
      <c r="AL1874" s="13" t="s">
        <v>8460</v>
      </c>
    </row>
    <row r="1875">
      <c r="A1875" s="5" t="s">
        <v>12234</v>
      </c>
      <c r="B1875" s="19" t="s">
        <v>12235</v>
      </c>
      <c r="C1875" s="19" t="s">
        <v>9679</v>
      </c>
      <c r="D1875" s="19" t="s">
        <v>507</v>
      </c>
      <c r="E1875" s="19"/>
      <c r="F1875" s="19"/>
      <c r="G1875" s="22" t="s">
        <v>12236</v>
      </c>
      <c r="H1875" s="19"/>
      <c r="I1875" s="19" t="s">
        <v>12237</v>
      </c>
      <c r="J1875" s="9">
        <v>14.9</v>
      </c>
      <c r="K1875" s="10" t="s">
        <v>11</v>
      </c>
      <c r="L1875" s="6"/>
      <c r="M1875" s="11" t="s">
        <v>17</v>
      </c>
      <c r="N1875" s="6"/>
      <c r="O1875" s="6" t="str">
        <f t="shared" si="1"/>
        <v>sku-MA953</v>
      </c>
      <c r="P1875" s="10" t="s">
        <v>15</v>
      </c>
      <c r="Q1875" s="6"/>
      <c r="R1875" s="6"/>
      <c r="S1875" s="19" t="s">
        <v>9683</v>
      </c>
      <c r="T1875" s="6" t="s">
        <v>16</v>
      </c>
      <c r="U1875" s="9" t="s">
        <v>17</v>
      </c>
      <c r="AI1875" s="6" t="s">
        <v>8436</v>
      </c>
      <c r="AJ1875" s="12" t="s">
        <v>9684</v>
      </c>
      <c r="AL1875" s="13" t="s">
        <v>8460</v>
      </c>
    </row>
    <row r="1876">
      <c r="A1876" s="5" t="s">
        <v>12238</v>
      </c>
      <c r="B1876" s="19" t="s">
        <v>12239</v>
      </c>
      <c r="C1876" s="19" t="s">
        <v>12240</v>
      </c>
      <c r="D1876" s="19" t="s">
        <v>8</v>
      </c>
      <c r="E1876" s="19"/>
      <c r="F1876" s="19"/>
      <c r="G1876" s="22" t="s">
        <v>12241</v>
      </c>
      <c r="H1876" s="19"/>
      <c r="I1876" s="19" t="s">
        <v>12242</v>
      </c>
      <c r="J1876" s="9">
        <v>14.9</v>
      </c>
      <c r="K1876" s="10" t="s">
        <v>11</v>
      </c>
      <c r="L1876" s="6"/>
      <c r="M1876" s="11" t="s">
        <v>17</v>
      </c>
      <c r="N1876" s="6"/>
      <c r="O1876" s="6" t="str">
        <f t="shared" si="1"/>
        <v>sku-MA955</v>
      </c>
      <c r="P1876" s="10" t="s">
        <v>15</v>
      </c>
      <c r="Q1876" s="6"/>
      <c r="R1876" s="6"/>
      <c r="S1876" s="19"/>
      <c r="T1876" s="6" t="s">
        <v>16</v>
      </c>
      <c r="U1876" s="9" t="s">
        <v>17</v>
      </c>
      <c r="AI1876" s="6" t="s">
        <v>8436</v>
      </c>
      <c r="AJ1876" s="12" t="s">
        <v>12243</v>
      </c>
      <c r="AL1876" s="13" t="s">
        <v>8460</v>
      </c>
    </row>
    <row r="1877">
      <c r="A1877" s="5" t="s">
        <v>12244</v>
      </c>
      <c r="B1877" s="19" t="s">
        <v>12245</v>
      </c>
      <c r="C1877" s="19" t="s">
        <v>12240</v>
      </c>
      <c r="D1877" s="19" t="s">
        <v>8</v>
      </c>
      <c r="E1877" s="19"/>
      <c r="F1877" s="19"/>
      <c r="G1877" s="22" t="s">
        <v>12246</v>
      </c>
      <c r="H1877" s="19"/>
      <c r="I1877" s="19" t="s">
        <v>12247</v>
      </c>
      <c r="J1877" s="9">
        <v>14.9</v>
      </c>
      <c r="K1877" s="10" t="s">
        <v>11</v>
      </c>
      <c r="L1877" s="6"/>
      <c r="M1877" s="11" t="s">
        <v>17</v>
      </c>
      <c r="N1877" s="6"/>
      <c r="O1877" s="6" t="str">
        <f t="shared" si="1"/>
        <v>sku-MA956</v>
      </c>
      <c r="P1877" s="10" t="s">
        <v>15</v>
      </c>
      <c r="Q1877" s="6"/>
      <c r="R1877" s="6"/>
      <c r="S1877" s="19"/>
      <c r="T1877" s="6" t="s">
        <v>16</v>
      </c>
      <c r="U1877" s="9" t="s">
        <v>17</v>
      </c>
      <c r="AI1877" s="6" t="s">
        <v>8436</v>
      </c>
      <c r="AJ1877" s="12" t="s">
        <v>12243</v>
      </c>
      <c r="AL1877" s="13" t="s">
        <v>8460</v>
      </c>
    </row>
    <row r="1878">
      <c r="A1878" s="5" t="s">
        <v>12248</v>
      </c>
      <c r="B1878" s="19" t="s">
        <v>12249</v>
      </c>
      <c r="C1878" s="19" t="s">
        <v>12250</v>
      </c>
      <c r="D1878" s="19" t="s">
        <v>8</v>
      </c>
      <c r="E1878" s="19"/>
      <c r="F1878" s="19"/>
      <c r="G1878" s="22" t="s">
        <v>12251</v>
      </c>
      <c r="H1878" s="19"/>
      <c r="I1878" s="19" t="s">
        <v>12252</v>
      </c>
      <c r="J1878" s="9">
        <v>4.9</v>
      </c>
      <c r="K1878" s="10" t="s">
        <v>11</v>
      </c>
      <c r="L1878" s="6"/>
      <c r="M1878" s="11" t="s">
        <v>17</v>
      </c>
      <c r="N1878" s="6"/>
      <c r="O1878" s="6" t="str">
        <f t="shared" si="1"/>
        <v>sku-MA957</v>
      </c>
      <c r="P1878" s="10" t="s">
        <v>15</v>
      </c>
      <c r="Q1878" s="6"/>
      <c r="R1878" s="6"/>
      <c r="S1878" s="19" t="s">
        <v>12253</v>
      </c>
      <c r="T1878" s="6" t="s">
        <v>16</v>
      </c>
      <c r="U1878" s="9" t="s">
        <v>17</v>
      </c>
      <c r="AI1878" s="6" t="s">
        <v>8436</v>
      </c>
      <c r="AJ1878" s="12" t="s">
        <v>12254</v>
      </c>
      <c r="AL1878" s="13" t="s">
        <v>8460</v>
      </c>
    </row>
    <row r="1879">
      <c r="A1879" s="5" t="s">
        <v>12255</v>
      </c>
      <c r="B1879" s="19" t="s">
        <v>12256</v>
      </c>
      <c r="C1879" s="19" t="s">
        <v>12240</v>
      </c>
      <c r="D1879" s="19" t="s">
        <v>8</v>
      </c>
      <c r="E1879" s="19"/>
      <c r="F1879" s="19"/>
      <c r="G1879" s="22" t="s">
        <v>12257</v>
      </c>
      <c r="H1879" s="19"/>
      <c r="I1879" s="19" t="s">
        <v>12258</v>
      </c>
      <c r="J1879" s="9">
        <v>14.9</v>
      </c>
      <c r="K1879" s="10" t="s">
        <v>11</v>
      </c>
      <c r="L1879" s="6"/>
      <c r="M1879" s="11" t="s">
        <v>17</v>
      </c>
      <c r="N1879" s="6"/>
      <c r="O1879" s="6" t="str">
        <f t="shared" si="1"/>
        <v>sku-MA958</v>
      </c>
      <c r="P1879" s="10" t="s">
        <v>15</v>
      </c>
      <c r="Q1879" s="6"/>
      <c r="R1879" s="6"/>
      <c r="S1879" s="19"/>
      <c r="T1879" s="6" t="s">
        <v>16</v>
      </c>
      <c r="U1879" s="9" t="s">
        <v>17</v>
      </c>
      <c r="AI1879" s="6" t="s">
        <v>8436</v>
      </c>
      <c r="AJ1879" s="12" t="s">
        <v>12243</v>
      </c>
      <c r="AL1879" s="13" t="s">
        <v>8460</v>
      </c>
    </row>
    <row r="1880">
      <c r="A1880" s="5" t="s">
        <v>12259</v>
      </c>
      <c r="B1880" s="19" t="s">
        <v>12260</v>
      </c>
      <c r="C1880" s="19" t="s">
        <v>10446</v>
      </c>
      <c r="D1880" s="19" t="s">
        <v>8</v>
      </c>
      <c r="E1880" s="19"/>
      <c r="F1880" s="19"/>
      <c r="G1880" s="22" t="s">
        <v>12261</v>
      </c>
      <c r="H1880" s="19"/>
      <c r="I1880" s="19" t="s">
        <v>12262</v>
      </c>
      <c r="J1880" s="9">
        <v>28.5</v>
      </c>
      <c r="K1880" s="10" t="s">
        <v>11</v>
      </c>
      <c r="L1880" s="6"/>
      <c r="M1880" s="11" t="s">
        <v>12</v>
      </c>
      <c r="N1880" s="6" t="s">
        <v>10449</v>
      </c>
      <c r="O1880" s="6" t="str">
        <f t="shared" si="1"/>
        <v>sku-OCAROL</v>
      </c>
      <c r="P1880" s="10" t="s">
        <v>15</v>
      </c>
      <c r="Q1880" s="6"/>
      <c r="R1880" s="6"/>
      <c r="S1880" s="19"/>
      <c r="T1880" s="6" t="s">
        <v>16</v>
      </c>
      <c r="U1880" s="9" t="s">
        <v>17</v>
      </c>
      <c r="AI1880" s="6" t="s">
        <v>18</v>
      </c>
      <c r="AJ1880" s="12" t="s">
        <v>10451</v>
      </c>
      <c r="AL1880" s="13" t="s">
        <v>20</v>
      </c>
    </row>
    <row r="1881">
      <c r="A1881" s="5" t="s">
        <v>12263</v>
      </c>
      <c r="B1881" s="19" t="s">
        <v>12264</v>
      </c>
      <c r="C1881" s="19" t="s">
        <v>12265</v>
      </c>
      <c r="D1881" s="19" t="s">
        <v>8</v>
      </c>
      <c r="E1881" s="19"/>
      <c r="F1881" s="19"/>
      <c r="G1881" s="22" t="s">
        <v>12266</v>
      </c>
      <c r="H1881" s="19"/>
      <c r="I1881" s="19" t="s">
        <v>12267</v>
      </c>
      <c r="J1881" s="9">
        <v>7.9</v>
      </c>
      <c r="K1881" s="10" t="s">
        <v>11</v>
      </c>
      <c r="L1881" s="6"/>
      <c r="M1881" s="11" t="s">
        <v>12</v>
      </c>
      <c r="N1881" s="6" t="s">
        <v>12268</v>
      </c>
      <c r="O1881" s="6" t="str">
        <f t="shared" si="1"/>
        <v>sku-OEUCE</v>
      </c>
      <c r="P1881" s="10" t="s">
        <v>15</v>
      </c>
      <c r="Q1881" s="6"/>
      <c r="R1881" s="6"/>
      <c r="S1881" s="19"/>
      <c r="T1881" s="6" t="s">
        <v>16</v>
      </c>
      <c r="U1881" s="9" t="s">
        <v>17</v>
      </c>
      <c r="AI1881" s="6" t="s">
        <v>18</v>
      </c>
      <c r="AJ1881" s="12" t="s">
        <v>12269</v>
      </c>
      <c r="AL1881" s="13" t="s">
        <v>20</v>
      </c>
    </row>
    <row r="1882">
      <c r="A1882" s="5" t="s">
        <v>12270</v>
      </c>
      <c r="B1882" s="19" t="s">
        <v>12271</v>
      </c>
      <c r="C1882" s="19" t="s">
        <v>12265</v>
      </c>
      <c r="D1882" s="19" t="s">
        <v>8</v>
      </c>
      <c r="E1882" s="19"/>
      <c r="F1882" s="19"/>
      <c r="G1882" s="22" t="s">
        <v>12272</v>
      </c>
      <c r="H1882" s="19"/>
      <c r="I1882" s="19" t="s">
        <v>12273</v>
      </c>
      <c r="J1882" s="9">
        <v>14.9</v>
      </c>
      <c r="K1882" s="10" t="s">
        <v>11</v>
      </c>
      <c r="L1882" s="6"/>
      <c r="M1882" s="11" t="s">
        <v>12</v>
      </c>
      <c r="N1882" s="6" t="s">
        <v>12274</v>
      </c>
      <c r="O1882" s="6" t="str">
        <f t="shared" si="1"/>
        <v>sku-OEUCEL</v>
      </c>
      <c r="P1882" s="10" t="s">
        <v>15</v>
      </c>
      <c r="Q1882" s="6"/>
      <c r="R1882" s="6"/>
      <c r="S1882" s="19"/>
      <c r="T1882" s="6" t="s">
        <v>16</v>
      </c>
      <c r="U1882" s="9" t="s">
        <v>17</v>
      </c>
      <c r="AI1882" s="6" t="s">
        <v>18</v>
      </c>
      <c r="AJ1882" s="12" t="s">
        <v>12269</v>
      </c>
      <c r="AL1882" s="13" t="s">
        <v>20</v>
      </c>
    </row>
    <row r="1883">
      <c r="A1883" s="5" t="s">
        <v>12275</v>
      </c>
      <c r="B1883" s="19" t="s">
        <v>12276</v>
      </c>
      <c r="C1883" s="19" t="s">
        <v>12277</v>
      </c>
      <c r="D1883" s="19" t="s">
        <v>8</v>
      </c>
      <c r="E1883" s="19"/>
      <c r="F1883" s="19"/>
      <c r="G1883" s="22" t="s">
        <v>12278</v>
      </c>
      <c r="H1883" s="19"/>
      <c r="I1883" s="19" t="s">
        <v>12279</v>
      </c>
      <c r="J1883" s="9">
        <v>11.9</v>
      </c>
      <c r="K1883" s="10" t="s">
        <v>11</v>
      </c>
      <c r="L1883" s="6"/>
      <c r="M1883" s="11" t="s">
        <v>12</v>
      </c>
      <c r="N1883" s="6" t="s">
        <v>12280</v>
      </c>
      <c r="O1883" s="6" t="str">
        <f t="shared" si="1"/>
        <v>sku-OMAUF</v>
      </c>
      <c r="P1883" s="10" t="s">
        <v>15</v>
      </c>
      <c r="Q1883" s="6"/>
      <c r="R1883" s="6"/>
      <c r="S1883" s="19"/>
      <c r="T1883" s="6" t="s">
        <v>16</v>
      </c>
      <c r="U1883" s="9" t="s">
        <v>17</v>
      </c>
      <c r="AI1883" s="6" t="s">
        <v>18</v>
      </c>
      <c r="AJ1883" s="12" t="s">
        <v>12281</v>
      </c>
      <c r="AL1883" s="13" t="s">
        <v>20</v>
      </c>
    </row>
    <row r="1884">
      <c r="A1884" s="5" t="s">
        <v>12282</v>
      </c>
      <c r="B1884" s="19" t="s">
        <v>12283</v>
      </c>
      <c r="C1884" s="19" t="s">
        <v>12277</v>
      </c>
      <c r="D1884" s="19" t="s">
        <v>8</v>
      </c>
      <c r="E1884" s="19"/>
      <c r="F1884" s="19"/>
      <c r="G1884" s="22" t="s">
        <v>12284</v>
      </c>
      <c r="H1884" s="19"/>
      <c r="I1884" s="19" t="s">
        <v>12285</v>
      </c>
      <c r="J1884" s="9">
        <v>24.9</v>
      </c>
      <c r="K1884" s="10" t="s">
        <v>11</v>
      </c>
      <c r="L1884" s="6"/>
      <c r="M1884" s="11" t="s">
        <v>12</v>
      </c>
      <c r="N1884" s="6" t="s">
        <v>12286</v>
      </c>
      <c r="O1884" s="6" t="str">
        <f t="shared" si="1"/>
        <v>sku-OMAUFL</v>
      </c>
      <c r="P1884" s="10" t="s">
        <v>15</v>
      </c>
      <c r="Q1884" s="6"/>
      <c r="R1884" s="6"/>
      <c r="S1884" s="19"/>
      <c r="T1884" s="6" t="s">
        <v>16</v>
      </c>
      <c r="U1884" s="9" t="s">
        <v>17</v>
      </c>
      <c r="AI1884" s="6" t="s">
        <v>18</v>
      </c>
      <c r="AJ1884" s="12" t="s">
        <v>12281</v>
      </c>
      <c r="AL1884" s="13" t="s">
        <v>20</v>
      </c>
    </row>
    <row r="1885">
      <c r="A1885" s="5" t="s">
        <v>12287</v>
      </c>
      <c r="B1885" s="19" t="s">
        <v>12288</v>
      </c>
      <c r="C1885" s="19" t="s">
        <v>12289</v>
      </c>
      <c r="D1885" s="19" t="s">
        <v>8</v>
      </c>
      <c r="E1885" s="19"/>
      <c r="F1885" s="19"/>
      <c r="G1885" s="22" t="s">
        <v>12290</v>
      </c>
      <c r="H1885" s="19"/>
      <c r="I1885" s="19" t="s">
        <v>12291</v>
      </c>
      <c r="J1885" s="9">
        <v>9.9</v>
      </c>
      <c r="K1885" s="10" t="s">
        <v>11</v>
      </c>
      <c r="L1885" s="6"/>
      <c r="M1885" s="11" t="s">
        <v>12</v>
      </c>
      <c r="N1885" s="6" t="s">
        <v>12292</v>
      </c>
      <c r="O1885" s="6" t="str">
        <f t="shared" si="1"/>
        <v>sku-ORODA</v>
      </c>
      <c r="P1885" s="10" t="s">
        <v>15</v>
      </c>
      <c r="Q1885" s="6"/>
      <c r="R1885" s="6"/>
      <c r="S1885" s="19"/>
      <c r="T1885" s="6" t="s">
        <v>16</v>
      </c>
      <c r="U1885" s="9" t="s">
        <v>17</v>
      </c>
      <c r="AI1885" s="6" t="s">
        <v>18</v>
      </c>
      <c r="AJ1885" s="12" t="s">
        <v>12293</v>
      </c>
      <c r="AL1885" s="13" t="s">
        <v>20</v>
      </c>
    </row>
    <row r="1886">
      <c r="A1886" s="5" t="s">
        <v>12294</v>
      </c>
      <c r="B1886" s="19" t="s">
        <v>12295</v>
      </c>
      <c r="C1886" s="19" t="s">
        <v>12289</v>
      </c>
      <c r="D1886" s="19" t="s">
        <v>8</v>
      </c>
      <c r="E1886" s="19"/>
      <c r="F1886" s="19"/>
      <c r="G1886" s="22" t="s">
        <v>12296</v>
      </c>
      <c r="H1886" s="19"/>
      <c r="I1886" s="19" t="s">
        <v>12297</v>
      </c>
      <c r="J1886" s="9">
        <v>18.9</v>
      </c>
      <c r="K1886" s="10" t="s">
        <v>11</v>
      </c>
      <c r="L1886" s="6"/>
      <c r="M1886" s="11" t="s">
        <v>12</v>
      </c>
      <c r="N1886" s="6" t="s">
        <v>12298</v>
      </c>
      <c r="O1886" s="6" t="str">
        <f t="shared" si="1"/>
        <v>sku-ORODAL</v>
      </c>
      <c r="P1886" s="10" t="s">
        <v>15</v>
      </c>
      <c r="Q1886" s="6"/>
      <c r="R1886" s="6"/>
      <c r="S1886" s="19"/>
      <c r="T1886" s="6" t="s">
        <v>16</v>
      </c>
      <c r="U1886" s="9" t="s">
        <v>17</v>
      </c>
      <c r="AI1886" s="6" t="s">
        <v>18</v>
      </c>
      <c r="AJ1886" s="12" t="s">
        <v>12293</v>
      </c>
      <c r="AL1886" s="13" t="s">
        <v>20</v>
      </c>
    </row>
    <row r="1887">
      <c r="A1887" s="5"/>
      <c r="B1887" s="5"/>
      <c r="C1887" s="19"/>
      <c r="D1887" s="19"/>
      <c r="E1887" s="19"/>
      <c r="F1887" s="19"/>
      <c r="G1887" s="22"/>
      <c r="H1887" s="19"/>
      <c r="I1887" s="19"/>
      <c r="J1887" s="9"/>
      <c r="K1887" s="10"/>
      <c r="L1887" s="6"/>
      <c r="M1887" s="11"/>
      <c r="N1887" s="6"/>
      <c r="O1887" s="6"/>
      <c r="P1887" s="10"/>
      <c r="Q1887" s="6"/>
      <c r="R1887" s="6"/>
      <c r="S1887" s="19"/>
      <c r="T1887" s="6"/>
      <c r="U1887" s="9"/>
      <c r="AI1887" s="6"/>
      <c r="AJ1887" s="12"/>
      <c r="AL1887" s="13"/>
    </row>
    <row r="1888">
      <c r="A1888" s="5"/>
      <c r="B1888" s="5"/>
      <c r="C1888" s="19"/>
      <c r="D1888" s="19"/>
      <c r="E1888" s="19"/>
      <c r="F1888" s="19"/>
      <c r="G1888" s="22"/>
      <c r="H1888" s="19"/>
      <c r="I1888" s="19"/>
      <c r="J1888" s="9"/>
      <c r="K1888" s="10"/>
      <c r="L1888" s="6"/>
      <c r="M1888" s="11"/>
      <c r="N1888" s="6"/>
      <c r="O1888" s="6"/>
      <c r="P1888" s="10"/>
      <c r="Q1888" s="6"/>
      <c r="R1888" s="6"/>
      <c r="S1888" s="19"/>
      <c r="T1888" s="6"/>
      <c r="U1888" s="9"/>
      <c r="AI1888" s="6"/>
      <c r="AJ1888" s="12"/>
      <c r="AL1888" s="13"/>
    </row>
  </sheetData>
  <autoFilter ref="$A$1:$AL$1888"/>
  <dataValidations>
    <dataValidation type="list" allowBlank="1" showErrorMessage="1" sqref="AI1795:AI1886">
      <formula1>'Feuille 5'!$AI$2:$AI$1793</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howErrorMessage="1" sqref="D2 D5 D56:D1801 D1804:D1806 D1812:D1814 D1817:D1864 D1875:D1877 D1879:D1884">
      <formula1>"in_stock,out_of_stock,preorder,backorder"</formula1>
    </dataValidation>
    <dataValidation type="list" allowBlank="1" sqref="T3:T4 T6:T55">
      <formula1>",new,refurbished,used"</formula1>
    </dataValidation>
    <dataValidation type="list" allowBlank="1" showErrorMessage="1" sqref="M2:M1801 M1804:M1806 M1812:M1814 M1817:M1864 M1875:M1877 M1879:M1884">
      <formula1>",yes,no"</formula1>
    </dataValidation>
  </dataValidations>
  <hyperlinks>
    <hyperlink r:id="rId1" ref="G2"/>
    <hyperlink r:id="rId2" ref="I2"/>
    <hyperlink r:id="rId3" ref="G3"/>
    <hyperlink r:id="rId4" ref="I3"/>
    <hyperlink r:id="rId5" ref="G4"/>
    <hyperlink r:id="rId6" ref="I4"/>
    <hyperlink r:id="rId7" ref="G5"/>
    <hyperlink r:id="rId8" ref="I5"/>
    <hyperlink r:id="rId9" ref="G6"/>
    <hyperlink r:id="rId10" ref="I6"/>
    <hyperlink r:id="rId11" ref="G7"/>
    <hyperlink r:id="rId12" ref="I7"/>
    <hyperlink r:id="rId13" ref="G8"/>
    <hyperlink r:id="rId14" ref="I8"/>
    <hyperlink r:id="rId15" ref="G9"/>
    <hyperlink r:id="rId16" ref="I9"/>
    <hyperlink r:id="rId17" ref="G10"/>
    <hyperlink r:id="rId18" ref="I10"/>
    <hyperlink r:id="rId19" ref="G11"/>
    <hyperlink r:id="rId20" ref="I11"/>
    <hyperlink r:id="rId21" ref="G12"/>
    <hyperlink r:id="rId22" ref="I12"/>
    <hyperlink r:id="rId23" ref="G13"/>
    <hyperlink r:id="rId24" ref="I13"/>
    <hyperlink r:id="rId25" ref="G14"/>
    <hyperlink r:id="rId26" ref="I14"/>
    <hyperlink r:id="rId27" ref="G15"/>
    <hyperlink r:id="rId28" ref="I15"/>
    <hyperlink r:id="rId29" ref="G16"/>
    <hyperlink r:id="rId30" ref="I16"/>
    <hyperlink r:id="rId31" ref="G17"/>
    <hyperlink r:id="rId32" ref="I17"/>
    <hyperlink r:id="rId33" ref="G18"/>
    <hyperlink r:id="rId34" ref="I18"/>
    <hyperlink r:id="rId35" ref="G19"/>
    <hyperlink r:id="rId36" ref="I19"/>
    <hyperlink r:id="rId37" ref="G20"/>
    <hyperlink r:id="rId38" ref="I20"/>
    <hyperlink r:id="rId39" ref="G21"/>
    <hyperlink r:id="rId40" ref="I21"/>
    <hyperlink r:id="rId41" ref="G22"/>
    <hyperlink r:id="rId42" ref="I22"/>
    <hyperlink r:id="rId43" ref="G23"/>
    <hyperlink r:id="rId44" ref="I23"/>
    <hyperlink r:id="rId45" ref="G24"/>
    <hyperlink r:id="rId46" ref="I24"/>
    <hyperlink r:id="rId47" ref="G25"/>
    <hyperlink r:id="rId48" ref="I25"/>
    <hyperlink r:id="rId49" ref="G26"/>
    <hyperlink r:id="rId50" ref="I26"/>
    <hyperlink r:id="rId51" ref="G27"/>
    <hyperlink r:id="rId52" ref="I27"/>
    <hyperlink r:id="rId53" ref="G28"/>
    <hyperlink r:id="rId54" ref="I28"/>
    <hyperlink r:id="rId55" ref="G29"/>
    <hyperlink r:id="rId56" ref="I29"/>
    <hyperlink r:id="rId57" ref="G30"/>
    <hyperlink r:id="rId58" ref="I30"/>
    <hyperlink r:id="rId59" ref="G31"/>
    <hyperlink r:id="rId60" ref="I31"/>
    <hyperlink r:id="rId61" ref="G32"/>
    <hyperlink r:id="rId62" ref="I32"/>
    <hyperlink r:id="rId63" ref="G33"/>
    <hyperlink r:id="rId64" ref="I33"/>
    <hyperlink r:id="rId65" ref="G34"/>
    <hyperlink r:id="rId66" ref="I34"/>
    <hyperlink r:id="rId67" ref="G35"/>
    <hyperlink r:id="rId68" ref="I35"/>
    <hyperlink r:id="rId69" ref="G36"/>
    <hyperlink r:id="rId70" ref="I36"/>
    <hyperlink r:id="rId71" ref="G37"/>
    <hyperlink r:id="rId72" ref="I37"/>
    <hyperlink r:id="rId73" ref="G38"/>
    <hyperlink r:id="rId74" ref="I38"/>
    <hyperlink r:id="rId75" ref="G39"/>
    <hyperlink r:id="rId76" ref="I39"/>
    <hyperlink r:id="rId77" ref="G40"/>
    <hyperlink r:id="rId78" ref="I40"/>
    <hyperlink r:id="rId79" ref="G41"/>
    <hyperlink r:id="rId80" ref="I41"/>
    <hyperlink r:id="rId81" ref="G42"/>
    <hyperlink r:id="rId82" ref="I42"/>
    <hyperlink r:id="rId83" ref="G43"/>
    <hyperlink r:id="rId84" ref="I43"/>
    <hyperlink r:id="rId85" ref="G44"/>
    <hyperlink r:id="rId86" ref="I44"/>
    <hyperlink r:id="rId87" ref="G45"/>
    <hyperlink r:id="rId88" ref="I45"/>
    <hyperlink r:id="rId89" ref="G46"/>
    <hyperlink r:id="rId90" ref="I46"/>
    <hyperlink r:id="rId91" ref="G47"/>
    <hyperlink r:id="rId92" ref="I47"/>
    <hyperlink r:id="rId93" ref="G48"/>
    <hyperlink r:id="rId94" ref="I48"/>
    <hyperlink r:id="rId95" ref="G49"/>
    <hyperlink r:id="rId96" ref="I49"/>
    <hyperlink r:id="rId97" ref="G50"/>
    <hyperlink r:id="rId98" ref="I50"/>
    <hyperlink r:id="rId99" ref="G51"/>
    <hyperlink r:id="rId100" ref="I51"/>
    <hyperlink r:id="rId101" ref="G52"/>
    <hyperlink r:id="rId102" ref="I52"/>
    <hyperlink r:id="rId103" ref="G53"/>
    <hyperlink r:id="rId104" ref="I53"/>
    <hyperlink r:id="rId105" ref="G54"/>
    <hyperlink r:id="rId106" ref="I54"/>
    <hyperlink r:id="rId107" ref="G55"/>
    <hyperlink r:id="rId108" ref="I55"/>
    <hyperlink r:id="rId109" ref="G56"/>
    <hyperlink r:id="rId110" ref="I56"/>
    <hyperlink r:id="rId111" ref="G57"/>
    <hyperlink r:id="rId112" ref="I57"/>
    <hyperlink r:id="rId113" ref="G58"/>
    <hyperlink r:id="rId114" ref="I58"/>
    <hyperlink r:id="rId115" ref="G59"/>
    <hyperlink r:id="rId116" ref="I59"/>
    <hyperlink r:id="rId117" ref="G60"/>
    <hyperlink r:id="rId118" ref="I60"/>
    <hyperlink r:id="rId119" ref="G61"/>
    <hyperlink r:id="rId120" ref="I61"/>
    <hyperlink r:id="rId121" ref="G62"/>
    <hyperlink r:id="rId122" ref="I62"/>
    <hyperlink r:id="rId123" ref="G63"/>
    <hyperlink r:id="rId124" ref="I63"/>
    <hyperlink r:id="rId125" ref="G64"/>
    <hyperlink r:id="rId126" ref="I64"/>
    <hyperlink r:id="rId127" ref="G65"/>
    <hyperlink r:id="rId128" ref="I65"/>
    <hyperlink r:id="rId129" ref="G66"/>
    <hyperlink r:id="rId130" ref="I66"/>
    <hyperlink r:id="rId131" ref="G67"/>
    <hyperlink r:id="rId132" ref="I67"/>
    <hyperlink r:id="rId133" ref="G68"/>
    <hyperlink r:id="rId134" ref="I68"/>
    <hyperlink r:id="rId135" ref="G69"/>
    <hyperlink r:id="rId136" ref="I69"/>
    <hyperlink r:id="rId137" ref="G70"/>
    <hyperlink r:id="rId138" ref="I70"/>
    <hyperlink r:id="rId139" ref="G71"/>
    <hyperlink r:id="rId140" ref="I71"/>
    <hyperlink r:id="rId141" ref="G72"/>
    <hyperlink r:id="rId142" ref="I72"/>
    <hyperlink r:id="rId143" ref="G73"/>
    <hyperlink r:id="rId144" ref="I73"/>
    <hyperlink r:id="rId145" ref="G74"/>
    <hyperlink r:id="rId146" ref="I74"/>
    <hyperlink r:id="rId147" ref="G75"/>
    <hyperlink r:id="rId148" ref="I75"/>
    <hyperlink r:id="rId149" ref="G76"/>
    <hyperlink r:id="rId150" ref="I76"/>
    <hyperlink r:id="rId151" ref="G77"/>
    <hyperlink r:id="rId152" ref="I77"/>
    <hyperlink r:id="rId153" ref="G78"/>
    <hyperlink r:id="rId154" ref="I78"/>
    <hyperlink r:id="rId155" ref="G79"/>
    <hyperlink r:id="rId156" ref="I79"/>
    <hyperlink r:id="rId157" ref="G80"/>
    <hyperlink r:id="rId158" ref="I80"/>
    <hyperlink r:id="rId159" ref="G81"/>
    <hyperlink r:id="rId160" ref="I81"/>
    <hyperlink r:id="rId161" ref="G82"/>
    <hyperlink r:id="rId162" ref="I82"/>
    <hyperlink r:id="rId163" ref="G83"/>
    <hyperlink r:id="rId164" ref="I83"/>
    <hyperlink r:id="rId165" ref="G84"/>
    <hyperlink r:id="rId166" ref="I84"/>
    <hyperlink r:id="rId167" ref="G85"/>
    <hyperlink r:id="rId168" ref="I85"/>
    <hyperlink r:id="rId169" ref="G86"/>
    <hyperlink r:id="rId170" ref="I86"/>
    <hyperlink r:id="rId171" ref="G87"/>
    <hyperlink r:id="rId172" ref="I87"/>
    <hyperlink r:id="rId173" ref="G88"/>
    <hyperlink r:id="rId174" ref="I88"/>
    <hyperlink r:id="rId175" ref="G89"/>
    <hyperlink r:id="rId176" ref="I89"/>
    <hyperlink r:id="rId177" ref="G90"/>
    <hyperlink r:id="rId178" ref="I90"/>
    <hyperlink r:id="rId179" ref="G91"/>
    <hyperlink r:id="rId180" ref="I91"/>
    <hyperlink r:id="rId181" ref="G92"/>
    <hyperlink r:id="rId182" ref="I92"/>
    <hyperlink r:id="rId183" ref="G93"/>
    <hyperlink r:id="rId184" ref="I93"/>
    <hyperlink r:id="rId185" ref="G94"/>
    <hyperlink r:id="rId186" ref="I94"/>
    <hyperlink r:id="rId187" ref="G95"/>
    <hyperlink r:id="rId188" ref="I95"/>
    <hyperlink r:id="rId189" ref="G96"/>
    <hyperlink r:id="rId190" ref="I96"/>
    <hyperlink r:id="rId191" ref="G97"/>
    <hyperlink r:id="rId192" ref="I97"/>
    <hyperlink r:id="rId193" ref="G98"/>
    <hyperlink r:id="rId194" ref="I98"/>
    <hyperlink r:id="rId195" ref="G99"/>
    <hyperlink r:id="rId196" ref="I99"/>
    <hyperlink r:id="rId197" ref="G100"/>
    <hyperlink r:id="rId198" ref="I100"/>
    <hyperlink r:id="rId199" ref="G101"/>
    <hyperlink r:id="rId200" ref="I101"/>
    <hyperlink r:id="rId201" ref="G102"/>
    <hyperlink r:id="rId202" ref="I102"/>
    <hyperlink r:id="rId203" ref="G103"/>
    <hyperlink r:id="rId204" ref="I103"/>
    <hyperlink r:id="rId205" ref="G104"/>
    <hyperlink r:id="rId206" ref="I104"/>
    <hyperlink r:id="rId207" ref="G105"/>
    <hyperlink r:id="rId208" ref="I105"/>
    <hyperlink r:id="rId209" ref="G106"/>
    <hyperlink r:id="rId210" ref="I106"/>
    <hyperlink r:id="rId211" ref="G107"/>
    <hyperlink r:id="rId212" ref="I107"/>
    <hyperlink r:id="rId213" ref="G108"/>
    <hyperlink r:id="rId214" ref="I108"/>
    <hyperlink r:id="rId215" ref="G109"/>
    <hyperlink r:id="rId216" ref="I109"/>
    <hyperlink r:id="rId217" ref="G110"/>
    <hyperlink r:id="rId218" ref="I110"/>
    <hyperlink r:id="rId219" ref="G111"/>
    <hyperlink r:id="rId220" ref="I111"/>
    <hyperlink r:id="rId221" ref="G112"/>
    <hyperlink r:id="rId222" ref="I112"/>
    <hyperlink r:id="rId223" ref="G113"/>
    <hyperlink r:id="rId224" ref="I113"/>
    <hyperlink r:id="rId225" ref="G114"/>
    <hyperlink r:id="rId226" ref="I114"/>
    <hyperlink r:id="rId227" ref="G115"/>
    <hyperlink r:id="rId228" ref="I115"/>
    <hyperlink r:id="rId229" ref="G116"/>
    <hyperlink r:id="rId230" ref="I116"/>
    <hyperlink r:id="rId231" ref="G117"/>
    <hyperlink r:id="rId232" ref="I117"/>
    <hyperlink r:id="rId233" ref="G118"/>
    <hyperlink r:id="rId234" ref="I118"/>
    <hyperlink r:id="rId235" ref="G119"/>
    <hyperlink r:id="rId236" ref="I119"/>
    <hyperlink r:id="rId237" ref="G120"/>
    <hyperlink r:id="rId238" ref="I120"/>
    <hyperlink r:id="rId239" ref="G121"/>
    <hyperlink r:id="rId240" ref="I121"/>
    <hyperlink r:id="rId241" ref="G122"/>
    <hyperlink r:id="rId242" ref="I122"/>
    <hyperlink r:id="rId243" ref="G123"/>
    <hyperlink r:id="rId244" ref="I123"/>
    <hyperlink r:id="rId245" ref="G124"/>
    <hyperlink r:id="rId246" ref="I124"/>
    <hyperlink r:id="rId247" ref="G125"/>
    <hyperlink r:id="rId248" ref="I125"/>
    <hyperlink r:id="rId249" ref="G126"/>
    <hyperlink r:id="rId250" ref="I126"/>
    <hyperlink r:id="rId251" ref="G127"/>
    <hyperlink r:id="rId252" ref="I127"/>
    <hyperlink r:id="rId253" ref="G128"/>
    <hyperlink r:id="rId254" ref="I128"/>
    <hyperlink r:id="rId255" ref="G129"/>
    <hyperlink r:id="rId256" ref="I129"/>
    <hyperlink r:id="rId257" ref="G130"/>
    <hyperlink r:id="rId258" ref="I130"/>
    <hyperlink r:id="rId259" ref="G131"/>
    <hyperlink r:id="rId260" ref="I131"/>
    <hyperlink r:id="rId261" ref="G132"/>
    <hyperlink r:id="rId262" ref="I132"/>
    <hyperlink r:id="rId263" ref="G133"/>
    <hyperlink r:id="rId264" ref="I133"/>
    <hyperlink r:id="rId265" ref="G134"/>
    <hyperlink r:id="rId266" ref="I134"/>
    <hyperlink r:id="rId267" ref="G135"/>
    <hyperlink r:id="rId268" ref="I135"/>
    <hyperlink r:id="rId269" ref="G136"/>
    <hyperlink r:id="rId270" ref="I136"/>
    <hyperlink r:id="rId271" ref="G137"/>
    <hyperlink r:id="rId272" ref="I137"/>
    <hyperlink r:id="rId273" ref="G138"/>
    <hyperlink r:id="rId274" ref="I138"/>
    <hyperlink r:id="rId275" ref="G139"/>
    <hyperlink r:id="rId276" ref="I139"/>
    <hyperlink r:id="rId277" ref="G140"/>
    <hyperlink r:id="rId278" ref="I140"/>
    <hyperlink r:id="rId279" ref="G141"/>
    <hyperlink r:id="rId280" ref="I141"/>
    <hyperlink r:id="rId281" ref="G142"/>
    <hyperlink r:id="rId282" ref="I142"/>
    <hyperlink r:id="rId283" ref="G143"/>
    <hyperlink r:id="rId284" ref="I143"/>
    <hyperlink r:id="rId285" ref="G144"/>
    <hyperlink r:id="rId286" ref="I144"/>
    <hyperlink r:id="rId287" ref="G145"/>
    <hyperlink r:id="rId288" ref="I145"/>
    <hyperlink r:id="rId289" ref="G146"/>
    <hyperlink r:id="rId290" ref="I146"/>
    <hyperlink r:id="rId291" ref="G147"/>
    <hyperlink r:id="rId292" ref="I147"/>
    <hyperlink r:id="rId293" ref="G148"/>
    <hyperlink r:id="rId294" ref="I148"/>
    <hyperlink r:id="rId295" ref="G149"/>
    <hyperlink r:id="rId296" ref="I149"/>
    <hyperlink r:id="rId297" ref="G150"/>
    <hyperlink r:id="rId298" ref="I150"/>
    <hyperlink r:id="rId299" ref="G151"/>
    <hyperlink r:id="rId300" ref="I151"/>
    <hyperlink r:id="rId301" ref="G152"/>
    <hyperlink r:id="rId302" ref="I152"/>
    <hyperlink r:id="rId303" ref="G153"/>
    <hyperlink r:id="rId304" ref="I153"/>
    <hyperlink r:id="rId305" ref="G154"/>
    <hyperlink r:id="rId306" ref="I154"/>
    <hyperlink r:id="rId307" ref="G155"/>
    <hyperlink r:id="rId308" ref="I155"/>
    <hyperlink r:id="rId309" ref="G156"/>
    <hyperlink r:id="rId310" ref="I156"/>
    <hyperlink r:id="rId311" ref="G157"/>
    <hyperlink r:id="rId312" ref="I157"/>
    <hyperlink r:id="rId313" ref="G158"/>
    <hyperlink r:id="rId314" ref="I158"/>
    <hyperlink r:id="rId315" ref="G159"/>
    <hyperlink r:id="rId316" ref="I159"/>
    <hyperlink r:id="rId317" ref="G160"/>
    <hyperlink r:id="rId318" ref="I160"/>
    <hyperlink r:id="rId319" ref="G161"/>
    <hyperlink r:id="rId320" ref="I161"/>
    <hyperlink r:id="rId321" ref="G162"/>
    <hyperlink r:id="rId322" ref="I162"/>
    <hyperlink r:id="rId323" ref="G163"/>
    <hyperlink r:id="rId324" ref="I163"/>
    <hyperlink r:id="rId325" ref="G164"/>
    <hyperlink r:id="rId326" ref="I164"/>
    <hyperlink r:id="rId327" ref="G165"/>
    <hyperlink r:id="rId328" ref="I165"/>
    <hyperlink r:id="rId329" ref="G166"/>
    <hyperlink r:id="rId330" ref="I166"/>
    <hyperlink r:id="rId331" ref="G167"/>
    <hyperlink r:id="rId332" ref="I167"/>
    <hyperlink r:id="rId333" ref="G168"/>
    <hyperlink r:id="rId334" ref="I168"/>
    <hyperlink r:id="rId335" ref="G169"/>
    <hyperlink r:id="rId336" ref="I169"/>
    <hyperlink r:id="rId337" ref="G170"/>
    <hyperlink r:id="rId338" ref="I170"/>
    <hyperlink r:id="rId339" ref="G171"/>
    <hyperlink r:id="rId340" ref="I171"/>
    <hyperlink r:id="rId341" ref="G172"/>
    <hyperlink r:id="rId342" ref="I172"/>
    <hyperlink r:id="rId343" ref="G173"/>
    <hyperlink r:id="rId344" ref="I173"/>
    <hyperlink r:id="rId345" ref="S173"/>
    <hyperlink r:id="rId346" ref="G174"/>
    <hyperlink r:id="rId347" ref="I174"/>
    <hyperlink r:id="rId348" ref="G175"/>
    <hyperlink r:id="rId349" ref="I175"/>
    <hyperlink r:id="rId350" ref="G176"/>
    <hyperlink r:id="rId351" ref="I176"/>
    <hyperlink r:id="rId352" ref="G177"/>
    <hyperlink r:id="rId353" ref="I177"/>
    <hyperlink r:id="rId354" ref="G178"/>
    <hyperlink r:id="rId355" ref="I178"/>
    <hyperlink r:id="rId356" ref="G179"/>
    <hyperlink r:id="rId357" ref="I179"/>
    <hyperlink r:id="rId358" ref="G180"/>
    <hyperlink r:id="rId359" ref="I180"/>
    <hyperlink r:id="rId360" ref="G181"/>
    <hyperlink r:id="rId361" ref="I181"/>
    <hyperlink r:id="rId362" ref="G182"/>
    <hyperlink r:id="rId363" ref="I182"/>
    <hyperlink r:id="rId364" ref="G183"/>
    <hyperlink r:id="rId365" ref="I183"/>
    <hyperlink r:id="rId366" ref="G184"/>
    <hyperlink r:id="rId367" ref="I184"/>
    <hyperlink r:id="rId368" ref="G185"/>
    <hyperlink r:id="rId369" ref="I185"/>
    <hyperlink r:id="rId370" ref="G186"/>
    <hyperlink r:id="rId371" ref="I186"/>
    <hyperlink r:id="rId372" ref="G187"/>
    <hyperlink r:id="rId373" ref="I187"/>
    <hyperlink r:id="rId374" ref="G188"/>
    <hyperlink r:id="rId375" ref="I188"/>
    <hyperlink r:id="rId376" ref="G189"/>
    <hyperlink r:id="rId377" ref="I189"/>
    <hyperlink r:id="rId378" ref="G190"/>
    <hyperlink r:id="rId379" ref="I190"/>
    <hyperlink r:id="rId380" ref="G191"/>
    <hyperlink r:id="rId381" ref="I191"/>
    <hyperlink r:id="rId382" ref="G192"/>
    <hyperlink r:id="rId383" ref="I192"/>
    <hyperlink r:id="rId384" ref="G193"/>
    <hyperlink r:id="rId385" ref="I193"/>
    <hyperlink r:id="rId386" ref="S193"/>
    <hyperlink r:id="rId387" ref="G194"/>
    <hyperlink r:id="rId388" ref="I194"/>
    <hyperlink r:id="rId389" ref="G195"/>
    <hyperlink r:id="rId390" ref="I195"/>
    <hyperlink r:id="rId391" ref="G196"/>
    <hyperlink r:id="rId392" ref="I196"/>
    <hyperlink r:id="rId393" ref="G197"/>
    <hyperlink r:id="rId394" ref="I197"/>
    <hyperlink r:id="rId395" ref="G198"/>
    <hyperlink r:id="rId396" ref="I198"/>
    <hyperlink r:id="rId397" ref="G199"/>
    <hyperlink r:id="rId398" ref="I199"/>
    <hyperlink r:id="rId399" ref="G200"/>
    <hyperlink r:id="rId400" ref="I200"/>
    <hyperlink r:id="rId401" ref="G201"/>
    <hyperlink r:id="rId402" ref="I201"/>
    <hyperlink r:id="rId403" ref="G202"/>
    <hyperlink r:id="rId404" ref="I202"/>
    <hyperlink r:id="rId405" ref="G203"/>
    <hyperlink r:id="rId406" ref="I203"/>
    <hyperlink r:id="rId407" ref="G204"/>
    <hyperlink r:id="rId408" ref="I204"/>
    <hyperlink r:id="rId409" ref="G205"/>
    <hyperlink r:id="rId410" ref="I205"/>
    <hyperlink r:id="rId411" ref="G206"/>
    <hyperlink r:id="rId412" ref="I206"/>
    <hyperlink r:id="rId413" ref="G207"/>
    <hyperlink r:id="rId414" ref="I207"/>
    <hyperlink r:id="rId415" ref="G208"/>
    <hyperlink r:id="rId416" ref="I208"/>
    <hyperlink r:id="rId417" ref="G209"/>
    <hyperlink r:id="rId418" ref="I209"/>
    <hyperlink r:id="rId419" ref="G210"/>
    <hyperlink r:id="rId420" ref="I210"/>
    <hyperlink r:id="rId421" ref="G211"/>
    <hyperlink r:id="rId422" ref="I211"/>
    <hyperlink r:id="rId423" ref="G212"/>
    <hyperlink r:id="rId424" ref="I212"/>
    <hyperlink r:id="rId425" ref="G213"/>
    <hyperlink r:id="rId426" ref="I213"/>
    <hyperlink r:id="rId427" ref="G214"/>
    <hyperlink r:id="rId428" ref="I214"/>
    <hyperlink r:id="rId429" ref="G215"/>
    <hyperlink r:id="rId430" ref="G216"/>
    <hyperlink r:id="rId431" ref="I216"/>
    <hyperlink r:id="rId432" ref="G217"/>
    <hyperlink r:id="rId433" ref="I217"/>
    <hyperlink r:id="rId434" ref="G218"/>
    <hyperlink r:id="rId435" ref="I218"/>
    <hyperlink r:id="rId436" ref="G219"/>
    <hyperlink r:id="rId437" ref="I219"/>
    <hyperlink r:id="rId438" ref="G220"/>
    <hyperlink r:id="rId439" ref="I220"/>
    <hyperlink r:id="rId440" ref="G221"/>
    <hyperlink r:id="rId441" ref="I221"/>
    <hyperlink r:id="rId442" ref="G222"/>
    <hyperlink r:id="rId443" ref="I222"/>
    <hyperlink r:id="rId444" ref="G223"/>
    <hyperlink r:id="rId445" ref="I223"/>
    <hyperlink r:id="rId446" ref="G224"/>
    <hyperlink r:id="rId447" ref="I224"/>
    <hyperlink r:id="rId448" ref="G225"/>
    <hyperlink r:id="rId449" ref="I225"/>
    <hyperlink r:id="rId450" ref="G226"/>
    <hyperlink r:id="rId451" ref="I226"/>
    <hyperlink r:id="rId452" ref="G227"/>
    <hyperlink r:id="rId453" ref="I227"/>
    <hyperlink r:id="rId454" ref="G228"/>
    <hyperlink r:id="rId455" ref="I228"/>
    <hyperlink r:id="rId456" ref="G229"/>
    <hyperlink r:id="rId457" ref="I229"/>
    <hyperlink r:id="rId458" ref="G230"/>
    <hyperlink r:id="rId459" ref="I230"/>
    <hyperlink r:id="rId460" ref="G231"/>
    <hyperlink r:id="rId461" ref="I231"/>
    <hyperlink r:id="rId462" ref="G232"/>
    <hyperlink r:id="rId463" ref="I232"/>
    <hyperlink r:id="rId464" ref="G233"/>
    <hyperlink r:id="rId465" ref="I233"/>
    <hyperlink r:id="rId466" ref="G234"/>
    <hyperlink r:id="rId467" ref="I234"/>
    <hyperlink r:id="rId468" ref="G235"/>
    <hyperlink r:id="rId469" ref="I235"/>
    <hyperlink r:id="rId470" ref="G236"/>
    <hyperlink r:id="rId471" ref="I236"/>
    <hyperlink r:id="rId472" ref="G237"/>
    <hyperlink r:id="rId473" ref="I237"/>
    <hyperlink r:id="rId474" ref="G238"/>
    <hyperlink r:id="rId475" ref="I238"/>
    <hyperlink r:id="rId476" ref="G239"/>
    <hyperlink r:id="rId477" ref="I239"/>
    <hyperlink r:id="rId478" ref="G240"/>
    <hyperlink r:id="rId479" ref="I240"/>
    <hyperlink r:id="rId480" ref="G241"/>
    <hyperlink r:id="rId481" ref="I241"/>
    <hyperlink r:id="rId482" ref="G242"/>
    <hyperlink r:id="rId483" ref="I242"/>
    <hyperlink r:id="rId484" ref="G243"/>
    <hyperlink r:id="rId485" ref="I243"/>
    <hyperlink r:id="rId486" ref="G244"/>
    <hyperlink r:id="rId487" ref="I244"/>
    <hyperlink r:id="rId488" ref="G245"/>
    <hyperlink r:id="rId489" ref="I245"/>
    <hyperlink r:id="rId490" ref="G246"/>
    <hyperlink r:id="rId491" ref="I246"/>
    <hyperlink r:id="rId492" ref="G247"/>
    <hyperlink r:id="rId493" ref="I247"/>
    <hyperlink r:id="rId494" ref="G248"/>
    <hyperlink r:id="rId495" ref="I248"/>
    <hyperlink r:id="rId496" ref="G249"/>
    <hyperlink r:id="rId497" ref="I249"/>
    <hyperlink r:id="rId498" ref="G250"/>
    <hyperlink r:id="rId499" ref="I250"/>
    <hyperlink r:id="rId500" ref="G251"/>
    <hyperlink r:id="rId501" ref="I251"/>
    <hyperlink r:id="rId502" ref="G252"/>
    <hyperlink r:id="rId503" ref="I252"/>
    <hyperlink r:id="rId504" ref="G253"/>
    <hyperlink r:id="rId505" ref="I253"/>
    <hyperlink r:id="rId506" ref="G254"/>
    <hyperlink r:id="rId507" ref="I254"/>
    <hyperlink r:id="rId508" ref="G255"/>
    <hyperlink r:id="rId509" ref="I255"/>
    <hyperlink r:id="rId510" ref="G256"/>
    <hyperlink r:id="rId511" ref="I256"/>
    <hyperlink r:id="rId512" ref="G257"/>
    <hyperlink r:id="rId513" ref="I257"/>
    <hyperlink r:id="rId514" ref="G258"/>
    <hyperlink r:id="rId515" ref="I258"/>
    <hyperlink r:id="rId516" ref="G259"/>
    <hyperlink r:id="rId517" ref="I259"/>
    <hyperlink r:id="rId518" ref="G260"/>
    <hyperlink r:id="rId519" ref="I260"/>
    <hyperlink r:id="rId520" ref="G261"/>
    <hyperlink r:id="rId521" ref="I261"/>
    <hyperlink r:id="rId522" ref="G262"/>
    <hyperlink r:id="rId523" ref="I262"/>
    <hyperlink r:id="rId524" ref="G263"/>
    <hyperlink r:id="rId525" ref="I263"/>
    <hyperlink r:id="rId526" ref="G264"/>
    <hyperlink r:id="rId527" ref="I264"/>
    <hyperlink r:id="rId528" ref="G265"/>
    <hyperlink r:id="rId529" ref="I265"/>
    <hyperlink r:id="rId530" ref="G266"/>
    <hyperlink r:id="rId531" ref="I266"/>
    <hyperlink r:id="rId532" ref="G267"/>
    <hyperlink r:id="rId533" ref="I267"/>
    <hyperlink r:id="rId534" ref="G268"/>
    <hyperlink r:id="rId535" ref="I268"/>
    <hyperlink r:id="rId536" ref="G269"/>
    <hyperlink r:id="rId537" ref="I269"/>
    <hyperlink r:id="rId538" ref="G270"/>
    <hyperlink r:id="rId539" ref="I270"/>
    <hyperlink r:id="rId540" ref="G271"/>
    <hyperlink r:id="rId541" ref="I271"/>
    <hyperlink r:id="rId542" ref="G272"/>
    <hyperlink r:id="rId543" ref="I272"/>
    <hyperlink r:id="rId544" ref="G273"/>
    <hyperlink r:id="rId545" ref="I273"/>
    <hyperlink r:id="rId546" ref="G274"/>
    <hyperlink r:id="rId547" ref="I274"/>
    <hyperlink r:id="rId548" ref="G275"/>
    <hyperlink r:id="rId549" ref="I275"/>
    <hyperlink r:id="rId550" ref="G276"/>
    <hyperlink r:id="rId551" ref="I276"/>
    <hyperlink r:id="rId552" ref="G277"/>
    <hyperlink r:id="rId553" ref="I277"/>
    <hyperlink r:id="rId554" ref="G278"/>
    <hyperlink r:id="rId555" ref="I278"/>
    <hyperlink r:id="rId556" ref="G279"/>
    <hyperlink r:id="rId557" ref="I279"/>
    <hyperlink r:id="rId558" ref="G280"/>
    <hyperlink r:id="rId559" ref="I280"/>
    <hyperlink r:id="rId560" ref="G281"/>
    <hyperlink r:id="rId561" ref="I281"/>
    <hyperlink r:id="rId562" ref="G282"/>
    <hyperlink r:id="rId563" ref="I282"/>
    <hyperlink r:id="rId564" ref="G283"/>
    <hyperlink r:id="rId565" ref="I283"/>
    <hyperlink r:id="rId566" ref="G284"/>
    <hyperlink r:id="rId567" ref="I284"/>
    <hyperlink r:id="rId568" ref="G285"/>
    <hyperlink r:id="rId569" ref="I285"/>
    <hyperlink r:id="rId570" ref="G286"/>
    <hyperlink r:id="rId571" ref="I286"/>
    <hyperlink r:id="rId572" ref="G287"/>
    <hyperlink r:id="rId573" ref="I287"/>
    <hyperlink r:id="rId574" ref="G288"/>
    <hyperlink r:id="rId575" ref="I288"/>
    <hyperlink r:id="rId576" ref="G289"/>
    <hyperlink r:id="rId577" ref="I289"/>
    <hyperlink r:id="rId578" ref="G290"/>
    <hyperlink r:id="rId579" ref="I290"/>
    <hyperlink r:id="rId580" ref="G291"/>
    <hyperlink r:id="rId581" ref="I291"/>
    <hyperlink r:id="rId582" ref="G292"/>
    <hyperlink r:id="rId583" ref="I292"/>
    <hyperlink r:id="rId584" ref="G293"/>
    <hyperlink r:id="rId585" ref="I293"/>
    <hyperlink r:id="rId586" ref="G294"/>
    <hyperlink r:id="rId587" ref="I294"/>
    <hyperlink r:id="rId588" ref="G295"/>
    <hyperlink r:id="rId589" ref="I295"/>
    <hyperlink r:id="rId590" ref="G296"/>
    <hyperlink r:id="rId591" ref="I296"/>
    <hyperlink r:id="rId592" ref="G297"/>
    <hyperlink r:id="rId593" ref="I297"/>
    <hyperlink r:id="rId594" ref="G298"/>
    <hyperlink r:id="rId595" ref="I298"/>
    <hyperlink r:id="rId596" ref="G299"/>
    <hyperlink r:id="rId597" ref="I299"/>
    <hyperlink r:id="rId598" ref="G300"/>
    <hyperlink r:id="rId599" ref="I300"/>
    <hyperlink r:id="rId600" ref="G301"/>
    <hyperlink r:id="rId601" ref="I301"/>
    <hyperlink r:id="rId602" ref="G302"/>
    <hyperlink r:id="rId603" ref="I302"/>
    <hyperlink r:id="rId604" ref="G303"/>
    <hyperlink r:id="rId605" ref="I303"/>
    <hyperlink r:id="rId606" ref="G304"/>
    <hyperlink r:id="rId607" ref="I304"/>
    <hyperlink r:id="rId608" ref="G305"/>
    <hyperlink r:id="rId609" ref="I305"/>
    <hyperlink r:id="rId610" ref="G306"/>
    <hyperlink r:id="rId611" ref="I306"/>
    <hyperlink r:id="rId612" ref="G307"/>
    <hyperlink r:id="rId613" ref="I307"/>
    <hyperlink r:id="rId614" ref="G308"/>
    <hyperlink r:id="rId615" ref="I308"/>
    <hyperlink r:id="rId616" ref="G309"/>
    <hyperlink r:id="rId617" ref="I309"/>
    <hyperlink r:id="rId618" ref="G310"/>
    <hyperlink r:id="rId619" ref="I310"/>
    <hyperlink r:id="rId620" ref="G311"/>
    <hyperlink r:id="rId621" ref="I311"/>
    <hyperlink r:id="rId622" ref="G312"/>
    <hyperlink r:id="rId623" ref="I312"/>
    <hyperlink r:id="rId624" ref="G313"/>
    <hyperlink r:id="rId625" ref="I313"/>
    <hyperlink r:id="rId626" ref="G314"/>
    <hyperlink r:id="rId627" ref="I314"/>
    <hyperlink r:id="rId628" ref="G315"/>
    <hyperlink r:id="rId629" ref="I315"/>
    <hyperlink r:id="rId630" ref="G316"/>
    <hyperlink r:id="rId631" ref="I316"/>
    <hyperlink r:id="rId632" ref="G317"/>
    <hyperlink r:id="rId633" ref="I317"/>
    <hyperlink r:id="rId634" ref="G318"/>
    <hyperlink r:id="rId635" ref="I318"/>
    <hyperlink r:id="rId636" ref="G319"/>
    <hyperlink r:id="rId637" ref="I319"/>
    <hyperlink r:id="rId638" ref="G320"/>
    <hyperlink r:id="rId639" ref="I320"/>
    <hyperlink r:id="rId640" ref="G321"/>
    <hyperlink r:id="rId641" ref="I321"/>
    <hyperlink r:id="rId642" ref="G322"/>
    <hyperlink r:id="rId643" ref="I322"/>
    <hyperlink r:id="rId644" ref="G323"/>
    <hyperlink r:id="rId645" ref="I323"/>
    <hyperlink r:id="rId646" ref="G324"/>
    <hyperlink r:id="rId647" ref="I324"/>
    <hyperlink r:id="rId648" ref="G325"/>
    <hyperlink r:id="rId649" ref="I325"/>
    <hyperlink r:id="rId650" ref="G326"/>
    <hyperlink r:id="rId651" ref="I326"/>
    <hyperlink r:id="rId652" ref="G327"/>
    <hyperlink r:id="rId653" ref="I327"/>
    <hyperlink r:id="rId654" ref="G328"/>
    <hyperlink r:id="rId655" ref="I328"/>
    <hyperlink r:id="rId656" ref="G329"/>
    <hyperlink r:id="rId657" ref="I329"/>
    <hyperlink r:id="rId658" ref="G330"/>
    <hyperlink r:id="rId659" ref="I330"/>
    <hyperlink r:id="rId660" ref="G331"/>
    <hyperlink r:id="rId661" ref="I331"/>
    <hyperlink r:id="rId662" ref="G332"/>
    <hyperlink r:id="rId663" ref="I332"/>
    <hyperlink r:id="rId664" ref="G333"/>
    <hyperlink r:id="rId665" ref="I333"/>
    <hyperlink r:id="rId666" ref="G334"/>
    <hyperlink r:id="rId667" ref="I334"/>
    <hyperlink r:id="rId668" ref="G335"/>
    <hyperlink r:id="rId669" ref="I335"/>
    <hyperlink r:id="rId670" ref="G336"/>
    <hyperlink r:id="rId671" ref="I336"/>
    <hyperlink r:id="rId672" ref="G337"/>
    <hyperlink r:id="rId673" ref="I337"/>
    <hyperlink r:id="rId674" ref="G338"/>
    <hyperlink r:id="rId675" ref="I338"/>
    <hyperlink r:id="rId676" ref="G339"/>
    <hyperlink r:id="rId677" ref="I339"/>
    <hyperlink r:id="rId678" ref="G340"/>
    <hyperlink r:id="rId679" ref="I340"/>
    <hyperlink r:id="rId680" ref="G341"/>
    <hyperlink r:id="rId681" ref="I341"/>
    <hyperlink r:id="rId682" ref="G342"/>
    <hyperlink r:id="rId683" ref="I342"/>
    <hyperlink r:id="rId684" ref="G343"/>
    <hyperlink r:id="rId685" ref="I343"/>
    <hyperlink r:id="rId686" ref="G344"/>
    <hyperlink r:id="rId687" ref="I344"/>
    <hyperlink r:id="rId688" ref="G345"/>
    <hyperlink r:id="rId689" ref="I345"/>
    <hyperlink r:id="rId690" ref="G346"/>
    <hyperlink r:id="rId691" ref="I346"/>
    <hyperlink r:id="rId692" ref="G347"/>
    <hyperlink r:id="rId693" ref="I347"/>
    <hyperlink r:id="rId694" ref="G348"/>
    <hyperlink r:id="rId695" ref="I348"/>
    <hyperlink r:id="rId696" ref="G349"/>
    <hyperlink r:id="rId697" ref="I349"/>
    <hyperlink r:id="rId698" ref="G350"/>
    <hyperlink r:id="rId699" ref="I350"/>
    <hyperlink r:id="rId700" ref="G351"/>
    <hyperlink r:id="rId701" ref="I351"/>
    <hyperlink r:id="rId702" ref="G352"/>
    <hyperlink r:id="rId703" ref="I352"/>
    <hyperlink r:id="rId704" ref="G353"/>
    <hyperlink r:id="rId705" ref="I353"/>
    <hyperlink r:id="rId706" ref="G354"/>
    <hyperlink r:id="rId707" ref="I354"/>
    <hyperlink r:id="rId708" ref="G355"/>
    <hyperlink r:id="rId709" ref="I355"/>
    <hyperlink r:id="rId710" ref="G356"/>
    <hyperlink r:id="rId711" ref="I356"/>
    <hyperlink r:id="rId712" ref="G357"/>
    <hyperlink r:id="rId713" ref="I357"/>
    <hyperlink r:id="rId714" ref="G358"/>
    <hyperlink r:id="rId715" ref="I358"/>
    <hyperlink r:id="rId716" ref="G359"/>
    <hyperlink r:id="rId717" ref="I359"/>
    <hyperlink r:id="rId718" ref="G360"/>
    <hyperlink r:id="rId719" ref="I360"/>
    <hyperlink r:id="rId720" ref="G361"/>
    <hyperlink r:id="rId721" ref="I361"/>
    <hyperlink r:id="rId722" ref="G362"/>
    <hyperlink r:id="rId723" ref="I362"/>
    <hyperlink r:id="rId724" ref="G363"/>
    <hyperlink r:id="rId725" ref="I363"/>
    <hyperlink r:id="rId726" ref="G364"/>
    <hyperlink r:id="rId727" ref="I364"/>
    <hyperlink r:id="rId728" ref="G365"/>
    <hyperlink r:id="rId729" ref="I365"/>
    <hyperlink r:id="rId730" ref="G366"/>
    <hyperlink r:id="rId731" ref="I366"/>
    <hyperlink r:id="rId732" ref="G367"/>
    <hyperlink r:id="rId733" ref="I367"/>
    <hyperlink r:id="rId734" ref="G368"/>
    <hyperlink r:id="rId735" ref="I368"/>
    <hyperlink r:id="rId736" ref="G369"/>
    <hyperlink r:id="rId737" ref="I369"/>
    <hyperlink r:id="rId738" ref="G370"/>
    <hyperlink r:id="rId739" ref="I370"/>
    <hyperlink r:id="rId740" ref="G371"/>
    <hyperlink r:id="rId741" ref="I371"/>
    <hyperlink r:id="rId742" ref="G372"/>
    <hyperlink r:id="rId743" ref="I372"/>
    <hyperlink r:id="rId744" ref="G373"/>
    <hyperlink r:id="rId745" ref="I373"/>
    <hyperlink r:id="rId746" ref="G374"/>
    <hyperlink r:id="rId747" ref="I374"/>
    <hyperlink r:id="rId748" ref="G375"/>
    <hyperlink r:id="rId749" ref="I375"/>
    <hyperlink r:id="rId750" ref="G376"/>
    <hyperlink r:id="rId751" ref="I376"/>
    <hyperlink r:id="rId752" ref="G377"/>
    <hyperlink r:id="rId753" ref="I377"/>
    <hyperlink r:id="rId754" ref="G378"/>
    <hyperlink r:id="rId755" ref="I378"/>
    <hyperlink r:id="rId756" ref="G379"/>
    <hyperlink r:id="rId757" ref="I379"/>
    <hyperlink r:id="rId758" ref="G380"/>
    <hyperlink r:id="rId759" ref="I380"/>
    <hyperlink r:id="rId760" ref="G381"/>
    <hyperlink r:id="rId761" ref="I381"/>
    <hyperlink r:id="rId762" ref="G382"/>
    <hyperlink r:id="rId763" ref="I382"/>
    <hyperlink r:id="rId764" ref="G383"/>
    <hyperlink r:id="rId765" ref="I383"/>
    <hyperlink r:id="rId766" ref="G384"/>
    <hyperlink r:id="rId767" ref="I384"/>
    <hyperlink r:id="rId768" ref="G385"/>
    <hyperlink r:id="rId769" ref="I385"/>
    <hyperlink r:id="rId770" ref="G386"/>
    <hyperlink r:id="rId771" ref="I386"/>
    <hyperlink r:id="rId772" ref="G387"/>
    <hyperlink r:id="rId773" ref="I387"/>
    <hyperlink r:id="rId774" ref="G388"/>
    <hyperlink r:id="rId775" ref="I388"/>
    <hyperlink r:id="rId776" ref="G389"/>
    <hyperlink r:id="rId777" ref="I389"/>
    <hyperlink r:id="rId778" ref="G390"/>
    <hyperlink r:id="rId779" ref="I390"/>
    <hyperlink r:id="rId780" ref="G391"/>
    <hyperlink r:id="rId781" ref="I391"/>
    <hyperlink r:id="rId782" ref="G392"/>
    <hyperlink r:id="rId783" ref="I392"/>
    <hyperlink r:id="rId784" ref="G393"/>
    <hyperlink r:id="rId785" ref="I393"/>
    <hyperlink r:id="rId786" ref="G394"/>
    <hyperlink r:id="rId787" ref="I394"/>
    <hyperlink r:id="rId788" ref="G395"/>
    <hyperlink r:id="rId789" ref="I395"/>
    <hyperlink r:id="rId790" ref="G396"/>
    <hyperlink r:id="rId791" ref="I396"/>
    <hyperlink r:id="rId792" ref="G397"/>
    <hyperlink r:id="rId793" ref="I397"/>
    <hyperlink r:id="rId794" ref="G398"/>
    <hyperlink r:id="rId795" ref="I398"/>
    <hyperlink r:id="rId796" ref="G399"/>
    <hyperlink r:id="rId797" ref="I399"/>
    <hyperlink r:id="rId798" ref="G400"/>
    <hyperlink r:id="rId799" ref="I400"/>
    <hyperlink r:id="rId800" ref="G401"/>
    <hyperlink r:id="rId801" ref="I401"/>
    <hyperlink r:id="rId802" ref="G402"/>
    <hyperlink r:id="rId803" ref="I402"/>
    <hyperlink r:id="rId804" ref="G403"/>
    <hyperlink r:id="rId805" ref="I403"/>
    <hyperlink r:id="rId806" ref="G404"/>
    <hyperlink r:id="rId807" ref="I404"/>
    <hyperlink r:id="rId808" ref="G405"/>
    <hyperlink r:id="rId809" ref="I405"/>
    <hyperlink r:id="rId810" ref="G406"/>
    <hyperlink r:id="rId811" ref="I406"/>
    <hyperlink r:id="rId812" ref="G407"/>
    <hyperlink r:id="rId813" ref="I407"/>
    <hyperlink r:id="rId814" ref="G408"/>
    <hyperlink r:id="rId815" ref="I408"/>
    <hyperlink r:id="rId816" ref="G409"/>
    <hyperlink r:id="rId817" ref="I409"/>
    <hyperlink r:id="rId818" ref="G410"/>
    <hyperlink r:id="rId819" ref="I410"/>
    <hyperlink r:id="rId820" ref="G411"/>
    <hyperlink r:id="rId821" ref="I411"/>
    <hyperlink r:id="rId822" ref="G412"/>
    <hyperlink r:id="rId823" ref="I412"/>
    <hyperlink r:id="rId824" ref="G413"/>
    <hyperlink r:id="rId825" ref="I413"/>
    <hyperlink r:id="rId826" ref="G414"/>
    <hyperlink r:id="rId827" ref="I414"/>
    <hyperlink r:id="rId828" ref="G415"/>
    <hyperlink r:id="rId829" ref="I415"/>
    <hyperlink r:id="rId830" ref="G416"/>
    <hyperlink r:id="rId831" ref="I416"/>
    <hyperlink r:id="rId832" ref="G417"/>
    <hyperlink r:id="rId833" ref="I417"/>
    <hyperlink r:id="rId834" ref="G418"/>
    <hyperlink r:id="rId835" ref="I418"/>
    <hyperlink r:id="rId836" ref="G419"/>
    <hyperlink r:id="rId837" ref="I419"/>
    <hyperlink r:id="rId838" ref="G420"/>
    <hyperlink r:id="rId839" ref="I420"/>
    <hyperlink r:id="rId840" ref="G421"/>
    <hyperlink r:id="rId841" ref="I421"/>
    <hyperlink r:id="rId842" ref="G422"/>
    <hyperlink r:id="rId843" ref="I422"/>
    <hyperlink r:id="rId844" ref="G423"/>
    <hyperlink r:id="rId845" ref="I423"/>
    <hyperlink r:id="rId846" ref="G424"/>
    <hyperlink r:id="rId847" ref="I424"/>
    <hyperlink r:id="rId848" ref="G425"/>
    <hyperlink r:id="rId849" ref="I425"/>
    <hyperlink r:id="rId850" ref="G426"/>
    <hyperlink r:id="rId851" ref="I426"/>
    <hyperlink r:id="rId852" ref="G427"/>
    <hyperlink r:id="rId853" ref="I427"/>
    <hyperlink r:id="rId854" ref="G428"/>
    <hyperlink r:id="rId855" ref="I428"/>
    <hyperlink r:id="rId856" ref="G429"/>
    <hyperlink r:id="rId857" ref="I429"/>
    <hyperlink r:id="rId858" ref="G430"/>
    <hyperlink r:id="rId859" ref="I430"/>
    <hyperlink r:id="rId860" ref="G431"/>
    <hyperlink r:id="rId861" ref="I431"/>
    <hyperlink r:id="rId862" ref="G432"/>
    <hyperlink r:id="rId863" ref="I432"/>
    <hyperlink r:id="rId864" ref="G433"/>
    <hyperlink r:id="rId865" ref="I433"/>
    <hyperlink r:id="rId866" ref="G434"/>
    <hyperlink r:id="rId867" ref="I434"/>
    <hyperlink r:id="rId868" ref="S434"/>
    <hyperlink r:id="rId869" ref="G435"/>
    <hyperlink r:id="rId870" ref="I435"/>
    <hyperlink r:id="rId871" ref="S435"/>
    <hyperlink r:id="rId872" ref="G436"/>
    <hyperlink r:id="rId873" ref="I436"/>
    <hyperlink r:id="rId874" ref="S436"/>
    <hyperlink r:id="rId875" ref="G437"/>
    <hyperlink r:id="rId876" ref="I437"/>
    <hyperlink r:id="rId877" ref="G438"/>
    <hyperlink r:id="rId878" ref="I438"/>
    <hyperlink r:id="rId879" ref="G439"/>
    <hyperlink r:id="rId880" ref="I439"/>
    <hyperlink r:id="rId881" ref="G440"/>
    <hyperlink r:id="rId882" ref="I440"/>
    <hyperlink r:id="rId883" ref="G441"/>
    <hyperlink r:id="rId884" ref="I441"/>
    <hyperlink r:id="rId885" ref="G442"/>
    <hyperlink r:id="rId886" ref="I442"/>
    <hyperlink r:id="rId887" ref="G443"/>
    <hyperlink r:id="rId888" ref="I443"/>
    <hyperlink r:id="rId889" ref="G444"/>
    <hyperlink r:id="rId890" ref="I444"/>
    <hyperlink r:id="rId891" ref="G445"/>
    <hyperlink r:id="rId892" ref="I445"/>
    <hyperlink r:id="rId893" ref="G446"/>
    <hyperlink r:id="rId894" ref="I446"/>
    <hyperlink r:id="rId895" ref="G447"/>
    <hyperlink r:id="rId896" ref="I447"/>
    <hyperlink r:id="rId897" ref="G448"/>
    <hyperlink r:id="rId898" ref="I448"/>
    <hyperlink r:id="rId899" ref="G449"/>
    <hyperlink r:id="rId900" ref="I449"/>
    <hyperlink r:id="rId901" ref="G450"/>
    <hyperlink r:id="rId902" ref="I450"/>
    <hyperlink r:id="rId903" ref="G451"/>
    <hyperlink r:id="rId904" ref="I451"/>
    <hyperlink r:id="rId905" ref="G452"/>
    <hyperlink r:id="rId906" ref="I452"/>
    <hyperlink r:id="rId907" ref="G453"/>
    <hyperlink r:id="rId908" ref="I453"/>
    <hyperlink r:id="rId909" ref="G454"/>
    <hyperlink r:id="rId910" ref="I454"/>
    <hyperlink r:id="rId911" ref="G455"/>
    <hyperlink r:id="rId912" ref="I455"/>
    <hyperlink r:id="rId913" ref="G456"/>
    <hyperlink r:id="rId914" ref="I456"/>
    <hyperlink r:id="rId915" ref="G457"/>
    <hyperlink r:id="rId916" ref="I457"/>
    <hyperlink r:id="rId917" ref="G458"/>
    <hyperlink r:id="rId918" ref="I458"/>
    <hyperlink r:id="rId919" ref="G459"/>
    <hyperlink r:id="rId920" ref="I459"/>
    <hyperlink r:id="rId921" ref="G460"/>
    <hyperlink r:id="rId922" ref="I460"/>
    <hyperlink r:id="rId923" ref="G461"/>
    <hyperlink r:id="rId924" ref="I461"/>
    <hyperlink r:id="rId925" ref="G462"/>
    <hyperlink r:id="rId926" ref="I462"/>
    <hyperlink r:id="rId927" ref="G463"/>
    <hyperlink r:id="rId928" ref="I463"/>
    <hyperlink r:id="rId929" ref="G464"/>
    <hyperlink r:id="rId930" ref="I464"/>
    <hyperlink r:id="rId931" ref="G465"/>
    <hyperlink r:id="rId932" ref="I465"/>
    <hyperlink r:id="rId933" ref="G466"/>
    <hyperlink r:id="rId934" ref="I466"/>
    <hyperlink r:id="rId935" ref="G467"/>
    <hyperlink r:id="rId936" ref="I467"/>
    <hyperlink r:id="rId937" ref="G468"/>
    <hyperlink r:id="rId938" ref="I468"/>
    <hyperlink r:id="rId939" ref="G469"/>
    <hyperlink r:id="rId940" ref="I469"/>
    <hyperlink r:id="rId941" ref="G470"/>
    <hyperlink r:id="rId942" ref="I470"/>
    <hyperlink r:id="rId943" ref="G471"/>
    <hyperlink r:id="rId944" ref="I471"/>
    <hyperlink r:id="rId945" ref="G472"/>
    <hyperlink r:id="rId946" ref="I472"/>
    <hyperlink r:id="rId947" ref="G473"/>
    <hyperlink r:id="rId948" ref="I473"/>
    <hyperlink r:id="rId949" ref="G474"/>
    <hyperlink r:id="rId950" ref="I474"/>
    <hyperlink r:id="rId951" ref="G475"/>
    <hyperlink r:id="rId952" ref="I475"/>
    <hyperlink r:id="rId953" ref="G476"/>
    <hyperlink r:id="rId954" ref="I476"/>
    <hyperlink r:id="rId955" ref="G477"/>
    <hyperlink r:id="rId956" ref="I477"/>
    <hyperlink r:id="rId957" ref="G478"/>
    <hyperlink r:id="rId958" ref="I478"/>
    <hyperlink r:id="rId959" ref="G479"/>
    <hyperlink r:id="rId960" ref="I479"/>
    <hyperlink r:id="rId961" ref="G480"/>
    <hyperlink r:id="rId962" ref="I480"/>
    <hyperlink r:id="rId963" ref="G481"/>
    <hyperlink r:id="rId964" ref="I481"/>
    <hyperlink r:id="rId965" ref="G482"/>
    <hyperlink r:id="rId966" ref="I482"/>
    <hyperlink r:id="rId967" ref="G483"/>
    <hyperlink r:id="rId968" ref="I483"/>
    <hyperlink r:id="rId969" ref="G484"/>
    <hyperlink r:id="rId970" ref="I484"/>
    <hyperlink r:id="rId971" ref="G485"/>
    <hyperlink r:id="rId972" ref="I485"/>
    <hyperlink r:id="rId973" ref="G486"/>
    <hyperlink r:id="rId974" ref="I486"/>
    <hyperlink r:id="rId975" ref="G487"/>
    <hyperlink r:id="rId976" ref="I487"/>
    <hyperlink r:id="rId977" ref="G488"/>
    <hyperlink r:id="rId978" ref="I488"/>
    <hyperlink r:id="rId979" ref="G489"/>
    <hyperlink r:id="rId980" ref="I489"/>
    <hyperlink r:id="rId981" ref="G490"/>
    <hyperlink r:id="rId982" ref="I490"/>
    <hyperlink r:id="rId983" ref="G491"/>
    <hyperlink r:id="rId984" ref="I491"/>
    <hyperlink r:id="rId985" ref="G492"/>
    <hyperlink r:id="rId986" ref="I492"/>
    <hyperlink r:id="rId987" ref="G493"/>
    <hyperlink r:id="rId988" ref="I493"/>
    <hyperlink r:id="rId989" ref="G494"/>
    <hyperlink r:id="rId990" ref="I494"/>
    <hyperlink r:id="rId991" ref="G495"/>
    <hyperlink r:id="rId992" ref="I495"/>
    <hyperlink r:id="rId993" ref="G496"/>
    <hyperlink r:id="rId994" ref="I496"/>
    <hyperlink r:id="rId995" ref="G497"/>
    <hyperlink r:id="rId996" ref="I497"/>
    <hyperlink r:id="rId997" ref="G498"/>
    <hyperlink r:id="rId998" ref="I498"/>
    <hyperlink r:id="rId999" ref="G499"/>
    <hyperlink r:id="rId1000" ref="I499"/>
    <hyperlink r:id="rId1001" ref="G500"/>
    <hyperlink r:id="rId1002" ref="I500"/>
    <hyperlink r:id="rId1003" ref="G501"/>
    <hyperlink r:id="rId1004" ref="I501"/>
    <hyperlink r:id="rId1005" ref="G502"/>
    <hyperlink r:id="rId1006" ref="I502"/>
    <hyperlink r:id="rId1007" ref="G503"/>
    <hyperlink r:id="rId1008" ref="I503"/>
    <hyperlink r:id="rId1009" ref="G504"/>
    <hyperlink r:id="rId1010" ref="I504"/>
    <hyperlink r:id="rId1011" ref="G505"/>
    <hyperlink r:id="rId1012" ref="I505"/>
    <hyperlink r:id="rId1013" ref="G506"/>
    <hyperlink r:id="rId1014" ref="I506"/>
    <hyperlink r:id="rId1015" ref="G507"/>
    <hyperlink r:id="rId1016" ref="I507"/>
    <hyperlink r:id="rId1017" ref="G508"/>
    <hyperlink r:id="rId1018" ref="I508"/>
    <hyperlink r:id="rId1019" ref="G509"/>
    <hyperlink r:id="rId1020" ref="I509"/>
    <hyperlink r:id="rId1021" ref="G510"/>
    <hyperlink r:id="rId1022" ref="I510"/>
    <hyperlink r:id="rId1023" ref="G511"/>
    <hyperlink r:id="rId1024" ref="I511"/>
    <hyperlink r:id="rId1025" ref="G512"/>
    <hyperlink r:id="rId1026" ref="I512"/>
    <hyperlink r:id="rId1027" ref="G513"/>
    <hyperlink r:id="rId1028" ref="I513"/>
    <hyperlink r:id="rId1029" ref="G514"/>
    <hyperlink r:id="rId1030" ref="I514"/>
    <hyperlink r:id="rId1031" ref="G515"/>
    <hyperlink r:id="rId1032" ref="I515"/>
    <hyperlink r:id="rId1033" ref="G516"/>
    <hyperlink r:id="rId1034" ref="I516"/>
    <hyperlink r:id="rId1035" ref="G517"/>
    <hyperlink r:id="rId1036" ref="I517"/>
    <hyperlink r:id="rId1037" ref="G518"/>
    <hyperlink r:id="rId1038" ref="I518"/>
    <hyperlink r:id="rId1039" ref="G519"/>
    <hyperlink r:id="rId1040" ref="I519"/>
    <hyperlink r:id="rId1041" ref="G520"/>
    <hyperlink r:id="rId1042" ref="I520"/>
    <hyperlink r:id="rId1043" ref="G521"/>
    <hyperlink r:id="rId1044" ref="I521"/>
    <hyperlink r:id="rId1045" ref="G522"/>
    <hyperlink r:id="rId1046" ref="I522"/>
    <hyperlink r:id="rId1047" ref="G523"/>
    <hyperlink r:id="rId1048" ref="I523"/>
    <hyperlink r:id="rId1049" ref="G524"/>
    <hyperlink r:id="rId1050" ref="I524"/>
    <hyperlink r:id="rId1051" ref="G525"/>
    <hyperlink r:id="rId1052" ref="I525"/>
    <hyperlink r:id="rId1053" ref="G526"/>
    <hyperlink r:id="rId1054" ref="I526"/>
    <hyperlink r:id="rId1055" ref="G527"/>
    <hyperlink r:id="rId1056" ref="I527"/>
    <hyperlink r:id="rId1057" ref="G528"/>
    <hyperlink r:id="rId1058" ref="I528"/>
    <hyperlink r:id="rId1059" ref="G529"/>
    <hyperlink r:id="rId1060" ref="I529"/>
    <hyperlink r:id="rId1061" ref="G530"/>
    <hyperlink r:id="rId1062" ref="I530"/>
    <hyperlink r:id="rId1063" ref="G531"/>
    <hyperlink r:id="rId1064" ref="I531"/>
    <hyperlink r:id="rId1065" ref="G532"/>
    <hyperlink r:id="rId1066" ref="I532"/>
    <hyperlink r:id="rId1067" ref="G533"/>
    <hyperlink r:id="rId1068" ref="I533"/>
    <hyperlink r:id="rId1069" ref="G534"/>
    <hyperlink r:id="rId1070" ref="I534"/>
    <hyperlink r:id="rId1071" ref="G535"/>
    <hyperlink r:id="rId1072" ref="I535"/>
    <hyperlink r:id="rId1073" ref="G536"/>
    <hyperlink r:id="rId1074" ref="I536"/>
    <hyperlink r:id="rId1075" ref="G537"/>
    <hyperlink r:id="rId1076" ref="I537"/>
    <hyperlink r:id="rId1077" ref="G538"/>
    <hyperlink r:id="rId1078" ref="I538"/>
    <hyperlink r:id="rId1079" ref="G539"/>
    <hyperlink r:id="rId1080" ref="I539"/>
    <hyperlink r:id="rId1081" ref="G540"/>
    <hyperlink r:id="rId1082" ref="I540"/>
    <hyperlink r:id="rId1083" ref="G541"/>
    <hyperlink r:id="rId1084" ref="I541"/>
    <hyperlink r:id="rId1085" ref="G542"/>
    <hyperlink r:id="rId1086" ref="I542"/>
    <hyperlink r:id="rId1087" ref="G543"/>
    <hyperlink r:id="rId1088" ref="I543"/>
    <hyperlink r:id="rId1089" ref="G544"/>
    <hyperlink r:id="rId1090" ref="I544"/>
    <hyperlink r:id="rId1091" ref="G545"/>
    <hyperlink r:id="rId1092" ref="I545"/>
    <hyperlink r:id="rId1093" ref="I546"/>
    <hyperlink r:id="rId1094" ref="G547"/>
    <hyperlink r:id="rId1095" ref="I547"/>
    <hyperlink r:id="rId1096" ref="G548"/>
    <hyperlink r:id="rId1097" ref="I548"/>
    <hyperlink r:id="rId1098" ref="G549"/>
    <hyperlink r:id="rId1099" ref="I549"/>
    <hyperlink r:id="rId1100" ref="G550"/>
    <hyperlink r:id="rId1101" ref="I550"/>
    <hyperlink r:id="rId1102" ref="G551"/>
    <hyperlink r:id="rId1103" ref="I551"/>
    <hyperlink r:id="rId1104" ref="G552"/>
    <hyperlink r:id="rId1105" ref="I552"/>
    <hyperlink r:id="rId1106" ref="G553"/>
    <hyperlink r:id="rId1107" ref="I553"/>
    <hyperlink r:id="rId1108" ref="G554"/>
    <hyperlink r:id="rId1109" ref="I554"/>
    <hyperlink r:id="rId1110" ref="G555"/>
    <hyperlink r:id="rId1111" ref="I555"/>
    <hyperlink r:id="rId1112" ref="G556"/>
    <hyperlink r:id="rId1113" ref="I556"/>
    <hyperlink r:id="rId1114" ref="G557"/>
    <hyperlink r:id="rId1115" ref="I557"/>
    <hyperlink r:id="rId1116" ref="G558"/>
    <hyperlink r:id="rId1117" ref="I558"/>
    <hyperlink r:id="rId1118" ref="G559"/>
    <hyperlink r:id="rId1119" ref="I559"/>
    <hyperlink r:id="rId1120" ref="G560"/>
    <hyperlink r:id="rId1121" ref="I560"/>
    <hyperlink r:id="rId1122" ref="G561"/>
    <hyperlink r:id="rId1123" ref="I561"/>
    <hyperlink r:id="rId1124" ref="G562"/>
    <hyperlink r:id="rId1125" ref="I562"/>
    <hyperlink r:id="rId1126" ref="G563"/>
    <hyperlink r:id="rId1127" ref="I563"/>
    <hyperlink r:id="rId1128" ref="G564"/>
    <hyperlink r:id="rId1129" ref="I564"/>
    <hyperlink r:id="rId1130" ref="G565"/>
    <hyperlink r:id="rId1131" ref="I565"/>
    <hyperlink r:id="rId1132" ref="G566"/>
    <hyperlink r:id="rId1133" ref="I566"/>
    <hyperlink r:id="rId1134" ref="G567"/>
    <hyperlink r:id="rId1135" ref="I567"/>
    <hyperlink r:id="rId1136" ref="G568"/>
    <hyperlink r:id="rId1137" ref="I568"/>
    <hyperlink r:id="rId1138" ref="G569"/>
    <hyperlink r:id="rId1139" ref="I569"/>
    <hyperlink r:id="rId1140" ref="G570"/>
    <hyperlink r:id="rId1141" ref="I570"/>
    <hyperlink r:id="rId1142" ref="G571"/>
    <hyperlink r:id="rId1143" ref="I571"/>
    <hyperlink r:id="rId1144" ref="G572"/>
    <hyperlink r:id="rId1145" ref="I572"/>
    <hyperlink r:id="rId1146" ref="G573"/>
    <hyperlink r:id="rId1147" ref="I573"/>
    <hyperlink r:id="rId1148" ref="G574"/>
    <hyperlink r:id="rId1149" ref="I574"/>
    <hyperlink r:id="rId1150" ref="G575"/>
    <hyperlink r:id="rId1151" ref="I575"/>
    <hyperlink r:id="rId1152" ref="G576"/>
    <hyperlink r:id="rId1153" ref="I576"/>
    <hyperlink r:id="rId1154" ref="G577"/>
    <hyperlink r:id="rId1155" ref="I577"/>
    <hyperlink r:id="rId1156" ref="G578"/>
    <hyperlink r:id="rId1157" ref="I578"/>
    <hyperlink r:id="rId1158" ref="G579"/>
    <hyperlink r:id="rId1159" ref="I579"/>
    <hyperlink r:id="rId1160" ref="G580"/>
    <hyperlink r:id="rId1161" ref="I580"/>
    <hyperlink r:id="rId1162" ref="G581"/>
    <hyperlink r:id="rId1163" ref="I581"/>
    <hyperlink r:id="rId1164" ref="G582"/>
    <hyperlink r:id="rId1165" ref="I582"/>
    <hyperlink r:id="rId1166" ref="G583"/>
    <hyperlink r:id="rId1167" ref="I583"/>
    <hyperlink r:id="rId1168" ref="G584"/>
    <hyperlink r:id="rId1169" ref="I584"/>
    <hyperlink r:id="rId1170" ref="G585"/>
    <hyperlink r:id="rId1171" ref="I585"/>
    <hyperlink r:id="rId1172" ref="G586"/>
    <hyperlink r:id="rId1173" ref="I586"/>
    <hyperlink r:id="rId1174" ref="G587"/>
    <hyperlink r:id="rId1175" ref="I587"/>
    <hyperlink r:id="rId1176" ref="G588"/>
    <hyperlink r:id="rId1177" ref="I588"/>
    <hyperlink r:id="rId1178" ref="G589"/>
    <hyperlink r:id="rId1179" ref="I589"/>
    <hyperlink r:id="rId1180" ref="G590"/>
    <hyperlink r:id="rId1181" ref="I590"/>
    <hyperlink r:id="rId1182" ref="G591"/>
    <hyperlink r:id="rId1183" ref="I591"/>
    <hyperlink r:id="rId1184" ref="G592"/>
    <hyperlink r:id="rId1185" ref="I592"/>
    <hyperlink r:id="rId1186" ref="G593"/>
    <hyperlink r:id="rId1187" ref="I593"/>
    <hyperlink r:id="rId1188" ref="G594"/>
    <hyperlink r:id="rId1189" ref="I594"/>
    <hyperlink r:id="rId1190" ref="G595"/>
    <hyperlink r:id="rId1191" ref="I595"/>
    <hyperlink r:id="rId1192" ref="G596"/>
    <hyperlink r:id="rId1193" ref="I596"/>
    <hyperlink r:id="rId1194" ref="G597"/>
    <hyperlink r:id="rId1195" ref="I597"/>
    <hyperlink r:id="rId1196" ref="G598"/>
    <hyperlink r:id="rId1197" ref="I598"/>
    <hyperlink r:id="rId1198" ref="G599"/>
    <hyperlink r:id="rId1199" ref="I599"/>
    <hyperlink r:id="rId1200" ref="G600"/>
    <hyperlink r:id="rId1201" ref="I600"/>
    <hyperlink r:id="rId1202" ref="G601"/>
    <hyperlink r:id="rId1203" ref="I601"/>
    <hyperlink r:id="rId1204" ref="G602"/>
    <hyperlink r:id="rId1205" ref="I602"/>
    <hyperlink r:id="rId1206" ref="G603"/>
    <hyperlink r:id="rId1207" ref="I603"/>
    <hyperlink r:id="rId1208" ref="G604"/>
    <hyperlink r:id="rId1209" ref="I604"/>
    <hyperlink r:id="rId1210" ref="G605"/>
    <hyperlink r:id="rId1211" ref="I605"/>
    <hyperlink r:id="rId1212" ref="G606"/>
    <hyperlink r:id="rId1213" ref="I606"/>
    <hyperlink r:id="rId1214" ref="G607"/>
    <hyperlink r:id="rId1215" ref="I607"/>
    <hyperlink r:id="rId1216" ref="G608"/>
    <hyperlink r:id="rId1217" ref="I608"/>
    <hyperlink r:id="rId1218" ref="G609"/>
    <hyperlink r:id="rId1219" ref="I609"/>
    <hyperlink r:id="rId1220" ref="G610"/>
    <hyperlink r:id="rId1221" ref="I610"/>
    <hyperlink r:id="rId1222" ref="G611"/>
    <hyperlink r:id="rId1223" ref="I611"/>
    <hyperlink r:id="rId1224" ref="G612"/>
    <hyperlink r:id="rId1225" ref="I612"/>
    <hyperlink r:id="rId1226" ref="G613"/>
    <hyperlink r:id="rId1227" ref="I613"/>
    <hyperlink r:id="rId1228" ref="G614"/>
    <hyperlink r:id="rId1229" ref="I614"/>
    <hyperlink r:id="rId1230" ref="G615"/>
    <hyperlink r:id="rId1231" ref="I615"/>
    <hyperlink r:id="rId1232" ref="G616"/>
    <hyperlink r:id="rId1233" ref="I616"/>
    <hyperlink r:id="rId1234" ref="G617"/>
    <hyperlink r:id="rId1235" ref="I617"/>
    <hyperlink r:id="rId1236" ref="G618"/>
    <hyperlink r:id="rId1237" ref="I618"/>
    <hyperlink r:id="rId1238" ref="G619"/>
    <hyperlink r:id="rId1239" ref="I619"/>
    <hyperlink r:id="rId1240" ref="G620"/>
    <hyperlink r:id="rId1241" ref="I620"/>
    <hyperlink r:id="rId1242" ref="G621"/>
    <hyperlink r:id="rId1243" ref="I621"/>
    <hyperlink r:id="rId1244" ref="G622"/>
    <hyperlink r:id="rId1245" ref="I622"/>
    <hyperlink r:id="rId1246" ref="G623"/>
    <hyperlink r:id="rId1247" ref="I623"/>
    <hyperlink r:id="rId1248" ref="G624"/>
    <hyperlink r:id="rId1249" ref="I624"/>
    <hyperlink r:id="rId1250" ref="G625"/>
    <hyperlink r:id="rId1251" ref="I625"/>
    <hyperlink r:id="rId1252" ref="I626"/>
    <hyperlink r:id="rId1253" ref="G627"/>
    <hyperlink r:id="rId1254" ref="I627"/>
    <hyperlink r:id="rId1255" ref="G628"/>
    <hyperlink r:id="rId1256" ref="I628"/>
    <hyperlink r:id="rId1257" ref="G629"/>
    <hyperlink r:id="rId1258" ref="I629"/>
    <hyperlink r:id="rId1259" ref="G630"/>
    <hyperlink r:id="rId1260" ref="I630"/>
    <hyperlink r:id="rId1261" ref="G631"/>
    <hyperlink r:id="rId1262" ref="I631"/>
    <hyperlink r:id="rId1263" ref="G632"/>
    <hyperlink r:id="rId1264" ref="I632"/>
    <hyperlink r:id="rId1265" ref="G633"/>
    <hyperlink r:id="rId1266" ref="I633"/>
    <hyperlink r:id="rId1267" ref="G634"/>
    <hyperlink r:id="rId1268" ref="I634"/>
    <hyperlink r:id="rId1269" ref="G635"/>
    <hyperlink r:id="rId1270" ref="I635"/>
    <hyperlink r:id="rId1271" ref="G636"/>
    <hyperlink r:id="rId1272" ref="I636"/>
    <hyperlink r:id="rId1273" ref="G637"/>
    <hyperlink r:id="rId1274" ref="I637"/>
    <hyperlink r:id="rId1275" ref="G638"/>
    <hyperlink r:id="rId1276" ref="I638"/>
    <hyperlink r:id="rId1277" ref="G639"/>
    <hyperlink r:id="rId1278" ref="I639"/>
    <hyperlink r:id="rId1279" ref="G640"/>
    <hyperlink r:id="rId1280" ref="I640"/>
    <hyperlink r:id="rId1281" ref="G641"/>
    <hyperlink r:id="rId1282" ref="I641"/>
    <hyperlink r:id="rId1283" ref="G642"/>
    <hyperlink r:id="rId1284" ref="I642"/>
    <hyperlink r:id="rId1285" ref="S642"/>
    <hyperlink r:id="rId1286" ref="G643"/>
    <hyperlink r:id="rId1287" ref="I643"/>
    <hyperlink r:id="rId1288" ref="S643"/>
    <hyperlink r:id="rId1289" ref="G644"/>
    <hyperlink r:id="rId1290" ref="I644"/>
    <hyperlink r:id="rId1291" ref="G645"/>
    <hyperlink r:id="rId1292" ref="I645"/>
    <hyperlink r:id="rId1293" ref="G646"/>
    <hyperlink r:id="rId1294" ref="I646"/>
    <hyperlink r:id="rId1295" ref="G647"/>
    <hyperlink r:id="rId1296" ref="I647"/>
    <hyperlink r:id="rId1297" ref="G648"/>
    <hyperlink r:id="rId1298" ref="I648"/>
    <hyperlink r:id="rId1299" ref="G649"/>
    <hyperlink r:id="rId1300" ref="I649"/>
    <hyperlink r:id="rId1301" ref="G650"/>
    <hyperlink r:id="rId1302" ref="I650"/>
    <hyperlink r:id="rId1303" ref="G651"/>
    <hyperlink r:id="rId1304" ref="I651"/>
    <hyperlink r:id="rId1305" ref="G652"/>
    <hyperlink r:id="rId1306" ref="I652"/>
    <hyperlink r:id="rId1307" ref="G653"/>
    <hyperlink r:id="rId1308" ref="I653"/>
    <hyperlink r:id="rId1309" ref="G654"/>
    <hyperlink r:id="rId1310" ref="I654"/>
    <hyperlink r:id="rId1311" ref="G655"/>
    <hyperlink r:id="rId1312" ref="I655"/>
    <hyperlink r:id="rId1313" ref="G656"/>
    <hyperlink r:id="rId1314" ref="I656"/>
    <hyperlink r:id="rId1315" ref="G657"/>
    <hyperlink r:id="rId1316" ref="I657"/>
    <hyperlink r:id="rId1317" ref="G658"/>
    <hyperlink r:id="rId1318" ref="I658"/>
    <hyperlink r:id="rId1319" ref="G659"/>
    <hyperlink r:id="rId1320" ref="I659"/>
    <hyperlink r:id="rId1321" ref="G660"/>
    <hyperlink r:id="rId1322" ref="I660"/>
    <hyperlink r:id="rId1323" ref="G661"/>
    <hyperlink r:id="rId1324" ref="I661"/>
    <hyperlink r:id="rId1325" ref="G662"/>
    <hyperlink r:id="rId1326" ref="I662"/>
    <hyperlink r:id="rId1327" ref="G663"/>
    <hyperlink r:id="rId1328" ref="I663"/>
    <hyperlink r:id="rId1329" ref="G664"/>
    <hyperlink r:id="rId1330" ref="I664"/>
    <hyperlink r:id="rId1331" ref="G665"/>
    <hyperlink r:id="rId1332" ref="I665"/>
    <hyperlink r:id="rId1333" ref="G666"/>
    <hyperlink r:id="rId1334" ref="I666"/>
    <hyperlink r:id="rId1335" ref="G667"/>
    <hyperlink r:id="rId1336" ref="I667"/>
    <hyperlink r:id="rId1337" ref="G668"/>
    <hyperlink r:id="rId1338" ref="I668"/>
    <hyperlink r:id="rId1339" ref="G669"/>
    <hyperlink r:id="rId1340" ref="I669"/>
    <hyperlink r:id="rId1341" ref="G670"/>
    <hyperlink r:id="rId1342" ref="I670"/>
    <hyperlink r:id="rId1343" ref="G671"/>
    <hyperlink r:id="rId1344" ref="I671"/>
    <hyperlink r:id="rId1345" ref="G672"/>
    <hyperlink r:id="rId1346" ref="I672"/>
    <hyperlink r:id="rId1347" ref="G673"/>
    <hyperlink r:id="rId1348" ref="I673"/>
    <hyperlink r:id="rId1349" ref="G674"/>
    <hyperlink r:id="rId1350" ref="I674"/>
    <hyperlink r:id="rId1351" ref="G675"/>
    <hyperlink r:id="rId1352" ref="I675"/>
    <hyperlink r:id="rId1353" ref="S675"/>
    <hyperlink r:id="rId1354" ref="G676"/>
    <hyperlink r:id="rId1355" ref="I676"/>
    <hyperlink r:id="rId1356" ref="S676"/>
    <hyperlink r:id="rId1357" ref="G677"/>
    <hyperlink r:id="rId1358" ref="I677"/>
    <hyperlink r:id="rId1359" ref="G678"/>
    <hyperlink r:id="rId1360" ref="I678"/>
    <hyperlink r:id="rId1361" ref="G679"/>
    <hyperlink r:id="rId1362" ref="I679"/>
    <hyperlink r:id="rId1363" ref="G680"/>
    <hyperlink r:id="rId1364" ref="I680"/>
    <hyperlink r:id="rId1365" ref="G681"/>
    <hyperlink r:id="rId1366" ref="I681"/>
    <hyperlink r:id="rId1367" ref="G682"/>
    <hyperlink r:id="rId1368" ref="I682"/>
    <hyperlink r:id="rId1369" ref="G683"/>
    <hyperlink r:id="rId1370" ref="I683"/>
    <hyperlink r:id="rId1371" ref="G684"/>
    <hyperlink r:id="rId1372" ref="I684"/>
    <hyperlink r:id="rId1373" ref="G685"/>
    <hyperlink r:id="rId1374" ref="I685"/>
    <hyperlink r:id="rId1375" ref="G686"/>
    <hyperlink r:id="rId1376" ref="I686"/>
    <hyperlink r:id="rId1377" ref="G687"/>
    <hyperlink r:id="rId1378" ref="I687"/>
    <hyperlink r:id="rId1379" ref="G688"/>
    <hyperlink r:id="rId1380" ref="I688"/>
    <hyperlink r:id="rId1381" ref="G689"/>
    <hyperlink r:id="rId1382" ref="I689"/>
    <hyperlink r:id="rId1383" ref="G690"/>
    <hyperlink r:id="rId1384" ref="I690"/>
    <hyperlink r:id="rId1385" ref="G691"/>
    <hyperlink r:id="rId1386" ref="I691"/>
    <hyperlink r:id="rId1387" ref="G692"/>
    <hyperlink r:id="rId1388" ref="I692"/>
    <hyperlink r:id="rId1389" ref="G693"/>
    <hyperlink r:id="rId1390" ref="I693"/>
    <hyperlink r:id="rId1391" ref="G694"/>
    <hyperlink r:id="rId1392" ref="I694"/>
    <hyperlink r:id="rId1393" ref="G695"/>
    <hyperlink r:id="rId1394" ref="I695"/>
    <hyperlink r:id="rId1395" ref="G696"/>
    <hyperlink r:id="rId1396" ref="I696"/>
    <hyperlink r:id="rId1397" ref="G697"/>
    <hyperlink r:id="rId1398" ref="I697"/>
    <hyperlink r:id="rId1399" ref="G698"/>
    <hyperlink r:id="rId1400" ref="I698"/>
    <hyperlink r:id="rId1401" ref="G699"/>
    <hyperlink r:id="rId1402" ref="I699"/>
    <hyperlink r:id="rId1403" ref="G700"/>
    <hyperlink r:id="rId1404" ref="I700"/>
    <hyperlink r:id="rId1405" ref="G701"/>
    <hyperlink r:id="rId1406" ref="I701"/>
    <hyperlink r:id="rId1407" ref="G702"/>
    <hyperlink r:id="rId1408" ref="I702"/>
    <hyperlink r:id="rId1409" ref="G703"/>
    <hyperlink r:id="rId1410" ref="I703"/>
    <hyperlink r:id="rId1411" ref="G704"/>
    <hyperlink r:id="rId1412" ref="I704"/>
    <hyperlink r:id="rId1413" ref="G705"/>
    <hyperlink r:id="rId1414" ref="I705"/>
    <hyperlink r:id="rId1415" ref="G706"/>
    <hyperlink r:id="rId1416" ref="I706"/>
    <hyperlink r:id="rId1417" ref="G707"/>
    <hyperlink r:id="rId1418" ref="I707"/>
    <hyperlink r:id="rId1419" ref="G708"/>
    <hyperlink r:id="rId1420" ref="I708"/>
    <hyperlink r:id="rId1421" ref="G709"/>
    <hyperlink r:id="rId1422" ref="I709"/>
    <hyperlink r:id="rId1423" ref="G710"/>
    <hyperlink r:id="rId1424" ref="I710"/>
    <hyperlink r:id="rId1425" ref="G711"/>
    <hyperlink r:id="rId1426" ref="I711"/>
    <hyperlink r:id="rId1427" ref="G712"/>
    <hyperlink r:id="rId1428" ref="I712"/>
    <hyperlink r:id="rId1429" ref="G713"/>
    <hyperlink r:id="rId1430" ref="I713"/>
    <hyperlink r:id="rId1431" ref="G714"/>
    <hyperlink r:id="rId1432" ref="I714"/>
    <hyperlink r:id="rId1433" ref="G715"/>
    <hyperlink r:id="rId1434" ref="I715"/>
    <hyperlink r:id="rId1435" ref="G716"/>
    <hyperlink r:id="rId1436" ref="I716"/>
    <hyperlink r:id="rId1437" ref="G717"/>
    <hyperlink r:id="rId1438" ref="I717"/>
    <hyperlink r:id="rId1439" ref="G718"/>
    <hyperlink r:id="rId1440" ref="I718"/>
    <hyperlink r:id="rId1441" ref="G719"/>
    <hyperlink r:id="rId1442" ref="I719"/>
    <hyperlink r:id="rId1443" ref="G720"/>
    <hyperlink r:id="rId1444" ref="I720"/>
    <hyperlink r:id="rId1445" ref="G721"/>
    <hyperlink r:id="rId1446" ref="I721"/>
    <hyperlink r:id="rId1447" ref="G722"/>
    <hyperlink r:id="rId1448" ref="I722"/>
    <hyperlink r:id="rId1449" ref="G723"/>
    <hyperlink r:id="rId1450" ref="I723"/>
    <hyperlink r:id="rId1451" ref="G724"/>
    <hyperlink r:id="rId1452" ref="I724"/>
    <hyperlink r:id="rId1453" ref="G725"/>
    <hyperlink r:id="rId1454" ref="I725"/>
    <hyperlink r:id="rId1455" ref="G726"/>
    <hyperlink r:id="rId1456" ref="I726"/>
    <hyperlink r:id="rId1457" ref="G727"/>
    <hyperlink r:id="rId1458" ref="I727"/>
    <hyperlink r:id="rId1459" ref="G728"/>
    <hyperlink r:id="rId1460" ref="I728"/>
    <hyperlink r:id="rId1461" ref="G729"/>
    <hyperlink r:id="rId1462" ref="I729"/>
    <hyperlink r:id="rId1463" ref="G730"/>
    <hyperlink r:id="rId1464" ref="I730"/>
    <hyperlink r:id="rId1465" ref="G731"/>
    <hyperlink r:id="rId1466" ref="I731"/>
    <hyperlink r:id="rId1467" ref="G732"/>
    <hyperlink r:id="rId1468" ref="I732"/>
    <hyperlink r:id="rId1469" ref="G733"/>
    <hyperlink r:id="rId1470" ref="I733"/>
    <hyperlink r:id="rId1471" ref="G734"/>
    <hyperlink r:id="rId1472" ref="I734"/>
    <hyperlink r:id="rId1473" ref="G735"/>
    <hyperlink r:id="rId1474" ref="I735"/>
    <hyperlink r:id="rId1475" ref="G736"/>
    <hyperlink r:id="rId1476" ref="I736"/>
    <hyperlink r:id="rId1477" ref="G737"/>
    <hyperlink r:id="rId1478" ref="I737"/>
    <hyperlink r:id="rId1479" ref="G738"/>
    <hyperlink r:id="rId1480" ref="I738"/>
    <hyperlink r:id="rId1481" ref="G739"/>
    <hyperlink r:id="rId1482" ref="I739"/>
    <hyperlink r:id="rId1483" ref="G740"/>
    <hyperlink r:id="rId1484" ref="I740"/>
    <hyperlink r:id="rId1485" ref="G741"/>
    <hyperlink r:id="rId1486" ref="I741"/>
    <hyperlink r:id="rId1487" ref="G742"/>
    <hyperlink r:id="rId1488" ref="I742"/>
    <hyperlink r:id="rId1489" ref="G743"/>
    <hyperlink r:id="rId1490" ref="I743"/>
    <hyperlink r:id="rId1491" ref="G744"/>
    <hyperlink r:id="rId1492" ref="I744"/>
    <hyperlink r:id="rId1493" ref="G745"/>
    <hyperlink r:id="rId1494" ref="I745"/>
    <hyperlink r:id="rId1495" ref="G746"/>
    <hyperlink r:id="rId1496" ref="I746"/>
    <hyperlink r:id="rId1497" ref="G747"/>
    <hyperlink r:id="rId1498" ref="I747"/>
    <hyperlink r:id="rId1499" ref="G748"/>
    <hyperlink r:id="rId1500" ref="I748"/>
    <hyperlink r:id="rId1501" ref="G749"/>
    <hyperlink r:id="rId1502" ref="I749"/>
    <hyperlink r:id="rId1503" ref="G750"/>
    <hyperlink r:id="rId1504" ref="I750"/>
    <hyperlink r:id="rId1505" ref="G751"/>
    <hyperlink r:id="rId1506" ref="I751"/>
    <hyperlink r:id="rId1507" ref="G752"/>
    <hyperlink r:id="rId1508" ref="I752"/>
    <hyperlink r:id="rId1509" ref="G753"/>
    <hyperlink r:id="rId1510" ref="I753"/>
    <hyperlink r:id="rId1511" ref="G754"/>
    <hyperlink r:id="rId1512" ref="I754"/>
    <hyperlink r:id="rId1513" ref="G755"/>
    <hyperlink r:id="rId1514" ref="I755"/>
    <hyperlink r:id="rId1515" ref="G756"/>
    <hyperlink r:id="rId1516" ref="I756"/>
    <hyperlink r:id="rId1517" ref="G757"/>
    <hyperlink r:id="rId1518" ref="I757"/>
    <hyperlink r:id="rId1519" ref="G758"/>
    <hyperlink r:id="rId1520" ref="I758"/>
    <hyperlink r:id="rId1521" ref="G759"/>
    <hyperlink r:id="rId1522" ref="I759"/>
    <hyperlink r:id="rId1523" ref="G760"/>
    <hyperlink r:id="rId1524" ref="I760"/>
    <hyperlink r:id="rId1525" ref="G761"/>
    <hyperlink r:id="rId1526" ref="I761"/>
    <hyperlink r:id="rId1527" ref="G762"/>
    <hyperlink r:id="rId1528" ref="I762"/>
    <hyperlink r:id="rId1529" ref="G763"/>
    <hyperlink r:id="rId1530" ref="I763"/>
    <hyperlink r:id="rId1531" ref="G764"/>
    <hyperlink r:id="rId1532" ref="I764"/>
    <hyperlink r:id="rId1533" ref="G765"/>
    <hyperlink r:id="rId1534" ref="I765"/>
    <hyperlink r:id="rId1535" ref="G766"/>
    <hyperlink r:id="rId1536" ref="I766"/>
    <hyperlink r:id="rId1537" ref="G767"/>
    <hyperlink r:id="rId1538" ref="I767"/>
    <hyperlink r:id="rId1539" ref="G768"/>
    <hyperlink r:id="rId1540" ref="I768"/>
    <hyperlink r:id="rId1541" ref="G769"/>
    <hyperlink r:id="rId1542" ref="I769"/>
    <hyperlink r:id="rId1543" ref="G770"/>
    <hyperlink r:id="rId1544" ref="I770"/>
    <hyperlink r:id="rId1545" ref="G771"/>
    <hyperlink r:id="rId1546" ref="I771"/>
    <hyperlink r:id="rId1547" ref="G772"/>
    <hyperlink r:id="rId1548" ref="I772"/>
    <hyperlink r:id="rId1549" ref="G773"/>
    <hyperlink r:id="rId1550" ref="I773"/>
    <hyperlink r:id="rId1551" ref="G774"/>
    <hyperlink r:id="rId1552" ref="I774"/>
    <hyperlink r:id="rId1553" ref="G775"/>
    <hyperlink r:id="rId1554" ref="I775"/>
    <hyperlink r:id="rId1555" ref="G776"/>
    <hyperlink r:id="rId1556" ref="I776"/>
    <hyperlink r:id="rId1557" ref="G777"/>
    <hyperlink r:id="rId1558" ref="I777"/>
    <hyperlink r:id="rId1559" ref="G778"/>
    <hyperlink r:id="rId1560" ref="I778"/>
    <hyperlink r:id="rId1561" ref="G779"/>
    <hyperlink r:id="rId1562" ref="I779"/>
    <hyperlink r:id="rId1563" ref="G780"/>
    <hyperlink r:id="rId1564" ref="I780"/>
    <hyperlink r:id="rId1565" ref="G781"/>
    <hyperlink r:id="rId1566" ref="I781"/>
    <hyperlink r:id="rId1567" ref="G782"/>
    <hyperlink r:id="rId1568" ref="I782"/>
    <hyperlink r:id="rId1569" ref="G783"/>
    <hyperlink r:id="rId1570" ref="I783"/>
    <hyperlink r:id="rId1571" ref="G784"/>
    <hyperlink r:id="rId1572" ref="I784"/>
    <hyperlink r:id="rId1573" ref="G785"/>
    <hyperlink r:id="rId1574" ref="I785"/>
    <hyperlink r:id="rId1575" ref="G786"/>
    <hyperlink r:id="rId1576" ref="I786"/>
    <hyperlink r:id="rId1577" ref="G787"/>
    <hyperlink r:id="rId1578" ref="I787"/>
    <hyperlink r:id="rId1579" ref="G788"/>
    <hyperlink r:id="rId1580" ref="I788"/>
    <hyperlink r:id="rId1581" ref="G789"/>
    <hyperlink r:id="rId1582" ref="I789"/>
    <hyperlink r:id="rId1583" ref="G790"/>
    <hyperlink r:id="rId1584" ref="I790"/>
    <hyperlink r:id="rId1585" ref="G791"/>
    <hyperlink r:id="rId1586" ref="I791"/>
    <hyperlink r:id="rId1587" ref="G792"/>
    <hyperlink r:id="rId1588" ref="I792"/>
    <hyperlink r:id="rId1589" ref="G793"/>
    <hyperlink r:id="rId1590" ref="I793"/>
    <hyperlink r:id="rId1591" ref="G794"/>
    <hyperlink r:id="rId1592" ref="I794"/>
    <hyperlink r:id="rId1593" ref="G795"/>
    <hyperlink r:id="rId1594" ref="I795"/>
    <hyperlink r:id="rId1595" ref="G796"/>
    <hyperlink r:id="rId1596" ref="I796"/>
    <hyperlink r:id="rId1597" ref="G797"/>
    <hyperlink r:id="rId1598" ref="I797"/>
    <hyperlink r:id="rId1599" ref="G798"/>
    <hyperlink r:id="rId1600" ref="I798"/>
    <hyperlink r:id="rId1601" ref="G799"/>
    <hyperlink r:id="rId1602" ref="I799"/>
    <hyperlink r:id="rId1603" ref="G800"/>
    <hyperlink r:id="rId1604" ref="I800"/>
    <hyperlink r:id="rId1605" ref="G801"/>
    <hyperlink r:id="rId1606" ref="I801"/>
    <hyperlink r:id="rId1607" ref="G802"/>
    <hyperlink r:id="rId1608" ref="I802"/>
    <hyperlink r:id="rId1609" ref="G803"/>
    <hyperlink r:id="rId1610" ref="I803"/>
    <hyperlink r:id="rId1611" ref="G804"/>
    <hyperlink r:id="rId1612" ref="I804"/>
    <hyperlink r:id="rId1613" ref="G805"/>
    <hyperlink r:id="rId1614" ref="I805"/>
    <hyperlink r:id="rId1615" ref="G806"/>
    <hyperlink r:id="rId1616" ref="I806"/>
    <hyperlink r:id="rId1617" ref="G807"/>
    <hyperlink r:id="rId1618" ref="I807"/>
    <hyperlink r:id="rId1619" ref="G808"/>
    <hyperlink r:id="rId1620" ref="I808"/>
    <hyperlink r:id="rId1621" ref="G809"/>
    <hyperlink r:id="rId1622" ref="I809"/>
    <hyperlink r:id="rId1623" ref="G810"/>
    <hyperlink r:id="rId1624" ref="I810"/>
    <hyperlink r:id="rId1625" ref="G811"/>
    <hyperlink r:id="rId1626" ref="I811"/>
    <hyperlink r:id="rId1627" ref="G812"/>
    <hyperlink r:id="rId1628" ref="I812"/>
    <hyperlink r:id="rId1629" ref="G813"/>
    <hyperlink r:id="rId1630" ref="I813"/>
    <hyperlink r:id="rId1631" ref="G814"/>
    <hyperlink r:id="rId1632" ref="I814"/>
    <hyperlink r:id="rId1633" ref="G815"/>
    <hyperlink r:id="rId1634" ref="I815"/>
    <hyperlink r:id="rId1635" ref="G816"/>
    <hyperlink r:id="rId1636" ref="I816"/>
    <hyperlink r:id="rId1637" ref="G817"/>
    <hyperlink r:id="rId1638" ref="I817"/>
    <hyperlink r:id="rId1639" ref="G818"/>
    <hyperlink r:id="rId1640" ref="I818"/>
    <hyperlink r:id="rId1641" ref="G819"/>
    <hyperlink r:id="rId1642" ref="I819"/>
    <hyperlink r:id="rId1643" ref="G820"/>
    <hyperlink r:id="rId1644" ref="I820"/>
    <hyperlink r:id="rId1645" ref="G821"/>
    <hyperlink r:id="rId1646" ref="I821"/>
    <hyperlink r:id="rId1647" ref="G822"/>
    <hyperlink r:id="rId1648" ref="I822"/>
    <hyperlink r:id="rId1649" ref="G823"/>
    <hyperlink r:id="rId1650" ref="I823"/>
    <hyperlink r:id="rId1651" ref="G824"/>
    <hyperlink r:id="rId1652" ref="I824"/>
    <hyperlink r:id="rId1653" ref="G825"/>
    <hyperlink r:id="rId1654" ref="I825"/>
    <hyperlink r:id="rId1655" ref="G826"/>
    <hyperlink r:id="rId1656" ref="I826"/>
    <hyperlink r:id="rId1657" ref="G827"/>
    <hyperlink r:id="rId1658" ref="I827"/>
    <hyperlink r:id="rId1659" ref="G828"/>
    <hyperlink r:id="rId1660" ref="I828"/>
    <hyperlink r:id="rId1661" ref="G829"/>
    <hyperlink r:id="rId1662" ref="I829"/>
    <hyperlink r:id="rId1663" ref="G830"/>
    <hyperlink r:id="rId1664" ref="I830"/>
    <hyperlink r:id="rId1665" ref="G831"/>
    <hyperlink r:id="rId1666" ref="I831"/>
    <hyperlink r:id="rId1667" ref="G832"/>
    <hyperlink r:id="rId1668" ref="I832"/>
    <hyperlink r:id="rId1669" ref="G833"/>
    <hyperlink r:id="rId1670" ref="I833"/>
    <hyperlink r:id="rId1671" ref="G834"/>
    <hyperlink r:id="rId1672" ref="I834"/>
    <hyperlink r:id="rId1673" ref="G835"/>
    <hyperlink r:id="rId1674" ref="I835"/>
    <hyperlink r:id="rId1675" ref="G836"/>
    <hyperlink r:id="rId1676" ref="I836"/>
    <hyperlink r:id="rId1677" ref="G837"/>
    <hyperlink r:id="rId1678" ref="I837"/>
    <hyperlink r:id="rId1679" ref="G838"/>
    <hyperlink r:id="rId1680" ref="I838"/>
    <hyperlink r:id="rId1681" ref="G839"/>
    <hyperlink r:id="rId1682" ref="I839"/>
    <hyperlink r:id="rId1683" ref="G840"/>
    <hyperlink r:id="rId1684" ref="I840"/>
    <hyperlink r:id="rId1685" ref="G841"/>
    <hyperlink r:id="rId1686" ref="I841"/>
    <hyperlink r:id="rId1687" ref="G842"/>
    <hyperlink r:id="rId1688" ref="I842"/>
    <hyperlink r:id="rId1689" ref="G843"/>
    <hyperlink r:id="rId1690" ref="I843"/>
    <hyperlink r:id="rId1691" ref="G844"/>
    <hyperlink r:id="rId1692" ref="I844"/>
    <hyperlink r:id="rId1693" ref="G845"/>
    <hyperlink r:id="rId1694" ref="I845"/>
    <hyperlink r:id="rId1695" ref="G846"/>
    <hyperlink r:id="rId1696" ref="I846"/>
    <hyperlink r:id="rId1697" ref="G847"/>
    <hyperlink r:id="rId1698" ref="I847"/>
    <hyperlink r:id="rId1699" ref="G848"/>
    <hyperlink r:id="rId1700" ref="I848"/>
    <hyperlink r:id="rId1701" ref="G849"/>
    <hyperlink r:id="rId1702" ref="I849"/>
    <hyperlink r:id="rId1703" ref="G850"/>
    <hyperlink r:id="rId1704" ref="I850"/>
    <hyperlink r:id="rId1705" ref="S850"/>
    <hyperlink r:id="rId1706" ref="G851"/>
    <hyperlink r:id="rId1707" ref="I851"/>
    <hyperlink r:id="rId1708" ref="S851"/>
    <hyperlink r:id="rId1709" ref="G852"/>
    <hyperlink r:id="rId1710" ref="I852"/>
    <hyperlink r:id="rId1711" ref="G853"/>
    <hyperlink r:id="rId1712" ref="I853"/>
    <hyperlink r:id="rId1713" ref="S853"/>
    <hyperlink r:id="rId1714" ref="G854"/>
    <hyperlink r:id="rId1715" ref="I854"/>
    <hyperlink r:id="rId1716" ref="S854"/>
    <hyperlink r:id="rId1717" ref="G855"/>
    <hyperlink r:id="rId1718" ref="I855"/>
    <hyperlink r:id="rId1719" ref="S855"/>
    <hyperlink r:id="rId1720" ref="G856"/>
    <hyperlink r:id="rId1721" ref="I856"/>
    <hyperlink r:id="rId1722" ref="G857"/>
    <hyperlink r:id="rId1723" ref="I857"/>
    <hyperlink r:id="rId1724" ref="G858"/>
    <hyperlink r:id="rId1725" ref="I858"/>
    <hyperlink r:id="rId1726" ref="G859"/>
    <hyperlink r:id="rId1727" ref="I859"/>
    <hyperlink r:id="rId1728" ref="G860"/>
    <hyperlink r:id="rId1729" ref="I860"/>
    <hyperlink r:id="rId1730" ref="G861"/>
    <hyperlink r:id="rId1731" ref="I861"/>
    <hyperlink r:id="rId1732" ref="G862"/>
    <hyperlink r:id="rId1733" ref="I862"/>
    <hyperlink r:id="rId1734" ref="G863"/>
    <hyperlink r:id="rId1735" ref="I863"/>
    <hyperlink r:id="rId1736" ref="S864"/>
    <hyperlink r:id="rId1737" ref="G865"/>
    <hyperlink r:id="rId1738" ref="I865"/>
    <hyperlink r:id="rId1739" ref="G867"/>
    <hyperlink r:id="rId1740" ref="I867"/>
    <hyperlink r:id="rId1741" ref="G868"/>
    <hyperlink r:id="rId1742" ref="I868"/>
    <hyperlink r:id="rId1743" ref="G869"/>
    <hyperlink r:id="rId1744" ref="I869"/>
    <hyperlink r:id="rId1745" ref="G870"/>
    <hyperlink r:id="rId1746" ref="I870"/>
    <hyperlink r:id="rId1747" ref="G871"/>
    <hyperlink r:id="rId1748" ref="I871"/>
    <hyperlink r:id="rId1749" ref="G872"/>
    <hyperlink r:id="rId1750" ref="I872"/>
    <hyperlink r:id="rId1751" ref="G873"/>
    <hyperlink r:id="rId1752" ref="I873"/>
    <hyperlink r:id="rId1753" ref="G874"/>
    <hyperlink r:id="rId1754" ref="I874"/>
    <hyperlink r:id="rId1755" ref="G875"/>
    <hyperlink r:id="rId1756" ref="I875"/>
    <hyperlink r:id="rId1757" ref="G876"/>
    <hyperlink r:id="rId1758" ref="I876"/>
    <hyperlink r:id="rId1759" ref="G877"/>
    <hyperlink r:id="rId1760" ref="I877"/>
    <hyperlink r:id="rId1761" ref="G878"/>
    <hyperlink r:id="rId1762" ref="I878"/>
    <hyperlink r:id="rId1763" ref="G879"/>
    <hyperlink r:id="rId1764" ref="I879"/>
    <hyperlink r:id="rId1765" ref="G880"/>
    <hyperlink r:id="rId1766" ref="I880"/>
    <hyperlink r:id="rId1767" ref="G881"/>
    <hyperlink r:id="rId1768" ref="I881"/>
    <hyperlink r:id="rId1769" ref="G882"/>
    <hyperlink r:id="rId1770" ref="I882"/>
    <hyperlink r:id="rId1771" ref="G883"/>
    <hyperlink r:id="rId1772" ref="I883"/>
    <hyperlink r:id="rId1773" ref="G884"/>
    <hyperlink r:id="rId1774" ref="I884"/>
    <hyperlink r:id="rId1775" ref="G885"/>
    <hyperlink r:id="rId1776" ref="I885"/>
    <hyperlink r:id="rId1777" ref="G886"/>
    <hyperlink r:id="rId1778" ref="I886"/>
    <hyperlink r:id="rId1779" ref="G887"/>
    <hyperlink r:id="rId1780" ref="I887"/>
    <hyperlink r:id="rId1781" ref="G888"/>
    <hyperlink r:id="rId1782" ref="I888"/>
    <hyperlink r:id="rId1783" ref="G889"/>
    <hyperlink r:id="rId1784" ref="I889"/>
    <hyperlink r:id="rId1785" ref="G890"/>
    <hyperlink r:id="rId1786" ref="I890"/>
    <hyperlink r:id="rId1787" ref="G891"/>
    <hyperlink r:id="rId1788" ref="I891"/>
    <hyperlink r:id="rId1789" ref="G892"/>
    <hyperlink r:id="rId1790" ref="I892"/>
    <hyperlink r:id="rId1791" ref="G893"/>
    <hyperlink r:id="rId1792" ref="I893"/>
    <hyperlink r:id="rId1793" ref="G894"/>
    <hyperlink r:id="rId1794" ref="I894"/>
    <hyperlink r:id="rId1795" ref="G895"/>
    <hyperlink r:id="rId1796" ref="I895"/>
    <hyperlink r:id="rId1797" ref="G896"/>
    <hyperlink r:id="rId1798" ref="I896"/>
    <hyperlink r:id="rId1799" ref="G897"/>
    <hyperlink r:id="rId1800" ref="I897"/>
    <hyperlink r:id="rId1801" ref="G898"/>
    <hyperlink r:id="rId1802" ref="I898"/>
    <hyperlink r:id="rId1803" ref="G899"/>
    <hyperlink r:id="rId1804" ref="I899"/>
    <hyperlink r:id="rId1805" ref="G900"/>
    <hyperlink r:id="rId1806" ref="I900"/>
    <hyperlink r:id="rId1807" ref="G901"/>
    <hyperlink r:id="rId1808" ref="I901"/>
    <hyperlink r:id="rId1809" ref="G902"/>
    <hyperlink r:id="rId1810" ref="I902"/>
    <hyperlink r:id="rId1811" ref="G903"/>
    <hyperlink r:id="rId1812" ref="I903"/>
    <hyperlink r:id="rId1813" ref="G904"/>
    <hyperlink r:id="rId1814" ref="I904"/>
    <hyperlink r:id="rId1815" ref="G905"/>
    <hyperlink r:id="rId1816" ref="I905"/>
    <hyperlink r:id="rId1817" ref="G906"/>
    <hyperlink r:id="rId1818" ref="I906"/>
    <hyperlink r:id="rId1819" ref="G907"/>
    <hyperlink r:id="rId1820" ref="I907"/>
    <hyperlink r:id="rId1821" ref="G908"/>
    <hyperlink r:id="rId1822" ref="I908"/>
    <hyperlink r:id="rId1823" ref="G909"/>
    <hyperlink r:id="rId1824" ref="I909"/>
    <hyperlink r:id="rId1825" ref="G910"/>
    <hyperlink r:id="rId1826" ref="I910"/>
    <hyperlink r:id="rId1827" ref="G911"/>
    <hyperlink r:id="rId1828" ref="I911"/>
    <hyperlink r:id="rId1829" ref="G912"/>
    <hyperlink r:id="rId1830" ref="I912"/>
    <hyperlink r:id="rId1831" ref="G913"/>
    <hyperlink r:id="rId1832" ref="I913"/>
    <hyperlink r:id="rId1833" ref="G914"/>
    <hyperlink r:id="rId1834" ref="I914"/>
    <hyperlink r:id="rId1835" ref="G915"/>
    <hyperlink r:id="rId1836" ref="I915"/>
    <hyperlink r:id="rId1837" ref="G916"/>
    <hyperlink r:id="rId1838" ref="I916"/>
    <hyperlink r:id="rId1839" ref="G917"/>
    <hyperlink r:id="rId1840" ref="I917"/>
    <hyperlink r:id="rId1841" ref="G918"/>
    <hyperlink r:id="rId1842" ref="I918"/>
    <hyperlink r:id="rId1843" ref="G919"/>
    <hyperlink r:id="rId1844" ref="I919"/>
    <hyperlink r:id="rId1845" ref="G920"/>
    <hyperlink r:id="rId1846" ref="I920"/>
    <hyperlink r:id="rId1847" ref="G921"/>
    <hyperlink r:id="rId1848" ref="I921"/>
    <hyperlink r:id="rId1849" ref="G922"/>
    <hyperlink r:id="rId1850" ref="I922"/>
    <hyperlink r:id="rId1851" ref="G923"/>
    <hyperlink r:id="rId1852" ref="I923"/>
    <hyperlink r:id="rId1853" ref="G924"/>
    <hyperlink r:id="rId1854" ref="I924"/>
    <hyperlink r:id="rId1855" ref="G925"/>
    <hyperlink r:id="rId1856" ref="I925"/>
    <hyperlink r:id="rId1857" ref="G926"/>
    <hyperlink r:id="rId1858" ref="I926"/>
    <hyperlink r:id="rId1859" ref="G927"/>
    <hyperlink r:id="rId1860" ref="I927"/>
    <hyperlink r:id="rId1861" ref="G928"/>
    <hyperlink r:id="rId1862" ref="I928"/>
    <hyperlink r:id="rId1863" ref="G929"/>
    <hyperlink r:id="rId1864" ref="I929"/>
    <hyperlink r:id="rId1865" ref="G930"/>
    <hyperlink r:id="rId1866" ref="I930"/>
    <hyperlink r:id="rId1867" ref="G931"/>
    <hyperlink r:id="rId1868" ref="I931"/>
    <hyperlink r:id="rId1869" ref="G932"/>
    <hyperlink r:id="rId1870" ref="I932"/>
    <hyperlink r:id="rId1871" ref="G933"/>
    <hyperlink r:id="rId1872" ref="I933"/>
    <hyperlink r:id="rId1873" ref="G934"/>
    <hyperlink r:id="rId1874" ref="I934"/>
    <hyperlink r:id="rId1875" ref="G935"/>
    <hyperlink r:id="rId1876" ref="I935"/>
    <hyperlink r:id="rId1877" ref="G936"/>
    <hyperlink r:id="rId1878" ref="I936"/>
    <hyperlink r:id="rId1879" ref="G937"/>
    <hyperlink r:id="rId1880" ref="I937"/>
    <hyperlink r:id="rId1881" ref="G938"/>
    <hyperlink r:id="rId1882" ref="I938"/>
    <hyperlink r:id="rId1883" ref="G939"/>
    <hyperlink r:id="rId1884" ref="I939"/>
    <hyperlink r:id="rId1885" ref="G940"/>
    <hyperlink r:id="rId1886" ref="I940"/>
    <hyperlink r:id="rId1887" ref="G941"/>
    <hyperlink r:id="rId1888" ref="I941"/>
    <hyperlink r:id="rId1889" ref="G942"/>
    <hyperlink r:id="rId1890" ref="I942"/>
    <hyperlink r:id="rId1891" ref="G943"/>
    <hyperlink r:id="rId1892" ref="I943"/>
    <hyperlink r:id="rId1893" ref="G944"/>
    <hyperlink r:id="rId1894" ref="I944"/>
    <hyperlink r:id="rId1895" ref="G945"/>
    <hyperlink r:id="rId1896" ref="I945"/>
    <hyperlink r:id="rId1897" ref="G946"/>
    <hyperlink r:id="rId1898" ref="I946"/>
    <hyperlink r:id="rId1899" ref="G947"/>
    <hyperlink r:id="rId1900" ref="I947"/>
    <hyperlink r:id="rId1901" ref="G948"/>
    <hyperlink r:id="rId1902" ref="I948"/>
    <hyperlink r:id="rId1903" ref="G949"/>
    <hyperlink r:id="rId1904" ref="I949"/>
    <hyperlink r:id="rId1905" ref="G950"/>
    <hyperlink r:id="rId1906" ref="I950"/>
    <hyperlink r:id="rId1907" ref="G951"/>
    <hyperlink r:id="rId1908" ref="I951"/>
    <hyperlink r:id="rId1909" ref="G952"/>
    <hyperlink r:id="rId1910" ref="I952"/>
    <hyperlink r:id="rId1911" ref="G953"/>
    <hyperlink r:id="rId1912" ref="I953"/>
    <hyperlink r:id="rId1913" ref="G954"/>
    <hyperlink r:id="rId1914" ref="I954"/>
    <hyperlink r:id="rId1915" ref="G955"/>
    <hyperlink r:id="rId1916" ref="I955"/>
    <hyperlink r:id="rId1917" ref="G956"/>
    <hyperlink r:id="rId1918" ref="I956"/>
    <hyperlink r:id="rId1919" ref="G957"/>
    <hyperlink r:id="rId1920" ref="I957"/>
    <hyperlink r:id="rId1921" ref="G958"/>
    <hyperlink r:id="rId1922" ref="I958"/>
    <hyperlink r:id="rId1923" ref="G959"/>
    <hyperlink r:id="rId1924" ref="I959"/>
    <hyperlink r:id="rId1925" ref="G960"/>
    <hyperlink r:id="rId1926" ref="I960"/>
    <hyperlink r:id="rId1927" ref="G961"/>
    <hyperlink r:id="rId1928" ref="I961"/>
    <hyperlink r:id="rId1929" ref="G962"/>
    <hyperlink r:id="rId1930" ref="I962"/>
    <hyperlink r:id="rId1931" ref="G963"/>
    <hyperlink r:id="rId1932" ref="I963"/>
    <hyperlink r:id="rId1933" ref="G964"/>
    <hyperlink r:id="rId1934" ref="I964"/>
    <hyperlink r:id="rId1935" ref="G965"/>
    <hyperlink r:id="rId1936" ref="I965"/>
    <hyperlink r:id="rId1937" ref="G966"/>
    <hyperlink r:id="rId1938" ref="I966"/>
    <hyperlink r:id="rId1939" ref="G967"/>
    <hyperlink r:id="rId1940" ref="I967"/>
    <hyperlink r:id="rId1941" ref="G968"/>
    <hyperlink r:id="rId1942" ref="I968"/>
    <hyperlink r:id="rId1943" ref="G969"/>
    <hyperlink r:id="rId1944" ref="I969"/>
    <hyperlink r:id="rId1945" ref="G970"/>
    <hyperlink r:id="rId1946" ref="I970"/>
    <hyperlink r:id="rId1947" ref="G971"/>
    <hyperlink r:id="rId1948" ref="I971"/>
    <hyperlink r:id="rId1949" ref="G972"/>
    <hyperlink r:id="rId1950" ref="I972"/>
    <hyperlink r:id="rId1951" ref="G973"/>
    <hyperlink r:id="rId1952" ref="I973"/>
    <hyperlink r:id="rId1953" ref="G974"/>
    <hyperlink r:id="rId1954" ref="I974"/>
    <hyperlink r:id="rId1955" ref="G975"/>
    <hyperlink r:id="rId1956" ref="I975"/>
    <hyperlink r:id="rId1957" ref="G976"/>
    <hyperlink r:id="rId1958" ref="I976"/>
    <hyperlink r:id="rId1959" ref="G977"/>
    <hyperlink r:id="rId1960" ref="I977"/>
    <hyperlink r:id="rId1961" ref="G978"/>
    <hyperlink r:id="rId1962" ref="I978"/>
    <hyperlink r:id="rId1963" ref="G979"/>
    <hyperlink r:id="rId1964" ref="I979"/>
    <hyperlink r:id="rId1965" ref="G980"/>
    <hyperlink r:id="rId1966" ref="I980"/>
    <hyperlink r:id="rId1967" ref="G981"/>
    <hyperlink r:id="rId1968" ref="I981"/>
    <hyperlink r:id="rId1969" ref="G982"/>
    <hyperlink r:id="rId1970" ref="I982"/>
    <hyperlink r:id="rId1971" ref="G983"/>
    <hyperlink r:id="rId1972" ref="I983"/>
    <hyperlink r:id="rId1973" ref="G984"/>
    <hyperlink r:id="rId1974" ref="I984"/>
    <hyperlink r:id="rId1975" ref="G985"/>
    <hyperlink r:id="rId1976" ref="I985"/>
    <hyperlink r:id="rId1977" ref="G986"/>
    <hyperlink r:id="rId1978" ref="I986"/>
    <hyperlink r:id="rId1979" ref="G987"/>
    <hyperlink r:id="rId1980" ref="I987"/>
    <hyperlink r:id="rId1981" ref="G988"/>
    <hyperlink r:id="rId1982" ref="I988"/>
    <hyperlink r:id="rId1983" ref="G989"/>
    <hyperlink r:id="rId1984" ref="I989"/>
    <hyperlink r:id="rId1985" ref="G990"/>
    <hyperlink r:id="rId1986" ref="I990"/>
    <hyperlink r:id="rId1987" ref="G991"/>
    <hyperlink r:id="rId1988" ref="I991"/>
    <hyperlink r:id="rId1989" ref="G992"/>
    <hyperlink r:id="rId1990" ref="I992"/>
    <hyperlink r:id="rId1991" ref="G993"/>
    <hyperlink r:id="rId1992" ref="I993"/>
    <hyperlink r:id="rId1993" ref="G994"/>
    <hyperlink r:id="rId1994" ref="I994"/>
    <hyperlink r:id="rId1995" ref="G995"/>
    <hyperlink r:id="rId1996" ref="I995"/>
    <hyperlink r:id="rId1997" ref="G996"/>
    <hyperlink r:id="rId1998" ref="I996"/>
    <hyperlink r:id="rId1999" ref="G997"/>
    <hyperlink r:id="rId2000" ref="I997"/>
    <hyperlink r:id="rId2001" ref="G998"/>
    <hyperlink r:id="rId2002" ref="I998"/>
    <hyperlink r:id="rId2003" ref="G999"/>
    <hyperlink r:id="rId2004" ref="I999"/>
    <hyperlink r:id="rId2005" ref="G1000"/>
    <hyperlink r:id="rId2006" ref="I1000"/>
    <hyperlink r:id="rId2007" ref="G1001"/>
    <hyperlink r:id="rId2008" ref="I1001"/>
    <hyperlink r:id="rId2009" ref="G1002"/>
    <hyperlink r:id="rId2010" ref="I1002"/>
    <hyperlink r:id="rId2011" ref="G1003"/>
    <hyperlink r:id="rId2012" ref="I1003"/>
    <hyperlink r:id="rId2013" ref="G1004"/>
    <hyperlink r:id="rId2014" ref="I1004"/>
    <hyperlink r:id="rId2015" ref="G1005"/>
    <hyperlink r:id="rId2016" ref="I1005"/>
    <hyperlink r:id="rId2017" ref="G1006"/>
    <hyperlink r:id="rId2018" ref="I1006"/>
    <hyperlink r:id="rId2019" ref="G1007"/>
    <hyperlink r:id="rId2020" ref="I1007"/>
    <hyperlink r:id="rId2021" ref="G1008"/>
    <hyperlink r:id="rId2022" ref="I1008"/>
    <hyperlink r:id="rId2023" ref="G1009"/>
    <hyperlink r:id="rId2024" ref="I1009"/>
    <hyperlink r:id="rId2025" ref="G1010"/>
    <hyperlink r:id="rId2026" ref="I1010"/>
    <hyperlink r:id="rId2027" ref="G1011"/>
    <hyperlink r:id="rId2028" ref="I1011"/>
    <hyperlink r:id="rId2029" ref="G1012"/>
    <hyperlink r:id="rId2030" ref="I1012"/>
    <hyperlink r:id="rId2031" ref="G1013"/>
    <hyperlink r:id="rId2032" ref="I1013"/>
    <hyperlink r:id="rId2033" ref="G1014"/>
    <hyperlink r:id="rId2034" ref="I1014"/>
    <hyperlink r:id="rId2035" ref="G1015"/>
    <hyperlink r:id="rId2036" ref="I1015"/>
    <hyperlink r:id="rId2037" ref="G1016"/>
    <hyperlink r:id="rId2038" ref="I1016"/>
    <hyperlink r:id="rId2039" ref="G1017"/>
    <hyperlink r:id="rId2040" ref="I1017"/>
    <hyperlink r:id="rId2041" ref="G1018"/>
    <hyperlink r:id="rId2042" ref="I1018"/>
    <hyperlink r:id="rId2043" ref="G1019"/>
    <hyperlink r:id="rId2044" ref="I1019"/>
    <hyperlink r:id="rId2045" ref="G1020"/>
    <hyperlink r:id="rId2046" ref="I1020"/>
    <hyperlink r:id="rId2047" ref="G1021"/>
    <hyperlink r:id="rId2048" ref="I1021"/>
    <hyperlink r:id="rId2049" ref="G1022"/>
    <hyperlink r:id="rId2050" ref="I1022"/>
    <hyperlink r:id="rId2051" ref="G1023"/>
    <hyperlink r:id="rId2052" ref="I1023"/>
    <hyperlink r:id="rId2053" ref="G1024"/>
    <hyperlink r:id="rId2054" ref="I1024"/>
    <hyperlink r:id="rId2055" ref="G1025"/>
    <hyperlink r:id="rId2056" ref="I1025"/>
    <hyperlink r:id="rId2057" ref="G1026"/>
    <hyperlink r:id="rId2058" ref="I1026"/>
    <hyperlink r:id="rId2059" ref="G1027"/>
    <hyperlink r:id="rId2060" ref="I1027"/>
    <hyperlink r:id="rId2061" ref="G1028"/>
    <hyperlink r:id="rId2062" ref="I1028"/>
    <hyperlink r:id="rId2063" ref="G1029"/>
    <hyperlink r:id="rId2064" ref="I1029"/>
    <hyperlink r:id="rId2065" ref="G1030"/>
    <hyperlink r:id="rId2066" ref="I1030"/>
    <hyperlink r:id="rId2067" ref="G1031"/>
    <hyperlink r:id="rId2068" ref="I1031"/>
    <hyperlink r:id="rId2069" ref="G1032"/>
    <hyperlink r:id="rId2070" ref="I1032"/>
    <hyperlink r:id="rId2071" ref="G1033"/>
    <hyperlink r:id="rId2072" ref="I1033"/>
    <hyperlink r:id="rId2073" ref="G1034"/>
    <hyperlink r:id="rId2074" ref="I1034"/>
    <hyperlink r:id="rId2075" ref="G1035"/>
    <hyperlink r:id="rId2076" ref="I1035"/>
    <hyperlink r:id="rId2077" ref="G1036"/>
    <hyperlink r:id="rId2078" ref="I1036"/>
    <hyperlink r:id="rId2079" ref="G1037"/>
    <hyperlink r:id="rId2080" ref="I1037"/>
    <hyperlink r:id="rId2081" ref="G1038"/>
    <hyperlink r:id="rId2082" ref="I1038"/>
    <hyperlink r:id="rId2083" ref="G1039"/>
    <hyperlink r:id="rId2084" ref="I1039"/>
    <hyperlink r:id="rId2085" ref="G1040"/>
    <hyperlink r:id="rId2086" ref="I1040"/>
    <hyperlink r:id="rId2087" ref="G1041"/>
    <hyperlink r:id="rId2088" ref="I1041"/>
    <hyperlink r:id="rId2089" ref="G1042"/>
    <hyperlink r:id="rId2090" ref="I1042"/>
    <hyperlink r:id="rId2091" ref="G1043"/>
    <hyperlink r:id="rId2092" ref="I1043"/>
    <hyperlink r:id="rId2093" ref="G1044"/>
    <hyperlink r:id="rId2094" ref="I1044"/>
    <hyperlink r:id="rId2095" ref="G1045"/>
    <hyperlink r:id="rId2096" ref="I1045"/>
    <hyperlink r:id="rId2097" ref="G1046"/>
    <hyperlink r:id="rId2098" ref="I1046"/>
    <hyperlink r:id="rId2099" ref="G1047"/>
    <hyperlink r:id="rId2100" ref="I1047"/>
    <hyperlink r:id="rId2101" ref="G1048"/>
    <hyperlink r:id="rId2102" ref="I1048"/>
    <hyperlink r:id="rId2103" ref="G1049"/>
    <hyperlink r:id="rId2104" ref="I1049"/>
    <hyperlink r:id="rId2105" ref="G1050"/>
    <hyperlink r:id="rId2106" ref="I1050"/>
    <hyperlink r:id="rId2107" ref="G1051"/>
    <hyperlink r:id="rId2108" ref="I1051"/>
    <hyperlink r:id="rId2109" ref="G1052"/>
    <hyperlink r:id="rId2110" ref="I1052"/>
    <hyperlink r:id="rId2111" ref="G1053"/>
    <hyperlink r:id="rId2112" ref="I1053"/>
    <hyperlink r:id="rId2113" ref="G1054"/>
    <hyperlink r:id="rId2114" ref="I1054"/>
    <hyperlink r:id="rId2115" ref="G1055"/>
    <hyperlink r:id="rId2116" ref="I1055"/>
    <hyperlink r:id="rId2117" ref="G1056"/>
    <hyperlink r:id="rId2118" ref="I1056"/>
    <hyperlink r:id="rId2119" ref="G1057"/>
    <hyperlink r:id="rId2120" ref="I1057"/>
    <hyperlink r:id="rId2121" ref="G1058"/>
    <hyperlink r:id="rId2122" ref="I1058"/>
    <hyperlink r:id="rId2123" ref="G1059"/>
    <hyperlink r:id="rId2124" ref="I1059"/>
    <hyperlink r:id="rId2125" ref="G1060"/>
    <hyperlink r:id="rId2126" ref="I1060"/>
    <hyperlink r:id="rId2127" ref="G1061"/>
    <hyperlink r:id="rId2128" ref="I1061"/>
    <hyperlink r:id="rId2129" ref="G1062"/>
    <hyperlink r:id="rId2130" ref="I1062"/>
    <hyperlink r:id="rId2131" ref="G1063"/>
    <hyperlink r:id="rId2132" ref="I1063"/>
    <hyperlink r:id="rId2133" ref="G1064"/>
    <hyperlink r:id="rId2134" ref="I1064"/>
    <hyperlink r:id="rId2135" ref="G1065"/>
    <hyperlink r:id="rId2136" ref="I1065"/>
    <hyperlink r:id="rId2137" ref="G1066"/>
    <hyperlink r:id="rId2138" ref="I1066"/>
    <hyperlink r:id="rId2139" ref="G1067"/>
    <hyperlink r:id="rId2140" ref="I1067"/>
    <hyperlink r:id="rId2141" ref="G1068"/>
    <hyperlink r:id="rId2142" ref="I1068"/>
    <hyperlink r:id="rId2143" ref="G1069"/>
    <hyperlink r:id="rId2144" ref="I1069"/>
    <hyperlink r:id="rId2145" ref="G1070"/>
    <hyperlink r:id="rId2146" ref="I1070"/>
    <hyperlink r:id="rId2147" ref="G1071"/>
    <hyperlink r:id="rId2148" ref="I1071"/>
    <hyperlink r:id="rId2149" ref="G1072"/>
    <hyperlink r:id="rId2150" ref="I1072"/>
    <hyperlink r:id="rId2151" ref="G1073"/>
    <hyperlink r:id="rId2152" ref="I1073"/>
    <hyperlink r:id="rId2153" ref="G1074"/>
    <hyperlink r:id="rId2154" ref="I1074"/>
    <hyperlink r:id="rId2155" ref="G1075"/>
    <hyperlink r:id="rId2156" ref="I1075"/>
    <hyperlink r:id="rId2157" ref="G1076"/>
    <hyperlink r:id="rId2158" ref="I1076"/>
    <hyperlink r:id="rId2159" ref="G1077"/>
    <hyperlink r:id="rId2160" ref="I1077"/>
    <hyperlink r:id="rId2161" ref="G1078"/>
    <hyperlink r:id="rId2162" ref="I1078"/>
    <hyperlink r:id="rId2163" ref="G1079"/>
    <hyperlink r:id="rId2164" ref="I1079"/>
    <hyperlink r:id="rId2165" ref="G1080"/>
    <hyperlink r:id="rId2166" ref="I1080"/>
    <hyperlink r:id="rId2167" ref="G1081"/>
    <hyperlink r:id="rId2168" ref="I1081"/>
    <hyperlink r:id="rId2169" ref="G1082"/>
    <hyperlink r:id="rId2170" ref="I1082"/>
    <hyperlink r:id="rId2171" ref="G1083"/>
    <hyperlink r:id="rId2172" ref="I1083"/>
    <hyperlink r:id="rId2173" ref="G1084"/>
    <hyperlink r:id="rId2174" ref="I1084"/>
    <hyperlink r:id="rId2175" ref="G1085"/>
    <hyperlink r:id="rId2176" ref="I1085"/>
    <hyperlink r:id="rId2177" ref="G1086"/>
    <hyperlink r:id="rId2178" ref="I1086"/>
    <hyperlink r:id="rId2179" ref="G1087"/>
    <hyperlink r:id="rId2180" ref="I1087"/>
    <hyperlink r:id="rId2181" ref="G1088"/>
    <hyperlink r:id="rId2182" ref="I1088"/>
    <hyperlink r:id="rId2183" ref="G1089"/>
    <hyperlink r:id="rId2184" ref="I1089"/>
    <hyperlink r:id="rId2185" ref="G1090"/>
    <hyperlink r:id="rId2186" ref="I1090"/>
    <hyperlink r:id="rId2187" ref="G1091"/>
    <hyperlink r:id="rId2188" ref="I1091"/>
    <hyperlink r:id="rId2189" ref="G1092"/>
    <hyperlink r:id="rId2190" ref="I1092"/>
    <hyperlink r:id="rId2191" ref="G1093"/>
    <hyperlink r:id="rId2192" ref="I1093"/>
    <hyperlink r:id="rId2193" ref="G1094"/>
    <hyperlink r:id="rId2194" ref="I1094"/>
    <hyperlink r:id="rId2195" ref="G1095"/>
    <hyperlink r:id="rId2196" ref="I1095"/>
    <hyperlink r:id="rId2197" ref="G1096"/>
    <hyperlink r:id="rId2198" ref="I1096"/>
    <hyperlink r:id="rId2199" ref="G1097"/>
    <hyperlink r:id="rId2200" ref="I1097"/>
    <hyperlink r:id="rId2201" ref="G1098"/>
    <hyperlink r:id="rId2202" ref="I1098"/>
    <hyperlink r:id="rId2203" ref="G1099"/>
    <hyperlink r:id="rId2204" ref="I1099"/>
    <hyperlink r:id="rId2205" ref="G1100"/>
    <hyperlink r:id="rId2206" ref="I1100"/>
    <hyperlink r:id="rId2207" ref="G1101"/>
    <hyperlink r:id="rId2208" ref="I1101"/>
    <hyperlink r:id="rId2209" ref="G1102"/>
    <hyperlink r:id="rId2210" ref="I1102"/>
    <hyperlink r:id="rId2211" ref="G1103"/>
    <hyperlink r:id="rId2212" ref="I1103"/>
    <hyperlink r:id="rId2213" ref="G1104"/>
    <hyperlink r:id="rId2214" ref="I1104"/>
    <hyperlink r:id="rId2215" ref="G1105"/>
    <hyperlink r:id="rId2216" ref="I1105"/>
    <hyperlink r:id="rId2217" ref="G1106"/>
    <hyperlink r:id="rId2218" ref="I1106"/>
    <hyperlink r:id="rId2219" ref="G1107"/>
    <hyperlink r:id="rId2220" ref="I1107"/>
    <hyperlink r:id="rId2221" ref="G1108"/>
    <hyperlink r:id="rId2222" ref="I1108"/>
    <hyperlink r:id="rId2223" ref="G1109"/>
    <hyperlink r:id="rId2224" ref="I1109"/>
    <hyperlink r:id="rId2225" ref="G1110"/>
    <hyperlink r:id="rId2226" ref="I1110"/>
    <hyperlink r:id="rId2227" ref="G1111"/>
    <hyperlink r:id="rId2228" ref="I1111"/>
    <hyperlink r:id="rId2229" ref="G1112"/>
    <hyperlink r:id="rId2230" ref="I1112"/>
    <hyperlink r:id="rId2231" ref="G1113"/>
    <hyperlink r:id="rId2232" ref="I1113"/>
    <hyperlink r:id="rId2233" ref="G1114"/>
    <hyperlink r:id="rId2234" ref="I1114"/>
    <hyperlink r:id="rId2235" ref="G1115"/>
    <hyperlink r:id="rId2236" ref="I1115"/>
    <hyperlink r:id="rId2237" ref="G1116"/>
    <hyperlink r:id="rId2238" ref="I1116"/>
    <hyperlink r:id="rId2239" ref="G1117"/>
    <hyperlink r:id="rId2240" ref="I1117"/>
    <hyperlink r:id="rId2241" ref="G1118"/>
    <hyperlink r:id="rId2242" ref="I1118"/>
    <hyperlink r:id="rId2243" ref="G1119"/>
    <hyperlink r:id="rId2244" ref="I1119"/>
    <hyperlink r:id="rId2245" ref="G1120"/>
    <hyperlink r:id="rId2246" ref="I1120"/>
    <hyperlink r:id="rId2247" ref="G1121"/>
    <hyperlink r:id="rId2248" ref="I1121"/>
    <hyperlink r:id="rId2249" ref="G1122"/>
    <hyperlink r:id="rId2250" ref="I1122"/>
    <hyperlink r:id="rId2251" ref="G1123"/>
    <hyperlink r:id="rId2252" ref="I1123"/>
    <hyperlink r:id="rId2253" ref="G1124"/>
    <hyperlink r:id="rId2254" ref="I1124"/>
    <hyperlink r:id="rId2255" ref="G1125"/>
    <hyperlink r:id="rId2256" ref="I1125"/>
    <hyperlink r:id="rId2257" ref="G1126"/>
    <hyperlink r:id="rId2258" ref="I1126"/>
    <hyperlink r:id="rId2259" ref="G1127"/>
    <hyperlink r:id="rId2260" ref="I1127"/>
    <hyperlink r:id="rId2261" ref="G1128"/>
    <hyperlink r:id="rId2262" ref="I1128"/>
    <hyperlink r:id="rId2263" ref="G1129"/>
    <hyperlink r:id="rId2264" ref="I1129"/>
    <hyperlink r:id="rId2265" ref="G1130"/>
    <hyperlink r:id="rId2266" ref="I1130"/>
    <hyperlink r:id="rId2267" ref="G1131"/>
    <hyperlink r:id="rId2268" ref="I1131"/>
    <hyperlink r:id="rId2269" ref="G1132"/>
    <hyperlink r:id="rId2270" ref="I1132"/>
    <hyperlink r:id="rId2271" ref="G1133"/>
    <hyperlink r:id="rId2272" ref="I1133"/>
    <hyperlink r:id="rId2273" ref="G1134"/>
    <hyperlink r:id="rId2274" ref="I1134"/>
    <hyperlink r:id="rId2275" ref="G1135"/>
    <hyperlink r:id="rId2276" ref="I1135"/>
    <hyperlink r:id="rId2277" ref="G1136"/>
    <hyperlink r:id="rId2278" ref="I1136"/>
    <hyperlink r:id="rId2279" ref="G1137"/>
    <hyperlink r:id="rId2280" ref="I1137"/>
    <hyperlink r:id="rId2281" ref="G1138"/>
    <hyperlink r:id="rId2282" ref="I1138"/>
    <hyperlink r:id="rId2283" ref="G1139"/>
    <hyperlink r:id="rId2284" ref="I1139"/>
    <hyperlink r:id="rId2285" ref="G1140"/>
    <hyperlink r:id="rId2286" ref="I1140"/>
    <hyperlink r:id="rId2287" ref="G1141"/>
    <hyperlink r:id="rId2288" ref="I1141"/>
    <hyperlink r:id="rId2289" ref="G1142"/>
    <hyperlink r:id="rId2290" ref="G1143"/>
    <hyperlink r:id="rId2291" ref="I1143"/>
    <hyperlink r:id="rId2292" ref="G1144"/>
    <hyperlink r:id="rId2293" ref="I1144"/>
    <hyperlink r:id="rId2294" ref="G1145"/>
    <hyperlink r:id="rId2295" ref="I1145"/>
    <hyperlink r:id="rId2296" ref="G1146"/>
    <hyperlink r:id="rId2297" ref="I1146"/>
    <hyperlink r:id="rId2298" ref="G1147"/>
    <hyperlink r:id="rId2299" ref="I1147"/>
    <hyperlink r:id="rId2300" ref="G1148"/>
    <hyperlink r:id="rId2301" ref="I1148"/>
    <hyperlink r:id="rId2302" ref="G1149"/>
    <hyperlink r:id="rId2303" ref="I1149"/>
    <hyperlink r:id="rId2304" ref="G1150"/>
    <hyperlink r:id="rId2305" ref="I1150"/>
    <hyperlink r:id="rId2306" ref="G1151"/>
    <hyperlink r:id="rId2307" ref="I1151"/>
    <hyperlink r:id="rId2308" ref="G1152"/>
    <hyperlink r:id="rId2309" ref="I1152"/>
    <hyperlink r:id="rId2310" ref="G1153"/>
    <hyperlink r:id="rId2311" ref="I1153"/>
    <hyperlink r:id="rId2312" ref="G1154"/>
    <hyperlink r:id="rId2313" ref="I1154"/>
    <hyperlink r:id="rId2314" ref="G1155"/>
    <hyperlink r:id="rId2315" ref="I1155"/>
    <hyperlink r:id="rId2316" ref="G1156"/>
    <hyperlink r:id="rId2317" ref="I1156"/>
    <hyperlink r:id="rId2318" ref="G1157"/>
    <hyperlink r:id="rId2319" ref="I1157"/>
    <hyperlink r:id="rId2320" ref="G1158"/>
    <hyperlink r:id="rId2321" ref="I1158"/>
    <hyperlink r:id="rId2322" ref="G1159"/>
    <hyperlink r:id="rId2323" ref="I1159"/>
    <hyperlink r:id="rId2324" ref="G1160"/>
    <hyperlink r:id="rId2325" ref="I1160"/>
    <hyperlink r:id="rId2326" ref="G1161"/>
    <hyperlink r:id="rId2327" ref="I1161"/>
    <hyperlink r:id="rId2328" ref="G1162"/>
    <hyperlink r:id="rId2329" ref="I1162"/>
    <hyperlink r:id="rId2330" ref="G1163"/>
    <hyperlink r:id="rId2331" ref="I1163"/>
    <hyperlink r:id="rId2332" ref="G1164"/>
    <hyperlink r:id="rId2333" ref="I1164"/>
    <hyperlink r:id="rId2334" ref="G1165"/>
    <hyperlink r:id="rId2335" ref="I1165"/>
    <hyperlink r:id="rId2336" ref="G1166"/>
    <hyperlink r:id="rId2337" ref="I1166"/>
    <hyperlink r:id="rId2338" ref="G1167"/>
    <hyperlink r:id="rId2339" ref="I1167"/>
    <hyperlink r:id="rId2340" ref="G1168"/>
    <hyperlink r:id="rId2341" ref="I1168"/>
    <hyperlink r:id="rId2342" ref="G1169"/>
    <hyperlink r:id="rId2343" ref="I1169"/>
    <hyperlink r:id="rId2344" ref="G1170"/>
    <hyperlink r:id="rId2345" ref="I1170"/>
    <hyperlink r:id="rId2346" ref="G1171"/>
    <hyperlink r:id="rId2347" ref="I1171"/>
    <hyperlink r:id="rId2348" ref="G1172"/>
    <hyperlink r:id="rId2349" ref="I1172"/>
    <hyperlink r:id="rId2350" ref="G1173"/>
    <hyperlink r:id="rId2351" ref="I1173"/>
    <hyperlink r:id="rId2352" ref="G1174"/>
    <hyperlink r:id="rId2353" ref="I1174"/>
    <hyperlink r:id="rId2354" ref="G1175"/>
    <hyperlink r:id="rId2355" ref="I1175"/>
    <hyperlink r:id="rId2356" ref="G1176"/>
    <hyperlink r:id="rId2357" ref="I1176"/>
    <hyperlink r:id="rId2358" ref="G1177"/>
    <hyperlink r:id="rId2359" ref="I1177"/>
    <hyperlink r:id="rId2360" ref="G1178"/>
    <hyperlink r:id="rId2361" ref="I1178"/>
    <hyperlink r:id="rId2362" ref="G1179"/>
    <hyperlink r:id="rId2363" ref="I1179"/>
    <hyperlink r:id="rId2364" ref="G1180"/>
    <hyperlink r:id="rId2365" ref="I1180"/>
    <hyperlink r:id="rId2366" ref="G1181"/>
    <hyperlink r:id="rId2367" ref="I1181"/>
    <hyperlink r:id="rId2368" ref="G1182"/>
    <hyperlink r:id="rId2369" ref="I1182"/>
    <hyperlink r:id="rId2370" ref="G1183"/>
    <hyperlink r:id="rId2371" ref="I1183"/>
    <hyperlink r:id="rId2372" ref="G1184"/>
    <hyperlink r:id="rId2373" ref="I1184"/>
    <hyperlink r:id="rId2374" ref="G1185"/>
    <hyperlink r:id="rId2375" ref="I1185"/>
    <hyperlink r:id="rId2376" ref="G1186"/>
    <hyperlink r:id="rId2377" ref="I1186"/>
    <hyperlink r:id="rId2378" ref="G1187"/>
    <hyperlink r:id="rId2379" ref="I1187"/>
    <hyperlink r:id="rId2380" ref="G1188"/>
    <hyperlink r:id="rId2381" ref="I1188"/>
    <hyperlink r:id="rId2382" ref="G1189"/>
    <hyperlink r:id="rId2383" ref="I1189"/>
    <hyperlink r:id="rId2384" ref="G1190"/>
    <hyperlink r:id="rId2385" ref="I1190"/>
    <hyperlink r:id="rId2386" ref="G1191"/>
    <hyperlink r:id="rId2387" ref="I1191"/>
    <hyperlink r:id="rId2388" ref="G1192"/>
    <hyperlink r:id="rId2389" ref="I1192"/>
    <hyperlink r:id="rId2390" ref="G1193"/>
    <hyperlink r:id="rId2391" ref="I1193"/>
    <hyperlink r:id="rId2392" ref="G1194"/>
    <hyperlink r:id="rId2393" ref="I1194"/>
    <hyperlink r:id="rId2394" ref="G1195"/>
    <hyperlink r:id="rId2395" ref="I1195"/>
    <hyperlink r:id="rId2396" ref="G1196"/>
    <hyperlink r:id="rId2397" ref="I1196"/>
    <hyperlink r:id="rId2398" ref="G1197"/>
    <hyperlink r:id="rId2399" ref="I1197"/>
    <hyperlink r:id="rId2400" ref="G1198"/>
    <hyperlink r:id="rId2401" ref="I1198"/>
    <hyperlink r:id="rId2402" ref="G1199"/>
    <hyperlink r:id="rId2403" ref="I1199"/>
    <hyperlink r:id="rId2404" ref="G1200"/>
    <hyperlink r:id="rId2405" ref="I1200"/>
    <hyperlink r:id="rId2406" ref="G1201"/>
    <hyperlink r:id="rId2407" ref="I1201"/>
    <hyperlink r:id="rId2408" ref="G1202"/>
    <hyperlink r:id="rId2409" ref="I1202"/>
    <hyperlink r:id="rId2410" ref="G1203"/>
    <hyperlink r:id="rId2411" ref="I1203"/>
    <hyperlink r:id="rId2412" ref="G1204"/>
    <hyperlink r:id="rId2413" ref="I1204"/>
    <hyperlink r:id="rId2414" ref="G1205"/>
    <hyperlink r:id="rId2415" ref="I1205"/>
    <hyperlink r:id="rId2416" ref="G1206"/>
    <hyperlink r:id="rId2417" ref="I1206"/>
    <hyperlink r:id="rId2418" ref="G1207"/>
    <hyperlink r:id="rId2419" ref="I1207"/>
    <hyperlink r:id="rId2420" ref="G1208"/>
    <hyperlink r:id="rId2421" ref="I1208"/>
    <hyperlink r:id="rId2422" ref="G1209"/>
    <hyperlink r:id="rId2423" ref="I1209"/>
    <hyperlink r:id="rId2424" ref="G1210"/>
    <hyperlink r:id="rId2425" ref="I1210"/>
    <hyperlink r:id="rId2426" ref="G1211"/>
    <hyperlink r:id="rId2427" ref="I1211"/>
    <hyperlink r:id="rId2428" ref="G1212"/>
    <hyperlink r:id="rId2429" ref="I1212"/>
    <hyperlink r:id="rId2430" ref="G1213"/>
    <hyperlink r:id="rId2431" ref="I1213"/>
    <hyperlink r:id="rId2432" ref="G1214"/>
    <hyperlink r:id="rId2433" ref="I1214"/>
    <hyperlink r:id="rId2434" ref="G1215"/>
    <hyperlink r:id="rId2435" ref="I1215"/>
    <hyperlink r:id="rId2436" ref="G1216"/>
    <hyperlink r:id="rId2437" ref="I1216"/>
    <hyperlink r:id="rId2438" ref="G1217"/>
    <hyperlink r:id="rId2439" ref="I1217"/>
    <hyperlink r:id="rId2440" ref="G1218"/>
    <hyperlink r:id="rId2441" ref="I1218"/>
    <hyperlink r:id="rId2442" ref="G1219"/>
    <hyperlink r:id="rId2443" ref="I1219"/>
    <hyperlink r:id="rId2444" ref="G1220"/>
    <hyperlink r:id="rId2445" ref="I1220"/>
    <hyperlink r:id="rId2446" ref="G1221"/>
    <hyperlink r:id="rId2447" ref="I1221"/>
    <hyperlink r:id="rId2448" ref="G1222"/>
    <hyperlink r:id="rId2449" ref="I1222"/>
    <hyperlink r:id="rId2450" ref="G1223"/>
    <hyperlink r:id="rId2451" ref="I1223"/>
    <hyperlink r:id="rId2452" ref="G1224"/>
    <hyperlink r:id="rId2453" ref="I1224"/>
    <hyperlink r:id="rId2454" ref="G1225"/>
    <hyperlink r:id="rId2455" ref="I1225"/>
    <hyperlink r:id="rId2456" ref="G1226"/>
    <hyperlink r:id="rId2457" ref="I1226"/>
    <hyperlink r:id="rId2458" ref="G1227"/>
    <hyperlink r:id="rId2459" ref="I1227"/>
    <hyperlink r:id="rId2460" ref="G1228"/>
    <hyperlink r:id="rId2461" ref="I1228"/>
    <hyperlink r:id="rId2462" ref="G1229"/>
    <hyperlink r:id="rId2463" ref="I1229"/>
    <hyperlink r:id="rId2464" ref="G1230"/>
    <hyperlink r:id="rId2465" ref="I1230"/>
    <hyperlink r:id="rId2466" ref="G1231"/>
    <hyperlink r:id="rId2467" ref="I1231"/>
    <hyperlink r:id="rId2468" ref="G1232"/>
    <hyperlink r:id="rId2469" ref="I1232"/>
    <hyperlink r:id="rId2470" ref="G1233"/>
    <hyperlink r:id="rId2471" ref="I1233"/>
    <hyperlink r:id="rId2472" ref="G1234"/>
    <hyperlink r:id="rId2473" ref="I1234"/>
    <hyperlink r:id="rId2474" ref="G1235"/>
    <hyperlink r:id="rId2475" ref="I1235"/>
    <hyperlink r:id="rId2476" ref="G1236"/>
    <hyperlink r:id="rId2477" ref="I1236"/>
    <hyperlink r:id="rId2478" ref="G1237"/>
    <hyperlink r:id="rId2479" ref="I1237"/>
    <hyperlink r:id="rId2480" ref="G1238"/>
    <hyperlink r:id="rId2481" ref="I1238"/>
    <hyperlink r:id="rId2482" ref="G1239"/>
    <hyperlink r:id="rId2483" ref="I1239"/>
    <hyperlink r:id="rId2484" ref="G1240"/>
    <hyperlink r:id="rId2485" ref="I1240"/>
    <hyperlink r:id="rId2486" ref="G1241"/>
    <hyperlink r:id="rId2487" ref="I1241"/>
    <hyperlink r:id="rId2488" ref="G1242"/>
    <hyperlink r:id="rId2489" ref="I1242"/>
    <hyperlink r:id="rId2490" ref="G1243"/>
    <hyperlink r:id="rId2491" ref="I1243"/>
    <hyperlink r:id="rId2492" ref="G1244"/>
    <hyperlink r:id="rId2493" ref="I1244"/>
    <hyperlink r:id="rId2494" ref="G1245"/>
    <hyperlink r:id="rId2495" ref="I1245"/>
    <hyperlink r:id="rId2496" ref="G1246"/>
    <hyperlink r:id="rId2497" ref="I1246"/>
    <hyperlink r:id="rId2498" ref="G1247"/>
    <hyperlink r:id="rId2499" ref="I1247"/>
    <hyperlink r:id="rId2500" ref="G1248"/>
    <hyperlink r:id="rId2501" ref="I1248"/>
    <hyperlink r:id="rId2502" ref="G1249"/>
    <hyperlink r:id="rId2503" ref="I1249"/>
    <hyperlink r:id="rId2504" ref="G1250"/>
    <hyperlink r:id="rId2505" ref="I1250"/>
    <hyperlink r:id="rId2506" ref="G1251"/>
    <hyperlink r:id="rId2507" ref="I1251"/>
    <hyperlink r:id="rId2508" ref="G1252"/>
    <hyperlink r:id="rId2509" ref="I1252"/>
    <hyperlink r:id="rId2510" ref="G1253"/>
    <hyperlink r:id="rId2511" ref="I1253"/>
    <hyperlink r:id="rId2512" ref="G1254"/>
    <hyperlink r:id="rId2513" ref="I1254"/>
    <hyperlink r:id="rId2514" ref="G1255"/>
    <hyperlink r:id="rId2515" ref="I1255"/>
    <hyperlink r:id="rId2516" ref="G1256"/>
    <hyperlink r:id="rId2517" ref="I1256"/>
    <hyperlink r:id="rId2518" ref="G1257"/>
    <hyperlink r:id="rId2519" ref="I1257"/>
    <hyperlink r:id="rId2520" ref="G1258"/>
    <hyperlink r:id="rId2521" ref="I1258"/>
    <hyperlink r:id="rId2522" ref="G1259"/>
    <hyperlink r:id="rId2523" ref="I1259"/>
    <hyperlink r:id="rId2524" ref="G1260"/>
    <hyperlink r:id="rId2525" ref="I1260"/>
    <hyperlink r:id="rId2526" ref="G1261"/>
    <hyperlink r:id="rId2527" ref="I1261"/>
    <hyperlink r:id="rId2528" ref="G1262"/>
    <hyperlink r:id="rId2529" ref="I1262"/>
    <hyperlink r:id="rId2530" ref="G1263"/>
    <hyperlink r:id="rId2531" ref="I1263"/>
    <hyperlink r:id="rId2532" ref="G1264"/>
    <hyperlink r:id="rId2533" ref="I1264"/>
    <hyperlink r:id="rId2534" ref="G1265"/>
    <hyperlink r:id="rId2535" ref="I1265"/>
    <hyperlink r:id="rId2536" ref="G1266"/>
    <hyperlink r:id="rId2537" ref="I1266"/>
    <hyperlink r:id="rId2538" ref="G1267"/>
    <hyperlink r:id="rId2539" ref="I1267"/>
    <hyperlink r:id="rId2540" ref="G1268"/>
    <hyperlink r:id="rId2541" ref="I1268"/>
    <hyperlink r:id="rId2542" ref="G1269"/>
    <hyperlink r:id="rId2543" ref="I1269"/>
    <hyperlink r:id="rId2544" ref="G1270"/>
    <hyperlink r:id="rId2545" ref="I1270"/>
    <hyperlink r:id="rId2546" ref="G1271"/>
    <hyperlink r:id="rId2547" ref="I1271"/>
    <hyperlink r:id="rId2548" ref="G1272"/>
    <hyperlink r:id="rId2549" ref="I1272"/>
    <hyperlink r:id="rId2550" ref="G1273"/>
    <hyperlink r:id="rId2551" ref="I1273"/>
    <hyperlink r:id="rId2552" ref="G1274"/>
    <hyperlink r:id="rId2553" ref="I1274"/>
    <hyperlink r:id="rId2554" ref="G1275"/>
    <hyperlink r:id="rId2555" ref="I1275"/>
    <hyperlink r:id="rId2556" ref="G1276"/>
    <hyperlink r:id="rId2557" ref="I1276"/>
    <hyperlink r:id="rId2558" ref="G1277"/>
    <hyperlink r:id="rId2559" ref="I1277"/>
    <hyperlink r:id="rId2560" ref="G1278"/>
    <hyperlink r:id="rId2561" ref="I1278"/>
    <hyperlink r:id="rId2562" ref="G1279"/>
    <hyperlink r:id="rId2563" ref="I1279"/>
    <hyperlink r:id="rId2564" ref="G1280"/>
    <hyperlink r:id="rId2565" ref="I1280"/>
    <hyperlink r:id="rId2566" ref="G1281"/>
    <hyperlink r:id="rId2567" ref="I1281"/>
    <hyperlink r:id="rId2568" ref="G1282"/>
    <hyperlink r:id="rId2569" ref="I1282"/>
    <hyperlink r:id="rId2570" ref="G1283"/>
    <hyperlink r:id="rId2571" ref="I1283"/>
    <hyperlink r:id="rId2572" ref="G1284"/>
    <hyperlink r:id="rId2573" ref="I1284"/>
    <hyperlink r:id="rId2574" ref="G1285"/>
    <hyperlink r:id="rId2575" ref="I1285"/>
    <hyperlink r:id="rId2576" ref="G1286"/>
    <hyperlink r:id="rId2577" ref="I1286"/>
    <hyperlink r:id="rId2578" ref="G1287"/>
    <hyperlink r:id="rId2579" ref="I1287"/>
    <hyperlink r:id="rId2580" ref="G1288"/>
    <hyperlink r:id="rId2581" ref="I1288"/>
    <hyperlink r:id="rId2582" ref="G1289"/>
    <hyperlink r:id="rId2583" ref="I1289"/>
    <hyperlink r:id="rId2584" ref="G1290"/>
    <hyperlink r:id="rId2585" ref="I1290"/>
    <hyperlink r:id="rId2586" ref="G1291"/>
    <hyperlink r:id="rId2587" ref="I1291"/>
    <hyperlink r:id="rId2588" ref="G1292"/>
    <hyperlink r:id="rId2589" ref="I1292"/>
    <hyperlink r:id="rId2590" ref="G1293"/>
    <hyperlink r:id="rId2591" ref="I1293"/>
    <hyperlink r:id="rId2592" ref="G1294"/>
    <hyperlink r:id="rId2593" ref="I1294"/>
    <hyperlink r:id="rId2594" ref="G1295"/>
    <hyperlink r:id="rId2595" ref="I1295"/>
    <hyperlink r:id="rId2596" ref="G1296"/>
    <hyperlink r:id="rId2597" ref="I1296"/>
    <hyperlink r:id="rId2598" ref="G1297"/>
    <hyperlink r:id="rId2599" ref="I1297"/>
    <hyperlink r:id="rId2600" ref="G1298"/>
    <hyperlink r:id="rId2601" ref="I1298"/>
    <hyperlink r:id="rId2602" ref="G1299"/>
    <hyperlink r:id="rId2603" ref="I1299"/>
    <hyperlink r:id="rId2604" ref="G1300"/>
    <hyperlink r:id="rId2605" ref="I1300"/>
    <hyperlink r:id="rId2606" ref="G1301"/>
    <hyperlink r:id="rId2607" ref="I1301"/>
    <hyperlink r:id="rId2608" ref="G1302"/>
    <hyperlink r:id="rId2609" ref="I1302"/>
    <hyperlink r:id="rId2610" ref="G1303"/>
    <hyperlink r:id="rId2611" ref="I1303"/>
    <hyperlink r:id="rId2612" ref="G1304"/>
    <hyperlink r:id="rId2613" ref="I1304"/>
    <hyperlink r:id="rId2614" ref="G1305"/>
    <hyperlink r:id="rId2615" ref="I1305"/>
    <hyperlink r:id="rId2616" ref="G1306"/>
    <hyperlink r:id="rId2617" ref="I1306"/>
    <hyperlink r:id="rId2618" ref="G1307"/>
    <hyperlink r:id="rId2619" ref="I1307"/>
    <hyperlink r:id="rId2620" ref="G1308"/>
    <hyperlink r:id="rId2621" ref="I1308"/>
    <hyperlink r:id="rId2622" ref="G1309"/>
    <hyperlink r:id="rId2623" ref="I1309"/>
    <hyperlink r:id="rId2624" ref="G1310"/>
    <hyperlink r:id="rId2625" ref="I1310"/>
    <hyperlink r:id="rId2626" ref="G1311"/>
    <hyperlink r:id="rId2627" ref="I1311"/>
    <hyperlink r:id="rId2628" ref="G1312"/>
    <hyperlink r:id="rId2629" ref="I1312"/>
    <hyperlink r:id="rId2630" ref="G1313"/>
    <hyperlink r:id="rId2631" ref="I1313"/>
    <hyperlink r:id="rId2632" ref="G1314"/>
    <hyperlink r:id="rId2633" ref="I1314"/>
    <hyperlink r:id="rId2634" ref="G1315"/>
    <hyperlink r:id="rId2635" ref="I1315"/>
    <hyperlink r:id="rId2636" ref="G1316"/>
    <hyperlink r:id="rId2637" ref="I1316"/>
    <hyperlink r:id="rId2638" ref="G1317"/>
    <hyperlink r:id="rId2639" ref="I1317"/>
    <hyperlink r:id="rId2640" ref="G1318"/>
    <hyperlink r:id="rId2641" ref="I1318"/>
    <hyperlink r:id="rId2642" ref="G1319"/>
    <hyperlink r:id="rId2643" ref="I1319"/>
    <hyperlink r:id="rId2644" ref="G1320"/>
    <hyperlink r:id="rId2645" ref="I1320"/>
    <hyperlink r:id="rId2646" ref="G1321"/>
    <hyperlink r:id="rId2647" ref="I1321"/>
    <hyperlink r:id="rId2648" ref="G1322"/>
    <hyperlink r:id="rId2649" ref="I1322"/>
    <hyperlink r:id="rId2650" ref="G1323"/>
    <hyperlink r:id="rId2651" ref="I1323"/>
    <hyperlink r:id="rId2652" ref="G1324"/>
    <hyperlink r:id="rId2653" ref="I1324"/>
    <hyperlink r:id="rId2654" ref="G1325"/>
    <hyperlink r:id="rId2655" ref="I1325"/>
    <hyperlink r:id="rId2656" ref="G1326"/>
    <hyperlink r:id="rId2657" ref="I1326"/>
    <hyperlink r:id="rId2658" ref="G1327"/>
    <hyperlink r:id="rId2659" ref="I1327"/>
    <hyperlink r:id="rId2660" ref="G1328"/>
    <hyperlink r:id="rId2661" ref="I1328"/>
    <hyperlink r:id="rId2662" ref="G1329"/>
    <hyperlink r:id="rId2663" ref="I1329"/>
    <hyperlink r:id="rId2664" ref="G1330"/>
    <hyperlink r:id="rId2665" ref="I1330"/>
    <hyperlink r:id="rId2666" ref="G1331"/>
    <hyperlink r:id="rId2667" ref="I1331"/>
    <hyperlink r:id="rId2668" ref="G1332"/>
    <hyperlink r:id="rId2669" ref="I1332"/>
    <hyperlink r:id="rId2670" ref="G1333"/>
    <hyperlink r:id="rId2671" ref="I1333"/>
    <hyperlink r:id="rId2672" ref="G1334"/>
    <hyperlink r:id="rId2673" ref="I1334"/>
    <hyperlink r:id="rId2674" ref="G1335"/>
    <hyperlink r:id="rId2675" ref="I1335"/>
    <hyperlink r:id="rId2676" ref="G1336"/>
    <hyperlink r:id="rId2677" ref="I1336"/>
    <hyperlink r:id="rId2678" ref="G1337"/>
    <hyperlink r:id="rId2679" ref="I1337"/>
    <hyperlink r:id="rId2680" ref="G1338"/>
    <hyperlink r:id="rId2681" ref="I1338"/>
    <hyperlink r:id="rId2682" ref="G1339"/>
    <hyperlink r:id="rId2683" ref="I1339"/>
    <hyperlink r:id="rId2684" ref="G1340"/>
    <hyperlink r:id="rId2685" ref="I1340"/>
    <hyperlink r:id="rId2686" ref="G1341"/>
    <hyperlink r:id="rId2687" ref="I1341"/>
    <hyperlink r:id="rId2688" ref="G1342"/>
    <hyperlink r:id="rId2689" ref="I1342"/>
    <hyperlink r:id="rId2690" ref="G1343"/>
    <hyperlink r:id="rId2691" ref="I1343"/>
    <hyperlink r:id="rId2692" ref="G1344"/>
    <hyperlink r:id="rId2693" ref="I1344"/>
    <hyperlink r:id="rId2694" ref="G1345"/>
    <hyperlink r:id="rId2695" ref="I1345"/>
    <hyperlink r:id="rId2696" ref="G1346"/>
    <hyperlink r:id="rId2697" ref="I1346"/>
    <hyperlink r:id="rId2698" ref="G1347"/>
    <hyperlink r:id="rId2699" ref="I1347"/>
    <hyperlink r:id="rId2700" ref="G1348"/>
    <hyperlink r:id="rId2701" ref="I1348"/>
    <hyperlink r:id="rId2702" ref="G1349"/>
    <hyperlink r:id="rId2703" ref="I1349"/>
    <hyperlink r:id="rId2704" ref="G1350"/>
    <hyperlink r:id="rId2705" ref="I1350"/>
    <hyperlink r:id="rId2706" ref="G1351"/>
    <hyperlink r:id="rId2707" ref="I1351"/>
    <hyperlink r:id="rId2708" ref="G1352"/>
    <hyperlink r:id="rId2709" ref="I1352"/>
    <hyperlink r:id="rId2710" ref="G1353"/>
    <hyperlink r:id="rId2711" ref="I1353"/>
    <hyperlink r:id="rId2712" ref="G1354"/>
    <hyperlink r:id="rId2713" ref="I1354"/>
    <hyperlink r:id="rId2714" ref="G1355"/>
    <hyperlink r:id="rId2715" ref="I1355"/>
    <hyperlink r:id="rId2716" ref="G1356"/>
    <hyperlink r:id="rId2717" ref="I1356"/>
    <hyperlink r:id="rId2718" ref="G1357"/>
    <hyperlink r:id="rId2719" ref="I1357"/>
    <hyperlink r:id="rId2720" ref="G1358"/>
    <hyperlink r:id="rId2721" ref="I1358"/>
    <hyperlink r:id="rId2722" ref="G1359"/>
    <hyperlink r:id="rId2723" ref="I1359"/>
    <hyperlink r:id="rId2724" ref="G1360"/>
    <hyperlink r:id="rId2725" ref="I1360"/>
    <hyperlink r:id="rId2726" ref="G1361"/>
    <hyperlink r:id="rId2727" ref="I1361"/>
    <hyperlink r:id="rId2728" ref="G1362"/>
    <hyperlink r:id="rId2729" ref="I1362"/>
    <hyperlink r:id="rId2730" ref="G1363"/>
    <hyperlink r:id="rId2731" ref="I1363"/>
    <hyperlink r:id="rId2732" ref="G1364"/>
    <hyperlink r:id="rId2733" ref="I1364"/>
    <hyperlink r:id="rId2734" ref="G1365"/>
    <hyperlink r:id="rId2735" ref="I1365"/>
    <hyperlink r:id="rId2736" ref="G1366"/>
    <hyperlink r:id="rId2737" ref="I1366"/>
    <hyperlink r:id="rId2738" ref="G1367"/>
    <hyperlink r:id="rId2739" ref="I1367"/>
    <hyperlink r:id="rId2740" ref="G1368"/>
    <hyperlink r:id="rId2741" ref="I1368"/>
    <hyperlink r:id="rId2742" ref="G1369"/>
    <hyperlink r:id="rId2743" ref="I1369"/>
    <hyperlink r:id="rId2744" ref="G1370"/>
    <hyperlink r:id="rId2745" ref="I1370"/>
    <hyperlink r:id="rId2746" ref="G1371"/>
    <hyperlink r:id="rId2747" ref="I1371"/>
    <hyperlink r:id="rId2748" ref="G1372"/>
    <hyperlink r:id="rId2749" ref="I1372"/>
    <hyperlink r:id="rId2750" ref="G1373"/>
    <hyperlink r:id="rId2751" ref="I1373"/>
    <hyperlink r:id="rId2752" ref="G1374"/>
    <hyperlink r:id="rId2753" ref="I1374"/>
    <hyperlink r:id="rId2754" ref="G1375"/>
    <hyperlink r:id="rId2755" ref="I1375"/>
    <hyperlink r:id="rId2756" ref="G1376"/>
    <hyperlink r:id="rId2757" ref="I1376"/>
    <hyperlink r:id="rId2758" ref="G1377"/>
    <hyperlink r:id="rId2759" ref="I1377"/>
    <hyperlink r:id="rId2760" ref="G1378"/>
    <hyperlink r:id="rId2761" ref="I1378"/>
    <hyperlink r:id="rId2762" ref="G1379"/>
    <hyperlink r:id="rId2763" ref="I1379"/>
    <hyperlink r:id="rId2764" ref="G1380"/>
    <hyperlink r:id="rId2765" ref="I1380"/>
    <hyperlink r:id="rId2766" ref="G1381"/>
    <hyperlink r:id="rId2767" ref="I1381"/>
    <hyperlink r:id="rId2768" ref="G1382"/>
    <hyperlink r:id="rId2769" ref="I1382"/>
    <hyperlink r:id="rId2770" ref="G1383"/>
    <hyperlink r:id="rId2771" ref="I1383"/>
    <hyperlink r:id="rId2772" ref="G1384"/>
    <hyperlink r:id="rId2773" ref="I1384"/>
    <hyperlink r:id="rId2774" ref="G1385"/>
    <hyperlink r:id="rId2775" ref="I1385"/>
    <hyperlink r:id="rId2776" ref="G1386"/>
    <hyperlink r:id="rId2777" ref="I1386"/>
    <hyperlink r:id="rId2778" ref="G1387"/>
    <hyperlink r:id="rId2779" ref="I1387"/>
    <hyperlink r:id="rId2780" ref="G1388"/>
    <hyperlink r:id="rId2781" ref="I1388"/>
    <hyperlink r:id="rId2782" ref="G1389"/>
    <hyperlink r:id="rId2783" ref="I1389"/>
    <hyperlink r:id="rId2784" ref="G1390"/>
    <hyperlink r:id="rId2785" ref="I1390"/>
    <hyperlink r:id="rId2786" ref="G1391"/>
    <hyperlink r:id="rId2787" ref="I1391"/>
    <hyperlink r:id="rId2788" ref="G1392"/>
    <hyperlink r:id="rId2789" ref="I1392"/>
    <hyperlink r:id="rId2790" ref="G1393"/>
    <hyperlink r:id="rId2791" ref="I1393"/>
    <hyperlink r:id="rId2792" ref="G1394"/>
    <hyperlink r:id="rId2793" ref="I1394"/>
    <hyperlink r:id="rId2794" ref="G1395"/>
    <hyperlink r:id="rId2795" ref="I1395"/>
    <hyperlink r:id="rId2796" ref="G1396"/>
    <hyperlink r:id="rId2797" ref="I1396"/>
    <hyperlink r:id="rId2798" ref="G1397"/>
    <hyperlink r:id="rId2799" ref="I1397"/>
    <hyperlink r:id="rId2800" ref="G1398"/>
    <hyperlink r:id="rId2801" ref="I1398"/>
    <hyperlink r:id="rId2802" ref="G1399"/>
    <hyperlink r:id="rId2803" ref="I1399"/>
    <hyperlink r:id="rId2804" ref="G1400"/>
    <hyperlink r:id="rId2805" ref="I1400"/>
    <hyperlink r:id="rId2806" ref="G1401"/>
    <hyperlink r:id="rId2807" ref="I1401"/>
    <hyperlink r:id="rId2808" ref="G1402"/>
    <hyperlink r:id="rId2809" ref="I1402"/>
    <hyperlink r:id="rId2810" ref="G1403"/>
    <hyperlink r:id="rId2811" ref="I1403"/>
    <hyperlink r:id="rId2812" ref="G1404"/>
    <hyperlink r:id="rId2813" ref="I1404"/>
    <hyperlink r:id="rId2814" ref="G1405"/>
    <hyperlink r:id="rId2815" ref="I1405"/>
    <hyperlink r:id="rId2816" ref="G1406"/>
    <hyperlink r:id="rId2817" ref="I1406"/>
    <hyperlink r:id="rId2818" ref="G1407"/>
    <hyperlink r:id="rId2819" ref="I1407"/>
    <hyperlink r:id="rId2820" ref="G1408"/>
    <hyperlink r:id="rId2821" ref="I1408"/>
    <hyperlink r:id="rId2822" ref="G1409"/>
    <hyperlink r:id="rId2823" ref="I1409"/>
    <hyperlink r:id="rId2824" ref="G1410"/>
    <hyperlink r:id="rId2825" ref="I1410"/>
    <hyperlink r:id="rId2826" ref="G1411"/>
    <hyperlink r:id="rId2827" ref="I1411"/>
    <hyperlink r:id="rId2828" ref="G1412"/>
    <hyperlink r:id="rId2829" ref="I1412"/>
    <hyperlink r:id="rId2830" ref="G1413"/>
    <hyperlink r:id="rId2831" ref="I1413"/>
    <hyperlink r:id="rId2832" ref="G1414"/>
    <hyperlink r:id="rId2833" ref="I1414"/>
    <hyperlink r:id="rId2834" ref="G1415"/>
    <hyperlink r:id="rId2835" ref="I1415"/>
    <hyperlink r:id="rId2836" ref="G1416"/>
    <hyperlink r:id="rId2837" ref="I1416"/>
    <hyperlink r:id="rId2838" ref="G1417"/>
    <hyperlink r:id="rId2839" ref="I1417"/>
    <hyperlink r:id="rId2840" ref="G1418"/>
    <hyperlink r:id="rId2841" ref="I1418"/>
    <hyperlink r:id="rId2842" ref="G1419"/>
    <hyperlink r:id="rId2843" ref="I1419"/>
    <hyperlink r:id="rId2844" ref="G1420"/>
    <hyperlink r:id="rId2845" ref="I1420"/>
    <hyperlink r:id="rId2846" ref="G1421"/>
    <hyperlink r:id="rId2847" ref="I1421"/>
    <hyperlink r:id="rId2848" ref="G1422"/>
    <hyperlink r:id="rId2849" ref="I1422"/>
    <hyperlink r:id="rId2850" ref="G1423"/>
    <hyperlink r:id="rId2851" ref="I1423"/>
    <hyperlink r:id="rId2852" ref="G1424"/>
    <hyperlink r:id="rId2853" ref="I1424"/>
    <hyperlink r:id="rId2854" ref="G1425"/>
    <hyperlink r:id="rId2855" ref="I1425"/>
    <hyperlink r:id="rId2856" ref="G1426"/>
    <hyperlink r:id="rId2857" ref="I1426"/>
    <hyperlink r:id="rId2858" ref="G1427"/>
    <hyperlink r:id="rId2859" ref="I1427"/>
    <hyperlink r:id="rId2860" ref="G1428"/>
    <hyperlink r:id="rId2861" ref="I1428"/>
    <hyperlink r:id="rId2862" ref="G1429"/>
    <hyperlink r:id="rId2863" ref="I1429"/>
    <hyperlink r:id="rId2864" ref="G1430"/>
    <hyperlink r:id="rId2865" ref="I1430"/>
    <hyperlink r:id="rId2866" ref="G1431"/>
    <hyperlink r:id="rId2867" ref="I1431"/>
    <hyperlink r:id="rId2868" ref="G1432"/>
    <hyperlink r:id="rId2869" ref="I1432"/>
    <hyperlink r:id="rId2870" ref="G1433"/>
    <hyperlink r:id="rId2871" ref="I1433"/>
    <hyperlink r:id="rId2872" ref="G1434"/>
    <hyperlink r:id="rId2873" ref="I1434"/>
    <hyperlink r:id="rId2874" ref="G1435"/>
    <hyperlink r:id="rId2875" ref="I1435"/>
    <hyperlink r:id="rId2876" ref="G1436"/>
    <hyperlink r:id="rId2877" ref="I1436"/>
    <hyperlink r:id="rId2878" ref="G1437"/>
    <hyperlink r:id="rId2879" ref="I1437"/>
    <hyperlink r:id="rId2880" ref="G1438"/>
    <hyperlink r:id="rId2881" ref="I1438"/>
    <hyperlink r:id="rId2882" ref="G1439"/>
    <hyperlink r:id="rId2883" ref="I1439"/>
    <hyperlink r:id="rId2884" ref="G1440"/>
    <hyperlink r:id="rId2885" ref="I1440"/>
    <hyperlink r:id="rId2886" ref="G1441"/>
    <hyperlink r:id="rId2887" ref="I1441"/>
    <hyperlink r:id="rId2888" ref="G1442"/>
    <hyperlink r:id="rId2889" ref="I1442"/>
    <hyperlink r:id="rId2890" ref="G1443"/>
    <hyperlink r:id="rId2891" ref="I1443"/>
    <hyperlink r:id="rId2892" ref="G1444"/>
    <hyperlink r:id="rId2893" ref="I1444"/>
    <hyperlink r:id="rId2894" ref="G1445"/>
    <hyperlink r:id="rId2895" ref="I1445"/>
    <hyperlink r:id="rId2896" ref="G1446"/>
    <hyperlink r:id="rId2897" ref="I1446"/>
    <hyperlink r:id="rId2898" ref="G1447"/>
    <hyperlink r:id="rId2899" ref="I1447"/>
    <hyperlink r:id="rId2900" ref="G1448"/>
    <hyperlink r:id="rId2901" ref="I1448"/>
    <hyperlink r:id="rId2902" ref="G1449"/>
    <hyperlink r:id="rId2903" ref="I1449"/>
    <hyperlink r:id="rId2904" ref="G1450"/>
    <hyperlink r:id="rId2905" ref="I1450"/>
    <hyperlink r:id="rId2906" ref="G1451"/>
    <hyperlink r:id="rId2907" ref="I1451"/>
    <hyperlink r:id="rId2908" ref="G1452"/>
    <hyperlink r:id="rId2909" ref="I1452"/>
    <hyperlink r:id="rId2910" ref="G1453"/>
    <hyperlink r:id="rId2911" ref="I1453"/>
    <hyperlink r:id="rId2912" ref="G1454"/>
    <hyperlink r:id="rId2913" ref="I1454"/>
    <hyperlink r:id="rId2914" ref="G1455"/>
    <hyperlink r:id="rId2915" ref="I1455"/>
    <hyperlink r:id="rId2916" ref="G1456"/>
    <hyperlink r:id="rId2917" ref="I1456"/>
    <hyperlink r:id="rId2918" ref="G1457"/>
    <hyperlink r:id="rId2919" ref="I1457"/>
    <hyperlink r:id="rId2920" ref="G1458"/>
    <hyperlink r:id="rId2921" ref="I1458"/>
    <hyperlink r:id="rId2922" ref="G1459"/>
    <hyperlink r:id="rId2923" ref="I1459"/>
    <hyperlink r:id="rId2924" ref="G1460"/>
    <hyperlink r:id="rId2925" ref="I1460"/>
    <hyperlink r:id="rId2926" ref="G1461"/>
    <hyperlink r:id="rId2927" ref="I1461"/>
    <hyperlink r:id="rId2928" ref="G1462"/>
    <hyperlink r:id="rId2929" ref="I1462"/>
    <hyperlink r:id="rId2930" ref="G1463"/>
    <hyperlink r:id="rId2931" ref="I1463"/>
    <hyperlink r:id="rId2932" ref="G1464"/>
    <hyperlink r:id="rId2933" ref="I1464"/>
    <hyperlink r:id="rId2934" ref="G1465"/>
    <hyperlink r:id="rId2935" ref="I1465"/>
    <hyperlink r:id="rId2936" ref="G1466"/>
    <hyperlink r:id="rId2937" ref="I1466"/>
    <hyperlink r:id="rId2938" ref="G1467"/>
    <hyperlink r:id="rId2939" ref="I1467"/>
    <hyperlink r:id="rId2940" ref="G1468"/>
    <hyperlink r:id="rId2941" ref="I1468"/>
    <hyperlink r:id="rId2942" ref="G1469"/>
    <hyperlink r:id="rId2943" ref="I1469"/>
    <hyperlink r:id="rId2944" ref="G1470"/>
    <hyperlink r:id="rId2945" ref="I1470"/>
    <hyperlink r:id="rId2946" ref="G1471"/>
    <hyperlink r:id="rId2947" ref="I1471"/>
    <hyperlink r:id="rId2948" ref="G1472"/>
    <hyperlink r:id="rId2949" ref="I1472"/>
    <hyperlink r:id="rId2950" ref="G1473"/>
    <hyperlink r:id="rId2951" ref="I1473"/>
    <hyperlink r:id="rId2952" ref="G1474"/>
    <hyperlink r:id="rId2953" ref="I1474"/>
    <hyperlink r:id="rId2954" ref="G1475"/>
    <hyperlink r:id="rId2955" ref="I1475"/>
    <hyperlink r:id="rId2956" ref="G1476"/>
    <hyperlink r:id="rId2957" ref="I1476"/>
    <hyperlink r:id="rId2958" ref="G1477"/>
    <hyperlink r:id="rId2959" ref="I1477"/>
    <hyperlink r:id="rId2960" ref="G1478"/>
    <hyperlink r:id="rId2961" ref="I1478"/>
    <hyperlink r:id="rId2962" ref="G1479"/>
    <hyperlink r:id="rId2963" ref="I1479"/>
    <hyperlink r:id="rId2964" ref="G1480"/>
    <hyperlink r:id="rId2965" ref="I1480"/>
    <hyperlink r:id="rId2966" ref="G1481"/>
    <hyperlink r:id="rId2967" ref="I1481"/>
    <hyperlink r:id="rId2968" ref="G1482"/>
    <hyperlink r:id="rId2969" ref="I1482"/>
    <hyperlink r:id="rId2970" ref="G1483"/>
    <hyperlink r:id="rId2971" ref="I1483"/>
    <hyperlink r:id="rId2972" ref="G1484"/>
    <hyperlink r:id="rId2973" ref="I1484"/>
    <hyperlink r:id="rId2974" ref="G1485"/>
    <hyperlink r:id="rId2975" ref="I1485"/>
    <hyperlink r:id="rId2976" ref="G1486"/>
    <hyperlink r:id="rId2977" ref="I1486"/>
    <hyperlink r:id="rId2978" ref="G1487"/>
    <hyperlink r:id="rId2979" ref="I1487"/>
    <hyperlink r:id="rId2980" ref="G1488"/>
    <hyperlink r:id="rId2981" ref="I1488"/>
    <hyperlink r:id="rId2982" ref="G1489"/>
    <hyperlink r:id="rId2983" ref="I1489"/>
    <hyperlink r:id="rId2984" ref="G1490"/>
    <hyperlink r:id="rId2985" ref="I1490"/>
    <hyperlink r:id="rId2986" ref="G1491"/>
    <hyperlink r:id="rId2987" ref="I1491"/>
    <hyperlink r:id="rId2988" ref="G1492"/>
    <hyperlink r:id="rId2989" ref="I1492"/>
    <hyperlink r:id="rId2990" ref="G1493"/>
    <hyperlink r:id="rId2991" ref="I1493"/>
    <hyperlink r:id="rId2992" ref="G1494"/>
    <hyperlink r:id="rId2993" ref="I1494"/>
    <hyperlink r:id="rId2994" ref="G1495"/>
    <hyperlink r:id="rId2995" ref="I1495"/>
    <hyperlink r:id="rId2996" ref="G1496"/>
    <hyperlink r:id="rId2997" ref="I1496"/>
    <hyperlink r:id="rId2998" ref="G1497"/>
    <hyperlink r:id="rId2999" ref="I1497"/>
    <hyperlink r:id="rId3000" ref="G1498"/>
    <hyperlink r:id="rId3001" ref="I1498"/>
    <hyperlink r:id="rId3002" ref="G1499"/>
    <hyperlink r:id="rId3003" ref="I1499"/>
    <hyperlink r:id="rId3004" ref="G1500"/>
    <hyperlink r:id="rId3005" ref="I1500"/>
    <hyperlink r:id="rId3006" ref="G1501"/>
    <hyperlink r:id="rId3007" ref="I1501"/>
    <hyperlink r:id="rId3008" ref="G1502"/>
    <hyperlink r:id="rId3009" ref="I1502"/>
    <hyperlink r:id="rId3010" ref="G1503"/>
    <hyperlink r:id="rId3011" ref="I1503"/>
    <hyperlink r:id="rId3012" ref="G1504"/>
    <hyperlink r:id="rId3013" ref="I1504"/>
    <hyperlink r:id="rId3014" ref="G1505"/>
    <hyperlink r:id="rId3015" ref="I1505"/>
    <hyperlink r:id="rId3016" ref="G1506"/>
    <hyperlink r:id="rId3017" ref="I1506"/>
    <hyperlink r:id="rId3018" ref="G1507"/>
    <hyperlink r:id="rId3019" ref="I1507"/>
    <hyperlink r:id="rId3020" ref="G1508"/>
    <hyperlink r:id="rId3021" ref="I1508"/>
    <hyperlink r:id="rId3022" ref="G1509"/>
    <hyperlink r:id="rId3023" ref="I1509"/>
    <hyperlink r:id="rId3024" ref="G1510"/>
    <hyperlink r:id="rId3025" ref="I1510"/>
    <hyperlink r:id="rId3026" ref="G1511"/>
    <hyperlink r:id="rId3027" ref="I1511"/>
    <hyperlink r:id="rId3028" ref="G1512"/>
    <hyperlink r:id="rId3029" ref="I1512"/>
    <hyperlink r:id="rId3030" ref="G1513"/>
    <hyperlink r:id="rId3031" ref="I1513"/>
    <hyperlink r:id="rId3032" ref="G1514"/>
    <hyperlink r:id="rId3033" ref="I1514"/>
    <hyperlink r:id="rId3034" ref="G1515"/>
    <hyperlink r:id="rId3035" ref="I1515"/>
    <hyperlink r:id="rId3036" ref="G1516"/>
    <hyperlink r:id="rId3037" ref="I1516"/>
    <hyperlink r:id="rId3038" ref="G1517"/>
    <hyperlink r:id="rId3039" ref="I1517"/>
    <hyperlink r:id="rId3040" ref="G1518"/>
    <hyperlink r:id="rId3041" ref="I1518"/>
    <hyperlink r:id="rId3042" ref="G1519"/>
    <hyperlink r:id="rId3043" ref="I1519"/>
    <hyperlink r:id="rId3044" ref="G1520"/>
    <hyperlink r:id="rId3045" ref="I1520"/>
    <hyperlink r:id="rId3046" ref="G1521"/>
    <hyperlink r:id="rId3047" ref="I1521"/>
    <hyperlink r:id="rId3048" ref="G1522"/>
    <hyperlink r:id="rId3049" ref="I1522"/>
    <hyperlink r:id="rId3050" ref="G1523"/>
    <hyperlink r:id="rId3051" ref="I1523"/>
    <hyperlink r:id="rId3052" ref="G1524"/>
    <hyperlink r:id="rId3053" ref="I1524"/>
    <hyperlink r:id="rId3054" ref="G1525"/>
    <hyperlink r:id="rId3055" ref="I1525"/>
    <hyperlink r:id="rId3056" ref="G1526"/>
    <hyperlink r:id="rId3057" ref="I1526"/>
    <hyperlink r:id="rId3058" ref="G1527"/>
    <hyperlink r:id="rId3059" ref="I1527"/>
    <hyperlink r:id="rId3060" ref="G1528"/>
    <hyperlink r:id="rId3061" ref="I1528"/>
    <hyperlink r:id="rId3062" ref="G1529"/>
    <hyperlink r:id="rId3063" ref="I1529"/>
    <hyperlink r:id="rId3064" ref="G1530"/>
    <hyperlink r:id="rId3065" ref="I1530"/>
    <hyperlink r:id="rId3066" ref="G1531"/>
    <hyperlink r:id="rId3067" ref="I1531"/>
    <hyperlink r:id="rId3068" ref="G1532"/>
    <hyperlink r:id="rId3069" ref="I1532"/>
    <hyperlink r:id="rId3070" ref="G1533"/>
    <hyperlink r:id="rId3071" ref="I1533"/>
    <hyperlink r:id="rId3072" ref="G1534"/>
    <hyperlink r:id="rId3073" ref="I1534"/>
    <hyperlink r:id="rId3074" ref="G1535"/>
    <hyperlink r:id="rId3075" ref="I1535"/>
    <hyperlink r:id="rId3076" ref="G1536"/>
    <hyperlink r:id="rId3077" ref="I1536"/>
    <hyperlink r:id="rId3078" ref="G1537"/>
    <hyperlink r:id="rId3079" ref="I1537"/>
    <hyperlink r:id="rId3080" ref="G1538"/>
    <hyperlink r:id="rId3081" ref="I1538"/>
    <hyperlink r:id="rId3082" ref="G1539"/>
    <hyperlink r:id="rId3083" ref="I1539"/>
    <hyperlink r:id="rId3084" ref="G1540"/>
    <hyperlink r:id="rId3085" ref="I1540"/>
    <hyperlink r:id="rId3086" ref="G1541"/>
    <hyperlink r:id="rId3087" ref="I1541"/>
    <hyperlink r:id="rId3088" ref="G1542"/>
    <hyperlink r:id="rId3089" ref="I1542"/>
    <hyperlink r:id="rId3090" ref="G1543"/>
    <hyperlink r:id="rId3091" ref="I1543"/>
    <hyperlink r:id="rId3092" ref="G1544"/>
    <hyperlink r:id="rId3093" ref="I1544"/>
    <hyperlink r:id="rId3094" ref="G1545"/>
    <hyperlink r:id="rId3095" ref="I1545"/>
    <hyperlink r:id="rId3096" ref="G1546"/>
    <hyperlink r:id="rId3097" ref="I1546"/>
    <hyperlink r:id="rId3098" ref="G1547"/>
    <hyperlink r:id="rId3099" ref="I1547"/>
    <hyperlink r:id="rId3100" ref="G1548"/>
    <hyperlink r:id="rId3101" ref="I1548"/>
    <hyperlink r:id="rId3102" ref="G1549"/>
    <hyperlink r:id="rId3103" ref="I1549"/>
    <hyperlink r:id="rId3104" ref="G1550"/>
    <hyperlink r:id="rId3105" ref="I1550"/>
    <hyperlink r:id="rId3106" ref="G1551"/>
    <hyperlink r:id="rId3107" ref="I1551"/>
    <hyperlink r:id="rId3108" ref="G1552"/>
    <hyperlink r:id="rId3109" ref="I1552"/>
    <hyperlink r:id="rId3110" ref="G1553"/>
    <hyperlink r:id="rId3111" ref="I1553"/>
    <hyperlink r:id="rId3112" ref="G1554"/>
    <hyperlink r:id="rId3113" ref="I1554"/>
    <hyperlink r:id="rId3114" ref="G1555"/>
    <hyperlink r:id="rId3115" ref="I1555"/>
    <hyperlink r:id="rId3116" ref="G1556"/>
    <hyperlink r:id="rId3117" ref="I1556"/>
    <hyperlink r:id="rId3118" ref="G1557"/>
    <hyperlink r:id="rId3119" ref="I1557"/>
    <hyperlink r:id="rId3120" ref="G1558"/>
    <hyperlink r:id="rId3121" ref="I1558"/>
    <hyperlink r:id="rId3122" ref="G1559"/>
    <hyperlink r:id="rId3123" ref="I1559"/>
    <hyperlink r:id="rId3124" ref="G1560"/>
    <hyperlink r:id="rId3125" ref="I1560"/>
    <hyperlink r:id="rId3126" ref="G1561"/>
    <hyperlink r:id="rId3127" ref="I1561"/>
    <hyperlink r:id="rId3128" ref="G1562"/>
    <hyperlink r:id="rId3129" ref="I1562"/>
    <hyperlink r:id="rId3130" ref="G1563"/>
    <hyperlink r:id="rId3131" ref="I1563"/>
    <hyperlink r:id="rId3132" ref="G1564"/>
    <hyperlink r:id="rId3133" ref="I1564"/>
    <hyperlink r:id="rId3134" ref="G1565"/>
    <hyperlink r:id="rId3135" ref="I1565"/>
    <hyperlink r:id="rId3136" ref="G1566"/>
    <hyperlink r:id="rId3137" ref="I1566"/>
    <hyperlink r:id="rId3138" ref="G1567"/>
    <hyperlink r:id="rId3139" ref="I1567"/>
    <hyperlink r:id="rId3140" ref="G1568"/>
    <hyperlink r:id="rId3141" ref="I1568"/>
    <hyperlink r:id="rId3142" ref="G1569"/>
    <hyperlink r:id="rId3143" ref="I1569"/>
    <hyperlink r:id="rId3144" ref="G1570"/>
    <hyperlink r:id="rId3145" ref="I1570"/>
    <hyperlink r:id="rId3146" ref="G1571"/>
    <hyperlink r:id="rId3147" ref="I1571"/>
    <hyperlink r:id="rId3148" ref="G1572"/>
    <hyperlink r:id="rId3149" ref="I1572"/>
    <hyperlink r:id="rId3150" ref="G1573"/>
    <hyperlink r:id="rId3151" ref="I1573"/>
    <hyperlink r:id="rId3152" ref="G1574"/>
    <hyperlink r:id="rId3153" ref="I1574"/>
    <hyperlink r:id="rId3154" ref="G1575"/>
    <hyperlink r:id="rId3155" ref="I1575"/>
    <hyperlink r:id="rId3156" ref="G1576"/>
    <hyperlink r:id="rId3157" ref="I1576"/>
    <hyperlink r:id="rId3158" ref="G1577"/>
    <hyperlink r:id="rId3159" ref="I1577"/>
    <hyperlink r:id="rId3160" ref="G1578"/>
    <hyperlink r:id="rId3161" ref="I1578"/>
    <hyperlink r:id="rId3162" ref="G1579"/>
    <hyperlink r:id="rId3163" ref="I1579"/>
    <hyperlink r:id="rId3164" ref="G1580"/>
    <hyperlink r:id="rId3165" ref="I1580"/>
    <hyperlink r:id="rId3166" ref="G1581"/>
    <hyperlink r:id="rId3167" ref="I1581"/>
    <hyperlink r:id="rId3168" ref="G1582"/>
    <hyperlink r:id="rId3169" ref="I1582"/>
    <hyperlink r:id="rId3170" ref="G1583"/>
    <hyperlink r:id="rId3171" ref="I1583"/>
    <hyperlink r:id="rId3172" ref="G1584"/>
    <hyperlink r:id="rId3173" ref="I1584"/>
    <hyperlink r:id="rId3174" ref="G1585"/>
    <hyperlink r:id="rId3175" ref="I1585"/>
    <hyperlink r:id="rId3176" ref="G1586"/>
    <hyperlink r:id="rId3177" ref="I1586"/>
    <hyperlink r:id="rId3178" ref="G1587"/>
    <hyperlink r:id="rId3179" ref="I1587"/>
    <hyperlink r:id="rId3180" ref="G1588"/>
    <hyperlink r:id="rId3181" ref="I1588"/>
    <hyperlink r:id="rId3182" ref="G1589"/>
    <hyperlink r:id="rId3183" ref="I1589"/>
    <hyperlink r:id="rId3184" ref="G1590"/>
    <hyperlink r:id="rId3185" ref="I1590"/>
    <hyperlink r:id="rId3186" ref="G1591"/>
    <hyperlink r:id="rId3187" ref="I1591"/>
    <hyperlink r:id="rId3188" ref="G1592"/>
    <hyperlink r:id="rId3189" ref="I1592"/>
    <hyperlink r:id="rId3190" ref="G1593"/>
    <hyperlink r:id="rId3191" ref="I1593"/>
    <hyperlink r:id="rId3192" ref="G1594"/>
    <hyperlink r:id="rId3193" ref="I1594"/>
    <hyperlink r:id="rId3194" ref="G1595"/>
    <hyperlink r:id="rId3195" ref="I1595"/>
    <hyperlink r:id="rId3196" ref="G1596"/>
    <hyperlink r:id="rId3197" ref="I1596"/>
    <hyperlink r:id="rId3198" ref="G1597"/>
    <hyperlink r:id="rId3199" ref="I1597"/>
    <hyperlink r:id="rId3200" ref="G1598"/>
    <hyperlink r:id="rId3201" ref="I1598"/>
    <hyperlink r:id="rId3202" ref="G1599"/>
    <hyperlink r:id="rId3203" ref="I1599"/>
    <hyperlink r:id="rId3204" ref="G1600"/>
    <hyperlink r:id="rId3205" ref="I1600"/>
    <hyperlink r:id="rId3206" ref="G1601"/>
    <hyperlink r:id="rId3207" ref="I1601"/>
    <hyperlink r:id="rId3208" ref="G1602"/>
    <hyperlink r:id="rId3209" ref="I1602"/>
    <hyperlink r:id="rId3210" ref="G1603"/>
    <hyperlink r:id="rId3211" ref="I1603"/>
    <hyperlink r:id="rId3212" ref="G1604"/>
    <hyperlink r:id="rId3213" ref="I1604"/>
    <hyperlink r:id="rId3214" ref="G1605"/>
    <hyperlink r:id="rId3215" ref="I1605"/>
    <hyperlink r:id="rId3216" ref="G1606"/>
    <hyperlink r:id="rId3217" ref="I1606"/>
    <hyperlink r:id="rId3218" ref="G1607"/>
    <hyperlink r:id="rId3219" ref="I1607"/>
    <hyperlink r:id="rId3220" ref="G1608"/>
    <hyperlink r:id="rId3221" ref="I1608"/>
    <hyperlink r:id="rId3222" ref="G1609"/>
    <hyperlink r:id="rId3223" ref="I1609"/>
    <hyperlink r:id="rId3224" ref="G1610"/>
    <hyperlink r:id="rId3225" ref="I1610"/>
    <hyperlink r:id="rId3226" ref="G1611"/>
    <hyperlink r:id="rId3227" ref="I1611"/>
    <hyperlink r:id="rId3228" ref="G1612"/>
    <hyperlink r:id="rId3229" ref="I1612"/>
    <hyperlink r:id="rId3230" ref="G1613"/>
    <hyperlink r:id="rId3231" ref="I1613"/>
    <hyperlink r:id="rId3232" ref="G1614"/>
    <hyperlink r:id="rId3233" ref="I1614"/>
    <hyperlink r:id="rId3234" ref="G1615"/>
    <hyperlink r:id="rId3235" ref="I1615"/>
    <hyperlink r:id="rId3236" ref="G1616"/>
    <hyperlink r:id="rId3237" ref="I1616"/>
    <hyperlink r:id="rId3238" ref="G1617"/>
    <hyperlink r:id="rId3239" ref="I1617"/>
    <hyperlink r:id="rId3240" ref="G1618"/>
    <hyperlink r:id="rId3241" ref="I1618"/>
    <hyperlink r:id="rId3242" ref="G1619"/>
    <hyperlink r:id="rId3243" ref="I1619"/>
    <hyperlink r:id="rId3244" ref="G1620"/>
    <hyperlink r:id="rId3245" ref="I1620"/>
    <hyperlink r:id="rId3246" ref="G1621"/>
    <hyperlink r:id="rId3247" ref="I1621"/>
    <hyperlink r:id="rId3248" ref="G1622"/>
    <hyperlink r:id="rId3249" ref="I1622"/>
    <hyperlink r:id="rId3250" ref="G1623"/>
    <hyperlink r:id="rId3251" ref="I1623"/>
    <hyperlink r:id="rId3252" ref="G1624"/>
    <hyperlink r:id="rId3253" ref="I1624"/>
    <hyperlink r:id="rId3254" ref="G1625"/>
    <hyperlink r:id="rId3255" ref="I1625"/>
    <hyperlink r:id="rId3256" ref="G1626"/>
    <hyperlink r:id="rId3257" ref="I1626"/>
    <hyperlink r:id="rId3258" ref="G1627"/>
    <hyperlink r:id="rId3259" ref="I1627"/>
    <hyperlink r:id="rId3260" ref="G1628"/>
    <hyperlink r:id="rId3261" ref="I1628"/>
    <hyperlink r:id="rId3262" ref="G1629"/>
    <hyperlink r:id="rId3263" ref="I1629"/>
    <hyperlink r:id="rId3264" ref="G1630"/>
    <hyperlink r:id="rId3265" ref="I1630"/>
    <hyperlink r:id="rId3266" ref="G1631"/>
    <hyperlink r:id="rId3267" ref="I1631"/>
    <hyperlink r:id="rId3268" ref="G1632"/>
    <hyperlink r:id="rId3269" ref="I1632"/>
    <hyperlink r:id="rId3270" ref="G1633"/>
    <hyperlink r:id="rId3271" ref="I1633"/>
    <hyperlink r:id="rId3272" ref="G1634"/>
    <hyperlink r:id="rId3273" ref="I1634"/>
    <hyperlink r:id="rId3274" ref="G1635"/>
    <hyperlink r:id="rId3275" ref="I1635"/>
    <hyperlink r:id="rId3276" ref="G1636"/>
    <hyperlink r:id="rId3277" ref="I1636"/>
    <hyperlink r:id="rId3278" ref="G1637"/>
    <hyperlink r:id="rId3279" ref="I1637"/>
    <hyperlink r:id="rId3280" ref="G1638"/>
    <hyperlink r:id="rId3281" ref="I1638"/>
    <hyperlink r:id="rId3282" ref="G1639"/>
    <hyperlink r:id="rId3283" ref="I1639"/>
    <hyperlink r:id="rId3284" ref="G1640"/>
    <hyperlink r:id="rId3285" ref="I1640"/>
    <hyperlink r:id="rId3286" ref="G1641"/>
    <hyperlink r:id="rId3287" ref="I1641"/>
    <hyperlink r:id="rId3288" ref="G1642"/>
    <hyperlink r:id="rId3289" ref="I1642"/>
    <hyperlink r:id="rId3290" ref="G1643"/>
    <hyperlink r:id="rId3291" ref="I1643"/>
    <hyperlink r:id="rId3292" ref="G1644"/>
    <hyperlink r:id="rId3293" ref="I1644"/>
    <hyperlink r:id="rId3294" ref="G1645"/>
    <hyperlink r:id="rId3295" ref="I1645"/>
    <hyperlink r:id="rId3296" ref="G1646"/>
    <hyperlink r:id="rId3297" ref="I1646"/>
    <hyperlink r:id="rId3298" ref="G1647"/>
    <hyperlink r:id="rId3299" ref="I1647"/>
    <hyperlink r:id="rId3300" ref="G1648"/>
    <hyperlink r:id="rId3301" ref="I1648"/>
    <hyperlink r:id="rId3302" ref="G1649"/>
    <hyperlink r:id="rId3303" ref="I1649"/>
    <hyperlink r:id="rId3304" ref="G1650"/>
    <hyperlink r:id="rId3305" ref="I1650"/>
    <hyperlink r:id="rId3306" ref="G1651"/>
    <hyperlink r:id="rId3307" ref="I1651"/>
    <hyperlink r:id="rId3308" ref="G1652"/>
    <hyperlink r:id="rId3309" ref="I1652"/>
    <hyperlink r:id="rId3310" ref="G1653"/>
    <hyperlink r:id="rId3311" ref="I1653"/>
    <hyperlink r:id="rId3312" ref="G1654"/>
    <hyperlink r:id="rId3313" ref="I1654"/>
    <hyperlink r:id="rId3314" ref="G1655"/>
    <hyperlink r:id="rId3315" ref="I1655"/>
    <hyperlink r:id="rId3316" ref="G1656"/>
    <hyperlink r:id="rId3317" ref="I1656"/>
    <hyperlink r:id="rId3318" ref="G1657"/>
    <hyperlink r:id="rId3319" ref="I1657"/>
    <hyperlink r:id="rId3320" ref="G1658"/>
    <hyperlink r:id="rId3321" ref="I1658"/>
    <hyperlink r:id="rId3322" ref="G1659"/>
    <hyperlink r:id="rId3323" ref="I1659"/>
    <hyperlink r:id="rId3324" ref="G1660"/>
    <hyperlink r:id="rId3325" ref="I1660"/>
    <hyperlink r:id="rId3326" ref="G1661"/>
    <hyperlink r:id="rId3327" ref="I1661"/>
    <hyperlink r:id="rId3328" ref="G1662"/>
    <hyperlink r:id="rId3329" ref="I1662"/>
    <hyperlink r:id="rId3330" ref="G1663"/>
    <hyperlink r:id="rId3331" ref="I1663"/>
    <hyperlink r:id="rId3332" ref="G1664"/>
    <hyperlink r:id="rId3333" ref="I1664"/>
    <hyperlink r:id="rId3334" ref="G1665"/>
    <hyperlink r:id="rId3335" ref="I1665"/>
    <hyperlink r:id="rId3336" ref="G1666"/>
    <hyperlink r:id="rId3337" ref="I1666"/>
    <hyperlink r:id="rId3338" ref="G1667"/>
    <hyperlink r:id="rId3339" ref="I1667"/>
    <hyperlink r:id="rId3340" ref="G1668"/>
    <hyperlink r:id="rId3341" ref="I1668"/>
    <hyperlink r:id="rId3342" ref="G1669"/>
    <hyperlink r:id="rId3343" ref="I1669"/>
    <hyperlink r:id="rId3344" ref="G1670"/>
    <hyperlink r:id="rId3345" ref="I1670"/>
    <hyperlink r:id="rId3346" ref="G1671"/>
    <hyperlink r:id="rId3347" ref="I1671"/>
    <hyperlink r:id="rId3348" ref="G1672"/>
    <hyperlink r:id="rId3349" ref="I1672"/>
    <hyperlink r:id="rId3350" ref="G1673"/>
    <hyperlink r:id="rId3351" ref="I1673"/>
    <hyperlink r:id="rId3352" ref="G1674"/>
    <hyperlink r:id="rId3353" ref="I1674"/>
    <hyperlink r:id="rId3354" ref="G1675"/>
    <hyperlink r:id="rId3355" ref="I1675"/>
    <hyperlink r:id="rId3356" ref="G1676"/>
    <hyperlink r:id="rId3357" ref="I1676"/>
    <hyperlink r:id="rId3358" ref="G1677"/>
    <hyperlink r:id="rId3359" ref="I1677"/>
    <hyperlink r:id="rId3360" ref="G1678"/>
    <hyperlink r:id="rId3361" ref="I1678"/>
    <hyperlink r:id="rId3362" ref="G1679"/>
    <hyperlink r:id="rId3363" ref="I1679"/>
    <hyperlink r:id="rId3364" ref="G1680"/>
    <hyperlink r:id="rId3365" ref="I1680"/>
    <hyperlink r:id="rId3366" ref="G1681"/>
    <hyperlink r:id="rId3367" ref="I1681"/>
    <hyperlink r:id="rId3368" ref="G1682"/>
    <hyperlink r:id="rId3369" ref="I1682"/>
    <hyperlink r:id="rId3370" ref="G1683"/>
    <hyperlink r:id="rId3371" ref="I1683"/>
    <hyperlink r:id="rId3372" ref="G1684"/>
    <hyperlink r:id="rId3373" ref="I1684"/>
    <hyperlink r:id="rId3374" ref="G1685"/>
    <hyperlink r:id="rId3375" ref="I1685"/>
    <hyperlink r:id="rId3376" ref="G1686"/>
    <hyperlink r:id="rId3377" ref="I1686"/>
    <hyperlink r:id="rId3378" ref="G1687"/>
    <hyperlink r:id="rId3379" ref="I1687"/>
    <hyperlink r:id="rId3380" ref="G1688"/>
    <hyperlink r:id="rId3381" ref="I1688"/>
    <hyperlink r:id="rId3382" ref="G1689"/>
    <hyperlink r:id="rId3383" ref="I1689"/>
    <hyperlink r:id="rId3384" ref="G1690"/>
    <hyperlink r:id="rId3385" ref="I1690"/>
    <hyperlink r:id="rId3386" ref="G1691"/>
    <hyperlink r:id="rId3387" ref="I1691"/>
    <hyperlink r:id="rId3388" ref="G1692"/>
    <hyperlink r:id="rId3389" ref="I1692"/>
    <hyperlink r:id="rId3390" ref="G1693"/>
    <hyperlink r:id="rId3391" ref="I1693"/>
    <hyperlink r:id="rId3392" ref="G1694"/>
    <hyperlink r:id="rId3393" ref="I1694"/>
    <hyperlink r:id="rId3394" ref="G1695"/>
    <hyperlink r:id="rId3395" ref="I1695"/>
    <hyperlink r:id="rId3396" ref="G1696"/>
    <hyperlink r:id="rId3397" ref="I1696"/>
    <hyperlink r:id="rId3398" ref="G1697"/>
    <hyperlink r:id="rId3399" ref="I1697"/>
    <hyperlink r:id="rId3400" ref="G1698"/>
    <hyperlink r:id="rId3401" ref="I1698"/>
    <hyperlink r:id="rId3402" ref="G1699"/>
    <hyperlink r:id="rId3403" ref="I1699"/>
    <hyperlink r:id="rId3404" ref="G1700"/>
    <hyperlink r:id="rId3405" ref="I1700"/>
    <hyperlink r:id="rId3406" ref="G1701"/>
    <hyperlink r:id="rId3407" ref="I1701"/>
    <hyperlink r:id="rId3408" ref="G1702"/>
    <hyperlink r:id="rId3409" ref="I1702"/>
    <hyperlink r:id="rId3410" ref="G1703"/>
    <hyperlink r:id="rId3411" ref="I1703"/>
    <hyperlink r:id="rId3412" ref="G1704"/>
    <hyperlink r:id="rId3413" ref="I1704"/>
    <hyperlink r:id="rId3414" ref="G1705"/>
    <hyperlink r:id="rId3415" ref="I1705"/>
    <hyperlink r:id="rId3416" ref="G1706"/>
    <hyperlink r:id="rId3417" ref="I1706"/>
    <hyperlink r:id="rId3418" ref="G1707"/>
    <hyperlink r:id="rId3419" ref="I1707"/>
    <hyperlink r:id="rId3420" ref="G1708"/>
    <hyperlink r:id="rId3421" ref="I1708"/>
    <hyperlink r:id="rId3422" ref="G1709"/>
    <hyperlink r:id="rId3423" ref="I1709"/>
    <hyperlink r:id="rId3424" ref="G1710"/>
    <hyperlink r:id="rId3425" ref="I1710"/>
    <hyperlink r:id="rId3426" ref="G1711"/>
    <hyperlink r:id="rId3427" ref="I1711"/>
    <hyperlink r:id="rId3428" ref="G1712"/>
    <hyperlink r:id="rId3429" ref="I1712"/>
    <hyperlink r:id="rId3430" ref="G1713"/>
    <hyperlink r:id="rId3431" ref="I1713"/>
    <hyperlink r:id="rId3432" ref="G1714"/>
    <hyperlink r:id="rId3433" ref="I1714"/>
    <hyperlink r:id="rId3434" ref="G1715"/>
    <hyperlink r:id="rId3435" ref="I1715"/>
    <hyperlink r:id="rId3436" ref="G1716"/>
    <hyperlink r:id="rId3437" ref="I1716"/>
    <hyperlink r:id="rId3438" ref="G1717"/>
    <hyperlink r:id="rId3439" ref="I1717"/>
    <hyperlink r:id="rId3440" ref="G1718"/>
    <hyperlink r:id="rId3441" ref="I1718"/>
    <hyperlink r:id="rId3442" ref="G1719"/>
    <hyperlink r:id="rId3443" ref="I1719"/>
    <hyperlink r:id="rId3444" ref="G1720"/>
    <hyperlink r:id="rId3445" ref="I1720"/>
    <hyperlink r:id="rId3446" ref="G1721"/>
    <hyperlink r:id="rId3447" ref="I1721"/>
    <hyperlink r:id="rId3448" ref="G1722"/>
    <hyperlink r:id="rId3449" ref="I1722"/>
    <hyperlink r:id="rId3450" ref="G1723"/>
    <hyperlink r:id="rId3451" ref="I1723"/>
    <hyperlink r:id="rId3452" ref="G1724"/>
    <hyperlink r:id="rId3453" ref="I1724"/>
    <hyperlink r:id="rId3454" ref="G1725"/>
    <hyperlink r:id="rId3455" ref="I1725"/>
    <hyperlink r:id="rId3456" ref="G1726"/>
    <hyperlink r:id="rId3457" ref="I1726"/>
    <hyperlink r:id="rId3458" ref="G1727"/>
    <hyperlink r:id="rId3459" ref="I1727"/>
    <hyperlink r:id="rId3460" ref="G1728"/>
    <hyperlink r:id="rId3461" ref="I1728"/>
    <hyperlink r:id="rId3462" ref="G1729"/>
    <hyperlink r:id="rId3463" ref="I1729"/>
    <hyperlink r:id="rId3464" ref="G1730"/>
    <hyperlink r:id="rId3465" ref="I1730"/>
    <hyperlink r:id="rId3466" ref="G1731"/>
    <hyperlink r:id="rId3467" ref="I1731"/>
    <hyperlink r:id="rId3468" ref="G1732"/>
    <hyperlink r:id="rId3469" ref="I1732"/>
    <hyperlink r:id="rId3470" ref="G1733"/>
    <hyperlink r:id="rId3471" ref="I1733"/>
    <hyperlink r:id="rId3472" ref="G1734"/>
    <hyperlink r:id="rId3473" ref="I1734"/>
    <hyperlink r:id="rId3474" ref="G1735"/>
    <hyperlink r:id="rId3475" ref="I1735"/>
    <hyperlink r:id="rId3476" ref="G1736"/>
    <hyperlink r:id="rId3477" ref="I1736"/>
    <hyperlink r:id="rId3478" ref="G1737"/>
    <hyperlink r:id="rId3479" ref="I1737"/>
    <hyperlink r:id="rId3480" ref="G1738"/>
    <hyperlink r:id="rId3481" ref="I1738"/>
    <hyperlink r:id="rId3482" ref="G1739"/>
    <hyperlink r:id="rId3483" ref="I1739"/>
    <hyperlink r:id="rId3484" ref="G1740"/>
    <hyperlink r:id="rId3485" ref="I1740"/>
    <hyperlink r:id="rId3486" ref="G1741"/>
    <hyperlink r:id="rId3487" ref="I1741"/>
    <hyperlink r:id="rId3488" ref="G1742"/>
    <hyperlink r:id="rId3489" ref="I1742"/>
    <hyperlink r:id="rId3490" ref="G1743"/>
    <hyperlink r:id="rId3491" ref="I1743"/>
    <hyperlink r:id="rId3492" ref="G1744"/>
    <hyperlink r:id="rId3493" ref="I1744"/>
    <hyperlink r:id="rId3494" ref="G1745"/>
    <hyperlink r:id="rId3495" ref="I1745"/>
    <hyperlink r:id="rId3496" ref="G1746"/>
    <hyperlink r:id="rId3497" ref="I1746"/>
    <hyperlink r:id="rId3498" ref="G1747"/>
    <hyperlink r:id="rId3499" ref="I1747"/>
    <hyperlink r:id="rId3500" ref="G1748"/>
    <hyperlink r:id="rId3501" ref="I1748"/>
    <hyperlink r:id="rId3502" ref="G1749"/>
    <hyperlink r:id="rId3503" ref="I1749"/>
    <hyperlink r:id="rId3504" ref="G1750"/>
    <hyperlink r:id="rId3505" ref="I1750"/>
    <hyperlink r:id="rId3506" ref="G1751"/>
    <hyperlink r:id="rId3507" ref="I1751"/>
    <hyperlink r:id="rId3508" ref="G1752"/>
    <hyperlink r:id="rId3509" ref="I1752"/>
    <hyperlink r:id="rId3510" ref="G1753"/>
    <hyperlink r:id="rId3511" ref="I1753"/>
    <hyperlink r:id="rId3512" ref="G1754"/>
    <hyperlink r:id="rId3513" ref="I1754"/>
    <hyperlink r:id="rId3514" ref="G1755"/>
    <hyperlink r:id="rId3515" ref="I1755"/>
    <hyperlink r:id="rId3516" ref="G1756"/>
    <hyperlink r:id="rId3517" ref="I1756"/>
    <hyperlink r:id="rId3518" ref="G1757"/>
    <hyperlink r:id="rId3519" ref="I1757"/>
    <hyperlink r:id="rId3520" ref="G1758"/>
    <hyperlink r:id="rId3521" ref="I1758"/>
    <hyperlink r:id="rId3522" ref="G1759"/>
    <hyperlink r:id="rId3523" ref="I1759"/>
    <hyperlink r:id="rId3524" ref="I1760"/>
    <hyperlink r:id="rId3525" ref="G1761"/>
    <hyperlink r:id="rId3526" ref="I1761"/>
    <hyperlink r:id="rId3527" ref="G1762"/>
    <hyperlink r:id="rId3528" ref="I1762"/>
    <hyperlink r:id="rId3529" ref="G1763"/>
    <hyperlink r:id="rId3530" ref="I1763"/>
    <hyperlink r:id="rId3531" ref="G1764"/>
    <hyperlink r:id="rId3532" ref="I1764"/>
    <hyperlink r:id="rId3533" ref="G1765"/>
    <hyperlink r:id="rId3534" ref="I1765"/>
    <hyperlink r:id="rId3535" ref="G1766"/>
    <hyperlink r:id="rId3536" ref="I1766"/>
    <hyperlink r:id="rId3537" ref="G1767"/>
    <hyperlink r:id="rId3538" ref="I1767"/>
    <hyperlink r:id="rId3539" ref="G1768"/>
    <hyperlink r:id="rId3540" ref="I1768"/>
    <hyperlink r:id="rId3541" ref="G1769"/>
    <hyperlink r:id="rId3542" ref="I1769"/>
    <hyperlink r:id="rId3543" ref="G1770"/>
    <hyperlink r:id="rId3544" ref="I1770"/>
    <hyperlink r:id="rId3545" ref="G1771"/>
    <hyperlink r:id="rId3546" ref="I1771"/>
    <hyperlink r:id="rId3547" ref="G1772"/>
    <hyperlink r:id="rId3548" ref="I1772"/>
    <hyperlink r:id="rId3549" ref="G1773"/>
    <hyperlink r:id="rId3550" ref="I1773"/>
    <hyperlink r:id="rId3551" ref="G1774"/>
    <hyperlink r:id="rId3552" ref="I1774"/>
    <hyperlink r:id="rId3553" ref="G1775"/>
    <hyperlink r:id="rId3554" ref="I1775"/>
    <hyperlink r:id="rId3555" ref="G1776"/>
    <hyperlink r:id="rId3556" ref="I1776"/>
    <hyperlink r:id="rId3557" ref="G1777"/>
    <hyperlink r:id="rId3558" ref="I1777"/>
    <hyperlink r:id="rId3559" ref="G1778"/>
    <hyperlink r:id="rId3560" ref="I1778"/>
    <hyperlink r:id="rId3561" ref="G1779"/>
    <hyperlink r:id="rId3562" ref="I1779"/>
    <hyperlink r:id="rId3563" ref="G1780"/>
    <hyperlink r:id="rId3564" ref="I1780"/>
    <hyperlink r:id="rId3565" ref="G1781"/>
    <hyperlink r:id="rId3566" ref="I1781"/>
    <hyperlink r:id="rId3567" ref="G1782"/>
    <hyperlink r:id="rId3568" ref="I1782"/>
    <hyperlink r:id="rId3569" ref="G1783"/>
    <hyperlink r:id="rId3570" ref="I1783"/>
    <hyperlink r:id="rId3571" ref="G1784"/>
    <hyperlink r:id="rId3572" ref="I1784"/>
    <hyperlink r:id="rId3573" ref="G1785"/>
    <hyperlink r:id="rId3574" ref="I1785"/>
    <hyperlink r:id="rId3575" ref="G1786"/>
    <hyperlink r:id="rId3576" ref="I1786"/>
    <hyperlink r:id="rId3577" ref="G1787"/>
    <hyperlink r:id="rId3578" ref="I1787"/>
    <hyperlink r:id="rId3579" ref="G1788"/>
    <hyperlink r:id="rId3580" ref="I1788"/>
    <hyperlink r:id="rId3581" ref="G1789"/>
    <hyperlink r:id="rId3582" ref="I1789"/>
    <hyperlink r:id="rId3583" ref="G1790"/>
    <hyperlink r:id="rId3584" ref="I1790"/>
    <hyperlink r:id="rId3585" ref="G1791"/>
    <hyperlink r:id="rId3586" ref="I1791"/>
    <hyperlink r:id="rId3587" ref="G1792"/>
    <hyperlink r:id="rId3588" ref="I1792"/>
    <hyperlink r:id="rId3589" ref="G1793"/>
    <hyperlink r:id="rId3590" ref="I1793"/>
    <hyperlink r:id="rId3591" ref="G1794"/>
    <hyperlink r:id="rId3592" ref="I1794"/>
    <hyperlink r:id="rId3593" ref="G1795"/>
    <hyperlink r:id="rId3594" ref="I1795"/>
    <hyperlink r:id="rId3595" ref="G1796"/>
    <hyperlink r:id="rId3596" ref="I1796"/>
    <hyperlink r:id="rId3597" ref="G1797"/>
    <hyperlink r:id="rId3598" ref="I1797"/>
    <hyperlink r:id="rId3599" ref="G1798"/>
    <hyperlink r:id="rId3600" ref="I1798"/>
    <hyperlink r:id="rId3601" ref="G1799"/>
    <hyperlink r:id="rId3602" ref="I1799"/>
    <hyperlink r:id="rId3603" ref="G1800"/>
    <hyperlink r:id="rId3604" ref="I1800"/>
    <hyperlink r:id="rId3605" ref="G1801"/>
    <hyperlink r:id="rId3606" ref="I1801"/>
    <hyperlink r:id="rId3607" ref="G1802"/>
    <hyperlink r:id="rId3608" ref="I1802"/>
    <hyperlink r:id="rId3609" ref="G1803"/>
    <hyperlink r:id="rId3610" ref="I1803"/>
    <hyperlink r:id="rId3611" ref="G1804"/>
    <hyperlink r:id="rId3612" ref="I1804"/>
    <hyperlink r:id="rId3613" ref="G1805"/>
    <hyperlink r:id="rId3614" ref="I1805"/>
    <hyperlink r:id="rId3615" ref="G1806"/>
    <hyperlink r:id="rId3616" ref="I1806"/>
    <hyperlink r:id="rId3617" ref="G1807"/>
    <hyperlink r:id="rId3618" ref="I1807"/>
    <hyperlink r:id="rId3619" ref="G1808"/>
    <hyperlink r:id="rId3620" ref="I1808"/>
    <hyperlink r:id="rId3621" ref="G1809"/>
    <hyperlink r:id="rId3622" ref="I1809"/>
    <hyperlink r:id="rId3623" ref="G1810"/>
    <hyperlink r:id="rId3624" ref="I1810"/>
    <hyperlink r:id="rId3625" ref="G1811"/>
    <hyperlink r:id="rId3626" ref="I1811"/>
    <hyperlink r:id="rId3627" ref="G1812"/>
    <hyperlink r:id="rId3628" ref="I1812"/>
    <hyperlink r:id="rId3629" ref="G1813"/>
    <hyperlink r:id="rId3630" ref="I1813"/>
    <hyperlink r:id="rId3631" ref="G1814"/>
    <hyperlink r:id="rId3632" ref="I1814"/>
    <hyperlink r:id="rId3633" ref="G1815"/>
    <hyperlink r:id="rId3634" ref="I1815"/>
    <hyperlink r:id="rId3635" ref="G1816"/>
    <hyperlink r:id="rId3636" ref="I1816"/>
    <hyperlink r:id="rId3637" ref="G1817"/>
    <hyperlink r:id="rId3638" ref="I1817"/>
    <hyperlink r:id="rId3639" ref="G1818"/>
    <hyperlink r:id="rId3640" ref="I1818"/>
    <hyperlink r:id="rId3641" ref="G1819"/>
    <hyperlink r:id="rId3642" ref="I1819"/>
    <hyperlink r:id="rId3643" ref="G1820"/>
    <hyperlink r:id="rId3644" ref="I1820"/>
    <hyperlink r:id="rId3645" ref="G1821"/>
    <hyperlink r:id="rId3646" ref="I1821"/>
    <hyperlink r:id="rId3647" ref="G1822"/>
    <hyperlink r:id="rId3648" ref="I1822"/>
    <hyperlink r:id="rId3649" ref="G1823"/>
    <hyperlink r:id="rId3650" ref="I1823"/>
    <hyperlink r:id="rId3651" ref="G1824"/>
    <hyperlink r:id="rId3652" ref="I1824"/>
    <hyperlink r:id="rId3653" ref="G1825"/>
    <hyperlink r:id="rId3654" ref="I1825"/>
  </hyperlinks>
  <drawing r:id="rId36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5.13"/>
    <col customWidth="1" min="2" max="2" width="53.63"/>
    <col customWidth="1" min="3" max="3" width="94.88"/>
    <col collapsed="1" customWidth="1" min="4" max="4" width="25.13"/>
    <col customWidth="1" hidden="1" min="5" max="6" width="25.13" outlineLevel="1"/>
    <col collapsed="1" customWidth="1" min="7" max="7" width="25.13"/>
    <col customWidth="1" hidden="1" min="8" max="8" width="25.13" outlineLevel="1"/>
    <col customWidth="1" min="9" max="10" width="25.13"/>
    <col customWidth="1" min="11" max="12" width="25.13" outlineLevel="1"/>
    <col customWidth="1" min="13" max="21" width="25.13"/>
    <col customWidth="1" hidden="1" min="22" max="23" width="25.13"/>
    <col customWidth="1" hidden="1" min="24" max="25" width="25.13" outlineLevel="1"/>
    <col customWidth="1" hidden="1" min="26" max="34" width="25.13"/>
    <col customWidth="1" min="35" max="35" width="78.25"/>
    <col customWidth="1" min="36" max="38" width="25.13"/>
  </cols>
  <sheetData>
    <row r="1">
      <c r="A1" s="3"/>
      <c r="B1" s="3"/>
      <c r="C1" s="3"/>
      <c r="D1" s="3"/>
      <c r="E1" s="3"/>
      <c r="F1" s="3"/>
      <c r="G1" s="3"/>
      <c r="H1" s="3"/>
      <c r="I1" s="3"/>
      <c r="J1" s="3"/>
      <c r="K1" s="2"/>
      <c r="L1" s="3"/>
      <c r="M1" s="3"/>
      <c r="N1" s="3"/>
      <c r="O1" s="3"/>
      <c r="P1" s="3"/>
      <c r="Q1" s="3"/>
      <c r="R1" s="3"/>
      <c r="S1" s="3"/>
      <c r="T1" s="3"/>
      <c r="U1" s="3"/>
      <c r="V1" s="3"/>
      <c r="W1" s="3"/>
      <c r="X1" s="3"/>
      <c r="Y1" s="3"/>
      <c r="Z1" s="3"/>
      <c r="AA1" s="3"/>
      <c r="AB1" s="3"/>
      <c r="AC1" s="3"/>
      <c r="AD1" s="3"/>
      <c r="AE1" s="3"/>
      <c r="AF1" s="3"/>
      <c r="AG1" s="3"/>
      <c r="AH1" s="3"/>
      <c r="AI1" s="3"/>
      <c r="AJ1" s="3"/>
      <c r="AK1" s="3"/>
      <c r="AL1" s="4"/>
    </row>
    <row r="2">
      <c r="A2" s="5"/>
      <c r="B2" s="5"/>
      <c r="C2" s="5"/>
      <c r="D2" s="5"/>
      <c r="E2" s="6"/>
      <c r="F2" s="6"/>
      <c r="G2" s="18"/>
      <c r="I2" s="16"/>
      <c r="J2" s="9"/>
      <c r="K2" s="10"/>
      <c r="L2" s="6"/>
      <c r="M2" s="11"/>
      <c r="N2" s="6"/>
      <c r="O2" s="6"/>
      <c r="P2" s="10"/>
      <c r="Q2" s="6"/>
      <c r="R2" s="6"/>
      <c r="S2" s="6"/>
      <c r="T2" s="6"/>
      <c r="U2" s="9"/>
      <c r="AI2" s="6"/>
      <c r="AJ2" s="12"/>
      <c r="AL2" s="13"/>
    </row>
    <row r="3">
      <c r="A3" s="5"/>
      <c r="B3" s="5"/>
      <c r="C3" s="5"/>
      <c r="D3" s="5"/>
      <c r="E3" s="6"/>
      <c r="F3" s="6"/>
      <c r="G3" s="18"/>
      <c r="I3" s="16"/>
      <c r="J3" s="9"/>
      <c r="K3" s="10"/>
      <c r="L3" s="6"/>
      <c r="M3" s="11"/>
      <c r="N3" s="6"/>
      <c r="O3" s="6"/>
      <c r="P3" s="10"/>
      <c r="Q3" s="6"/>
      <c r="R3" s="6"/>
      <c r="S3" s="6"/>
      <c r="T3" s="6"/>
      <c r="U3" s="9"/>
      <c r="X3" s="14"/>
      <c r="Z3" s="14"/>
      <c r="AC3" s="14"/>
      <c r="AI3" s="6"/>
      <c r="AJ3" s="12"/>
      <c r="AL3" s="13"/>
    </row>
    <row r="4">
      <c r="A4" s="5"/>
      <c r="B4" s="5"/>
      <c r="C4" s="5"/>
      <c r="D4" s="5"/>
      <c r="E4" s="6"/>
      <c r="F4" s="6"/>
      <c r="G4" s="18"/>
      <c r="I4" s="16"/>
      <c r="J4" s="9"/>
      <c r="K4" s="10"/>
      <c r="L4" s="6"/>
      <c r="M4" s="11"/>
      <c r="N4" s="6"/>
      <c r="O4" s="6"/>
      <c r="P4" s="10"/>
      <c r="Q4" s="6"/>
      <c r="R4" s="6"/>
      <c r="S4" s="6"/>
      <c r="T4" s="6"/>
      <c r="U4" s="9"/>
      <c r="X4" s="14"/>
      <c r="Z4" s="14"/>
      <c r="AC4" s="14"/>
      <c r="AI4" s="6"/>
      <c r="AJ4" s="12"/>
      <c r="AL4" s="13"/>
    </row>
    <row r="5">
      <c r="A5" s="5"/>
      <c r="B5" s="5"/>
      <c r="C5" s="5"/>
      <c r="D5" s="5"/>
      <c r="E5" s="6"/>
      <c r="F5" s="6"/>
      <c r="G5" s="18"/>
      <c r="I5" s="16"/>
      <c r="J5" s="9"/>
      <c r="K5" s="10"/>
      <c r="L5" s="6"/>
      <c r="M5" s="11"/>
      <c r="N5" s="6"/>
      <c r="O5" s="6"/>
      <c r="P5" s="10"/>
      <c r="Q5" s="6"/>
      <c r="R5" s="6"/>
      <c r="S5" s="6"/>
      <c r="T5" s="6"/>
      <c r="U5" s="9"/>
      <c r="AI5" s="6"/>
      <c r="AJ5" s="12"/>
      <c r="AL5" s="13"/>
    </row>
    <row r="6">
      <c r="A6" s="5"/>
      <c r="B6" s="5"/>
      <c r="C6" s="5"/>
      <c r="D6" s="5"/>
      <c r="E6" s="6"/>
      <c r="F6" s="6"/>
      <c r="G6" s="18"/>
      <c r="I6" s="16"/>
      <c r="J6" s="9"/>
      <c r="K6" s="10"/>
      <c r="L6" s="6"/>
      <c r="M6" s="11"/>
      <c r="N6" s="6"/>
      <c r="O6" s="6"/>
      <c r="P6" s="10"/>
      <c r="Q6" s="6"/>
      <c r="R6" s="6"/>
      <c r="S6" s="6"/>
      <c r="T6" s="6"/>
      <c r="U6" s="9"/>
      <c r="X6" s="14"/>
      <c r="Z6" s="14"/>
      <c r="AC6" s="14"/>
      <c r="AI6" s="6"/>
      <c r="AJ6" s="12"/>
      <c r="AL6" s="13"/>
    </row>
    <row r="7">
      <c r="A7" s="5"/>
      <c r="B7" s="5"/>
      <c r="C7" s="5"/>
      <c r="D7" s="5"/>
      <c r="E7" s="6"/>
      <c r="F7" s="6"/>
      <c r="G7" s="18"/>
      <c r="I7" s="16"/>
      <c r="J7" s="9"/>
      <c r="K7" s="10"/>
      <c r="L7" s="6"/>
      <c r="M7" s="11"/>
      <c r="N7" s="6"/>
      <c r="O7" s="6"/>
      <c r="P7" s="10"/>
      <c r="Q7" s="6"/>
      <c r="R7" s="6"/>
      <c r="S7" s="6"/>
      <c r="T7" s="6"/>
      <c r="U7" s="9"/>
      <c r="X7" s="14"/>
      <c r="Z7" s="14"/>
      <c r="AC7" s="14"/>
      <c r="AI7" s="6"/>
      <c r="AJ7" s="12"/>
      <c r="AL7" s="13"/>
    </row>
    <row r="8">
      <c r="A8" s="5"/>
      <c r="B8" s="5"/>
      <c r="C8" s="5"/>
      <c r="D8" s="5"/>
      <c r="E8" s="6"/>
      <c r="F8" s="6"/>
      <c r="G8" s="18"/>
      <c r="I8" s="16"/>
      <c r="J8" s="9"/>
      <c r="K8" s="10"/>
      <c r="L8" s="6"/>
      <c r="M8" s="11"/>
      <c r="N8" s="6"/>
      <c r="O8" s="6"/>
      <c r="P8" s="10"/>
      <c r="Q8" s="6"/>
      <c r="R8" s="6"/>
      <c r="S8" s="6"/>
      <c r="T8" s="6"/>
      <c r="U8" s="9"/>
      <c r="X8" s="14"/>
      <c r="Z8" s="14"/>
      <c r="AC8" s="14"/>
      <c r="AI8" s="6"/>
      <c r="AJ8" s="12"/>
      <c r="AL8" s="13"/>
    </row>
    <row r="9">
      <c r="A9" s="5"/>
      <c r="B9" s="5"/>
      <c r="C9" s="5"/>
      <c r="D9" s="5"/>
      <c r="E9" s="6"/>
      <c r="F9" s="6"/>
      <c r="G9" s="18"/>
      <c r="I9" s="16"/>
      <c r="J9" s="9"/>
      <c r="K9" s="10"/>
      <c r="L9" s="6"/>
      <c r="M9" s="11"/>
      <c r="N9" s="6"/>
      <c r="O9" s="6"/>
      <c r="P9" s="10"/>
      <c r="Q9" s="6"/>
      <c r="R9" s="6"/>
      <c r="S9" s="6"/>
      <c r="T9" s="6"/>
      <c r="U9" s="9"/>
      <c r="X9" s="14"/>
      <c r="Z9" s="14"/>
      <c r="AC9" s="14"/>
      <c r="AI9" s="6"/>
      <c r="AJ9" s="12"/>
      <c r="AL9" s="13"/>
    </row>
    <row r="10">
      <c r="A10" s="5"/>
      <c r="B10" s="5"/>
      <c r="C10" s="5"/>
      <c r="D10" s="5"/>
      <c r="E10" s="6"/>
      <c r="F10" s="6"/>
      <c r="G10" s="18"/>
      <c r="I10" s="16"/>
      <c r="J10" s="9"/>
      <c r="K10" s="10"/>
      <c r="L10" s="6"/>
      <c r="M10" s="11"/>
      <c r="N10" s="6"/>
      <c r="O10" s="6"/>
      <c r="P10" s="10"/>
      <c r="Q10" s="6"/>
      <c r="R10" s="6"/>
      <c r="S10" s="6"/>
      <c r="T10" s="6"/>
      <c r="U10" s="9"/>
      <c r="X10" s="14"/>
      <c r="Z10" s="14"/>
      <c r="AC10" s="14"/>
      <c r="AI10" s="6"/>
      <c r="AJ10" s="12"/>
      <c r="AL10" s="13"/>
    </row>
    <row r="11">
      <c r="A11" s="5"/>
      <c r="B11" s="5"/>
      <c r="C11" s="5"/>
      <c r="D11" s="5"/>
      <c r="E11" s="6"/>
      <c r="F11" s="6"/>
      <c r="G11" s="18"/>
      <c r="I11" s="16"/>
      <c r="J11" s="9"/>
      <c r="K11" s="10"/>
      <c r="L11" s="6"/>
      <c r="M11" s="11"/>
      <c r="N11" s="6"/>
      <c r="O11" s="6"/>
      <c r="P11" s="10"/>
      <c r="Q11" s="6"/>
      <c r="R11" s="6"/>
      <c r="S11" s="6"/>
      <c r="T11" s="6"/>
      <c r="U11" s="9"/>
      <c r="X11" s="14"/>
      <c r="Z11" s="14"/>
      <c r="AC11" s="14"/>
      <c r="AI11" s="6"/>
      <c r="AJ11" s="12"/>
      <c r="AL11" s="13"/>
    </row>
    <row r="12">
      <c r="A12" s="5"/>
      <c r="B12" s="5"/>
      <c r="C12" s="5"/>
      <c r="D12" s="5"/>
      <c r="E12" s="6"/>
      <c r="F12" s="6"/>
      <c r="G12" s="18"/>
      <c r="I12" s="16"/>
      <c r="J12" s="9"/>
      <c r="K12" s="10"/>
      <c r="L12" s="6"/>
      <c r="M12" s="11"/>
      <c r="N12" s="6"/>
      <c r="O12" s="6"/>
      <c r="P12" s="10"/>
      <c r="Q12" s="6"/>
      <c r="R12" s="6"/>
      <c r="S12" s="6"/>
      <c r="T12" s="6"/>
      <c r="U12" s="9"/>
      <c r="X12" s="14"/>
      <c r="Z12" s="14"/>
      <c r="AC12" s="14"/>
      <c r="AI12" s="6"/>
      <c r="AJ12" s="12"/>
      <c r="AL12" s="13"/>
    </row>
    <row r="13">
      <c r="A13" s="5"/>
      <c r="B13" s="5"/>
      <c r="C13" s="5"/>
      <c r="D13" s="5"/>
      <c r="E13" s="6"/>
      <c r="F13" s="6"/>
      <c r="G13" s="18"/>
      <c r="I13" s="16"/>
      <c r="J13" s="9"/>
      <c r="K13" s="10"/>
      <c r="L13" s="6"/>
      <c r="M13" s="11"/>
      <c r="N13" s="6"/>
      <c r="O13" s="6"/>
      <c r="P13" s="10"/>
      <c r="Q13" s="6"/>
      <c r="R13" s="6"/>
      <c r="S13" s="6"/>
      <c r="T13" s="6"/>
      <c r="U13" s="9"/>
      <c r="X13" s="14"/>
      <c r="Z13" s="14"/>
      <c r="AC13" s="14"/>
      <c r="AI13" s="6"/>
      <c r="AJ13" s="12"/>
      <c r="AL13" s="13"/>
    </row>
    <row r="14">
      <c r="A14" s="5"/>
      <c r="B14" s="5"/>
      <c r="C14" s="5"/>
      <c r="D14" s="5"/>
      <c r="E14" s="6"/>
      <c r="F14" s="6"/>
      <c r="G14" s="18"/>
      <c r="I14" s="16"/>
      <c r="J14" s="9"/>
      <c r="K14" s="10"/>
      <c r="L14" s="6"/>
      <c r="M14" s="11"/>
      <c r="N14" s="6"/>
      <c r="O14" s="6"/>
      <c r="P14" s="10"/>
      <c r="Q14" s="6"/>
      <c r="R14" s="6"/>
      <c r="S14" s="6"/>
      <c r="T14" s="6"/>
      <c r="U14" s="9"/>
      <c r="X14" s="14"/>
      <c r="Z14" s="14"/>
      <c r="AC14" s="14"/>
      <c r="AI14" s="6"/>
      <c r="AJ14" s="12"/>
      <c r="AL14" s="13"/>
    </row>
    <row r="15">
      <c r="A15" s="5"/>
      <c r="B15" s="5"/>
      <c r="C15" s="5"/>
      <c r="D15" s="5"/>
      <c r="E15" s="6"/>
      <c r="F15" s="6"/>
      <c r="G15" s="18"/>
      <c r="I15" s="16"/>
      <c r="J15" s="9"/>
      <c r="K15" s="10"/>
      <c r="L15" s="6"/>
      <c r="M15" s="11"/>
      <c r="N15" s="6"/>
      <c r="O15" s="6"/>
      <c r="P15" s="10"/>
      <c r="Q15" s="6"/>
      <c r="R15" s="6"/>
      <c r="S15" s="6"/>
      <c r="T15" s="6"/>
      <c r="U15" s="9"/>
      <c r="X15" s="14"/>
      <c r="Z15" s="14"/>
      <c r="AC15" s="14"/>
      <c r="AI15" s="6"/>
      <c r="AJ15" s="12"/>
      <c r="AL15" s="13"/>
    </row>
    <row r="16">
      <c r="A16" s="5"/>
      <c r="B16" s="5"/>
      <c r="C16" s="5"/>
      <c r="D16" s="5"/>
      <c r="E16" s="6"/>
      <c r="F16" s="6"/>
      <c r="G16" s="18"/>
      <c r="I16" s="16"/>
      <c r="J16" s="9"/>
      <c r="K16" s="10"/>
      <c r="L16" s="6"/>
      <c r="M16" s="11"/>
      <c r="N16" s="6"/>
      <c r="O16" s="6"/>
      <c r="P16" s="10"/>
      <c r="Q16" s="6"/>
      <c r="R16" s="6"/>
      <c r="S16" s="6"/>
      <c r="T16" s="6"/>
      <c r="U16" s="9"/>
      <c r="X16" s="14"/>
      <c r="Z16" s="14"/>
      <c r="AC16" s="14"/>
      <c r="AI16" s="6"/>
      <c r="AJ16" s="12"/>
      <c r="AL16" s="13"/>
    </row>
    <row r="17">
      <c r="A17" s="5"/>
      <c r="B17" s="5"/>
      <c r="C17" s="5"/>
      <c r="D17" s="5"/>
      <c r="E17" s="6"/>
      <c r="F17" s="6"/>
      <c r="G17" s="18"/>
      <c r="I17" s="16"/>
      <c r="J17" s="9"/>
      <c r="K17" s="10"/>
      <c r="L17" s="6"/>
      <c r="M17" s="11"/>
      <c r="N17" s="6"/>
      <c r="O17" s="6"/>
      <c r="P17" s="10"/>
      <c r="Q17" s="6"/>
      <c r="R17" s="6"/>
      <c r="S17" s="6"/>
      <c r="T17" s="6"/>
      <c r="U17" s="9"/>
      <c r="X17" s="14"/>
      <c r="Z17" s="14"/>
      <c r="AC17" s="14"/>
      <c r="AI17" s="6"/>
      <c r="AJ17" s="12"/>
      <c r="AL17" s="13"/>
    </row>
    <row r="18">
      <c r="A18" s="5"/>
      <c r="B18" s="5"/>
      <c r="C18" s="5"/>
      <c r="D18" s="5"/>
      <c r="E18" s="6"/>
      <c r="F18" s="6"/>
      <c r="G18" s="18"/>
      <c r="I18" s="16"/>
      <c r="J18" s="9"/>
      <c r="K18" s="10"/>
      <c r="L18" s="6"/>
      <c r="M18" s="11"/>
      <c r="N18" s="6"/>
      <c r="O18" s="6"/>
      <c r="P18" s="10"/>
      <c r="Q18" s="6"/>
      <c r="R18" s="6"/>
      <c r="S18" s="6"/>
      <c r="T18" s="6"/>
      <c r="U18" s="9"/>
      <c r="X18" s="14"/>
      <c r="Z18" s="14"/>
      <c r="AC18" s="14"/>
      <c r="AI18" s="6"/>
      <c r="AJ18" s="12"/>
      <c r="AL18" s="13"/>
    </row>
    <row r="19">
      <c r="A19" s="5"/>
      <c r="B19" s="5"/>
      <c r="C19" s="5"/>
      <c r="D19" s="5"/>
      <c r="E19" s="6"/>
      <c r="F19" s="6"/>
      <c r="G19" s="18"/>
      <c r="I19" s="16"/>
      <c r="J19" s="9"/>
      <c r="K19" s="10"/>
      <c r="L19" s="6"/>
      <c r="M19" s="11"/>
      <c r="N19" s="6"/>
      <c r="O19" s="6"/>
      <c r="P19" s="10"/>
      <c r="Q19" s="6"/>
      <c r="R19" s="6"/>
      <c r="S19" s="6"/>
      <c r="T19" s="6"/>
      <c r="U19" s="9"/>
      <c r="X19" s="14"/>
      <c r="Z19" s="14"/>
      <c r="AC19" s="14"/>
      <c r="AI19" s="6"/>
      <c r="AJ19" s="12"/>
      <c r="AL19" s="13"/>
    </row>
    <row r="20">
      <c r="A20" s="5"/>
      <c r="B20" s="5"/>
      <c r="C20" s="5"/>
      <c r="D20" s="5"/>
      <c r="E20" s="6"/>
      <c r="F20" s="6"/>
      <c r="G20" s="18"/>
      <c r="I20" s="16"/>
      <c r="J20" s="9"/>
      <c r="K20" s="10"/>
      <c r="L20" s="6"/>
      <c r="M20" s="11"/>
      <c r="N20" s="6"/>
      <c r="O20" s="6"/>
      <c r="P20" s="10"/>
      <c r="Q20" s="6"/>
      <c r="R20" s="6"/>
      <c r="S20" s="6"/>
      <c r="T20" s="6"/>
      <c r="U20" s="9"/>
      <c r="X20" s="14"/>
      <c r="Z20" s="14"/>
      <c r="AC20" s="14"/>
      <c r="AI20" s="6"/>
      <c r="AJ20" s="12"/>
      <c r="AL20" s="13"/>
    </row>
    <row r="21">
      <c r="A21" s="5"/>
      <c r="B21" s="5"/>
      <c r="C21" s="5"/>
      <c r="D21" s="5"/>
      <c r="E21" s="6"/>
      <c r="F21" s="6"/>
      <c r="G21" s="18"/>
      <c r="I21" s="16"/>
      <c r="J21" s="9"/>
      <c r="K21" s="10"/>
      <c r="L21" s="6"/>
      <c r="M21" s="11"/>
      <c r="N21" s="6"/>
      <c r="O21" s="6"/>
      <c r="P21" s="10"/>
      <c r="Q21" s="6"/>
      <c r="R21" s="6"/>
      <c r="S21" s="6"/>
      <c r="T21" s="6"/>
      <c r="U21" s="9"/>
      <c r="X21" s="14"/>
      <c r="Z21" s="14"/>
      <c r="AC21" s="14"/>
      <c r="AI21" s="6"/>
      <c r="AJ21" s="12"/>
      <c r="AL21" s="13"/>
    </row>
    <row r="22">
      <c r="A22" s="5"/>
      <c r="B22" s="5"/>
      <c r="C22" s="5"/>
      <c r="D22" s="5"/>
      <c r="E22" s="6"/>
      <c r="F22" s="6"/>
      <c r="G22" s="18"/>
      <c r="I22" s="16"/>
      <c r="J22" s="9"/>
      <c r="K22" s="10"/>
      <c r="L22" s="6"/>
      <c r="M22" s="11"/>
      <c r="N22" s="6"/>
      <c r="O22" s="6"/>
      <c r="P22" s="10"/>
      <c r="Q22" s="6"/>
      <c r="R22" s="6"/>
      <c r="S22" s="6"/>
      <c r="T22" s="6"/>
      <c r="U22" s="9"/>
      <c r="X22" s="14"/>
      <c r="Z22" s="14"/>
      <c r="AC22" s="14"/>
      <c r="AI22" s="6"/>
      <c r="AJ22" s="12"/>
      <c r="AL22" s="13"/>
    </row>
    <row r="23">
      <c r="A23" s="5"/>
      <c r="B23" s="5"/>
      <c r="C23" s="5"/>
      <c r="D23" s="5"/>
      <c r="E23" s="6"/>
      <c r="F23" s="6"/>
      <c r="G23" s="18"/>
      <c r="I23" s="16"/>
      <c r="J23" s="9"/>
      <c r="K23" s="10"/>
      <c r="L23" s="6"/>
      <c r="M23" s="11"/>
      <c r="N23" s="6"/>
      <c r="O23" s="6"/>
      <c r="P23" s="10"/>
      <c r="Q23" s="6"/>
      <c r="R23" s="6"/>
      <c r="S23" s="6"/>
      <c r="T23" s="6"/>
      <c r="U23" s="9"/>
      <c r="X23" s="14"/>
      <c r="Z23" s="14"/>
      <c r="AC23" s="14"/>
      <c r="AI23" s="6"/>
      <c r="AJ23" s="12"/>
      <c r="AL23" s="13"/>
    </row>
    <row r="24">
      <c r="A24" s="5"/>
      <c r="B24" s="5"/>
      <c r="C24" s="5"/>
      <c r="D24" s="5"/>
      <c r="E24" s="6"/>
      <c r="F24" s="6"/>
      <c r="G24" s="18"/>
      <c r="I24" s="16"/>
      <c r="J24" s="9"/>
      <c r="K24" s="10"/>
      <c r="L24" s="6"/>
      <c r="M24" s="11"/>
      <c r="N24" s="6"/>
      <c r="O24" s="6"/>
      <c r="P24" s="10"/>
      <c r="Q24" s="6"/>
      <c r="R24" s="6"/>
      <c r="S24" s="6"/>
      <c r="T24" s="6"/>
      <c r="U24" s="9"/>
      <c r="X24" s="14"/>
      <c r="Z24" s="14"/>
      <c r="AC24" s="14"/>
      <c r="AI24" s="6"/>
      <c r="AJ24" s="12"/>
      <c r="AL24" s="13"/>
    </row>
    <row r="25">
      <c r="A25" s="5"/>
      <c r="B25" s="5"/>
      <c r="C25" s="5"/>
      <c r="D25" s="5"/>
      <c r="E25" s="6"/>
      <c r="F25" s="6"/>
      <c r="G25" s="18"/>
      <c r="I25" s="16"/>
      <c r="J25" s="9"/>
      <c r="K25" s="10"/>
      <c r="L25" s="6"/>
      <c r="M25" s="11"/>
      <c r="N25" s="6"/>
      <c r="O25" s="6"/>
      <c r="P25" s="10"/>
      <c r="Q25" s="6"/>
      <c r="R25" s="6"/>
      <c r="S25" s="6"/>
      <c r="T25" s="6"/>
      <c r="U25" s="9"/>
      <c r="X25" s="14"/>
      <c r="Z25" s="14"/>
      <c r="AC25" s="14"/>
      <c r="AI25" s="6"/>
      <c r="AJ25" s="12"/>
      <c r="AL25" s="13"/>
    </row>
    <row r="26">
      <c r="A26" s="5"/>
      <c r="B26" s="5"/>
      <c r="C26" s="5"/>
      <c r="D26" s="5"/>
      <c r="E26" s="6"/>
      <c r="F26" s="6"/>
      <c r="G26" s="18"/>
      <c r="I26" s="16"/>
      <c r="J26" s="9"/>
      <c r="K26" s="10"/>
      <c r="L26" s="6"/>
      <c r="M26" s="11"/>
      <c r="N26" s="6"/>
      <c r="O26" s="6"/>
      <c r="P26" s="10"/>
      <c r="Q26" s="6"/>
      <c r="R26" s="6"/>
      <c r="S26" s="6"/>
      <c r="T26" s="6"/>
      <c r="U26" s="9"/>
      <c r="X26" s="14"/>
      <c r="Z26" s="14"/>
      <c r="AC26" s="14"/>
      <c r="AI26" s="6"/>
      <c r="AJ26" s="12"/>
      <c r="AL26" s="13"/>
    </row>
    <row r="27">
      <c r="A27" s="5"/>
      <c r="B27" s="5"/>
      <c r="C27" s="5"/>
      <c r="D27" s="5"/>
      <c r="E27" s="6"/>
      <c r="F27" s="6"/>
      <c r="G27" s="18"/>
      <c r="I27" s="16"/>
      <c r="J27" s="9"/>
      <c r="K27" s="10"/>
      <c r="L27" s="6"/>
      <c r="M27" s="11"/>
      <c r="N27" s="6"/>
      <c r="O27" s="6"/>
      <c r="P27" s="10"/>
      <c r="Q27" s="6"/>
      <c r="R27" s="6"/>
      <c r="S27" s="6"/>
      <c r="T27" s="6"/>
      <c r="U27" s="9"/>
      <c r="X27" s="14"/>
      <c r="Z27" s="14"/>
      <c r="AC27" s="14"/>
      <c r="AI27" s="6"/>
      <c r="AJ27" s="12"/>
      <c r="AL27" s="13"/>
    </row>
    <row r="28">
      <c r="A28" s="5"/>
      <c r="B28" s="5"/>
      <c r="C28" s="5"/>
      <c r="D28" s="5"/>
      <c r="E28" s="6"/>
      <c r="F28" s="6"/>
      <c r="G28" s="18"/>
      <c r="I28" s="16"/>
      <c r="J28" s="9"/>
      <c r="K28" s="10"/>
      <c r="L28" s="6"/>
      <c r="M28" s="11"/>
      <c r="N28" s="6"/>
      <c r="O28" s="6"/>
      <c r="P28" s="10"/>
      <c r="Q28" s="6"/>
      <c r="R28" s="6"/>
      <c r="S28" s="6"/>
      <c r="T28" s="6"/>
      <c r="U28" s="9"/>
      <c r="X28" s="14"/>
      <c r="Z28" s="14"/>
      <c r="AC28" s="14"/>
      <c r="AI28" s="6"/>
      <c r="AJ28" s="12"/>
      <c r="AL28" s="13"/>
    </row>
    <row r="29">
      <c r="A29" s="5"/>
      <c r="B29" s="5"/>
      <c r="C29" s="5"/>
      <c r="D29" s="5"/>
      <c r="E29" s="6"/>
      <c r="F29" s="6"/>
      <c r="G29" s="18"/>
      <c r="I29" s="16"/>
      <c r="J29" s="9"/>
      <c r="K29" s="10"/>
      <c r="L29" s="6"/>
      <c r="M29" s="11"/>
      <c r="N29" s="6"/>
      <c r="O29" s="6"/>
      <c r="P29" s="10"/>
      <c r="Q29" s="6"/>
      <c r="R29" s="6"/>
      <c r="S29" s="6"/>
      <c r="T29" s="6"/>
      <c r="U29" s="9"/>
      <c r="X29" s="14"/>
      <c r="Z29" s="14"/>
      <c r="AC29" s="14"/>
      <c r="AI29" s="6"/>
      <c r="AJ29" s="12"/>
      <c r="AL29" s="13"/>
    </row>
    <row r="30">
      <c r="A30" s="5"/>
      <c r="B30" s="5"/>
      <c r="C30" s="5"/>
      <c r="D30" s="5"/>
      <c r="E30" s="6"/>
      <c r="F30" s="6"/>
      <c r="G30" s="18"/>
      <c r="I30" s="16"/>
      <c r="J30" s="9"/>
      <c r="K30" s="10"/>
      <c r="L30" s="6"/>
      <c r="M30" s="11"/>
      <c r="N30" s="6"/>
      <c r="O30" s="6"/>
      <c r="P30" s="10"/>
      <c r="Q30" s="6"/>
      <c r="R30" s="6"/>
      <c r="S30" s="6"/>
      <c r="T30" s="6"/>
      <c r="U30" s="9"/>
      <c r="X30" s="14"/>
      <c r="Z30" s="14"/>
      <c r="AC30" s="14"/>
      <c r="AI30" s="6"/>
      <c r="AJ30" s="12"/>
      <c r="AL30" s="13"/>
    </row>
    <row r="31">
      <c r="A31" s="5"/>
      <c r="B31" s="5"/>
      <c r="C31" s="5"/>
      <c r="D31" s="5"/>
      <c r="E31" s="6"/>
      <c r="F31" s="6"/>
      <c r="G31" s="18"/>
      <c r="I31" s="16"/>
      <c r="J31" s="9"/>
      <c r="K31" s="10"/>
      <c r="L31" s="6"/>
      <c r="M31" s="11"/>
      <c r="N31" s="6"/>
      <c r="O31" s="6"/>
      <c r="P31" s="10"/>
      <c r="Q31" s="6"/>
      <c r="R31" s="6"/>
      <c r="S31" s="6"/>
      <c r="T31" s="6"/>
      <c r="U31" s="9"/>
      <c r="X31" s="14"/>
      <c r="Z31" s="14"/>
      <c r="AC31" s="14"/>
      <c r="AI31" s="6"/>
      <c r="AJ31" s="12"/>
      <c r="AL31" s="13"/>
    </row>
    <row r="32">
      <c r="A32" s="5"/>
      <c r="B32" s="5"/>
      <c r="C32" s="5"/>
      <c r="D32" s="5"/>
      <c r="E32" s="6"/>
      <c r="F32" s="6"/>
      <c r="G32" s="18"/>
      <c r="I32" s="16"/>
      <c r="J32" s="9"/>
      <c r="K32" s="10"/>
      <c r="L32" s="6"/>
      <c r="M32" s="11"/>
      <c r="N32" s="6"/>
      <c r="O32" s="6"/>
      <c r="P32" s="10"/>
      <c r="Q32" s="6"/>
      <c r="R32" s="6"/>
      <c r="S32" s="6"/>
      <c r="T32" s="6"/>
      <c r="U32" s="9"/>
      <c r="X32" s="14"/>
      <c r="Z32" s="14"/>
      <c r="AC32" s="14"/>
      <c r="AI32" s="6"/>
      <c r="AJ32" s="12"/>
      <c r="AL32" s="13"/>
    </row>
    <row r="33">
      <c r="A33" s="5"/>
      <c r="B33" s="5"/>
      <c r="C33" s="5"/>
      <c r="D33" s="5"/>
      <c r="E33" s="6"/>
      <c r="F33" s="6"/>
      <c r="G33" s="18"/>
      <c r="I33" s="16"/>
      <c r="J33" s="9"/>
      <c r="K33" s="10"/>
      <c r="L33" s="6"/>
      <c r="M33" s="11"/>
      <c r="N33" s="6"/>
      <c r="O33" s="6"/>
      <c r="P33" s="10"/>
      <c r="Q33" s="6"/>
      <c r="R33" s="6"/>
      <c r="S33" s="6"/>
      <c r="T33" s="6"/>
      <c r="U33" s="9"/>
      <c r="X33" s="14"/>
      <c r="Z33" s="14"/>
      <c r="AC33" s="14"/>
      <c r="AI33" s="6"/>
      <c r="AJ33" s="12"/>
      <c r="AL33" s="13"/>
    </row>
    <row r="34">
      <c r="A34" s="5"/>
      <c r="B34" s="5"/>
      <c r="C34" s="5"/>
      <c r="D34" s="5"/>
      <c r="E34" s="6"/>
      <c r="F34" s="6"/>
      <c r="G34" s="18"/>
      <c r="I34" s="16"/>
      <c r="J34" s="9"/>
      <c r="K34" s="10"/>
      <c r="L34" s="6"/>
      <c r="M34" s="11"/>
      <c r="N34" s="6"/>
      <c r="O34" s="6"/>
      <c r="P34" s="10"/>
      <c r="Q34" s="6"/>
      <c r="R34" s="6"/>
      <c r="S34" s="6"/>
      <c r="T34" s="6"/>
      <c r="U34" s="9"/>
      <c r="X34" s="14"/>
      <c r="Z34" s="14"/>
      <c r="AC34" s="14"/>
      <c r="AI34" s="6"/>
      <c r="AJ34" s="12"/>
      <c r="AL34" s="13"/>
    </row>
    <row r="35">
      <c r="A35" s="5"/>
      <c r="B35" s="5"/>
      <c r="C35" s="5"/>
      <c r="D35" s="5"/>
      <c r="E35" s="6"/>
      <c r="F35" s="6"/>
      <c r="G35" s="18"/>
      <c r="I35" s="16"/>
      <c r="J35" s="9"/>
      <c r="K35" s="10"/>
      <c r="L35" s="6"/>
      <c r="M35" s="11"/>
      <c r="N35" s="6"/>
      <c r="O35" s="6"/>
      <c r="P35" s="10"/>
      <c r="Q35" s="6"/>
      <c r="R35" s="6"/>
      <c r="S35" s="6"/>
      <c r="T35" s="6"/>
      <c r="U35" s="9"/>
      <c r="X35" s="14"/>
      <c r="Z35" s="14"/>
      <c r="AC35" s="14"/>
      <c r="AI35" s="6"/>
      <c r="AJ35" s="12"/>
      <c r="AL35" s="13"/>
    </row>
    <row r="36">
      <c r="A36" s="5"/>
      <c r="B36" s="5"/>
      <c r="C36" s="5"/>
      <c r="D36" s="5"/>
      <c r="E36" s="6"/>
      <c r="F36" s="6"/>
      <c r="G36" s="18"/>
      <c r="I36" s="16"/>
      <c r="J36" s="9"/>
      <c r="K36" s="10"/>
      <c r="L36" s="6"/>
      <c r="M36" s="11"/>
      <c r="N36" s="6"/>
      <c r="O36" s="6"/>
      <c r="P36" s="10"/>
      <c r="Q36" s="6"/>
      <c r="R36" s="6"/>
      <c r="S36" s="6"/>
      <c r="T36" s="6"/>
      <c r="U36" s="9"/>
      <c r="X36" s="14"/>
      <c r="Z36" s="14"/>
      <c r="AC36" s="14"/>
      <c r="AI36" s="6"/>
      <c r="AJ36" s="12"/>
      <c r="AL36" s="13"/>
    </row>
    <row r="37">
      <c r="A37" s="5"/>
      <c r="B37" s="5"/>
      <c r="C37" s="5"/>
      <c r="D37" s="5"/>
      <c r="E37" s="6"/>
      <c r="F37" s="6"/>
      <c r="G37" s="18"/>
      <c r="I37" s="16"/>
      <c r="J37" s="9"/>
      <c r="K37" s="10"/>
      <c r="L37" s="6"/>
      <c r="M37" s="11"/>
      <c r="N37" s="6"/>
      <c r="O37" s="6"/>
      <c r="P37" s="10"/>
      <c r="Q37" s="6"/>
      <c r="R37" s="6"/>
      <c r="S37" s="6"/>
      <c r="T37" s="6"/>
      <c r="U37" s="9"/>
      <c r="X37" s="14"/>
      <c r="Z37" s="14"/>
      <c r="AC37" s="14"/>
      <c r="AI37" s="6"/>
      <c r="AJ37" s="12"/>
      <c r="AL37" s="13"/>
    </row>
    <row r="38">
      <c r="A38" s="5"/>
      <c r="B38" s="5"/>
      <c r="C38" s="5"/>
      <c r="D38" s="5"/>
      <c r="E38" s="6"/>
      <c r="F38" s="6"/>
      <c r="G38" s="18"/>
      <c r="I38" s="16"/>
      <c r="J38" s="9"/>
      <c r="K38" s="10"/>
      <c r="L38" s="6"/>
      <c r="M38" s="11"/>
      <c r="N38" s="6"/>
      <c r="O38" s="6"/>
      <c r="P38" s="10"/>
      <c r="Q38" s="6"/>
      <c r="R38" s="6"/>
      <c r="S38" s="6"/>
      <c r="T38" s="6"/>
      <c r="U38" s="9"/>
      <c r="X38" s="14"/>
      <c r="Z38" s="14"/>
      <c r="AC38" s="14"/>
      <c r="AI38" s="6"/>
      <c r="AJ38" s="12"/>
      <c r="AL38" s="13"/>
    </row>
    <row r="39">
      <c r="A39" s="5"/>
      <c r="B39" s="5"/>
      <c r="C39" s="5"/>
      <c r="D39" s="5"/>
      <c r="E39" s="6"/>
      <c r="F39" s="6"/>
      <c r="G39" s="18"/>
      <c r="I39" s="16"/>
      <c r="J39" s="9"/>
      <c r="K39" s="10"/>
      <c r="L39" s="6"/>
      <c r="M39" s="11"/>
      <c r="N39" s="6"/>
      <c r="O39" s="6"/>
      <c r="P39" s="10"/>
      <c r="Q39" s="6"/>
      <c r="R39" s="6"/>
      <c r="S39" s="6"/>
      <c r="T39" s="6"/>
      <c r="U39" s="9"/>
      <c r="X39" s="14"/>
      <c r="Z39" s="14"/>
      <c r="AC39" s="14"/>
      <c r="AI39" s="6"/>
      <c r="AJ39" s="12"/>
      <c r="AL39" s="13"/>
    </row>
    <row r="40">
      <c r="A40" s="5"/>
      <c r="B40" s="5"/>
      <c r="C40" s="5"/>
      <c r="D40" s="5"/>
      <c r="E40" s="6"/>
      <c r="F40" s="6"/>
      <c r="G40" s="18"/>
      <c r="I40" s="16"/>
      <c r="J40" s="9"/>
      <c r="K40" s="10"/>
      <c r="L40" s="6"/>
      <c r="M40" s="11"/>
      <c r="N40" s="6"/>
      <c r="O40" s="6"/>
      <c r="P40" s="10"/>
      <c r="Q40" s="6"/>
      <c r="R40" s="6"/>
      <c r="S40" s="6"/>
      <c r="T40" s="6"/>
      <c r="U40" s="9"/>
      <c r="X40" s="14"/>
      <c r="Z40" s="14"/>
      <c r="AC40" s="14"/>
      <c r="AI40" s="6"/>
      <c r="AJ40" s="12"/>
      <c r="AL40" s="13"/>
    </row>
    <row r="41">
      <c r="A41" s="5"/>
      <c r="B41" s="5"/>
      <c r="C41" s="5"/>
      <c r="D41" s="5"/>
      <c r="E41" s="6"/>
      <c r="F41" s="6"/>
      <c r="G41" s="18"/>
      <c r="I41" s="16"/>
      <c r="J41" s="9"/>
      <c r="K41" s="10"/>
      <c r="L41" s="6"/>
      <c r="M41" s="11"/>
      <c r="N41" s="6"/>
      <c r="O41" s="6"/>
      <c r="P41" s="10"/>
      <c r="Q41" s="6"/>
      <c r="R41" s="6"/>
      <c r="S41" s="6"/>
      <c r="T41" s="6"/>
      <c r="U41" s="9"/>
      <c r="X41" s="14"/>
      <c r="Z41" s="14"/>
      <c r="AC41" s="14"/>
      <c r="AI41" s="6"/>
      <c r="AJ41" s="12"/>
      <c r="AL41" s="13"/>
    </row>
    <row r="42">
      <c r="A42" s="5"/>
      <c r="B42" s="5"/>
      <c r="C42" s="5"/>
      <c r="D42" s="5"/>
      <c r="E42" s="6"/>
      <c r="F42" s="6"/>
      <c r="G42" s="18"/>
      <c r="I42" s="16"/>
      <c r="J42" s="9"/>
      <c r="K42" s="10"/>
      <c r="L42" s="6"/>
      <c r="M42" s="11"/>
      <c r="N42" s="6"/>
      <c r="O42" s="6"/>
      <c r="P42" s="10"/>
      <c r="Q42" s="6"/>
      <c r="R42" s="6"/>
      <c r="S42" s="6"/>
      <c r="T42" s="6"/>
      <c r="U42" s="9"/>
      <c r="X42" s="14"/>
      <c r="Z42" s="14"/>
      <c r="AC42" s="14"/>
      <c r="AI42" s="6"/>
      <c r="AJ42" s="12"/>
      <c r="AL42" s="13"/>
    </row>
    <row r="43">
      <c r="A43" s="5"/>
      <c r="B43" s="5"/>
      <c r="C43" s="5"/>
      <c r="D43" s="5"/>
      <c r="E43" s="6"/>
      <c r="F43" s="6"/>
      <c r="G43" s="18"/>
      <c r="I43" s="16"/>
      <c r="J43" s="9"/>
      <c r="K43" s="10"/>
      <c r="L43" s="6"/>
      <c r="M43" s="11"/>
      <c r="N43" s="6"/>
      <c r="O43" s="6"/>
      <c r="P43" s="10"/>
      <c r="Q43" s="6"/>
      <c r="R43" s="6"/>
      <c r="S43" s="6"/>
      <c r="T43" s="6"/>
      <c r="U43" s="9"/>
      <c r="X43" s="14"/>
      <c r="Z43" s="14"/>
      <c r="AC43" s="14"/>
      <c r="AI43" s="6"/>
      <c r="AJ43" s="12"/>
      <c r="AL43" s="13"/>
    </row>
    <row r="44">
      <c r="A44" s="5"/>
      <c r="B44" s="5"/>
      <c r="C44" s="5"/>
      <c r="D44" s="5"/>
      <c r="E44" s="6"/>
      <c r="F44" s="6"/>
      <c r="G44" s="18"/>
      <c r="I44" s="16"/>
      <c r="J44" s="9"/>
      <c r="K44" s="10"/>
      <c r="L44" s="6"/>
      <c r="M44" s="11"/>
      <c r="N44" s="6"/>
      <c r="O44" s="6"/>
      <c r="P44" s="10"/>
      <c r="Q44" s="6"/>
      <c r="R44" s="6"/>
      <c r="S44" s="6"/>
      <c r="T44" s="6"/>
      <c r="U44" s="9"/>
      <c r="X44" s="14"/>
      <c r="Z44" s="14"/>
      <c r="AC44" s="14"/>
      <c r="AI44" s="6"/>
      <c r="AJ44" s="12"/>
      <c r="AL44" s="13"/>
    </row>
    <row r="45">
      <c r="A45" s="5"/>
      <c r="B45" s="5"/>
      <c r="C45" s="5"/>
      <c r="D45" s="5"/>
      <c r="E45" s="6"/>
      <c r="F45" s="6"/>
      <c r="G45" s="18"/>
      <c r="I45" s="16"/>
      <c r="J45" s="9"/>
      <c r="K45" s="10"/>
      <c r="L45" s="6"/>
      <c r="M45" s="11"/>
      <c r="N45" s="6"/>
      <c r="O45" s="6"/>
      <c r="P45" s="10"/>
      <c r="Q45" s="6"/>
      <c r="R45" s="6"/>
      <c r="S45" s="6"/>
      <c r="T45" s="6"/>
      <c r="U45" s="9"/>
      <c r="X45" s="14"/>
      <c r="Z45" s="14"/>
      <c r="AC45" s="14"/>
      <c r="AI45" s="6"/>
      <c r="AJ45" s="12"/>
      <c r="AL45" s="13"/>
    </row>
    <row r="46">
      <c r="A46" s="5"/>
      <c r="B46" s="5"/>
      <c r="C46" s="5"/>
      <c r="D46" s="5"/>
      <c r="E46" s="6"/>
      <c r="F46" s="6"/>
      <c r="G46" s="18"/>
      <c r="I46" s="16"/>
      <c r="J46" s="9"/>
      <c r="K46" s="10"/>
      <c r="L46" s="6"/>
      <c r="M46" s="11"/>
      <c r="N46" s="6"/>
      <c r="O46" s="6"/>
      <c r="P46" s="10"/>
      <c r="Q46" s="6"/>
      <c r="R46" s="6"/>
      <c r="S46" s="6"/>
      <c r="T46" s="6"/>
      <c r="U46" s="9"/>
      <c r="X46" s="14"/>
      <c r="Z46" s="14"/>
      <c r="AC46" s="14"/>
      <c r="AI46" s="6"/>
      <c r="AJ46" s="12"/>
      <c r="AL46" s="13"/>
    </row>
    <row r="47">
      <c r="A47" s="5"/>
      <c r="B47" s="5"/>
      <c r="C47" s="5"/>
      <c r="D47" s="5"/>
      <c r="E47" s="6"/>
      <c r="F47" s="6"/>
      <c r="G47" s="18"/>
      <c r="I47" s="16"/>
      <c r="J47" s="9"/>
      <c r="K47" s="10"/>
      <c r="L47" s="6"/>
      <c r="M47" s="11"/>
      <c r="N47" s="6"/>
      <c r="O47" s="6"/>
      <c r="P47" s="10"/>
      <c r="Q47" s="6"/>
      <c r="R47" s="6"/>
      <c r="S47" s="6"/>
      <c r="T47" s="6"/>
      <c r="U47" s="9"/>
      <c r="X47" s="14"/>
      <c r="Z47" s="14"/>
      <c r="AC47" s="14"/>
      <c r="AI47" s="6"/>
      <c r="AJ47" s="12"/>
      <c r="AL47" s="13"/>
    </row>
    <row r="48">
      <c r="A48" s="5"/>
      <c r="B48" s="5"/>
      <c r="C48" s="5"/>
      <c r="D48" s="5"/>
      <c r="E48" s="6"/>
      <c r="F48" s="6"/>
      <c r="G48" s="18"/>
      <c r="I48" s="16"/>
      <c r="J48" s="9"/>
      <c r="K48" s="10"/>
      <c r="L48" s="6"/>
      <c r="M48" s="11"/>
      <c r="N48" s="6"/>
      <c r="O48" s="6"/>
      <c r="P48" s="10"/>
      <c r="Q48" s="6"/>
      <c r="R48" s="6"/>
      <c r="S48" s="6"/>
      <c r="T48" s="6"/>
      <c r="U48" s="9"/>
      <c r="X48" s="14"/>
      <c r="Z48" s="14"/>
      <c r="AC48" s="14"/>
      <c r="AI48" s="6"/>
      <c r="AJ48" s="12"/>
      <c r="AL48" s="13"/>
    </row>
    <row r="49">
      <c r="A49" s="5"/>
      <c r="B49" s="5"/>
      <c r="C49" s="5"/>
      <c r="D49" s="5"/>
      <c r="E49" s="6"/>
      <c r="F49" s="6"/>
      <c r="G49" s="18"/>
      <c r="I49" s="16"/>
      <c r="J49" s="9"/>
      <c r="K49" s="10"/>
      <c r="L49" s="6"/>
      <c r="M49" s="11"/>
      <c r="N49" s="6"/>
      <c r="O49" s="6"/>
      <c r="P49" s="10"/>
      <c r="Q49" s="6"/>
      <c r="R49" s="6"/>
      <c r="S49" s="6"/>
      <c r="T49" s="6"/>
      <c r="U49" s="9"/>
      <c r="X49" s="14"/>
      <c r="Z49" s="14"/>
      <c r="AC49" s="14"/>
      <c r="AI49" s="6"/>
      <c r="AJ49" s="12"/>
      <c r="AL49" s="13"/>
    </row>
    <row r="50">
      <c r="A50" s="5"/>
      <c r="B50" s="5"/>
      <c r="C50" s="5"/>
      <c r="D50" s="5"/>
      <c r="E50" s="6"/>
      <c r="F50" s="6"/>
      <c r="G50" s="18"/>
      <c r="I50" s="16"/>
      <c r="J50" s="9"/>
      <c r="K50" s="10"/>
      <c r="L50" s="6"/>
      <c r="M50" s="11"/>
      <c r="N50" s="6"/>
      <c r="O50" s="6"/>
      <c r="P50" s="10"/>
      <c r="Q50" s="6"/>
      <c r="R50" s="6"/>
      <c r="S50" s="6"/>
      <c r="T50" s="6"/>
      <c r="U50" s="9"/>
      <c r="X50" s="14"/>
      <c r="Z50" s="14"/>
      <c r="AC50" s="14"/>
      <c r="AI50" s="6"/>
      <c r="AJ50" s="12"/>
      <c r="AL50" s="13"/>
    </row>
    <row r="51">
      <c r="A51" s="5"/>
      <c r="B51" s="5"/>
      <c r="C51" s="5"/>
      <c r="D51" s="5"/>
      <c r="E51" s="6"/>
      <c r="F51" s="6"/>
      <c r="G51" s="18"/>
      <c r="I51" s="16"/>
      <c r="J51" s="9"/>
      <c r="K51" s="10"/>
      <c r="L51" s="6"/>
      <c r="M51" s="11"/>
      <c r="N51" s="6"/>
      <c r="O51" s="6"/>
      <c r="P51" s="10"/>
      <c r="Q51" s="6"/>
      <c r="R51" s="6"/>
      <c r="S51" s="6"/>
      <c r="T51" s="6"/>
      <c r="U51" s="9"/>
      <c r="X51" s="14"/>
      <c r="Z51" s="14"/>
      <c r="AC51" s="14"/>
      <c r="AI51" s="6"/>
      <c r="AJ51" s="12"/>
      <c r="AL51" s="13"/>
    </row>
    <row r="52">
      <c r="A52" s="5"/>
      <c r="B52" s="5"/>
      <c r="C52" s="5"/>
      <c r="D52" s="5"/>
      <c r="E52" s="6"/>
      <c r="F52" s="6"/>
      <c r="G52" s="18"/>
      <c r="I52" s="16"/>
      <c r="J52" s="9"/>
      <c r="K52" s="10"/>
      <c r="L52" s="6"/>
      <c r="M52" s="11"/>
      <c r="N52" s="6"/>
      <c r="O52" s="6"/>
      <c r="P52" s="10"/>
      <c r="Q52" s="6"/>
      <c r="R52" s="6"/>
      <c r="S52" s="6"/>
      <c r="T52" s="6"/>
      <c r="U52" s="9"/>
      <c r="X52" s="14"/>
      <c r="Z52" s="14"/>
      <c r="AC52" s="14"/>
      <c r="AI52" s="6"/>
      <c r="AJ52" s="12"/>
      <c r="AL52" s="13"/>
    </row>
    <row r="53">
      <c r="A53" s="5"/>
      <c r="B53" s="5"/>
      <c r="C53" s="5"/>
      <c r="D53" s="5"/>
      <c r="E53" s="6"/>
      <c r="F53" s="6"/>
      <c r="G53" s="18"/>
      <c r="I53" s="16"/>
      <c r="J53" s="9"/>
      <c r="K53" s="10"/>
      <c r="L53" s="6"/>
      <c r="M53" s="11"/>
      <c r="N53" s="6"/>
      <c r="O53" s="6"/>
      <c r="P53" s="10"/>
      <c r="Q53" s="6"/>
      <c r="R53" s="6"/>
      <c r="S53" s="6"/>
      <c r="T53" s="6"/>
      <c r="U53" s="9"/>
      <c r="X53" s="14"/>
      <c r="Z53" s="14"/>
      <c r="AC53" s="14"/>
      <c r="AI53" s="6"/>
      <c r="AJ53" s="12"/>
      <c r="AL53" s="13"/>
    </row>
    <row r="54">
      <c r="A54" s="5"/>
      <c r="B54" s="5"/>
      <c r="C54" s="5"/>
      <c r="D54" s="5"/>
      <c r="E54" s="6"/>
      <c r="F54" s="6"/>
      <c r="G54" s="18"/>
      <c r="I54" s="16"/>
      <c r="J54" s="9"/>
      <c r="K54" s="10"/>
      <c r="L54" s="6"/>
      <c r="M54" s="11"/>
      <c r="N54" s="6"/>
      <c r="O54" s="6"/>
      <c r="P54" s="10"/>
      <c r="Q54" s="6"/>
      <c r="R54" s="6"/>
      <c r="S54" s="6"/>
      <c r="T54" s="6"/>
      <c r="U54" s="9"/>
      <c r="X54" s="14"/>
      <c r="Z54" s="14"/>
      <c r="AC54" s="14"/>
      <c r="AI54" s="6"/>
      <c r="AJ54" s="12"/>
      <c r="AL54" s="13"/>
    </row>
    <row r="55">
      <c r="A55" s="5"/>
      <c r="B55" s="5"/>
      <c r="C55" s="5"/>
      <c r="D55" s="5"/>
      <c r="E55" s="6"/>
      <c r="F55" s="6"/>
      <c r="G55" s="18"/>
      <c r="I55" s="16"/>
      <c r="J55" s="9"/>
      <c r="K55" s="10"/>
      <c r="L55" s="6"/>
      <c r="M55" s="11"/>
      <c r="N55" s="6"/>
      <c r="O55" s="6"/>
      <c r="P55" s="10"/>
      <c r="Q55" s="6"/>
      <c r="R55" s="6"/>
      <c r="S55" s="6"/>
      <c r="T55" s="6"/>
      <c r="U55" s="9"/>
      <c r="X55" s="14"/>
      <c r="Z55" s="14"/>
      <c r="AC55" s="14"/>
      <c r="AI55" s="6"/>
      <c r="AJ55" s="12"/>
      <c r="AL55" s="13"/>
    </row>
    <row r="56">
      <c r="A56" s="5"/>
      <c r="B56" s="5"/>
      <c r="C56" s="5"/>
      <c r="D56" s="5"/>
      <c r="E56" s="6"/>
      <c r="F56" s="6"/>
      <c r="G56" s="18"/>
      <c r="I56" s="16"/>
      <c r="J56" s="9"/>
      <c r="K56" s="10"/>
      <c r="L56" s="6"/>
      <c r="M56" s="11"/>
      <c r="N56" s="6"/>
      <c r="O56" s="6"/>
      <c r="P56" s="10"/>
      <c r="Q56" s="6"/>
      <c r="R56" s="6"/>
      <c r="S56" s="6"/>
      <c r="T56" s="6"/>
      <c r="U56" s="9"/>
      <c r="AI56" s="6"/>
      <c r="AJ56" s="12"/>
      <c r="AL56" s="13"/>
    </row>
    <row r="57">
      <c r="A57" s="5"/>
      <c r="B57" s="5"/>
      <c r="C57" s="5"/>
      <c r="D57" s="5"/>
      <c r="E57" s="6"/>
      <c r="F57" s="6"/>
      <c r="G57" s="18"/>
      <c r="I57" s="16"/>
      <c r="J57" s="9"/>
      <c r="K57" s="10"/>
      <c r="L57" s="6"/>
      <c r="M57" s="11"/>
      <c r="N57" s="6"/>
      <c r="O57" s="6"/>
      <c r="P57" s="10"/>
      <c r="Q57" s="6"/>
      <c r="R57" s="6"/>
      <c r="S57" s="6"/>
      <c r="T57" s="6"/>
      <c r="U57" s="9"/>
      <c r="AI57" s="6"/>
      <c r="AJ57" s="12"/>
      <c r="AL57" s="13"/>
    </row>
    <row r="58">
      <c r="A58" s="5"/>
      <c r="B58" s="5"/>
      <c r="C58" s="5"/>
      <c r="D58" s="5"/>
      <c r="E58" s="6"/>
      <c r="F58" s="6"/>
      <c r="G58" s="18"/>
      <c r="I58" s="16"/>
      <c r="J58" s="9"/>
      <c r="K58" s="10"/>
      <c r="L58" s="6"/>
      <c r="M58" s="11"/>
      <c r="N58" s="6"/>
      <c r="O58" s="6"/>
      <c r="P58" s="10"/>
      <c r="Q58" s="6"/>
      <c r="R58" s="6"/>
      <c r="S58" s="6"/>
      <c r="T58" s="6"/>
      <c r="U58" s="9"/>
      <c r="AI58" s="6"/>
      <c r="AJ58" s="12"/>
      <c r="AL58" s="13"/>
    </row>
    <row r="59">
      <c r="A59" s="5"/>
      <c r="B59" s="5"/>
      <c r="C59" s="5"/>
      <c r="D59" s="5"/>
      <c r="E59" s="6"/>
      <c r="F59" s="6"/>
      <c r="G59" s="18"/>
      <c r="I59" s="16"/>
      <c r="J59" s="9"/>
      <c r="K59" s="10"/>
      <c r="L59" s="6"/>
      <c r="M59" s="11"/>
      <c r="N59" s="6"/>
      <c r="O59" s="6"/>
      <c r="P59" s="10"/>
      <c r="Q59" s="6"/>
      <c r="R59" s="6"/>
      <c r="S59" s="6"/>
      <c r="T59" s="6"/>
      <c r="U59" s="9"/>
      <c r="AI59" s="6"/>
      <c r="AJ59" s="12"/>
      <c r="AL59" s="13"/>
    </row>
    <row r="60">
      <c r="A60" s="5"/>
      <c r="B60" s="5"/>
      <c r="C60" s="5"/>
      <c r="D60" s="5"/>
      <c r="E60" s="6"/>
      <c r="F60" s="6"/>
      <c r="G60" s="18"/>
      <c r="I60" s="16"/>
      <c r="J60" s="9"/>
      <c r="K60" s="10"/>
      <c r="L60" s="6"/>
      <c r="M60" s="11"/>
      <c r="N60" s="6"/>
      <c r="O60" s="6"/>
      <c r="P60" s="10"/>
      <c r="Q60" s="6"/>
      <c r="R60" s="6"/>
      <c r="S60" s="6"/>
      <c r="T60" s="6"/>
      <c r="U60" s="9"/>
      <c r="AI60" s="6"/>
      <c r="AJ60" s="12"/>
      <c r="AL60" s="13"/>
    </row>
    <row r="61">
      <c r="A61" s="5"/>
      <c r="B61" s="5"/>
      <c r="C61" s="5"/>
      <c r="D61" s="5"/>
      <c r="E61" s="6"/>
      <c r="F61" s="6"/>
      <c r="G61" s="18"/>
      <c r="I61" s="16"/>
      <c r="J61" s="9"/>
      <c r="K61" s="10"/>
      <c r="L61" s="6"/>
      <c r="M61" s="11"/>
      <c r="N61" s="6"/>
      <c r="O61" s="6"/>
      <c r="P61" s="10"/>
      <c r="Q61" s="6"/>
      <c r="R61" s="6"/>
      <c r="S61" s="6"/>
      <c r="T61" s="6"/>
      <c r="U61" s="9"/>
      <c r="AI61" s="6"/>
      <c r="AJ61" s="12"/>
      <c r="AL61" s="13"/>
    </row>
    <row r="62">
      <c r="A62" s="5"/>
      <c r="B62" s="5"/>
      <c r="C62" s="5"/>
      <c r="D62" s="5"/>
      <c r="E62" s="6"/>
      <c r="F62" s="6"/>
      <c r="G62" s="18"/>
      <c r="I62" s="16"/>
      <c r="J62" s="9"/>
      <c r="K62" s="10"/>
      <c r="L62" s="6"/>
      <c r="M62" s="11"/>
      <c r="N62" s="6"/>
      <c r="O62" s="6"/>
      <c r="P62" s="10"/>
      <c r="Q62" s="6"/>
      <c r="R62" s="6"/>
      <c r="S62" s="6"/>
      <c r="T62" s="6"/>
      <c r="U62" s="9"/>
      <c r="AI62" s="6"/>
      <c r="AJ62" s="12"/>
      <c r="AL62" s="13"/>
    </row>
    <row r="63">
      <c r="A63" s="5"/>
      <c r="B63" s="5"/>
      <c r="C63" s="5"/>
      <c r="D63" s="5"/>
      <c r="E63" s="6"/>
      <c r="F63" s="6"/>
      <c r="G63" s="18"/>
      <c r="I63" s="16"/>
      <c r="J63" s="9"/>
      <c r="K63" s="10"/>
      <c r="L63" s="6"/>
      <c r="M63" s="11"/>
      <c r="N63" s="6"/>
      <c r="O63" s="6"/>
      <c r="P63" s="10"/>
      <c r="Q63" s="6"/>
      <c r="R63" s="6"/>
      <c r="S63" s="6"/>
      <c r="T63" s="6"/>
      <c r="U63" s="9"/>
      <c r="AI63" s="6"/>
      <c r="AJ63" s="12"/>
      <c r="AL63" s="13"/>
    </row>
    <row r="64">
      <c r="A64" s="5"/>
      <c r="B64" s="5"/>
      <c r="C64" s="5"/>
      <c r="D64" s="5"/>
      <c r="E64" s="6"/>
      <c r="F64" s="6"/>
      <c r="G64" s="18"/>
      <c r="I64" s="16"/>
      <c r="J64" s="9"/>
      <c r="K64" s="10"/>
      <c r="L64" s="6"/>
      <c r="M64" s="11"/>
      <c r="N64" s="6"/>
      <c r="O64" s="6"/>
      <c r="P64" s="10"/>
      <c r="Q64" s="6"/>
      <c r="R64" s="6"/>
      <c r="S64" s="6"/>
      <c r="T64" s="6"/>
      <c r="U64" s="9"/>
      <c r="AI64" s="6"/>
      <c r="AJ64" s="12"/>
      <c r="AL64" s="13"/>
    </row>
    <row r="65">
      <c r="A65" s="5"/>
      <c r="B65" s="5"/>
      <c r="C65" s="5"/>
      <c r="D65" s="5"/>
      <c r="E65" s="6"/>
      <c r="F65" s="6"/>
      <c r="G65" s="18"/>
      <c r="I65" s="16"/>
      <c r="J65" s="9"/>
      <c r="K65" s="10"/>
      <c r="L65" s="6"/>
      <c r="M65" s="11"/>
      <c r="N65" s="6"/>
      <c r="O65" s="6"/>
      <c r="P65" s="10"/>
      <c r="Q65" s="6"/>
      <c r="R65" s="6"/>
      <c r="S65" s="6"/>
      <c r="T65" s="6"/>
      <c r="U65" s="9"/>
      <c r="AI65" s="6"/>
      <c r="AJ65" s="12"/>
      <c r="AL65" s="13"/>
    </row>
    <row r="66">
      <c r="A66" s="5"/>
      <c r="B66" s="5"/>
      <c r="C66" s="5"/>
      <c r="D66" s="5"/>
      <c r="E66" s="6"/>
      <c r="F66" s="6"/>
      <c r="G66" s="18"/>
      <c r="I66" s="16"/>
      <c r="J66" s="9"/>
      <c r="K66" s="10"/>
      <c r="L66" s="6"/>
      <c r="M66" s="11"/>
      <c r="N66" s="6"/>
      <c r="O66" s="6"/>
      <c r="P66" s="10"/>
      <c r="Q66" s="6"/>
      <c r="R66" s="6"/>
      <c r="S66" s="6"/>
      <c r="T66" s="6"/>
      <c r="U66" s="9"/>
      <c r="AI66" s="6"/>
      <c r="AJ66" s="12"/>
      <c r="AL66" s="13"/>
    </row>
    <row r="67">
      <c r="A67" s="5"/>
      <c r="B67" s="5"/>
      <c r="C67" s="5"/>
      <c r="D67" s="5"/>
      <c r="E67" s="6"/>
      <c r="F67" s="6"/>
      <c r="G67" s="18"/>
      <c r="I67" s="16"/>
      <c r="J67" s="9"/>
      <c r="K67" s="10"/>
      <c r="L67" s="6"/>
      <c r="M67" s="11"/>
      <c r="N67" s="6"/>
      <c r="O67" s="6"/>
      <c r="P67" s="10"/>
      <c r="Q67" s="6"/>
      <c r="R67" s="6"/>
      <c r="S67" s="6"/>
      <c r="T67" s="6"/>
      <c r="U67" s="9"/>
      <c r="AI67" s="6"/>
      <c r="AJ67" s="12"/>
      <c r="AL67" s="13"/>
    </row>
    <row r="68">
      <c r="A68" s="5"/>
      <c r="B68" s="5"/>
      <c r="C68" s="5"/>
      <c r="D68" s="5"/>
      <c r="E68" s="6"/>
      <c r="F68" s="6"/>
      <c r="G68" s="18"/>
      <c r="I68" s="16"/>
      <c r="J68" s="9"/>
      <c r="K68" s="10"/>
      <c r="L68" s="6"/>
      <c r="M68" s="11"/>
      <c r="N68" s="6"/>
      <c r="O68" s="6"/>
      <c r="P68" s="10"/>
      <c r="Q68" s="6"/>
      <c r="R68" s="6"/>
      <c r="S68" s="6"/>
      <c r="T68" s="6"/>
      <c r="U68" s="9"/>
      <c r="AI68" s="6"/>
      <c r="AJ68" s="12"/>
      <c r="AL68" s="13"/>
    </row>
    <row r="69">
      <c r="A69" s="5"/>
      <c r="B69" s="5"/>
      <c r="C69" s="5"/>
      <c r="D69" s="5"/>
      <c r="E69" s="6"/>
      <c r="F69" s="6"/>
      <c r="G69" s="18"/>
      <c r="I69" s="16"/>
      <c r="J69" s="9"/>
      <c r="K69" s="10"/>
      <c r="L69" s="6"/>
      <c r="M69" s="11"/>
      <c r="N69" s="6"/>
      <c r="O69" s="6"/>
      <c r="P69" s="10"/>
      <c r="Q69" s="6"/>
      <c r="R69" s="6"/>
      <c r="S69" s="6"/>
      <c r="T69" s="6"/>
      <c r="U69" s="9"/>
      <c r="AI69" s="6"/>
      <c r="AJ69" s="12"/>
      <c r="AL69" s="13"/>
    </row>
    <row r="70">
      <c r="A70" s="5"/>
      <c r="B70" s="5"/>
      <c r="C70" s="5"/>
      <c r="D70" s="5"/>
      <c r="E70" s="6"/>
      <c r="F70" s="6"/>
      <c r="G70" s="18"/>
      <c r="I70" s="16"/>
      <c r="J70" s="9"/>
      <c r="K70" s="10"/>
      <c r="L70" s="6"/>
      <c r="M70" s="11"/>
      <c r="N70" s="6"/>
      <c r="O70" s="6"/>
      <c r="P70" s="10"/>
      <c r="Q70" s="6"/>
      <c r="R70" s="6"/>
      <c r="S70" s="6"/>
      <c r="T70" s="6"/>
      <c r="U70" s="9"/>
      <c r="AI70" s="6"/>
      <c r="AJ70" s="12"/>
      <c r="AL70" s="13"/>
    </row>
    <row r="71">
      <c r="A71" s="5"/>
      <c r="B71" s="5"/>
      <c r="C71" s="5"/>
      <c r="D71" s="5"/>
      <c r="E71" s="6"/>
      <c r="F71" s="6"/>
      <c r="G71" s="18"/>
      <c r="I71" s="16"/>
      <c r="J71" s="9"/>
      <c r="K71" s="10"/>
      <c r="L71" s="6"/>
      <c r="M71" s="11"/>
      <c r="N71" s="6"/>
      <c r="O71" s="6"/>
      <c r="P71" s="10"/>
      <c r="Q71" s="6"/>
      <c r="R71" s="6"/>
      <c r="S71" s="6"/>
      <c r="T71" s="6"/>
      <c r="U71" s="9"/>
      <c r="AI71" s="6"/>
      <c r="AJ71" s="12"/>
      <c r="AL71" s="13"/>
    </row>
    <row r="72">
      <c r="A72" s="5"/>
      <c r="B72" s="5"/>
      <c r="C72" s="5"/>
      <c r="D72" s="5"/>
      <c r="E72" s="6"/>
      <c r="F72" s="6"/>
      <c r="G72" s="18"/>
      <c r="I72" s="16"/>
      <c r="J72" s="9"/>
      <c r="K72" s="10"/>
      <c r="L72" s="6"/>
      <c r="M72" s="11"/>
      <c r="N72" s="6"/>
      <c r="O72" s="6"/>
      <c r="P72" s="10"/>
      <c r="Q72" s="6"/>
      <c r="R72" s="6"/>
      <c r="S72" s="6"/>
      <c r="T72" s="6"/>
      <c r="U72" s="9"/>
      <c r="AI72" s="6"/>
      <c r="AJ72" s="12"/>
      <c r="AL72" s="13"/>
    </row>
    <row r="73">
      <c r="A73" s="5"/>
      <c r="B73" s="5"/>
      <c r="C73" s="5"/>
      <c r="D73" s="5"/>
      <c r="E73" s="6"/>
      <c r="F73" s="6"/>
      <c r="G73" s="18"/>
      <c r="I73" s="16"/>
      <c r="J73" s="9"/>
      <c r="K73" s="10"/>
      <c r="L73" s="6"/>
      <c r="M73" s="11"/>
      <c r="N73" s="6"/>
      <c r="O73" s="6"/>
      <c r="P73" s="10"/>
      <c r="Q73" s="6"/>
      <c r="R73" s="6"/>
      <c r="S73" s="6"/>
      <c r="T73" s="6"/>
      <c r="U73" s="9"/>
      <c r="AI73" s="6"/>
      <c r="AJ73" s="12"/>
      <c r="AL73" s="13"/>
    </row>
    <row r="74">
      <c r="A74" s="5"/>
      <c r="B74" s="5"/>
      <c r="C74" s="5"/>
      <c r="D74" s="5"/>
      <c r="E74" s="6"/>
      <c r="F74" s="6"/>
      <c r="G74" s="18"/>
      <c r="I74" s="16"/>
      <c r="J74" s="9"/>
      <c r="K74" s="10"/>
      <c r="L74" s="6"/>
      <c r="M74" s="11"/>
      <c r="N74" s="6"/>
      <c r="O74" s="6"/>
      <c r="P74" s="10"/>
      <c r="Q74" s="6"/>
      <c r="R74" s="6"/>
      <c r="S74" s="6"/>
      <c r="T74" s="6"/>
      <c r="U74" s="9"/>
      <c r="AI74" s="6"/>
      <c r="AJ74" s="12"/>
      <c r="AL74" s="13"/>
    </row>
    <row r="75">
      <c r="A75" s="5"/>
      <c r="B75" s="5"/>
      <c r="C75" s="5"/>
      <c r="D75" s="5"/>
      <c r="E75" s="6"/>
      <c r="F75" s="6"/>
      <c r="G75" s="18"/>
      <c r="I75" s="16"/>
      <c r="J75" s="9"/>
      <c r="K75" s="10"/>
      <c r="L75" s="6"/>
      <c r="M75" s="11"/>
      <c r="N75" s="6"/>
      <c r="O75" s="6"/>
      <c r="P75" s="10"/>
      <c r="Q75" s="6"/>
      <c r="R75" s="6"/>
      <c r="S75" s="6"/>
      <c r="T75" s="6"/>
      <c r="U75" s="9"/>
      <c r="AI75" s="6"/>
      <c r="AJ75" s="12"/>
      <c r="AL75" s="13"/>
    </row>
    <row r="76">
      <c r="A76" s="5"/>
      <c r="B76" s="5"/>
      <c r="C76" s="5"/>
      <c r="D76" s="5"/>
      <c r="E76" s="6"/>
      <c r="F76" s="6"/>
      <c r="G76" s="18"/>
      <c r="I76" s="16"/>
      <c r="J76" s="9"/>
      <c r="K76" s="10"/>
      <c r="L76" s="6"/>
      <c r="M76" s="11"/>
      <c r="N76" s="6"/>
      <c r="O76" s="6"/>
      <c r="P76" s="10"/>
      <c r="Q76" s="6"/>
      <c r="R76" s="6"/>
      <c r="S76" s="6"/>
      <c r="T76" s="6"/>
      <c r="U76" s="9"/>
      <c r="AI76" s="6"/>
      <c r="AJ76" s="12"/>
      <c r="AL76" s="13"/>
    </row>
    <row r="77">
      <c r="A77" s="5"/>
      <c r="B77" s="5"/>
      <c r="C77" s="5"/>
      <c r="D77" s="5"/>
      <c r="E77" s="6"/>
      <c r="F77" s="6"/>
      <c r="G77" s="18"/>
      <c r="I77" s="16"/>
      <c r="J77" s="9"/>
      <c r="K77" s="10"/>
      <c r="L77" s="6"/>
      <c r="M77" s="11"/>
      <c r="N77" s="6"/>
      <c r="O77" s="6"/>
      <c r="P77" s="10"/>
      <c r="Q77" s="6"/>
      <c r="R77" s="6"/>
      <c r="S77" s="6"/>
      <c r="T77" s="6"/>
      <c r="U77" s="9"/>
      <c r="AI77" s="6"/>
      <c r="AJ77" s="12"/>
      <c r="AL77" s="13"/>
    </row>
    <row r="78">
      <c r="A78" s="5"/>
      <c r="B78" s="5"/>
      <c r="C78" s="5"/>
      <c r="D78" s="5"/>
      <c r="E78" s="6"/>
      <c r="F78" s="6"/>
      <c r="G78" s="18"/>
      <c r="I78" s="16"/>
      <c r="J78" s="9"/>
      <c r="K78" s="10"/>
      <c r="L78" s="6"/>
      <c r="M78" s="11"/>
      <c r="N78" s="6"/>
      <c r="O78" s="6"/>
      <c r="P78" s="10"/>
      <c r="Q78" s="6"/>
      <c r="R78" s="6"/>
      <c r="S78" s="6"/>
      <c r="T78" s="6"/>
      <c r="U78" s="9"/>
      <c r="AI78" s="6"/>
      <c r="AJ78" s="12"/>
      <c r="AL78" s="13"/>
    </row>
    <row r="79">
      <c r="A79" s="5"/>
      <c r="B79" s="5"/>
      <c r="C79" s="5"/>
      <c r="D79" s="5"/>
      <c r="E79" s="6"/>
      <c r="F79" s="6"/>
      <c r="G79" s="18"/>
      <c r="I79" s="16"/>
      <c r="J79" s="9"/>
      <c r="K79" s="10"/>
      <c r="L79" s="6"/>
      <c r="M79" s="11"/>
      <c r="N79" s="6"/>
      <c r="O79" s="6"/>
      <c r="P79" s="10"/>
      <c r="Q79" s="6"/>
      <c r="R79" s="6"/>
      <c r="S79" s="6"/>
      <c r="T79" s="6"/>
      <c r="U79" s="9"/>
      <c r="AI79" s="6"/>
      <c r="AJ79" s="12"/>
      <c r="AL79" s="13"/>
    </row>
    <row r="80">
      <c r="A80" s="5"/>
      <c r="B80" s="5"/>
      <c r="C80" s="5"/>
      <c r="D80" s="5"/>
      <c r="E80" s="6"/>
      <c r="F80" s="6"/>
      <c r="G80" s="18"/>
      <c r="I80" s="16"/>
      <c r="J80" s="9"/>
      <c r="K80" s="10"/>
      <c r="L80" s="6"/>
      <c r="M80" s="11"/>
      <c r="N80" s="6"/>
      <c r="O80" s="6"/>
      <c r="P80" s="10"/>
      <c r="Q80" s="6"/>
      <c r="R80" s="6"/>
      <c r="S80" s="6"/>
      <c r="T80" s="6"/>
      <c r="U80" s="9"/>
      <c r="AI80" s="6"/>
      <c r="AJ80" s="12"/>
      <c r="AL80" s="13"/>
    </row>
    <row r="81">
      <c r="A81" s="5"/>
      <c r="B81" s="5"/>
      <c r="C81" s="5"/>
      <c r="D81" s="5"/>
      <c r="E81" s="6"/>
      <c r="F81" s="6"/>
      <c r="G81" s="18"/>
      <c r="I81" s="16"/>
      <c r="J81" s="9"/>
      <c r="K81" s="10"/>
      <c r="L81" s="6"/>
      <c r="M81" s="11"/>
      <c r="N81" s="6"/>
      <c r="O81" s="6"/>
      <c r="P81" s="10"/>
      <c r="Q81" s="6"/>
      <c r="R81" s="6"/>
      <c r="S81" s="6"/>
      <c r="T81" s="6"/>
      <c r="U81" s="9"/>
      <c r="AI81" s="6"/>
      <c r="AJ81" s="12"/>
      <c r="AL81" s="13"/>
    </row>
    <row r="82">
      <c r="A82" s="5"/>
      <c r="B82" s="5"/>
      <c r="C82" s="5"/>
      <c r="D82" s="5"/>
      <c r="E82" s="6"/>
      <c r="F82" s="6"/>
      <c r="G82" s="18"/>
      <c r="I82" s="16"/>
      <c r="J82" s="9"/>
      <c r="K82" s="10"/>
      <c r="L82" s="6"/>
      <c r="M82" s="11"/>
      <c r="N82" s="6"/>
      <c r="O82" s="6"/>
      <c r="P82" s="10"/>
      <c r="Q82" s="6"/>
      <c r="R82" s="6"/>
      <c r="S82" s="6"/>
      <c r="T82" s="6"/>
      <c r="U82" s="9"/>
      <c r="AI82" s="6"/>
      <c r="AJ82" s="12"/>
      <c r="AL82" s="13"/>
    </row>
    <row r="83" ht="18.0" customHeight="1">
      <c r="A83" s="5"/>
      <c r="B83" s="5"/>
      <c r="C83" s="5"/>
      <c r="D83" s="5"/>
      <c r="E83" s="6"/>
      <c r="F83" s="6"/>
      <c r="G83" s="18"/>
      <c r="I83" s="16"/>
      <c r="J83" s="9"/>
      <c r="K83" s="10"/>
      <c r="L83" s="6"/>
      <c r="M83" s="11"/>
      <c r="N83" s="6"/>
      <c r="O83" s="6"/>
      <c r="P83" s="10"/>
      <c r="Q83" s="6"/>
      <c r="R83" s="6"/>
      <c r="S83" s="6"/>
      <c r="T83" s="6"/>
      <c r="U83" s="9"/>
      <c r="AI83" s="6"/>
      <c r="AJ83" s="12"/>
      <c r="AL83" s="13"/>
    </row>
    <row r="84">
      <c r="A84" s="5"/>
      <c r="B84" s="5"/>
      <c r="C84" s="5"/>
      <c r="D84" s="5"/>
      <c r="E84" s="6"/>
      <c r="F84" s="6"/>
      <c r="G84" s="18"/>
      <c r="I84" s="16"/>
      <c r="J84" s="9"/>
      <c r="K84" s="10"/>
      <c r="L84" s="6"/>
      <c r="M84" s="11"/>
      <c r="N84" s="6"/>
      <c r="O84" s="6"/>
      <c r="P84" s="10"/>
      <c r="Q84" s="6"/>
      <c r="R84" s="6"/>
      <c r="S84" s="6"/>
      <c r="T84" s="6"/>
      <c r="U84" s="9"/>
      <c r="AI84" s="6"/>
      <c r="AJ84" s="12"/>
      <c r="AL84" s="13"/>
    </row>
    <row r="85">
      <c r="A85" s="5"/>
      <c r="B85" s="5"/>
      <c r="C85" s="5"/>
      <c r="D85" s="5"/>
      <c r="E85" s="6"/>
      <c r="F85" s="6"/>
      <c r="G85" s="18"/>
      <c r="I85" s="16"/>
      <c r="J85" s="9"/>
      <c r="K85" s="10"/>
      <c r="L85" s="6"/>
      <c r="M85" s="11"/>
      <c r="N85" s="6"/>
      <c r="O85" s="6"/>
      <c r="P85" s="10"/>
      <c r="Q85" s="6"/>
      <c r="R85" s="6"/>
      <c r="S85" s="6"/>
      <c r="T85" s="6"/>
      <c r="U85" s="9"/>
      <c r="AI85" s="6"/>
      <c r="AJ85" s="12"/>
      <c r="AL85" s="13"/>
    </row>
    <row r="86">
      <c r="A86" s="5"/>
      <c r="B86" s="5"/>
      <c r="C86" s="5"/>
      <c r="D86" s="5"/>
      <c r="E86" s="6"/>
      <c r="F86" s="6"/>
      <c r="G86" s="18"/>
      <c r="I86" s="16"/>
      <c r="J86" s="9"/>
      <c r="K86" s="10"/>
      <c r="L86" s="6"/>
      <c r="M86" s="11"/>
      <c r="N86" s="6"/>
      <c r="O86" s="6"/>
      <c r="P86" s="10"/>
      <c r="Q86" s="6"/>
      <c r="R86" s="6"/>
      <c r="S86" s="6"/>
      <c r="T86" s="6"/>
      <c r="U86" s="9"/>
      <c r="AI86" s="6"/>
      <c r="AJ86" s="12"/>
      <c r="AL86" s="13"/>
    </row>
    <row r="87">
      <c r="A87" s="5"/>
      <c r="B87" s="5"/>
      <c r="C87" s="5"/>
      <c r="D87" s="5"/>
      <c r="E87" s="6"/>
      <c r="F87" s="6"/>
      <c r="G87" s="18"/>
      <c r="I87" s="16"/>
      <c r="J87" s="9"/>
      <c r="K87" s="10"/>
      <c r="L87" s="6"/>
      <c r="M87" s="11"/>
      <c r="N87" s="6"/>
      <c r="O87" s="6"/>
      <c r="P87" s="10"/>
      <c r="Q87" s="6"/>
      <c r="R87" s="6"/>
      <c r="S87" s="6"/>
      <c r="T87" s="6"/>
      <c r="U87" s="9"/>
      <c r="AI87" s="6"/>
      <c r="AJ87" s="12"/>
      <c r="AL87" s="13"/>
    </row>
    <row r="88">
      <c r="A88" s="5"/>
      <c r="B88" s="5"/>
      <c r="C88" s="5"/>
      <c r="D88" s="5"/>
      <c r="E88" s="6"/>
      <c r="F88" s="6"/>
      <c r="G88" s="18"/>
      <c r="I88" s="16"/>
      <c r="J88" s="9"/>
      <c r="K88" s="10"/>
      <c r="L88" s="6"/>
      <c r="M88" s="11"/>
      <c r="N88" s="6"/>
      <c r="O88" s="6"/>
      <c r="P88" s="10"/>
      <c r="Q88" s="6"/>
      <c r="R88" s="6"/>
      <c r="S88" s="6"/>
      <c r="T88" s="6"/>
      <c r="U88" s="9"/>
      <c r="AI88" s="6"/>
      <c r="AJ88" s="12"/>
      <c r="AL88" s="13"/>
    </row>
    <row r="89">
      <c r="A89" s="5"/>
      <c r="B89" s="5"/>
      <c r="C89" s="5"/>
      <c r="D89" s="5"/>
      <c r="E89" s="6"/>
      <c r="F89" s="6"/>
      <c r="G89" s="18"/>
      <c r="I89" s="16"/>
      <c r="J89" s="9"/>
      <c r="K89" s="10"/>
      <c r="L89" s="6"/>
      <c r="M89" s="11"/>
      <c r="N89" s="6"/>
      <c r="O89" s="6"/>
      <c r="P89" s="10"/>
      <c r="Q89" s="6"/>
      <c r="R89" s="6"/>
      <c r="S89" s="6"/>
      <c r="T89" s="6"/>
      <c r="U89" s="9"/>
      <c r="AI89" s="6"/>
      <c r="AJ89" s="12"/>
      <c r="AL89" s="13"/>
    </row>
    <row r="90">
      <c r="A90" s="5"/>
      <c r="B90" s="5"/>
      <c r="C90" s="5"/>
      <c r="D90" s="5"/>
      <c r="E90" s="6"/>
      <c r="F90" s="6"/>
      <c r="G90" s="18"/>
      <c r="I90" s="16"/>
      <c r="J90" s="9"/>
      <c r="K90" s="10"/>
      <c r="L90" s="6"/>
      <c r="M90" s="11"/>
      <c r="N90" s="6"/>
      <c r="O90" s="6"/>
      <c r="P90" s="10"/>
      <c r="Q90" s="6"/>
      <c r="R90" s="6"/>
      <c r="S90" s="6"/>
      <c r="T90" s="6"/>
      <c r="U90" s="9"/>
      <c r="AI90" s="6"/>
      <c r="AJ90" s="12"/>
      <c r="AL90" s="13"/>
    </row>
    <row r="91">
      <c r="A91" s="5"/>
      <c r="B91" s="5"/>
      <c r="C91" s="5"/>
      <c r="D91" s="5"/>
      <c r="E91" s="6"/>
      <c r="F91" s="6"/>
      <c r="G91" s="18"/>
      <c r="I91" s="16"/>
      <c r="J91" s="9"/>
      <c r="K91" s="10"/>
      <c r="L91" s="6"/>
      <c r="M91" s="11"/>
      <c r="N91" s="6"/>
      <c r="O91" s="6"/>
      <c r="P91" s="10"/>
      <c r="Q91" s="6"/>
      <c r="R91" s="6"/>
      <c r="S91" s="6"/>
      <c r="T91" s="6"/>
      <c r="U91" s="9"/>
      <c r="AI91" s="6"/>
      <c r="AJ91" s="12"/>
      <c r="AL91" s="13"/>
    </row>
    <row r="92">
      <c r="A92" s="5"/>
      <c r="B92" s="5"/>
      <c r="C92" s="5"/>
      <c r="D92" s="5"/>
      <c r="E92" s="6"/>
      <c r="F92" s="6"/>
      <c r="G92" s="18"/>
      <c r="I92" s="16"/>
      <c r="J92" s="9"/>
      <c r="K92" s="10"/>
      <c r="L92" s="6"/>
      <c r="M92" s="11"/>
      <c r="N92" s="6"/>
      <c r="O92" s="6"/>
      <c r="P92" s="10"/>
      <c r="Q92" s="6"/>
      <c r="R92" s="6"/>
      <c r="S92" s="6"/>
      <c r="T92" s="6"/>
      <c r="U92" s="9"/>
      <c r="AI92" s="6"/>
      <c r="AJ92" s="12"/>
      <c r="AL92" s="13"/>
    </row>
    <row r="93">
      <c r="A93" s="5"/>
      <c r="B93" s="5"/>
      <c r="C93" s="5"/>
      <c r="D93" s="5"/>
      <c r="E93" s="6"/>
      <c r="F93" s="6"/>
      <c r="G93" s="18"/>
      <c r="I93" s="16"/>
      <c r="J93" s="9"/>
      <c r="K93" s="10"/>
      <c r="L93" s="6"/>
      <c r="M93" s="11"/>
      <c r="N93" s="6"/>
      <c r="O93" s="6"/>
      <c r="P93" s="10"/>
      <c r="Q93" s="6"/>
      <c r="R93" s="6"/>
      <c r="S93" s="6"/>
      <c r="T93" s="6"/>
      <c r="U93" s="9"/>
      <c r="AI93" s="6"/>
      <c r="AJ93" s="12"/>
      <c r="AL93" s="13"/>
    </row>
    <row r="94">
      <c r="A94" s="5"/>
      <c r="B94" s="5"/>
      <c r="C94" s="5"/>
      <c r="D94" s="5"/>
      <c r="E94" s="6"/>
      <c r="F94" s="6"/>
      <c r="G94" s="18"/>
      <c r="I94" s="16"/>
      <c r="J94" s="9"/>
      <c r="K94" s="10"/>
      <c r="L94" s="6"/>
      <c r="M94" s="11"/>
      <c r="N94" s="6"/>
      <c r="O94" s="6"/>
      <c r="P94" s="10"/>
      <c r="Q94" s="6"/>
      <c r="R94" s="6"/>
      <c r="S94" s="6"/>
      <c r="T94" s="6"/>
      <c r="U94" s="9"/>
      <c r="AI94" s="6"/>
      <c r="AJ94" s="12"/>
      <c r="AL94" s="13"/>
    </row>
    <row r="95">
      <c r="A95" s="5"/>
      <c r="B95" s="5"/>
      <c r="C95" s="5"/>
      <c r="D95" s="5"/>
      <c r="E95" s="6"/>
      <c r="F95" s="6"/>
      <c r="G95" s="18"/>
      <c r="I95" s="16"/>
      <c r="J95" s="9"/>
      <c r="K95" s="10"/>
      <c r="L95" s="6"/>
      <c r="M95" s="11"/>
      <c r="N95" s="6"/>
      <c r="O95" s="6"/>
      <c r="P95" s="10"/>
      <c r="Q95" s="6"/>
      <c r="R95" s="6"/>
      <c r="S95" s="6"/>
      <c r="T95" s="6"/>
      <c r="U95" s="9"/>
      <c r="AI95" s="6"/>
      <c r="AJ95" s="12"/>
      <c r="AL95" s="13"/>
    </row>
    <row r="96">
      <c r="A96" s="5"/>
      <c r="B96" s="5"/>
      <c r="C96" s="5"/>
      <c r="D96" s="5"/>
      <c r="E96" s="6"/>
      <c r="F96" s="6"/>
      <c r="G96" s="18"/>
      <c r="I96" s="16"/>
      <c r="J96" s="9"/>
      <c r="K96" s="10"/>
      <c r="L96" s="6"/>
      <c r="M96" s="11"/>
      <c r="N96" s="6"/>
      <c r="O96" s="6"/>
      <c r="P96" s="10"/>
      <c r="Q96" s="6"/>
      <c r="R96" s="6"/>
      <c r="S96" s="6"/>
      <c r="T96" s="6"/>
      <c r="U96" s="9"/>
      <c r="AI96" s="6"/>
      <c r="AJ96" s="12"/>
      <c r="AL96" s="13"/>
    </row>
    <row r="97">
      <c r="A97" s="5"/>
      <c r="B97" s="5"/>
      <c r="C97" s="5"/>
      <c r="D97" s="5"/>
      <c r="E97" s="6"/>
      <c r="F97" s="6"/>
      <c r="G97" s="18"/>
      <c r="I97" s="16"/>
      <c r="J97" s="9"/>
      <c r="K97" s="10"/>
      <c r="L97" s="6"/>
      <c r="M97" s="11"/>
      <c r="N97" s="6"/>
      <c r="O97" s="6"/>
      <c r="P97" s="10"/>
      <c r="Q97" s="6"/>
      <c r="R97" s="6"/>
      <c r="S97" s="6"/>
      <c r="T97" s="6"/>
      <c r="U97" s="9"/>
      <c r="AI97" s="6"/>
      <c r="AJ97" s="12"/>
      <c r="AL97" s="13"/>
    </row>
    <row r="98">
      <c r="A98" s="5"/>
      <c r="B98" s="5"/>
      <c r="C98" s="5"/>
      <c r="D98" s="5"/>
      <c r="E98" s="6"/>
      <c r="F98" s="6"/>
      <c r="G98" s="18"/>
      <c r="I98" s="16"/>
      <c r="J98" s="9"/>
      <c r="K98" s="10"/>
      <c r="L98" s="6"/>
      <c r="M98" s="11"/>
      <c r="N98" s="6"/>
      <c r="O98" s="6"/>
      <c r="P98" s="10"/>
      <c r="Q98" s="6"/>
      <c r="R98" s="6"/>
      <c r="S98" s="6"/>
      <c r="T98" s="6"/>
      <c r="U98" s="9"/>
      <c r="AI98" s="6"/>
      <c r="AJ98" s="12"/>
      <c r="AL98" s="13"/>
    </row>
    <row r="99">
      <c r="A99" s="5"/>
      <c r="B99" s="5"/>
      <c r="C99" s="5"/>
      <c r="D99" s="5"/>
      <c r="E99" s="6"/>
      <c r="F99" s="6"/>
      <c r="G99" s="18"/>
      <c r="I99" s="16"/>
      <c r="J99" s="9"/>
      <c r="K99" s="10"/>
      <c r="L99" s="6"/>
      <c r="M99" s="11"/>
      <c r="N99" s="6"/>
      <c r="O99" s="6"/>
      <c r="P99" s="10"/>
      <c r="Q99" s="6"/>
      <c r="R99" s="6"/>
      <c r="S99" s="6"/>
      <c r="T99" s="6"/>
      <c r="U99" s="9"/>
      <c r="AI99" s="6"/>
      <c r="AJ99" s="12"/>
      <c r="AL99" s="13"/>
    </row>
    <row r="100">
      <c r="A100" s="5"/>
      <c r="B100" s="5"/>
      <c r="C100" s="5"/>
      <c r="D100" s="5"/>
      <c r="E100" s="6"/>
      <c r="F100" s="6"/>
      <c r="G100" s="18"/>
      <c r="I100" s="16"/>
      <c r="J100" s="9"/>
      <c r="K100" s="10"/>
      <c r="L100" s="6"/>
      <c r="M100" s="11"/>
      <c r="N100" s="6"/>
      <c r="O100" s="6"/>
      <c r="P100" s="10"/>
      <c r="Q100" s="6"/>
      <c r="R100" s="6"/>
      <c r="S100" s="6"/>
      <c r="T100" s="6"/>
      <c r="U100" s="9"/>
      <c r="AI100" s="6"/>
      <c r="AJ100" s="12"/>
      <c r="AL100" s="13"/>
    </row>
    <row r="101">
      <c r="A101" s="5"/>
      <c r="B101" s="5"/>
      <c r="C101" s="5"/>
      <c r="D101" s="5"/>
      <c r="E101" s="6"/>
      <c r="F101" s="6"/>
      <c r="G101" s="18"/>
      <c r="I101" s="16"/>
      <c r="J101" s="9"/>
      <c r="K101" s="10"/>
      <c r="L101" s="6"/>
      <c r="M101" s="11"/>
      <c r="N101" s="6"/>
      <c r="O101" s="6"/>
      <c r="P101" s="10"/>
      <c r="Q101" s="6"/>
      <c r="R101" s="6"/>
      <c r="S101" s="6"/>
      <c r="T101" s="6"/>
      <c r="U101" s="9"/>
      <c r="AI101" s="6"/>
      <c r="AJ101" s="12"/>
      <c r="AL101" s="13"/>
    </row>
    <row r="102">
      <c r="A102" s="5"/>
      <c r="B102" s="5"/>
      <c r="C102" s="5"/>
      <c r="D102" s="5"/>
      <c r="E102" s="6"/>
      <c r="F102" s="6"/>
      <c r="G102" s="18"/>
      <c r="I102" s="16"/>
      <c r="J102" s="9"/>
      <c r="K102" s="10"/>
      <c r="L102" s="6"/>
      <c r="M102" s="11"/>
      <c r="N102" s="6"/>
      <c r="O102" s="6"/>
      <c r="P102" s="10"/>
      <c r="Q102" s="6"/>
      <c r="R102" s="6"/>
      <c r="S102" s="6"/>
      <c r="T102" s="6"/>
      <c r="U102" s="9"/>
      <c r="AI102" s="6"/>
      <c r="AJ102" s="12"/>
      <c r="AL102" s="13"/>
    </row>
    <row r="103">
      <c r="A103" s="5"/>
      <c r="B103" s="5"/>
      <c r="C103" s="5"/>
      <c r="D103" s="5"/>
      <c r="E103" s="6"/>
      <c r="F103" s="6"/>
      <c r="G103" s="18"/>
      <c r="I103" s="16"/>
      <c r="J103" s="9"/>
      <c r="K103" s="10"/>
      <c r="L103" s="6"/>
      <c r="M103" s="11"/>
      <c r="N103" s="6"/>
      <c r="O103" s="6"/>
      <c r="P103" s="10"/>
      <c r="Q103" s="6"/>
      <c r="R103" s="6"/>
      <c r="S103" s="6"/>
      <c r="T103" s="6"/>
      <c r="U103" s="9"/>
      <c r="AI103" s="6"/>
      <c r="AJ103" s="12"/>
      <c r="AL103" s="13"/>
    </row>
    <row r="104">
      <c r="A104" s="5"/>
      <c r="B104" s="5"/>
      <c r="C104" s="5"/>
      <c r="D104" s="5"/>
      <c r="E104" s="6"/>
      <c r="F104" s="6"/>
      <c r="G104" s="18"/>
      <c r="I104" s="16"/>
      <c r="J104" s="9"/>
      <c r="K104" s="10"/>
      <c r="L104" s="6"/>
      <c r="M104" s="11"/>
      <c r="N104" s="6"/>
      <c r="O104" s="6"/>
      <c r="P104" s="10"/>
      <c r="Q104" s="6"/>
      <c r="R104" s="6"/>
      <c r="S104" s="6"/>
      <c r="T104" s="6"/>
      <c r="U104" s="9"/>
      <c r="AI104" s="6"/>
      <c r="AJ104" s="12"/>
      <c r="AL104" s="13"/>
    </row>
    <row r="105">
      <c r="A105" s="5"/>
      <c r="B105" s="5"/>
      <c r="C105" s="5"/>
      <c r="D105" s="5"/>
      <c r="E105" s="6"/>
      <c r="F105" s="6"/>
      <c r="G105" s="18"/>
      <c r="I105" s="16"/>
      <c r="J105" s="9"/>
      <c r="K105" s="10"/>
      <c r="L105" s="6"/>
      <c r="M105" s="11"/>
      <c r="N105" s="6"/>
      <c r="O105" s="6"/>
      <c r="P105" s="10"/>
      <c r="Q105" s="6"/>
      <c r="R105" s="6"/>
      <c r="S105" s="6"/>
      <c r="T105" s="6"/>
      <c r="U105" s="9"/>
      <c r="AI105" s="6"/>
      <c r="AJ105" s="12"/>
      <c r="AL105" s="13"/>
    </row>
    <row r="106">
      <c r="A106" s="5"/>
      <c r="B106" s="5"/>
      <c r="C106" s="5"/>
      <c r="D106" s="5"/>
      <c r="E106" s="6"/>
      <c r="F106" s="6"/>
      <c r="G106" s="18"/>
      <c r="I106" s="16"/>
      <c r="J106" s="9"/>
      <c r="K106" s="10"/>
      <c r="L106" s="6"/>
      <c r="M106" s="11"/>
      <c r="N106" s="6"/>
      <c r="O106" s="6"/>
      <c r="P106" s="10"/>
      <c r="Q106" s="6"/>
      <c r="R106" s="6"/>
      <c r="S106" s="6"/>
      <c r="T106" s="6"/>
      <c r="U106" s="9"/>
      <c r="AI106" s="6"/>
      <c r="AJ106" s="12"/>
      <c r="AL106" s="13"/>
    </row>
    <row r="107">
      <c r="A107" s="5"/>
      <c r="B107" s="5"/>
      <c r="C107" s="5"/>
      <c r="D107" s="5"/>
      <c r="E107" s="6"/>
      <c r="F107" s="6"/>
      <c r="G107" s="18"/>
      <c r="I107" s="16"/>
      <c r="J107" s="9"/>
      <c r="K107" s="10"/>
      <c r="L107" s="6"/>
      <c r="M107" s="11"/>
      <c r="N107" s="6"/>
      <c r="O107" s="6"/>
      <c r="P107" s="10"/>
      <c r="Q107" s="6"/>
      <c r="R107" s="6"/>
      <c r="S107" s="6"/>
      <c r="T107" s="6"/>
      <c r="U107" s="9"/>
      <c r="AI107" s="6"/>
      <c r="AJ107" s="12"/>
      <c r="AL107" s="13"/>
    </row>
    <row r="108">
      <c r="A108" s="5"/>
      <c r="B108" s="5"/>
      <c r="C108" s="5"/>
      <c r="D108" s="5"/>
      <c r="E108" s="6"/>
      <c r="F108" s="6"/>
      <c r="G108" s="18"/>
      <c r="I108" s="16"/>
      <c r="J108" s="9"/>
      <c r="K108" s="10"/>
      <c r="L108" s="6"/>
      <c r="M108" s="11"/>
      <c r="N108" s="6"/>
      <c r="O108" s="6"/>
      <c r="P108" s="10"/>
      <c r="Q108" s="6"/>
      <c r="R108" s="6"/>
      <c r="S108" s="6"/>
      <c r="T108" s="6"/>
      <c r="U108" s="9"/>
      <c r="AI108" s="6"/>
      <c r="AJ108" s="12"/>
      <c r="AL108" s="13"/>
    </row>
    <row r="109">
      <c r="A109" s="5"/>
      <c r="B109" s="5"/>
      <c r="C109" s="5"/>
      <c r="D109" s="5"/>
      <c r="E109" s="6"/>
      <c r="F109" s="6"/>
      <c r="G109" s="18"/>
      <c r="I109" s="16"/>
      <c r="J109" s="9"/>
      <c r="K109" s="10"/>
      <c r="L109" s="6"/>
      <c r="M109" s="11"/>
      <c r="N109" s="6"/>
      <c r="O109" s="6"/>
      <c r="P109" s="10"/>
      <c r="Q109" s="6"/>
      <c r="R109" s="6"/>
      <c r="S109" s="6"/>
      <c r="T109" s="6"/>
      <c r="U109" s="9"/>
      <c r="AI109" s="6"/>
      <c r="AJ109" s="12"/>
      <c r="AL109" s="13"/>
    </row>
    <row r="110">
      <c r="A110" s="5"/>
      <c r="B110" s="5"/>
      <c r="C110" s="5"/>
      <c r="D110" s="5"/>
      <c r="E110" s="6"/>
      <c r="F110" s="6"/>
      <c r="G110" s="18"/>
      <c r="I110" s="16"/>
      <c r="J110" s="9"/>
      <c r="K110" s="10"/>
      <c r="L110" s="6"/>
      <c r="M110" s="11"/>
      <c r="N110" s="6"/>
      <c r="O110" s="6"/>
      <c r="P110" s="10"/>
      <c r="Q110" s="6"/>
      <c r="R110" s="6"/>
      <c r="S110" s="6"/>
      <c r="T110" s="6"/>
      <c r="U110" s="9"/>
      <c r="AI110" s="6"/>
      <c r="AJ110" s="12"/>
      <c r="AL110" s="13"/>
    </row>
    <row r="111">
      <c r="A111" s="5"/>
      <c r="B111" s="5"/>
      <c r="C111" s="5"/>
      <c r="D111" s="5"/>
      <c r="E111" s="6"/>
      <c r="F111" s="6"/>
      <c r="G111" s="18"/>
      <c r="I111" s="16"/>
      <c r="J111" s="9"/>
      <c r="K111" s="10"/>
      <c r="L111" s="6"/>
      <c r="M111" s="11"/>
      <c r="N111" s="6"/>
      <c r="O111" s="6"/>
      <c r="P111" s="10"/>
      <c r="Q111" s="6"/>
      <c r="R111" s="6"/>
      <c r="S111" s="6"/>
      <c r="T111" s="6"/>
      <c r="U111" s="9"/>
      <c r="AI111" s="6"/>
      <c r="AJ111" s="12"/>
      <c r="AL111" s="13"/>
    </row>
    <row r="112">
      <c r="A112" s="5"/>
      <c r="B112" s="5"/>
      <c r="C112" s="5"/>
      <c r="D112" s="5"/>
      <c r="E112" s="6"/>
      <c r="F112" s="6"/>
      <c r="G112" s="18"/>
      <c r="I112" s="16"/>
      <c r="J112" s="9"/>
      <c r="K112" s="10"/>
      <c r="L112" s="6"/>
      <c r="M112" s="11"/>
      <c r="N112" s="6"/>
      <c r="O112" s="6"/>
      <c r="P112" s="10"/>
      <c r="Q112" s="6"/>
      <c r="R112" s="6"/>
      <c r="S112" s="6"/>
      <c r="T112" s="6"/>
      <c r="U112" s="9"/>
      <c r="AI112" s="6"/>
      <c r="AJ112" s="12"/>
      <c r="AL112" s="13"/>
    </row>
    <row r="113">
      <c r="A113" s="5"/>
      <c r="B113" s="5"/>
      <c r="C113" s="5"/>
      <c r="D113" s="5"/>
      <c r="E113" s="6"/>
      <c r="F113" s="6"/>
      <c r="G113" s="18"/>
      <c r="I113" s="16"/>
      <c r="J113" s="9"/>
      <c r="K113" s="10"/>
      <c r="L113" s="6"/>
      <c r="M113" s="11"/>
      <c r="N113" s="6"/>
      <c r="O113" s="6"/>
      <c r="P113" s="10"/>
      <c r="Q113" s="6"/>
      <c r="R113" s="6"/>
      <c r="S113" s="6"/>
      <c r="T113" s="6"/>
      <c r="U113" s="9"/>
      <c r="AI113" s="6"/>
      <c r="AJ113" s="12"/>
      <c r="AL113" s="13"/>
    </row>
    <row r="114">
      <c r="A114" s="5"/>
      <c r="B114" s="5"/>
      <c r="C114" s="5"/>
      <c r="D114" s="5"/>
      <c r="E114" s="6"/>
      <c r="F114" s="6"/>
      <c r="G114" s="18"/>
      <c r="I114" s="16"/>
      <c r="J114" s="9"/>
      <c r="K114" s="10"/>
      <c r="L114" s="6"/>
      <c r="M114" s="11"/>
      <c r="N114" s="6"/>
      <c r="O114" s="6"/>
      <c r="P114" s="10"/>
      <c r="Q114" s="6"/>
      <c r="R114" s="6"/>
      <c r="S114" s="6"/>
      <c r="T114" s="6"/>
      <c r="U114" s="9"/>
      <c r="AI114" s="6"/>
      <c r="AJ114" s="12"/>
      <c r="AL114" s="13"/>
    </row>
    <row r="115">
      <c r="A115" s="5"/>
      <c r="B115" s="5"/>
      <c r="C115" s="5"/>
      <c r="D115" s="5"/>
      <c r="E115" s="6"/>
      <c r="F115" s="6"/>
      <c r="G115" s="18"/>
      <c r="I115" s="16"/>
      <c r="J115" s="9"/>
      <c r="K115" s="10"/>
      <c r="L115" s="6"/>
      <c r="M115" s="11"/>
      <c r="N115" s="6"/>
      <c r="O115" s="6"/>
      <c r="P115" s="10"/>
      <c r="Q115" s="6"/>
      <c r="R115" s="6"/>
      <c r="S115" s="6"/>
      <c r="T115" s="6"/>
      <c r="U115" s="9"/>
      <c r="AI115" s="6"/>
      <c r="AJ115" s="12"/>
      <c r="AL115" s="13"/>
    </row>
    <row r="116">
      <c r="A116" s="5"/>
      <c r="B116" s="5"/>
      <c r="C116" s="5"/>
      <c r="D116" s="5"/>
      <c r="E116" s="6"/>
      <c r="F116" s="6"/>
      <c r="G116" s="18"/>
      <c r="I116" s="16"/>
      <c r="J116" s="9"/>
      <c r="K116" s="10"/>
      <c r="L116" s="6"/>
      <c r="M116" s="11"/>
      <c r="N116" s="6"/>
      <c r="O116" s="6"/>
      <c r="P116" s="10"/>
      <c r="Q116" s="6"/>
      <c r="R116" s="6"/>
      <c r="S116" s="6"/>
      <c r="T116" s="6"/>
      <c r="U116" s="9"/>
      <c r="AI116" s="6"/>
      <c r="AJ116" s="12"/>
      <c r="AL116" s="13"/>
    </row>
    <row r="117">
      <c r="A117" s="5"/>
      <c r="B117" s="5"/>
      <c r="C117" s="5"/>
      <c r="D117" s="5"/>
      <c r="E117" s="6"/>
      <c r="F117" s="6"/>
      <c r="G117" s="18"/>
      <c r="I117" s="16"/>
      <c r="J117" s="9"/>
      <c r="K117" s="10"/>
      <c r="L117" s="6"/>
      <c r="M117" s="11"/>
      <c r="N117" s="6"/>
      <c r="O117" s="6"/>
      <c r="P117" s="10"/>
      <c r="Q117" s="6"/>
      <c r="R117" s="6"/>
      <c r="S117" s="6"/>
      <c r="T117" s="6"/>
      <c r="U117" s="9"/>
      <c r="AI117" s="6"/>
      <c r="AJ117" s="12"/>
      <c r="AL117" s="13"/>
    </row>
    <row r="118">
      <c r="A118" s="5"/>
      <c r="B118" s="5"/>
      <c r="C118" s="5"/>
      <c r="D118" s="5"/>
      <c r="E118" s="6"/>
      <c r="F118" s="6"/>
      <c r="G118" s="18"/>
      <c r="I118" s="16"/>
      <c r="J118" s="9"/>
      <c r="K118" s="10"/>
      <c r="L118" s="6"/>
      <c r="M118" s="11"/>
      <c r="N118" s="6"/>
      <c r="O118" s="6"/>
      <c r="P118" s="10"/>
      <c r="Q118" s="6"/>
      <c r="R118" s="6"/>
      <c r="S118" s="6"/>
      <c r="T118" s="6"/>
      <c r="U118" s="9"/>
      <c r="AI118" s="6"/>
      <c r="AJ118" s="12"/>
      <c r="AL118" s="13"/>
    </row>
    <row r="119">
      <c r="A119" s="5"/>
      <c r="B119" s="5"/>
      <c r="C119" s="5"/>
      <c r="D119" s="5"/>
      <c r="E119" s="6"/>
      <c r="F119" s="6"/>
      <c r="G119" s="18"/>
      <c r="I119" s="16"/>
      <c r="J119" s="9"/>
      <c r="K119" s="10"/>
      <c r="L119" s="6"/>
      <c r="M119" s="11"/>
      <c r="N119" s="6"/>
      <c r="O119" s="6"/>
      <c r="P119" s="10"/>
      <c r="Q119" s="6"/>
      <c r="R119" s="6"/>
      <c r="S119" s="6"/>
      <c r="T119" s="6"/>
      <c r="U119" s="9"/>
      <c r="AI119" s="6"/>
      <c r="AJ119" s="12"/>
      <c r="AL119" s="13"/>
    </row>
    <row r="120">
      <c r="A120" s="5"/>
      <c r="B120" s="5"/>
      <c r="C120" s="5"/>
      <c r="D120" s="5"/>
      <c r="E120" s="6"/>
      <c r="F120" s="6"/>
      <c r="G120" s="18"/>
      <c r="I120" s="16"/>
      <c r="J120" s="9"/>
      <c r="K120" s="10"/>
      <c r="L120" s="6"/>
      <c r="M120" s="11"/>
      <c r="N120" s="6"/>
      <c r="O120" s="6"/>
      <c r="P120" s="10"/>
      <c r="Q120" s="6"/>
      <c r="R120" s="6"/>
      <c r="S120" s="6"/>
      <c r="T120" s="6"/>
      <c r="U120" s="9"/>
      <c r="AI120" s="6"/>
      <c r="AJ120" s="12"/>
      <c r="AL120" s="13"/>
    </row>
    <row r="121">
      <c r="A121" s="5"/>
      <c r="B121" s="5"/>
      <c r="C121" s="5"/>
      <c r="D121" s="5"/>
      <c r="E121" s="6"/>
      <c r="F121" s="6"/>
      <c r="G121" s="18"/>
      <c r="I121" s="16"/>
      <c r="J121" s="9"/>
      <c r="K121" s="10"/>
      <c r="L121" s="6"/>
      <c r="M121" s="11"/>
      <c r="N121" s="6"/>
      <c r="O121" s="6"/>
      <c r="P121" s="10"/>
      <c r="Q121" s="6"/>
      <c r="R121" s="6"/>
      <c r="S121" s="6"/>
      <c r="T121" s="6"/>
      <c r="U121" s="9"/>
      <c r="AI121" s="6"/>
      <c r="AJ121" s="12"/>
      <c r="AL121" s="13"/>
    </row>
    <row r="122">
      <c r="A122" s="5"/>
      <c r="B122" s="5"/>
      <c r="C122" s="5"/>
      <c r="D122" s="5"/>
      <c r="E122" s="6"/>
      <c r="F122" s="6"/>
      <c r="G122" s="18"/>
      <c r="I122" s="16"/>
      <c r="J122" s="9"/>
      <c r="K122" s="10"/>
      <c r="L122" s="6"/>
      <c r="M122" s="11"/>
      <c r="N122" s="6"/>
      <c r="O122" s="6"/>
      <c r="P122" s="10"/>
      <c r="Q122" s="6"/>
      <c r="R122" s="6"/>
      <c r="S122" s="6"/>
      <c r="T122" s="6"/>
      <c r="U122" s="9"/>
      <c r="AI122" s="6"/>
      <c r="AJ122" s="12"/>
      <c r="AL122" s="13"/>
    </row>
    <row r="123">
      <c r="A123" s="5"/>
      <c r="B123" s="5"/>
      <c r="C123" s="5"/>
      <c r="D123" s="5"/>
      <c r="E123" s="6"/>
      <c r="F123" s="6"/>
      <c r="G123" s="18"/>
      <c r="I123" s="16"/>
      <c r="J123" s="9"/>
      <c r="K123" s="10"/>
      <c r="L123" s="6"/>
      <c r="M123" s="11"/>
      <c r="N123" s="6"/>
      <c r="O123" s="6"/>
      <c r="P123" s="10"/>
      <c r="Q123" s="6"/>
      <c r="R123" s="6"/>
      <c r="S123" s="6"/>
      <c r="T123" s="6"/>
      <c r="U123" s="9"/>
      <c r="AI123" s="6"/>
      <c r="AJ123" s="12"/>
      <c r="AL123" s="13"/>
    </row>
    <row r="124">
      <c r="A124" s="5"/>
      <c r="B124" s="5"/>
      <c r="C124" s="5"/>
      <c r="D124" s="5"/>
      <c r="E124" s="6"/>
      <c r="F124" s="6"/>
      <c r="G124" s="18"/>
      <c r="I124" s="16"/>
      <c r="J124" s="9"/>
      <c r="K124" s="10"/>
      <c r="L124" s="6"/>
      <c r="M124" s="11"/>
      <c r="N124" s="6"/>
      <c r="O124" s="6"/>
      <c r="P124" s="10"/>
      <c r="Q124" s="6"/>
      <c r="R124" s="6"/>
      <c r="S124" s="6"/>
      <c r="T124" s="6"/>
      <c r="U124" s="9"/>
      <c r="AI124" s="6"/>
      <c r="AJ124" s="12"/>
      <c r="AL124" s="13"/>
    </row>
    <row r="125">
      <c r="A125" s="5"/>
      <c r="B125" s="5"/>
      <c r="C125" s="5"/>
      <c r="D125" s="5"/>
      <c r="E125" s="6"/>
      <c r="F125" s="6"/>
      <c r="G125" s="18"/>
      <c r="I125" s="16"/>
      <c r="J125" s="9"/>
      <c r="K125" s="10"/>
      <c r="L125" s="6"/>
      <c r="M125" s="11"/>
      <c r="N125" s="6"/>
      <c r="O125" s="6"/>
      <c r="P125" s="10"/>
      <c r="Q125" s="6"/>
      <c r="R125" s="6"/>
      <c r="S125" s="6"/>
      <c r="T125" s="6"/>
      <c r="U125" s="9"/>
      <c r="AI125" s="6"/>
      <c r="AJ125" s="12"/>
      <c r="AL125" s="13"/>
    </row>
    <row r="126">
      <c r="A126" s="5"/>
      <c r="B126" s="5"/>
      <c r="C126" s="5"/>
      <c r="D126" s="5"/>
      <c r="E126" s="6"/>
      <c r="F126" s="6"/>
      <c r="G126" s="18"/>
      <c r="I126" s="16"/>
      <c r="J126" s="9"/>
      <c r="K126" s="10"/>
      <c r="L126" s="6"/>
      <c r="M126" s="11"/>
      <c r="N126" s="6"/>
      <c r="O126" s="6"/>
      <c r="P126" s="10"/>
      <c r="Q126" s="6"/>
      <c r="R126" s="6"/>
      <c r="S126" s="6"/>
      <c r="T126" s="6"/>
      <c r="U126" s="9"/>
      <c r="AI126" s="6"/>
      <c r="AJ126" s="12"/>
      <c r="AL126" s="13"/>
    </row>
    <row r="127">
      <c r="A127" s="5"/>
      <c r="B127" s="5"/>
      <c r="C127" s="5"/>
      <c r="D127" s="5"/>
      <c r="E127" s="6"/>
      <c r="F127" s="6"/>
      <c r="G127" s="18"/>
      <c r="I127" s="16"/>
      <c r="J127" s="9"/>
      <c r="K127" s="10"/>
      <c r="L127" s="6"/>
      <c r="M127" s="11"/>
      <c r="N127" s="6"/>
      <c r="O127" s="6"/>
      <c r="P127" s="10"/>
      <c r="Q127" s="6"/>
      <c r="R127" s="6"/>
      <c r="S127" s="6"/>
      <c r="T127" s="6"/>
      <c r="U127" s="9"/>
      <c r="AI127" s="6"/>
      <c r="AJ127" s="12"/>
      <c r="AL127" s="13"/>
    </row>
    <row r="128">
      <c r="A128" s="5"/>
      <c r="B128" s="5"/>
      <c r="C128" s="5"/>
      <c r="D128" s="5"/>
      <c r="E128" s="6"/>
      <c r="F128" s="6"/>
      <c r="G128" s="18"/>
      <c r="I128" s="16"/>
      <c r="J128" s="9"/>
      <c r="K128" s="10"/>
      <c r="L128" s="6"/>
      <c r="M128" s="11"/>
      <c r="N128" s="6"/>
      <c r="O128" s="6"/>
      <c r="P128" s="10"/>
      <c r="Q128" s="6"/>
      <c r="R128" s="6"/>
      <c r="S128" s="6"/>
      <c r="T128" s="6"/>
      <c r="U128" s="9"/>
      <c r="AI128" s="6"/>
      <c r="AJ128" s="12"/>
      <c r="AL128" s="13"/>
    </row>
    <row r="129">
      <c r="A129" s="5"/>
      <c r="B129" s="5"/>
      <c r="C129" s="5"/>
      <c r="D129" s="5"/>
      <c r="E129" s="6"/>
      <c r="F129" s="6"/>
      <c r="G129" s="18"/>
      <c r="I129" s="16"/>
      <c r="J129" s="9"/>
      <c r="K129" s="10"/>
      <c r="L129" s="6"/>
      <c r="M129" s="11"/>
      <c r="N129" s="6"/>
      <c r="O129" s="6"/>
      <c r="P129" s="10"/>
      <c r="Q129" s="6"/>
      <c r="R129" s="6"/>
      <c r="S129" s="6"/>
      <c r="T129" s="6"/>
      <c r="U129" s="9"/>
      <c r="AI129" s="6"/>
      <c r="AJ129" s="12"/>
      <c r="AL129" s="13"/>
    </row>
    <row r="130">
      <c r="A130" s="5"/>
      <c r="B130" s="5"/>
      <c r="C130" s="5"/>
      <c r="D130" s="5"/>
      <c r="E130" s="6"/>
      <c r="F130" s="6"/>
      <c r="G130" s="18"/>
      <c r="I130" s="16"/>
      <c r="J130" s="9"/>
      <c r="K130" s="10"/>
      <c r="L130" s="6"/>
      <c r="M130" s="11"/>
      <c r="N130" s="6"/>
      <c r="O130" s="6"/>
      <c r="P130" s="10"/>
      <c r="Q130" s="6"/>
      <c r="R130" s="6"/>
      <c r="S130" s="6"/>
      <c r="T130" s="6"/>
      <c r="U130" s="9"/>
      <c r="AI130" s="6"/>
      <c r="AJ130" s="12"/>
      <c r="AL130" s="13"/>
    </row>
    <row r="131">
      <c r="A131" s="5"/>
      <c r="B131" s="5"/>
      <c r="C131" s="5"/>
      <c r="D131" s="5"/>
      <c r="E131" s="6"/>
      <c r="F131" s="6"/>
      <c r="G131" s="18"/>
      <c r="I131" s="16"/>
      <c r="J131" s="9"/>
      <c r="K131" s="10"/>
      <c r="L131" s="6"/>
      <c r="M131" s="11"/>
      <c r="N131" s="6"/>
      <c r="O131" s="6"/>
      <c r="P131" s="10"/>
      <c r="Q131" s="6"/>
      <c r="R131" s="6"/>
      <c r="S131" s="6"/>
      <c r="T131" s="6"/>
      <c r="U131" s="9"/>
      <c r="AI131" s="6"/>
      <c r="AJ131" s="12"/>
      <c r="AL131" s="13"/>
    </row>
    <row r="132">
      <c r="A132" s="5"/>
      <c r="B132" s="5"/>
      <c r="C132" s="5"/>
      <c r="D132" s="5"/>
      <c r="E132" s="6"/>
      <c r="F132" s="6"/>
      <c r="G132" s="18"/>
      <c r="I132" s="16"/>
      <c r="J132" s="9"/>
      <c r="K132" s="10"/>
      <c r="L132" s="6"/>
      <c r="M132" s="11"/>
      <c r="N132" s="6"/>
      <c r="O132" s="6"/>
      <c r="P132" s="10"/>
      <c r="Q132" s="6"/>
      <c r="R132" s="6"/>
      <c r="S132" s="6"/>
      <c r="T132" s="6"/>
      <c r="U132" s="9"/>
      <c r="AI132" s="6"/>
      <c r="AJ132" s="12"/>
      <c r="AL132" s="13"/>
    </row>
    <row r="133">
      <c r="A133" s="5"/>
      <c r="B133" s="5"/>
      <c r="C133" s="5"/>
      <c r="D133" s="5"/>
      <c r="E133" s="6"/>
      <c r="F133" s="6"/>
      <c r="G133" s="18"/>
      <c r="I133" s="16"/>
      <c r="J133" s="9"/>
      <c r="K133" s="10"/>
      <c r="L133" s="6"/>
      <c r="M133" s="11"/>
      <c r="N133" s="6"/>
      <c r="O133" s="6"/>
      <c r="P133" s="10"/>
      <c r="Q133" s="6"/>
      <c r="R133" s="6"/>
      <c r="S133" s="6"/>
      <c r="T133" s="6"/>
      <c r="U133" s="9"/>
      <c r="AI133" s="6"/>
      <c r="AJ133" s="12"/>
      <c r="AL133" s="13"/>
    </row>
    <row r="134">
      <c r="A134" s="5"/>
      <c r="B134" s="5"/>
      <c r="C134" s="5"/>
      <c r="D134" s="5"/>
      <c r="E134" s="6"/>
      <c r="F134" s="6"/>
      <c r="G134" s="18"/>
      <c r="I134" s="16"/>
      <c r="J134" s="9"/>
      <c r="K134" s="10"/>
      <c r="L134" s="6"/>
      <c r="M134" s="11"/>
      <c r="N134" s="6"/>
      <c r="O134" s="6"/>
      <c r="P134" s="10"/>
      <c r="Q134" s="6"/>
      <c r="R134" s="6"/>
      <c r="S134" s="6"/>
      <c r="T134" s="6"/>
      <c r="U134" s="9"/>
      <c r="AI134" s="6"/>
      <c r="AJ134" s="12"/>
      <c r="AL134" s="13"/>
    </row>
    <row r="135">
      <c r="A135" s="5"/>
      <c r="B135" s="5"/>
      <c r="C135" s="5"/>
      <c r="D135" s="5"/>
      <c r="E135" s="6"/>
      <c r="F135" s="6"/>
      <c r="G135" s="18"/>
      <c r="I135" s="16"/>
      <c r="J135" s="9"/>
      <c r="K135" s="10"/>
      <c r="L135" s="6"/>
      <c r="M135" s="11"/>
      <c r="N135" s="6"/>
      <c r="O135" s="6"/>
      <c r="P135" s="10"/>
      <c r="Q135" s="6"/>
      <c r="R135" s="6"/>
      <c r="S135" s="6"/>
      <c r="T135" s="6"/>
      <c r="U135" s="9"/>
      <c r="AI135" s="6"/>
      <c r="AJ135" s="12"/>
      <c r="AL135" s="13"/>
    </row>
    <row r="136">
      <c r="A136" s="5"/>
      <c r="B136" s="5"/>
      <c r="C136" s="5"/>
      <c r="D136" s="5"/>
      <c r="E136" s="6"/>
      <c r="F136" s="6"/>
      <c r="G136" s="18"/>
      <c r="I136" s="16"/>
      <c r="J136" s="9"/>
      <c r="K136" s="10"/>
      <c r="L136" s="6"/>
      <c r="M136" s="11"/>
      <c r="N136" s="6"/>
      <c r="O136" s="6"/>
      <c r="P136" s="10"/>
      <c r="Q136" s="6"/>
      <c r="R136" s="6"/>
      <c r="S136" s="6"/>
      <c r="T136" s="6"/>
      <c r="U136" s="9"/>
      <c r="AI136" s="6"/>
      <c r="AJ136" s="12"/>
      <c r="AL136" s="13"/>
    </row>
    <row r="137">
      <c r="A137" s="5"/>
      <c r="B137" s="5"/>
      <c r="C137" s="5"/>
      <c r="D137" s="5"/>
      <c r="E137" s="6"/>
      <c r="F137" s="6"/>
      <c r="G137" s="18"/>
      <c r="I137" s="16"/>
      <c r="J137" s="9"/>
      <c r="K137" s="10"/>
      <c r="L137" s="6"/>
      <c r="M137" s="11"/>
      <c r="N137" s="6"/>
      <c r="O137" s="6"/>
      <c r="P137" s="10"/>
      <c r="Q137" s="6"/>
      <c r="R137" s="6"/>
      <c r="S137" s="6"/>
      <c r="T137" s="6"/>
      <c r="U137" s="9"/>
      <c r="AI137" s="6"/>
      <c r="AJ137" s="12"/>
      <c r="AL137" s="13"/>
    </row>
    <row r="138">
      <c r="A138" s="5"/>
      <c r="B138" s="5"/>
      <c r="C138" s="5"/>
      <c r="D138" s="5"/>
      <c r="E138" s="6"/>
      <c r="F138" s="6"/>
      <c r="G138" s="18"/>
      <c r="I138" s="16"/>
      <c r="J138" s="9"/>
      <c r="K138" s="10"/>
      <c r="L138" s="6"/>
      <c r="M138" s="11"/>
      <c r="N138" s="6"/>
      <c r="O138" s="6"/>
      <c r="P138" s="10"/>
      <c r="Q138" s="6"/>
      <c r="R138" s="6"/>
      <c r="S138" s="6"/>
      <c r="T138" s="6"/>
      <c r="U138" s="9"/>
      <c r="AI138" s="6"/>
      <c r="AJ138" s="12"/>
      <c r="AL138" s="13"/>
    </row>
    <row r="139">
      <c r="A139" s="5"/>
      <c r="B139" s="5"/>
      <c r="C139" s="5"/>
      <c r="D139" s="5"/>
      <c r="E139" s="6"/>
      <c r="F139" s="6"/>
      <c r="G139" s="18"/>
      <c r="I139" s="16"/>
      <c r="J139" s="9"/>
      <c r="K139" s="10"/>
      <c r="L139" s="6"/>
      <c r="M139" s="11"/>
      <c r="N139" s="6"/>
      <c r="O139" s="6"/>
      <c r="P139" s="10"/>
      <c r="Q139" s="6"/>
      <c r="R139" s="6"/>
      <c r="S139" s="6"/>
      <c r="T139" s="6"/>
      <c r="U139" s="9"/>
      <c r="AI139" s="6"/>
      <c r="AJ139" s="12"/>
      <c r="AL139" s="13"/>
    </row>
    <row r="140">
      <c r="A140" s="5"/>
      <c r="B140" s="5"/>
      <c r="C140" s="5"/>
      <c r="D140" s="5"/>
      <c r="E140" s="6"/>
      <c r="F140" s="6"/>
      <c r="G140" s="18"/>
      <c r="I140" s="16"/>
      <c r="J140" s="9"/>
      <c r="K140" s="10"/>
      <c r="L140" s="6"/>
      <c r="M140" s="11"/>
      <c r="N140" s="6"/>
      <c r="O140" s="6"/>
      <c r="P140" s="10"/>
      <c r="Q140" s="6"/>
      <c r="R140" s="6"/>
      <c r="S140" s="6"/>
      <c r="T140" s="6"/>
      <c r="U140" s="9"/>
      <c r="AI140" s="6"/>
      <c r="AJ140" s="12"/>
      <c r="AL140" s="13"/>
    </row>
    <row r="141">
      <c r="A141" s="5"/>
      <c r="B141" s="5"/>
      <c r="C141" s="5"/>
      <c r="D141" s="5"/>
      <c r="E141" s="6"/>
      <c r="F141" s="6"/>
      <c r="G141" s="18"/>
      <c r="I141" s="16"/>
      <c r="J141" s="9"/>
      <c r="K141" s="10"/>
      <c r="L141" s="6"/>
      <c r="M141" s="11"/>
      <c r="N141" s="6"/>
      <c r="O141" s="6"/>
      <c r="P141" s="10"/>
      <c r="Q141" s="6"/>
      <c r="R141" s="6"/>
      <c r="S141" s="6"/>
      <c r="T141" s="6"/>
      <c r="U141" s="9"/>
      <c r="AI141" s="6"/>
      <c r="AJ141" s="12"/>
      <c r="AL141" s="13"/>
    </row>
    <row r="142">
      <c r="A142" s="5"/>
      <c r="B142" s="5"/>
      <c r="C142" s="5"/>
      <c r="D142" s="5"/>
      <c r="E142" s="6"/>
      <c r="F142" s="6"/>
      <c r="G142" s="18"/>
      <c r="I142" s="16"/>
      <c r="J142" s="9"/>
      <c r="K142" s="10"/>
      <c r="L142" s="6"/>
      <c r="M142" s="11"/>
      <c r="N142" s="6"/>
      <c r="O142" s="6"/>
      <c r="P142" s="10"/>
      <c r="Q142" s="6"/>
      <c r="R142" s="6"/>
      <c r="S142" s="6"/>
      <c r="T142" s="6"/>
      <c r="U142" s="9"/>
      <c r="AI142" s="6"/>
      <c r="AJ142" s="12"/>
      <c r="AL142" s="13"/>
    </row>
    <row r="143">
      <c r="A143" s="5"/>
      <c r="B143" s="5"/>
      <c r="C143" s="5"/>
      <c r="D143" s="5"/>
      <c r="E143" s="6"/>
      <c r="F143" s="6"/>
      <c r="G143" s="18"/>
      <c r="I143" s="16"/>
      <c r="J143" s="9"/>
      <c r="K143" s="10"/>
      <c r="L143" s="6"/>
      <c r="M143" s="11"/>
      <c r="N143" s="6"/>
      <c r="O143" s="6"/>
      <c r="P143" s="10"/>
      <c r="Q143" s="6"/>
      <c r="R143" s="6"/>
      <c r="S143" s="6"/>
      <c r="T143" s="6"/>
      <c r="U143" s="9"/>
      <c r="AI143" s="6"/>
      <c r="AJ143" s="12"/>
      <c r="AL143" s="13"/>
    </row>
    <row r="144">
      <c r="A144" s="5"/>
      <c r="B144" s="5"/>
      <c r="C144" s="5"/>
      <c r="D144" s="5"/>
      <c r="E144" s="6"/>
      <c r="F144" s="6"/>
      <c r="G144" s="18"/>
      <c r="I144" s="16"/>
      <c r="J144" s="9"/>
      <c r="K144" s="10"/>
      <c r="L144" s="6"/>
      <c r="M144" s="11"/>
      <c r="N144" s="6"/>
      <c r="O144" s="6"/>
      <c r="P144" s="10"/>
      <c r="Q144" s="6"/>
      <c r="R144" s="6"/>
      <c r="S144" s="6"/>
      <c r="T144" s="6"/>
      <c r="U144" s="9"/>
      <c r="AI144" s="6"/>
      <c r="AJ144" s="12"/>
      <c r="AL144" s="13"/>
    </row>
    <row r="145">
      <c r="A145" s="5"/>
      <c r="B145" s="5"/>
      <c r="C145" s="5"/>
      <c r="D145" s="5"/>
      <c r="E145" s="6"/>
      <c r="F145" s="6"/>
      <c r="G145" s="18"/>
      <c r="I145" s="16"/>
      <c r="J145" s="9"/>
      <c r="K145" s="10"/>
      <c r="L145" s="6"/>
      <c r="M145" s="11"/>
      <c r="N145" s="6"/>
      <c r="O145" s="6"/>
      <c r="P145" s="10"/>
      <c r="Q145" s="6"/>
      <c r="R145" s="6"/>
      <c r="S145" s="6"/>
      <c r="T145" s="6"/>
      <c r="U145" s="9"/>
      <c r="AI145" s="6"/>
      <c r="AJ145" s="12"/>
      <c r="AL145" s="13"/>
    </row>
    <row r="146">
      <c r="A146" s="5"/>
      <c r="B146" s="5"/>
      <c r="C146" s="5"/>
      <c r="D146" s="5"/>
      <c r="E146" s="6"/>
      <c r="F146" s="6"/>
      <c r="G146" s="18"/>
      <c r="I146" s="16"/>
      <c r="J146" s="9"/>
      <c r="K146" s="10"/>
      <c r="L146" s="6"/>
      <c r="M146" s="11"/>
      <c r="N146" s="6"/>
      <c r="O146" s="6"/>
      <c r="P146" s="10"/>
      <c r="Q146" s="6"/>
      <c r="R146" s="6"/>
      <c r="S146" s="6"/>
      <c r="T146" s="6"/>
      <c r="U146" s="9"/>
      <c r="AI146" s="6"/>
      <c r="AJ146" s="12"/>
      <c r="AL146" s="13"/>
    </row>
    <row r="147">
      <c r="A147" s="5"/>
      <c r="B147" s="5"/>
      <c r="C147" s="5"/>
      <c r="D147" s="5"/>
      <c r="E147" s="6"/>
      <c r="F147" s="6"/>
      <c r="G147" s="18"/>
      <c r="I147" s="16"/>
      <c r="J147" s="9"/>
      <c r="K147" s="10"/>
      <c r="L147" s="6"/>
      <c r="M147" s="11"/>
      <c r="N147" s="6"/>
      <c r="O147" s="6"/>
      <c r="P147" s="10"/>
      <c r="Q147" s="6"/>
      <c r="R147" s="6"/>
      <c r="S147" s="6"/>
      <c r="T147" s="6"/>
      <c r="U147" s="9"/>
      <c r="AI147" s="6"/>
      <c r="AJ147" s="12"/>
      <c r="AL147" s="13"/>
    </row>
    <row r="148">
      <c r="A148" s="5"/>
      <c r="B148" s="5"/>
      <c r="C148" s="5"/>
      <c r="D148" s="5"/>
      <c r="E148" s="6"/>
      <c r="F148" s="6"/>
      <c r="G148" s="18"/>
      <c r="I148" s="16"/>
      <c r="J148" s="9"/>
      <c r="K148" s="10"/>
      <c r="L148" s="6"/>
      <c r="M148" s="11"/>
      <c r="N148" s="6"/>
      <c r="O148" s="6"/>
      <c r="P148" s="10"/>
      <c r="Q148" s="6"/>
      <c r="R148" s="6"/>
      <c r="S148" s="6"/>
      <c r="T148" s="6"/>
      <c r="U148" s="9"/>
      <c r="AI148" s="6"/>
      <c r="AJ148" s="12"/>
      <c r="AL148" s="13"/>
    </row>
    <row r="149">
      <c r="A149" s="5"/>
      <c r="B149" s="5"/>
      <c r="C149" s="5"/>
      <c r="D149" s="5"/>
      <c r="E149" s="6"/>
      <c r="F149" s="6"/>
      <c r="G149" s="18"/>
      <c r="I149" s="16"/>
      <c r="J149" s="9"/>
      <c r="K149" s="10"/>
      <c r="L149" s="6"/>
      <c r="M149" s="11"/>
      <c r="N149" s="6"/>
      <c r="O149" s="6"/>
      <c r="P149" s="10"/>
      <c r="Q149" s="6"/>
      <c r="R149" s="6"/>
      <c r="S149" s="6"/>
      <c r="T149" s="6"/>
      <c r="U149" s="9"/>
      <c r="AI149" s="6"/>
      <c r="AJ149" s="12"/>
      <c r="AL149" s="13"/>
    </row>
    <row r="150">
      <c r="A150" s="5"/>
      <c r="B150" s="5"/>
      <c r="C150" s="5"/>
      <c r="D150" s="5"/>
      <c r="E150" s="6"/>
      <c r="F150" s="6"/>
      <c r="G150" s="18"/>
      <c r="I150" s="16"/>
      <c r="J150" s="9"/>
      <c r="K150" s="10"/>
      <c r="L150" s="6"/>
      <c r="M150" s="11"/>
      <c r="N150" s="6"/>
      <c r="O150" s="6"/>
      <c r="P150" s="10"/>
      <c r="Q150" s="6"/>
      <c r="R150" s="6"/>
      <c r="S150" s="6"/>
      <c r="T150" s="6"/>
      <c r="U150" s="9"/>
      <c r="AI150" s="6"/>
      <c r="AJ150" s="12"/>
      <c r="AL150" s="13"/>
    </row>
    <row r="151">
      <c r="A151" s="5"/>
      <c r="B151" s="5"/>
      <c r="C151" s="5"/>
      <c r="D151" s="5"/>
      <c r="E151" s="6"/>
      <c r="F151" s="6"/>
      <c r="G151" s="18"/>
      <c r="I151" s="16"/>
      <c r="J151" s="9"/>
      <c r="K151" s="10"/>
      <c r="L151" s="6"/>
      <c r="M151" s="11"/>
      <c r="N151" s="6"/>
      <c r="O151" s="6"/>
      <c r="P151" s="10"/>
      <c r="Q151" s="6"/>
      <c r="R151" s="6"/>
      <c r="S151" s="6"/>
      <c r="T151" s="6"/>
      <c r="U151" s="9"/>
      <c r="AI151" s="6"/>
      <c r="AJ151" s="12"/>
      <c r="AL151" s="13"/>
    </row>
    <row r="152">
      <c r="A152" s="5"/>
      <c r="B152" s="5"/>
      <c r="C152" s="5"/>
      <c r="D152" s="5"/>
      <c r="E152" s="6"/>
      <c r="F152" s="6"/>
      <c r="G152" s="18"/>
      <c r="I152" s="16"/>
      <c r="J152" s="9"/>
      <c r="K152" s="10"/>
      <c r="L152" s="6"/>
      <c r="M152" s="11"/>
      <c r="N152" s="6"/>
      <c r="O152" s="6"/>
      <c r="P152" s="10"/>
      <c r="Q152" s="6"/>
      <c r="R152" s="6"/>
      <c r="S152" s="6"/>
      <c r="T152" s="6"/>
      <c r="U152" s="9"/>
      <c r="AI152" s="6"/>
      <c r="AJ152" s="12"/>
      <c r="AL152" s="13"/>
    </row>
    <row r="153">
      <c r="A153" s="5"/>
      <c r="B153" s="5"/>
      <c r="C153" s="5"/>
      <c r="D153" s="5"/>
      <c r="E153" s="6"/>
      <c r="F153" s="6"/>
      <c r="G153" s="18"/>
      <c r="I153" s="16"/>
      <c r="J153" s="9"/>
      <c r="K153" s="10"/>
      <c r="L153" s="6"/>
      <c r="M153" s="11"/>
      <c r="N153" s="6"/>
      <c r="O153" s="6"/>
      <c r="P153" s="10"/>
      <c r="Q153" s="6"/>
      <c r="R153" s="6"/>
      <c r="S153" s="6"/>
      <c r="T153" s="6"/>
      <c r="U153" s="9"/>
      <c r="AI153" s="6"/>
      <c r="AJ153" s="12"/>
      <c r="AL153" s="13"/>
    </row>
    <row r="154">
      <c r="A154" s="5"/>
      <c r="B154" s="5"/>
      <c r="C154" s="5"/>
      <c r="D154" s="5"/>
      <c r="E154" s="6"/>
      <c r="F154" s="6"/>
      <c r="G154" s="18"/>
      <c r="I154" s="16"/>
      <c r="J154" s="9"/>
      <c r="K154" s="10"/>
      <c r="L154" s="6"/>
      <c r="M154" s="11"/>
      <c r="N154" s="6"/>
      <c r="O154" s="6"/>
      <c r="P154" s="10"/>
      <c r="Q154" s="6"/>
      <c r="R154" s="6"/>
      <c r="S154" s="6"/>
      <c r="T154" s="6"/>
      <c r="U154" s="9"/>
      <c r="AI154" s="6"/>
      <c r="AJ154" s="12"/>
      <c r="AL154" s="13"/>
    </row>
    <row r="155">
      <c r="A155" s="5"/>
      <c r="B155" s="5"/>
      <c r="C155" s="5"/>
      <c r="D155" s="5"/>
      <c r="E155" s="6"/>
      <c r="F155" s="6"/>
      <c r="G155" s="18"/>
      <c r="I155" s="16"/>
      <c r="J155" s="9"/>
      <c r="K155" s="10"/>
      <c r="L155" s="6"/>
      <c r="M155" s="11"/>
      <c r="N155" s="6"/>
      <c r="O155" s="6"/>
      <c r="P155" s="10"/>
      <c r="Q155" s="6"/>
      <c r="R155" s="6"/>
      <c r="S155" s="6"/>
      <c r="T155" s="6"/>
      <c r="U155" s="9"/>
      <c r="AI155" s="6"/>
      <c r="AJ155" s="12"/>
      <c r="AL155" s="13"/>
    </row>
    <row r="156">
      <c r="A156" s="5"/>
      <c r="B156" s="5"/>
      <c r="C156" s="5"/>
      <c r="D156" s="5"/>
      <c r="E156" s="6"/>
      <c r="F156" s="6"/>
      <c r="G156" s="18"/>
      <c r="I156" s="16"/>
      <c r="J156" s="9"/>
      <c r="K156" s="10"/>
      <c r="L156" s="6"/>
      <c r="M156" s="11"/>
      <c r="N156" s="6"/>
      <c r="O156" s="6"/>
      <c r="P156" s="10"/>
      <c r="Q156" s="6"/>
      <c r="R156" s="6"/>
      <c r="S156" s="6"/>
      <c r="T156" s="6"/>
      <c r="U156" s="9"/>
      <c r="AI156" s="6"/>
      <c r="AJ156" s="12"/>
      <c r="AL156" s="13"/>
    </row>
    <row r="157">
      <c r="A157" s="5"/>
      <c r="B157" s="5"/>
      <c r="C157" s="5"/>
      <c r="D157" s="5"/>
      <c r="E157" s="6"/>
      <c r="F157" s="6"/>
      <c r="G157" s="18"/>
      <c r="I157" s="16"/>
      <c r="J157" s="9"/>
      <c r="K157" s="10"/>
      <c r="L157" s="6"/>
      <c r="M157" s="11"/>
      <c r="N157" s="6"/>
      <c r="O157" s="6"/>
      <c r="P157" s="10"/>
      <c r="Q157" s="6"/>
      <c r="R157" s="6"/>
      <c r="S157" s="6"/>
      <c r="T157" s="6"/>
      <c r="U157" s="9"/>
      <c r="AI157" s="6"/>
      <c r="AJ157" s="12"/>
      <c r="AL157" s="13"/>
    </row>
    <row r="158">
      <c r="A158" s="5"/>
      <c r="B158" s="5"/>
      <c r="C158" s="5"/>
      <c r="D158" s="5"/>
      <c r="E158" s="6"/>
      <c r="F158" s="6"/>
      <c r="G158" s="18"/>
      <c r="I158" s="16"/>
      <c r="J158" s="9"/>
      <c r="K158" s="10"/>
      <c r="L158" s="6"/>
      <c r="M158" s="11"/>
      <c r="N158" s="6"/>
      <c r="O158" s="6"/>
      <c r="P158" s="10"/>
      <c r="Q158" s="6"/>
      <c r="R158" s="6"/>
      <c r="S158" s="6"/>
      <c r="T158" s="6"/>
      <c r="U158" s="9"/>
      <c r="AI158" s="6"/>
      <c r="AJ158" s="12"/>
      <c r="AL158" s="13"/>
    </row>
    <row r="159">
      <c r="A159" s="5"/>
      <c r="B159" s="5"/>
      <c r="C159" s="5"/>
      <c r="D159" s="5"/>
      <c r="E159" s="6"/>
      <c r="F159" s="6"/>
      <c r="G159" s="18"/>
      <c r="I159" s="16"/>
      <c r="J159" s="9"/>
      <c r="K159" s="10"/>
      <c r="L159" s="6"/>
      <c r="M159" s="11"/>
      <c r="N159" s="6"/>
      <c r="O159" s="6"/>
      <c r="P159" s="10"/>
      <c r="Q159" s="6"/>
      <c r="R159" s="6"/>
      <c r="S159" s="6"/>
      <c r="T159" s="6"/>
      <c r="U159" s="9"/>
      <c r="AI159" s="6"/>
      <c r="AJ159" s="12"/>
      <c r="AL159" s="13"/>
    </row>
    <row r="160">
      <c r="A160" s="5"/>
      <c r="B160" s="5"/>
      <c r="C160" s="5"/>
      <c r="D160" s="5"/>
      <c r="E160" s="6"/>
      <c r="F160" s="6"/>
      <c r="G160" s="18"/>
      <c r="I160" s="16"/>
      <c r="J160" s="9"/>
      <c r="K160" s="10"/>
      <c r="L160" s="6"/>
      <c r="M160" s="11"/>
      <c r="N160" s="6"/>
      <c r="O160" s="6"/>
      <c r="P160" s="10"/>
      <c r="Q160" s="6"/>
      <c r="R160" s="6"/>
      <c r="S160" s="6"/>
      <c r="T160" s="6"/>
      <c r="U160" s="9"/>
      <c r="AI160" s="6"/>
      <c r="AJ160" s="12"/>
      <c r="AL160" s="13"/>
    </row>
    <row r="161">
      <c r="A161" s="5"/>
      <c r="B161" s="5"/>
      <c r="C161" s="5"/>
      <c r="D161" s="5"/>
      <c r="E161" s="6"/>
      <c r="F161" s="6"/>
      <c r="G161" s="18"/>
      <c r="I161" s="16"/>
      <c r="J161" s="9"/>
      <c r="K161" s="10"/>
      <c r="L161" s="6"/>
      <c r="M161" s="11"/>
      <c r="N161" s="6"/>
      <c r="O161" s="6"/>
      <c r="P161" s="10"/>
      <c r="Q161" s="6"/>
      <c r="R161" s="6"/>
      <c r="S161" s="6"/>
      <c r="T161" s="6"/>
      <c r="U161" s="9"/>
      <c r="AI161" s="6"/>
      <c r="AJ161" s="12"/>
      <c r="AL161" s="13"/>
    </row>
    <row r="162">
      <c r="A162" s="5"/>
      <c r="B162" s="5"/>
      <c r="C162" s="5"/>
      <c r="D162" s="5"/>
      <c r="E162" s="6"/>
      <c r="F162" s="6"/>
      <c r="G162" s="18"/>
      <c r="I162" s="16"/>
      <c r="J162" s="9"/>
      <c r="K162" s="10"/>
      <c r="L162" s="6"/>
      <c r="M162" s="11"/>
      <c r="N162" s="6"/>
      <c r="O162" s="6"/>
      <c r="P162" s="10"/>
      <c r="Q162" s="6"/>
      <c r="R162" s="6"/>
      <c r="S162" s="6"/>
      <c r="T162" s="6"/>
      <c r="U162" s="9"/>
      <c r="AI162" s="6"/>
      <c r="AJ162" s="12"/>
      <c r="AL162" s="13"/>
    </row>
    <row r="163">
      <c r="A163" s="5"/>
      <c r="B163" s="5"/>
      <c r="C163" s="5"/>
      <c r="D163" s="5"/>
      <c r="E163" s="6"/>
      <c r="F163" s="6"/>
      <c r="G163" s="18"/>
      <c r="I163" s="16"/>
      <c r="J163" s="9"/>
      <c r="K163" s="10"/>
      <c r="L163" s="6"/>
      <c r="M163" s="11"/>
      <c r="N163" s="6"/>
      <c r="O163" s="6"/>
      <c r="P163" s="10"/>
      <c r="Q163" s="6"/>
      <c r="R163" s="6"/>
      <c r="S163" s="6"/>
      <c r="T163" s="6"/>
      <c r="U163" s="9"/>
      <c r="AI163" s="6"/>
      <c r="AJ163" s="12"/>
      <c r="AL163" s="13"/>
    </row>
    <row r="164">
      <c r="A164" s="5"/>
      <c r="B164" s="5"/>
      <c r="C164" s="5"/>
      <c r="D164" s="5"/>
      <c r="E164" s="6"/>
      <c r="F164" s="6"/>
      <c r="G164" s="18"/>
      <c r="I164" s="16"/>
      <c r="J164" s="9"/>
      <c r="K164" s="10"/>
      <c r="L164" s="6"/>
      <c r="M164" s="11"/>
      <c r="N164" s="6"/>
      <c r="O164" s="6"/>
      <c r="P164" s="10"/>
      <c r="Q164" s="6"/>
      <c r="R164" s="6"/>
      <c r="S164" s="6"/>
      <c r="T164" s="6"/>
      <c r="U164" s="9"/>
      <c r="AI164" s="6"/>
      <c r="AJ164" s="12"/>
      <c r="AL164" s="13"/>
    </row>
    <row r="165">
      <c r="A165" s="5"/>
      <c r="B165" s="5"/>
      <c r="C165" s="5"/>
      <c r="D165" s="5"/>
      <c r="E165" s="6"/>
      <c r="F165" s="6"/>
      <c r="G165" s="18"/>
      <c r="I165" s="16"/>
      <c r="J165" s="9"/>
      <c r="K165" s="10"/>
      <c r="L165" s="6"/>
      <c r="M165" s="11"/>
      <c r="N165" s="6"/>
      <c r="O165" s="6"/>
      <c r="P165" s="10"/>
      <c r="Q165" s="6"/>
      <c r="R165" s="6"/>
      <c r="S165" s="6"/>
      <c r="T165" s="6"/>
      <c r="U165" s="9"/>
      <c r="AI165" s="6"/>
      <c r="AJ165" s="12"/>
      <c r="AL165" s="13"/>
    </row>
    <row r="166">
      <c r="A166" s="5"/>
      <c r="B166" s="5"/>
      <c r="C166" s="5"/>
      <c r="D166" s="5"/>
      <c r="E166" s="6"/>
      <c r="F166" s="6"/>
      <c r="G166" s="18"/>
      <c r="I166" s="16"/>
      <c r="J166" s="9"/>
      <c r="K166" s="10"/>
      <c r="L166" s="6"/>
      <c r="M166" s="11"/>
      <c r="N166" s="6"/>
      <c r="O166" s="6"/>
      <c r="P166" s="10"/>
      <c r="Q166" s="6"/>
      <c r="R166" s="6"/>
      <c r="S166" s="6"/>
      <c r="T166" s="6"/>
      <c r="U166" s="9"/>
      <c r="AI166" s="6"/>
      <c r="AJ166" s="12"/>
      <c r="AL166" s="13"/>
    </row>
    <row r="167">
      <c r="A167" s="5"/>
      <c r="B167" s="5"/>
      <c r="C167" s="5"/>
      <c r="D167" s="5"/>
      <c r="E167" s="6"/>
      <c r="F167" s="6"/>
      <c r="G167" s="18"/>
      <c r="I167" s="16"/>
      <c r="J167" s="9"/>
      <c r="K167" s="10"/>
      <c r="L167" s="6"/>
      <c r="M167" s="11"/>
      <c r="N167" s="6"/>
      <c r="O167" s="6"/>
      <c r="P167" s="10"/>
      <c r="Q167" s="6"/>
      <c r="R167" s="6"/>
      <c r="S167" s="6"/>
      <c r="T167" s="6"/>
      <c r="U167" s="9"/>
      <c r="AI167" s="6"/>
      <c r="AJ167" s="12"/>
      <c r="AL167" s="13"/>
    </row>
    <row r="168">
      <c r="A168" s="5"/>
      <c r="B168" s="5"/>
      <c r="C168" s="5"/>
      <c r="D168" s="5"/>
      <c r="E168" s="6"/>
      <c r="F168" s="6"/>
      <c r="G168" s="18"/>
      <c r="I168" s="16"/>
      <c r="J168" s="9"/>
      <c r="K168" s="10"/>
      <c r="L168" s="6"/>
      <c r="M168" s="11"/>
      <c r="N168" s="6"/>
      <c r="O168" s="6"/>
      <c r="P168" s="10"/>
      <c r="Q168" s="6"/>
      <c r="R168" s="6"/>
      <c r="S168" s="6"/>
      <c r="T168" s="6"/>
      <c r="U168" s="9"/>
      <c r="AI168" s="6"/>
      <c r="AJ168" s="12"/>
      <c r="AL168" s="13"/>
    </row>
    <row r="169">
      <c r="A169" s="5"/>
      <c r="B169" s="5"/>
      <c r="C169" s="5"/>
      <c r="D169" s="5"/>
      <c r="E169" s="6"/>
      <c r="F169" s="6"/>
      <c r="G169" s="18"/>
      <c r="I169" s="16"/>
      <c r="J169" s="9"/>
      <c r="K169" s="10"/>
      <c r="L169" s="6"/>
      <c r="M169" s="11"/>
      <c r="N169" s="6"/>
      <c r="O169" s="6"/>
      <c r="P169" s="10"/>
      <c r="Q169" s="6"/>
      <c r="R169" s="6"/>
      <c r="S169" s="6"/>
      <c r="T169" s="6"/>
      <c r="U169" s="9"/>
      <c r="AI169" s="6"/>
      <c r="AJ169" s="12"/>
      <c r="AL169" s="13"/>
    </row>
    <row r="170">
      <c r="A170" s="5"/>
      <c r="B170" s="5"/>
      <c r="C170" s="5"/>
      <c r="D170" s="5"/>
      <c r="E170" s="6"/>
      <c r="F170" s="6"/>
      <c r="G170" s="18"/>
      <c r="I170" s="16"/>
      <c r="J170" s="9"/>
      <c r="K170" s="10"/>
      <c r="L170" s="6"/>
      <c r="M170" s="11"/>
      <c r="N170" s="6"/>
      <c r="O170" s="6"/>
      <c r="P170" s="10"/>
      <c r="Q170" s="6"/>
      <c r="R170" s="6"/>
      <c r="S170" s="6"/>
      <c r="T170" s="6"/>
      <c r="U170" s="9"/>
      <c r="AI170" s="6"/>
      <c r="AJ170" s="12"/>
      <c r="AL170" s="13"/>
    </row>
    <row r="171">
      <c r="A171" s="5"/>
      <c r="B171" s="5"/>
      <c r="C171" s="5"/>
      <c r="D171" s="5"/>
      <c r="E171" s="6"/>
      <c r="F171" s="6"/>
      <c r="G171" s="18"/>
      <c r="I171" s="16"/>
      <c r="J171" s="9"/>
      <c r="K171" s="10"/>
      <c r="L171" s="6"/>
      <c r="M171" s="11"/>
      <c r="N171" s="6"/>
      <c r="O171" s="6"/>
      <c r="P171" s="10"/>
      <c r="Q171" s="6"/>
      <c r="R171" s="6"/>
      <c r="S171" s="6"/>
      <c r="T171" s="6"/>
      <c r="U171" s="9"/>
      <c r="AI171" s="6"/>
      <c r="AJ171" s="12"/>
      <c r="AL171" s="13"/>
    </row>
    <row r="172">
      <c r="A172" s="5"/>
      <c r="B172" s="5"/>
      <c r="C172" s="5"/>
      <c r="D172" s="5"/>
      <c r="E172" s="6"/>
      <c r="F172" s="6"/>
      <c r="G172" s="18"/>
      <c r="I172" s="16"/>
      <c r="J172" s="9"/>
      <c r="K172" s="10"/>
      <c r="L172" s="6"/>
      <c r="M172" s="11"/>
      <c r="N172" s="6"/>
      <c r="O172" s="6"/>
      <c r="P172" s="10"/>
      <c r="Q172" s="6"/>
      <c r="R172" s="6"/>
      <c r="S172" s="6"/>
      <c r="T172" s="6"/>
      <c r="U172" s="9"/>
      <c r="AI172" s="6"/>
      <c r="AJ172" s="12"/>
      <c r="AL172" s="13"/>
    </row>
    <row r="173">
      <c r="A173" s="5"/>
      <c r="B173" s="5"/>
      <c r="C173" s="5"/>
      <c r="D173" s="5"/>
      <c r="E173" s="6"/>
      <c r="F173" s="6"/>
      <c r="G173" s="18"/>
      <c r="I173" s="16"/>
      <c r="J173" s="9"/>
      <c r="K173" s="10"/>
      <c r="L173" s="6"/>
      <c r="M173" s="11"/>
      <c r="N173" s="6"/>
      <c r="O173" s="6"/>
      <c r="P173" s="10"/>
      <c r="Q173" s="6"/>
      <c r="R173" s="6"/>
      <c r="S173" s="6"/>
      <c r="T173" s="6"/>
      <c r="U173" s="9"/>
      <c r="AI173" s="6"/>
      <c r="AJ173" s="12"/>
      <c r="AL173" s="13"/>
    </row>
    <row r="174">
      <c r="A174" s="5"/>
      <c r="B174" s="5"/>
      <c r="C174" s="5"/>
      <c r="D174" s="5"/>
      <c r="E174" s="6"/>
      <c r="F174" s="6"/>
      <c r="G174" s="18"/>
      <c r="I174" s="16"/>
      <c r="J174" s="9"/>
      <c r="K174" s="10"/>
      <c r="L174" s="6"/>
      <c r="M174" s="11"/>
      <c r="N174" s="6"/>
      <c r="O174" s="6"/>
      <c r="P174" s="10"/>
      <c r="Q174" s="6"/>
      <c r="R174" s="6"/>
      <c r="S174" s="6"/>
      <c r="T174" s="6"/>
      <c r="U174" s="9"/>
      <c r="AI174" s="6"/>
      <c r="AJ174" s="12"/>
      <c r="AL174" s="13"/>
    </row>
    <row r="175">
      <c r="A175" s="5"/>
      <c r="B175" s="5"/>
      <c r="C175" s="5"/>
      <c r="D175" s="5"/>
      <c r="E175" s="6"/>
      <c r="F175" s="6"/>
      <c r="G175" s="18"/>
      <c r="I175" s="16"/>
      <c r="J175" s="9"/>
      <c r="K175" s="10"/>
      <c r="L175" s="6"/>
      <c r="M175" s="11"/>
      <c r="N175" s="6"/>
      <c r="O175" s="6"/>
      <c r="P175" s="10"/>
      <c r="Q175" s="6"/>
      <c r="R175" s="6"/>
      <c r="S175" s="6"/>
      <c r="T175" s="6"/>
      <c r="U175" s="9"/>
      <c r="AI175" s="6"/>
      <c r="AJ175" s="12"/>
      <c r="AL175" s="13"/>
    </row>
    <row r="176">
      <c r="A176" s="5"/>
      <c r="B176" s="5"/>
      <c r="C176" s="5"/>
      <c r="D176" s="5"/>
      <c r="E176" s="6"/>
      <c r="F176" s="6"/>
      <c r="G176" s="18"/>
      <c r="I176" s="16"/>
      <c r="J176" s="9"/>
      <c r="K176" s="10"/>
      <c r="L176" s="6"/>
      <c r="M176" s="11"/>
      <c r="N176" s="6"/>
      <c r="O176" s="6"/>
      <c r="P176" s="10"/>
      <c r="Q176" s="6"/>
      <c r="R176" s="6"/>
      <c r="S176" s="6"/>
      <c r="T176" s="6"/>
      <c r="U176" s="9"/>
      <c r="AI176" s="6"/>
      <c r="AJ176" s="12"/>
      <c r="AL176" s="13"/>
    </row>
    <row r="177">
      <c r="A177" s="5"/>
      <c r="B177" s="5"/>
      <c r="C177" s="5"/>
      <c r="D177" s="5"/>
      <c r="E177" s="6"/>
      <c r="F177" s="6"/>
      <c r="G177" s="18"/>
      <c r="I177" s="16"/>
      <c r="J177" s="9"/>
      <c r="K177" s="10"/>
      <c r="L177" s="6"/>
      <c r="M177" s="11"/>
      <c r="N177" s="6"/>
      <c r="O177" s="6"/>
      <c r="P177" s="10"/>
      <c r="Q177" s="6"/>
      <c r="R177" s="6"/>
      <c r="S177" s="6"/>
      <c r="T177" s="6"/>
      <c r="U177" s="9"/>
      <c r="AI177" s="6"/>
      <c r="AJ177" s="12"/>
      <c r="AL177" s="13"/>
    </row>
    <row r="178">
      <c r="A178" s="5"/>
      <c r="B178" s="5"/>
      <c r="C178" s="5"/>
      <c r="D178" s="5"/>
      <c r="E178" s="6"/>
      <c r="F178" s="6"/>
      <c r="G178" s="18"/>
      <c r="I178" s="16"/>
      <c r="J178" s="9"/>
      <c r="K178" s="10"/>
      <c r="L178" s="6"/>
      <c r="M178" s="11"/>
      <c r="N178" s="6"/>
      <c r="O178" s="6"/>
      <c r="P178" s="10"/>
      <c r="Q178" s="6"/>
      <c r="R178" s="6"/>
      <c r="S178" s="6"/>
      <c r="T178" s="6"/>
      <c r="U178" s="9"/>
      <c r="AI178" s="6"/>
      <c r="AJ178" s="12"/>
      <c r="AL178" s="13"/>
    </row>
    <row r="179">
      <c r="A179" s="5"/>
      <c r="B179" s="5"/>
      <c r="C179" s="5"/>
      <c r="D179" s="5"/>
      <c r="E179" s="6"/>
      <c r="F179" s="6"/>
      <c r="G179" s="18"/>
      <c r="I179" s="16"/>
      <c r="J179" s="9"/>
      <c r="K179" s="10"/>
      <c r="L179" s="6"/>
      <c r="M179" s="11"/>
      <c r="N179" s="6"/>
      <c r="O179" s="6"/>
      <c r="P179" s="10"/>
      <c r="Q179" s="6"/>
      <c r="R179" s="6"/>
      <c r="S179" s="6"/>
      <c r="T179" s="6"/>
      <c r="U179" s="9"/>
      <c r="AI179" s="6"/>
      <c r="AJ179" s="12"/>
      <c r="AL179" s="13"/>
    </row>
    <row r="180">
      <c r="A180" s="5"/>
      <c r="B180" s="5"/>
      <c r="C180" s="5"/>
      <c r="D180" s="5"/>
      <c r="E180" s="6"/>
      <c r="F180" s="6"/>
      <c r="G180" s="18"/>
      <c r="I180" s="16"/>
      <c r="J180" s="9"/>
      <c r="K180" s="10"/>
      <c r="L180" s="6"/>
      <c r="M180" s="11"/>
      <c r="N180" s="6"/>
      <c r="O180" s="6"/>
      <c r="P180" s="10"/>
      <c r="Q180" s="6"/>
      <c r="R180" s="6"/>
      <c r="S180" s="6"/>
      <c r="T180" s="6"/>
      <c r="U180" s="9"/>
      <c r="AI180" s="6"/>
      <c r="AJ180" s="12"/>
      <c r="AL180" s="13"/>
    </row>
    <row r="181">
      <c r="A181" s="5"/>
      <c r="B181" s="5"/>
      <c r="C181" s="5"/>
      <c r="D181" s="5"/>
      <c r="E181" s="6"/>
      <c r="F181" s="6"/>
      <c r="G181" s="18"/>
      <c r="I181" s="16"/>
      <c r="J181" s="9"/>
      <c r="K181" s="10"/>
      <c r="L181" s="6"/>
      <c r="M181" s="11"/>
      <c r="N181" s="6"/>
      <c r="O181" s="6"/>
      <c r="P181" s="10"/>
      <c r="Q181" s="6"/>
      <c r="R181" s="6"/>
      <c r="S181" s="6"/>
      <c r="T181" s="6"/>
      <c r="U181" s="9"/>
      <c r="AI181" s="6"/>
      <c r="AJ181" s="12"/>
      <c r="AL181" s="13"/>
    </row>
    <row r="182">
      <c r="A182" s="5"/>
      <c r="B182" s="5"/>
      <c r="C182" s="5"/>
      <c r="D182" s="5"/>
      <c r="E182" s="6"/>
      <c r="F182" s="6"/>
      <c r="G182" s="18"/>
      <c r="I182" s="16"/>
      <c r="J182" s="9"/>
      <c r="K182" s="10"/>
      <c r="L182" s="6"/>
      <c r="M182" s="11"/>
      <c r="N182" s="6"/>
      <c r="O182" s="6"/>
      <c r="P182" s="10"/>
      <c r="Q182" s="6"/>
      <c r="R182" s="6"/>
      <c r="S182" s="6"/>
      <c r="T182" s="6"/>
      <c r="U182" s="9"/>
      <c r="AI182" s="6"/>
      <c r="AJ182" s="12"/>
      <c r="AL182" s="13"/>
    </row>
    <row r="183">
      <c r="A183" s="5"/>
      <c r="B183" s="5"/>
      <c r="C183" s="5"/>
      <c r="D183" s="5"/>
      <c r="E183" s="6"/>
      <c r="F183" s="6"/>
      <c r="G183" s="18"/>
      <c r="I183" s="16"/>
      <c r="J183" s="9"/>
      <c r="K183" s="10"/>
      <c r="L183" s="6"/>
      <c r="M183" s="11"/>
      <c r="N183" s="6"/>
      <c r="O183" s="6"/>
      <c r="P183" s="10"/>
      <c r="Q183" s="6"/>
      <c r="R183" s="6"/>
      <c r="S183" s="6"/>
      <c r="T183" s="6"/>
      <c r="U183" s="9"/>
      <c r="AI183" s="6"/>
      <c r="AJ183" s="12"/>
      <c r="AL183" s="13"/>
    </row>
    <row r="184">
      <c r="A184" s="5"/>
      <c r="B184" s="5"/>
      <c r="C184" s="5"/>
      <c r="D184" s="5"/>
      <c r="E184" s="6"/>
      <c r="F184" s="6"/>
      <c r="G184" s="18"/>
      <c r="I184" s="16"/>
      <c r="J184" s="9"/>
      <c r="K184" s="10"/>
      <c r="L184" s="6"/>
      <c r="M184" s="11"/>
      <c r="N184" s="6"/>
      <c r="O184" s="6"/>
      <c r="P184" s="10"/>
      <c r="Q184" s="6"/>
      <c r="R184" s="6"/>
      <c r="S184" s="6"/>
      <c r="T184" s="6"/>
      <c r="U184" s="9"/>
      <c r="AI184" s="6"/>
      <c r="AJ184" s="12"/>
      <c r="AL184" s="13"/>
    </row>
    <row r="185">
      <c r="A185" s="5"/>
      <c r="B185" s="5"/>
      <c r="C185" s="5"/>
      <c r="D185" s="5"/>
      <c r="E185" s="6"/>
      <c r="F185" s="6"/>
      <c r="G185" s="18"/>
      <c r="I185" s="16"/>
      <c r="J185" s="9"/>
      <c r="K185" s="10"/>
      <c r="L185" s="6"/>
      <c r="M185" s="11"/>
      <c r="N185" s="6"/>
      <c r="O185" s="6"/>
      <c r="P185" s="10"/>
      <c r="Q185" s="6"/>
      <c r="R185" s="6"/>
      <c r="S185" s="6"/>
      <c r="T185" s="6"/>
      <c r="U185" s="9"/>
      <c r="AI185" s="6"/>
      <c r="AJ185" s="12"/>
      <c r="AL185" s="13"/>
    </row>
    <row r="186">
      <c r="A186" s="5"/>
      <c r="B186" s="5"/>
      <c r="C186" s="5"/>
      <c r="D186" s="5"/>
      <c r="E186" s="6"/>
      <c r="F186" s="6"/>
      <c r="G186" s="18"/>
      <c r="I186" s="16"/>
      <c r="J186" s="9"/>
      <c r="K186" s="10"/>
      <c r="L186" s="6"/>
      <c r="M186" s="11"/>
      <c r="N186" s="6"/>
      <c r="O186" s="6"/>
      <c r="P186" s="10"/>
      <c r="Q186" s="6"/>
      <c r="R186" s="6"/>
      <c r="S186" s="6"/>
      <c r="T186" s="6"/>
      <c r="U186" s="9"/>
      <c r="AI186" s="6"/>
      <c r="AJ186" s="12"/>
      <c r="AL186" s="13"/>
    </row>
    <row r="187">
      <c r="A187" s="5"/>
      <c r="B187" s="5"/>
      <c r="C187" s="5"/>
      <c r="D187" s="5"/>
      <c r="E187" s="6"/>
      <c r="F187" s="6"/>
      <c r="G187" s="18"/>
      <c r="I187" s="16"/>
      <c r="J187" s="9"/>
      <c r="K187" s="10"/>
      <c r="L187" s="6"/>
      <c r="M187" s="11"/>
      <c r="N187" s="6"/>
      <c r="O187" s="6"/>
      <c r="P187" s="10"/>
      <c r="Q187" s="6"/>
      <c r="R187" s="6"/>
      <c r="S187" s="6"/>
      <c r="T187" s="6"/>
      <c r="U187" s="9"/>
      <c r="AI187" s="6"/>
      <c r="AJ187" s="12"/>
      <c r="AL187" s="13"/>
    </row>
    <row r="188">
      <c r="A188" s="5"/>
      <c r="B188" s="5"/>
      <c r="C188" s="5"/>
      <c r="D188" s="5"/>
      <c r="E188" s="6"/>
      <c r="F188" s="6"/>
      <c r="G188" s="18"/>
      <c r="I188" s="16"/>
      <c r="J188" s="9"/>
      <c r="K188" s="10"/>
      <c r="L188" s="6"/>
      <c r="M188" s="11"/>
      <c r="N188" s="6"/>
      <c r="O188" s="6"/>
      <c r="P188" s="10"/>
      <c r="Q188" s="6"/>
      <c r="R188" s="6"/>
      <c r="S188" s="6"/>
      <c r="T188" s="6"/>
      <c r="U188" s="9"/>
      <c r="AI188" s="6"/>
      <c r="AJ188" s="12"/>
      <c r="AL188" s="13"/>
    </row>
    <row r="189">
      <c r="A189" s="5"/>
      <c r="B189" s="5"/>
      <c r="C189" s="5"/>
      <c r="D189" s="5"/>
      <c r="E189" s="6"/>
      <c r="F189" s="6"/>
      <c r="G189" s="18"/>
      <c r="I189" s="16"/>
      <c r="J189" s="9"/>
      <c r="K189" s="10"/>
      <c r="L189" s="6"/>
      <c r="M189" s="11"/>
      <c r="N189" s="6"/>
      <c r="O189" s="6"/>
      <c r="P189" s="10"/>
      <c r="Q189" s="6"/>
      <c r="R189" s="6"/>
      <c r="S189" s="6"/>
      <c r="T189" s="6"/>
      <c r="U189" s="9"/>
      <c r="AI189" s="6"/>
      <c r="AJ189" s="12"/>
      <c r="AL189" s="13"/>
    </row>
    <row r="190">
      <c r="A190" s="5"/>
      <c r="B190" s="5"/>
      <c r="C190" s="5"/>
      <c r="D190" s="5"/>
      <c r="E190" s="6"/>
      <c r="F190" s="6"/>
      <c r="G190" s="18"/>
      <c r="I190" s="16"/>
      <c r="J190" s="9"/>
      <c r="K190" s="10"/>
      <c r="L190" s="6"/>
      <c r="M190" s="11"/>
      <c r="N190" s="6"/>
      <c r="O190" s="6"/>
      <c r="P190" s="10"/>
      <c r="Q190" s="6"/>
      <c r="R190" s="6"/>
      <c r="S190" s="6"/>
      <c r="T190" s="6"/>
      <c r="U190" s="9"/>
      <c r="AI190" s="6"/>
      <c r="AJ190" s="12"/>
      <c r="AL190" s="13"/>
    </row>
    <row r="191">
      <c r="A191" s="5"/>
      <c r="B191" s="5"/>
      <c r="C191" s="5"/>
      <c r="D191" s="5"/>
      <c r="E191" s="6"/>
      <c r="F191" s="6"/>
      <c r="G191" s="18"/>
      <c r="I191" s="16"/>
      <c r="J191" s="9"/>
      <c r="K191" s="10"/>
      <c r="L191" s="6"/>
      <c r="M191" s="11"/>
      <c r="N191" s="6"/>
      <c r="O191" s="6"/>
      <c r="P191" s="10"/>
      <c r="Q191" s="6"/>
      <c r="R191" s="6"/>
      <c r="S191" s="6"/>
      <c r="T191" s="6"/>
      <c r="U191" s="9"/>
      <c r="AI191" s="6"/>
      <c r="AJ191" s="12"/>
      <c r="AL191" s="13"/>
    </row>
    <row r="192">
      <c r="A192" s="5"/>
      <c r="B192" s="5"/>
      <c r="C192" s="5"/>
      <c r="D192" s="5"/>
      <c r="E192" s="6"/>
      <c r="F192" s="6"/>
      <c r="G192" s="18"/>
      <c r="I192" s="16"/>
      <c r="J192" s="9"/>
      <c r="K192" s="10"/>
      <c r="L192" s="6"/>
      <c r="M192" s="11"/>
      <c r="N192" s="6"/>
      <c r="O192" s="6"/>
      <c r="P192" s="10"/>
      <c r="Q192" s="6"/>
      <c r="R192" s="6"/>
      <c r="S192" s="6"/>
      <c r="T192" s="6"/>
      <c r="U192" s="9"/>
      <c r="AI192" s="6"/>
      <c r="AJ192" s="12"/>
      <c r="AL192" s="13"/>
    </row>
    <row r="193">
      <c r="A193" s="5"/>
      <c r="B193" s="5"/>
      <c r="C193" s="5"/>
      <c r="D193" s="5"/>
      <c r="E193" s="6"/>
      <c r="F193" s="6"/>
      <c r="G193" s="18"/>
      <c r="I193" s="16"/>
      <c r="J193" s="9"/>
      <c r="K193" s="10"/>
      <c r="L193" s="6"/>
      <c r="M193" s="11"/>
      <c r="N193" s="6"/>
      <c r="O193" s="6"/>
      <c r="P193" s="10"/>
      <c r="Q193" s="6"/>
      <c r="R193" s="6"/>
      <c r="S193" s="6"/>
      <c r="T193" s="6"/>
      <c r="U193" s="9"/>
      <c r="AI193" s="6"/>
      <c r="AJ193" s="12"/>
      <c r="AL193" s="13"/>
    </row>
    <row r="194">
      <c r="A194" s="5"/>
      <c r="B194" s="5"/>
      <c r="C194" s="5"/>
      <c r="D194" s="5"/>
      <c r="E194" s="6"/>
      <c r="F194" s="6"/>
      <c r="G194" s="18"/>
      <c r="I194" s="16"/>
      <c r="J194" s="9"/>
      <c r="K194" s="10"/>
      <c r="L194" s="6"/>
      <c r="M194" s="11"/>
      <c r="N194" s="6"/>
      <c r="O194" s="6"/>
      <c r="P194" s="10"/>
      <c r="Q194" s="6"/>
      <c r="R194" s="6"/>
      <c r="S194" s="6"/>
      <c r="T194" s="6"/>
      <c r="U194" s="9"/>
      <c r="AI194" s="6"/>
      <c r="AJ194" s="12"/>
      <c r="AL194" s="13"/>
    </row>
    <row r="195">
      <c r="A195" s="5"/>
      <c r="B195" s="5"/>
      <c r="C195" s="5"/>
      <c r="D195" s="5"/>
      <c r="E195" s="6"/>
      <c r="F195" s="6"/>
      <c r="G195" s="18"/>
      <c r="I195" s="16"/>
      <c r="J195" s="9"/>
      <c r="K195" s="10"/>
      <c r="L195" s="6"/>
      <c r="M195" s="11"/>
      <c r="N195" s="6"/>
      <c r="O195" s="6"/>
      <c r="P195" s="10"/>
      <c r="Q195" s="6"/>
      <c r="R195" s="6"/>
      <c r="S195" s="6"/>
      <c r="T195" s="6"/>
      <c r="U195" s="9"/>
      <c r="AI195" s="6"/>
      <c r="AJ195" s="12"/>
      <c r="AL195" s="13"/>
    </row>
    <row r="196">
      <c r="A196" s="5"/>
      <c r="B196" s="5"/>
      <c r="C196" s="5"/>
      <c r="D196" s="5"/>
      <c r="E196" s="6"/>
      <c r="F196" s="6"/>
      <c r="G196" s="18"/>
      <c r="I196" s="16"/>
      <c r="J196" s="9"/>
      <c r="K196" s="10"/>
      <c r="L196" s="6"/>
      <c r="M196" s="11"/>
      <c r="N196" s="6"/>
      <c r="O196" s="6"/>
      <c r="P196" s="10"/>
      <c r="Q196" s="6"/>
      <c r="R196" s="6"/>
      <c r="S196" s="6"/>
      <c r="T196" s="6"/>
      <c r="U196" s="9"/>
      <c r="AI196" s="6"/>
      <c r="AJ196" s="12"/>
      <c r="AL196" s="13"/>
    </row>
    <row r="197">
      <c r="A197" s="5"/>
      <c r="B197" s="5"/>
      <c r="C197" s="5"/>
      <c r="D197" s="5"/>
      <c r="E197" s="6"/>
      <c r="F197" s="6"/>
      <c r="G197" s="18"/>
      <c r="I197" s="16"/>
      <c r="J197" s="9"/>
      <c r="K197" s="10"/>
      <c r="L197" s="6"/>
      <c r="M197" s="11"/>
      <c r="N197" s="6"/>
      <c r="O197" s="6"/>
      <c r="P197" s="10"/>
      <c r="Q197" s="6"/>
      <c r="R197" s="6"/>
      <c r="S197" s="6"/>
      <c r="T197" s="6"/>
      <c r="U197" s="9"/>
      <c r="AI197" s="6"/>
      <c r="AJ197" s="12"/>
      <c r="AL197" s="13"/>
    </row>
    <row r="198">
      <c r="A198" s="5"/>
      <c r="B198" s="5"/>
      <c r="C198" s="5"/>
      <c r="D198" s="5"/>
      <c r="E198" s="6"/>
      <c r="F198" s="6"/>
      <c r="G198" s="18"/>
      <c r="I198" s="16"/>
      <c r="J198" s="9"/>
      <c r="K198" s="10"/>
      <c r="L198" s="6"/>
      <c r="M198" s="11"/>
      <c r="N198" s="6"/>
      <c r="O198" s="6"/>
      <c r="P198" s="10"/>
      <c r="Q198" s="6"/>
      <c r="R198" s="6"/>
      <c r="S198" s="6"/>
      <c r="T198" s="6"/>
      <c r="U198" s="9"/>
      <c r="AI198" s="6"/>
      <c r="AJ198" s="12"/>
      <c r="AL198" s="13"/>
    </row>
    <row r="199">
      <c r="A199" s="5"/>
      <c r="B199" s="5"/>
      <c r="C199" s="5"/>
      <c r="D199" s="5"/>
      <c r="E199" s="6"/>
      <c r="F199" s="6"/>
      <c r="G199" s="18"/>
      <c r="I199" s="16"/>
      <c r="J199" s="9"/>
      <c r="K199" s="10"/>
      <c r="L199" s="6"/>
      <c r="M199" s="11"/>
      <c r="N199" s="6"/>
      <c r="O199" s="6"/>
      <c r="P199" s="10"/>
      <c r="Q199" s="6"/>
      <c r="R199" s="6"/>
      <c r="S199" s="6"/>
      <c r="T199" s="6"/>
      <c r="U199" s="9"/>
      <c r="AI199" s="6"/>
      <c r="AJ199" s="12"/>
      <c r="AL199" s="13"/>
    </row>
    <row r="200">
      <c r="A200" s="5"/>
      <c r="B200" s="5"/>
      <c r="C200" s="5"/>
      <c r="D200" s="5"/>
      <c r="E200" s="6"/>
      <c r="F200" s="6"/>
      <c r="G200" s="18"/>
      <c r="I200" s="16"/>
      <c r="J200" s="9"/>
      <c r="K200" s="10"/>
      <c r="L200" s="6"/>
      <c r="M200" s="11"/>
      <c r="N200" s="6"/>
      <c r="O200" s="6"/>
      <c r="P200" s="10"/>
      <c r="Q200" s="6"/>
      <c r="R200" s="6"/>
      <c r="S200" s="6"/>
      <c r="T200" s="6"/>
      <c r="U200" s="9"/>
      <c r="AI200" s="6"/>
      <c r="AJ200" s="12"/>
      <c r="AL200" s="13"/>
    </row>
    <row r="201">
      <c r="A201" s="5"/>
      <c r="B201" s="5"/>
      <c r="C201" s="5"/>
      <c r="D201" s="5"/>
      <c r="E201" s="6"/>
      <c r="F201" s="6"/>
      <c r="G201" s="18"/>
      <c r="I201" s="16"/>
      <c r="J201" s="9"/>
      <c r="K201" s="10"/>
      <c r="L201" s="6"/>
      <c r="M201" s="11"/>
      <c r="N201" s="6"/>
      <c r="O201" s="6"/>
      <c r="P201" s="10"/>
      <c r="Q201" s="6"/>
      <c r="R201" s="6"/>
      <c r="S201" s="6"/>
      <c r="T201" s="6"/>
      <c r="U201" s="9"/>
      <c r="AI201" s="6"/>
      <c r="AJ201" s="12"/>
      <c r="AL201" s="13"/>
    </row>
    <row r="202">
      <c r="A202" s="5"/>
      <c r="B202" s="5"/>
      <c r="C202" s="5"/>
      <c r="D202" s="5"/>
      <c r="E202" s="6"/>
      <c r="F202" s="6"/>
      <c r="G202" s="18"/>
      <c r="I202" s="16"/>
      <c r="J202" s="9"/>
      <c r="K202" s="10"/>
      <c r="L202" s="6"/>
      <c r="M202" s="11"/>
      <c r="N202" s="6"/>
      <c r="O202" s="6"/>
      <c r="P202" s="10"/>
      <c r="Q202" s="6"/>
      <c r="R202" s="6"/>
      <c r="S202" s="6"/>
      <c r="T202" s="6"/>
      <c r="U202" s="9"/>
      <c r="AI202" s="6"/>
      <c r="AJ202" s="12"/>
      <c r="AL202" s="13"/>
    </row>
    <row r="203">
      <c r="A203" s="5"/>
      <c r="B203" s="5"/>
      <c r="C203" s="5"/>
      <c r="D203" s="5"/>
      <c r="E203" s="6"/>
      <c r="F203" s="6"/>
      <c r="G203" s="18"/>
      <c r="I203" s="16"/>
      <c r="J203" s="9"/>
      <c r="K203" s="10"/>
      <c r="L203" s="6"/>
      <c r="M203" s="11"/>
      <c r="N203" s="6"/>
      <c r="O203" s="6"/>
      <c r="P203" s="10"/>
      <c r="Q203" s="6"/>
      <c r="R203" s="6"/>
      <c r="S203" s="6"/>
      <c r="T203" s="6"/>
      <c r="U203" s="9"/>
      <c r="AI203" s="6"/>
      <c r="AJ203" s="12"/>
      <c r="AL203" s="13"/>
    </row>
    <row r="204">
      <c r="A204" s="5"/>
      <c r="B204" s="5"/>
      <c r="C204" s="5"/>
      <c r="D204" s="5"/>
      <c r="E204" s="6"/>
      <c r="F204" s="6"/>
      <c r="G204" s="18"/>
      <c r="I204" s="16"/>
      <c r="J204" s="9"/>
      <c r="K204" s="10"/>
      <c r="L204" s="6"/>
      <c r="M204" s="11"/>
      <c r="N204" s="6"/>
      <c r="O204" s="6"/>
      <c r="P204" s="10"/>
      <c r="Q204" s="6"/>
      <c r="R204" s="6"/>
      <c r="S204" s="6"/>
      <c r="T204" s="6"/>
      <c r="U204" s="9"/>
      <c r="AI204" s="6"/>
      <c r="AJ204" s="12"/>
      <c r="AL204" s="13"/>
    </row>
    <row r="205">
      <c r="A205" s="5"/>
      <c r="B205" s="5"/>
      <c r="C205" s="5"/>
      <c r="D205" s="5"/>
      <c r="E205" s="6"/>
      <c r="F205" s="6"/>
      <c r="G205" s="18"/>
      <c r="I205" s="16"/>
      <c r="J205" s="9"/>
      <c r="K205" s="10"/>
      <c r="L205" s="6"/>
      <c r="M205" s="11"/>
      <c r="N205" s="6"/>
      <c r="O205" s="6"/>
      <c r="P205" s="10"/>
      <c r="Q205" s="6"/>
      <c r="R205" s="6"/>
      <c r="S205" s="6"/>
      <c r="T205" s="6"/>
      <c r="U205" s="9"/>
      <c r="AI205" s="6"/>
      <c r="AJ205" s="12"/>
      <c r="AL205" s="13"/>
    </row>
    <row r="206">
      <c r="A206" s="5"/>
      <c r="B206" s="5"/>
      <c r="C206" s="5"/>
      <c r="D206" s="5"/>
      <c r="E206" s="6"/>
      <c r="F206" s="6"/>
      <c r="G206" s="18"/>
      <c r="I206" s="16"/>
      <c r="J206" s="9"/>
      <c r="K206" s="10"/>
      <c r="L206" s="6"/>
      <c r="M206" s="11"/>
      <c r="N206" s="6"/>
      <c r="O206" s="6"/>
      <c r="P206" s="10"/>
      <c r="Q206" s="6"/>
      <c r="R206" s="6"/>
      <c r="S206" s="6"/>
      <c r="T206" s="6"/>
      <c r="U206" s="9"/>
      <c r="AI206" s="6"/>
      <c r="AJ206" s="12"/>
      <c r="AL206" s="13"/>
    </row>
    <row r="207">
      <c r="A207" s="5"/>
      <c r="B207" s="5"/>
      <c r="C207" s="5"/>
      <c r="D207" s="5"/>
      <c r="E207" s="6"/>
      <c r="F207" s="6"/>
      <c r="G207" s="18"/>
      <c r="I207" s="16"/>
      <c r="J207" s="9"/>
      <c r="K207" s="10"/>
      <c r="L207" s="6"/>
      <c r="M207" s="11"/>
      <c r="N207" s="6"/>
      <c r="O207" s="6"/>
      <c r="P207" s="10"/>
      <c r="Q207" s="6"/>
      <c r="R207" s="6"/>
      <c r="S207" s="6"/>
      <c r="T207" s="6"/>
      <c r="U207" s="9"/>
      <c r="AI207" s="6"/>
      <c r="AJ207" s="12"/>
      <c r="AL207" s="13"/>
    </row>
    <row r="208">
      <c r="A208" s="5"/>
      <c r="B208" s="5"/>
      <c r="C208" s="5"/>
      <c r="D208" s="5"/>
      <c r="E208" s="6"/>
      <c r="F208" s="6"/>
      <c r="G208" s="18"/>
      <c r="I208" s="16"/>
      <c r="J208" s="9"/>
      <c r="K208" s="10"/>
      <c r="L208" s="6"/>
      <c r="M208" s="11"/>
      <c r="N208" s="6"/>
      <c r="O208" s="6"/>
      <c r="P208" s="10"/>
      <c r="Q208" s="6"/>
      <c r="R208" s="6"/>
      <c r="S208" s="6"/>
      <c r="T208" s="6"/>
      <c r="U208" s="9"/>
      <c r="AI208" s="6"/>
      <c r="AJ208" s="12"/>
      <c r="AL208" s="13"/>
    </row>
    <row r="209">
      <c r="A209" s="5"/>
      <c r="B209" s="5"/>
      <c r="C209" s="5"/>
      <c r="D209" s="5"/>
      <c r="E209" s="6"/>
      <c r="F209" s="6"/>
      <c r="G209" s="18"/>
      <c r="I209" s="16"/>
      <c r="J209" s="9"/>
      <c r="K209" s="10"/>
      <c r="L209" s="6"/>
      <c r="M209" s="11"/>
      <c r="N209" s="6"/>
      <c r="O209" s="6"/>
      <c r="P209" s="10"/>
      <c r="Q209" s="6"/>
      <c r="R209" s="6"/>
      <c r="S209" s="6"/>
      <c r="T209" s="6"/>
      <c r="U209" s="9"/>
      <c r="AI209" s="6"/>
      <c r="AJ209" s="12"/>
      <c r="AL209" s="13"/>
    </row>
    <row r="210">
      <c r="A210" s="5"/>
      <c r="B210" s="5"/>
      <c r="C210" s="5"/>
      <c r="D210" s="5"/>
      <c r="E210" s="6"/>
      <c r="F210" s="6"/>
      <c r="G210" s="18"/>
      <c r="I210" s="16"/>
      <c r="J210" s="9"/>
      <c r="K210" s="10"/>
      <c r="L210" s="6"/>
      <c r="M210" s="11"/>
      <c r="N210" s="6"/>
      <c r="O210" s="6"/>
      <c r="P210" s="10"/>
      <c r="Q210" s="6"/>
      <c r="R210" s="6"/>
      <c r="S210" s="6"/>
      <c r="T210" s="6"/>
      <c r="U210" s="9"/>
      <c r="AI210" s="6"/>
      <c r="AJ210" s="12"/>
      <c r="AL210" s="13"/>
    </row>
    <row r="211">
      <c r="A211" s="5"/>
      <c r="B211" s="5"/>
      <c r="C211" s="5"/>
      <c r="D211" s="5"/>
      <c r="E211" s="6"/>
      <c r="F211" s="6"/>
      <c r="G211" s="18"/>
      <c r="I211" s="16"/>
      <c r="J211" s="9"/>
      <c r="K211" s="10"/>
      <c r="L211" s="6"/>
      <c r="M211" s="11"/>
      <c r="N211" s="6"/>
      <c r="O211" s="6"/>
      <c r="P211" s="10"/>
      <c r="Q211" s="6"/>
      <c r="R211" s="6"/>
      <c r="S211" s="6"/>
      <c r="T211" s="6"/>
      <c r="U211" s="9"/>
      <c r="AI211" s="6"/>
      <c r="AJ211" s="12"/>
      <c r="AL211" s="13"/>
    </row>
    <row r="212">
      <c r="A212" s="5"/>
      <c r="B212" s="5"/>
      <c r="C212" s="5"/>
      <c r="D212" s="5"/>
      <c r="E212" s="6"/>
      <c r="F212" s="6"/>
      <c r="G212" s="18"/>
      <c r="I212" s="16"/>
      <c r="J212" s="9"/>
      <c r="K212" s="10"/>
      <c r="L212" s="6"/>
      <c r="M212" s="11"/>
      <c r="N212" s="6"/>
      <c r="O212" s="6"/>
      <c r="P212" s="10"/>
      <c r="Q212" s="6"/>
      <c r="R212" s="6"/>
      <c r="S212" s="6"/>
      <c r="T212" s="6"/>
      <c r="U212" s="9"/>
      <c r="AI212" s="6"/>
      <c r="AJ212" s="12"/>
      <c r="AL212" s="13"/>
    </row>
    <row r="213">
      <c r="A213" s="5"/>
      <c r="B213" s="5"/>
      <c r="C213" s="5"/>
      <c r="D213" s="5"/>
      <c r="E213" s="6"/>
      <c r="F213" s="6"/>
      <c r="G213" s="18"/>
      <c r="I213" s="16"/>
      <c r="J213" s="9"/>
      <c r="K213" s="10"/>
      <c r="L213" s="6"/>
      <c r="M213" s="11"/>
      <c r="N213" s="6"/>
      <c r="O213" s="6"/>
      <c r="P213" s="10"/>
      <c r="Q213" s="6"/>
      <c r="R213" s="6"/>
      <c r="S213" s="6"/>
      <c r="T213" s="6"/>
      <c r="U213" s="9"/>
      <c r="AI213" s="6"/>
      <c r="AJ213" s="12"/>
      <c r="AL213" s="13"/>
    </row>
    <row r="214">
      <c r="A214" s="5"/>
      <c r="B214" s="5"/>
      <c r="C214" s="5"/>
      <c r="D214" s="5"/>
      <c r="E214" s="6"/>
      <c r="F214" s="6"/>
      <c r="G214" s="18"/>
      <c r="I214" s="16"/>
      <c r="J214" s="9"/>
      <c r="K214" s="10"/>
      <c r="L214" s="6"/>
      <c r="M214" s="11"/>
      <c r="N214" s="6"/>
      <c r="O214" s="6"/>
      <c r="P214" s="10"/>
      <c r="Q214" s="6"/>
      <c r="R214" s="6"/>
      <c r="S214" s="6"/>
      <c r="T214" s="6"/>
      <c r="U214" s="9"/>
      <c r="AI214" s="6"/>
      <c r="AJ214" s="12"/>
      <c r="AL214" s="13"/>
    </row>
    <row r="215">
      <c r="A215" s="5"/>
      <c r="B215" s="5"/>
      <c r="C215" s="5"/>
      <c r="D215" s="5"/>
      <c r="E215" s="6"/>
      <c r="F215" s="6"/>
      <c r="G215" s="18"/>
      <c r="I215" s="16"/>
      <c r="J215" s="9"/>
      <c r="K215" s="10"/>
      <c r="L215" s="6"/>
      <c r="M215" s="11"/>
      <c r="N215" s="6"/>
      <c r="O215" s="6"/>
      <c r="P215" s="10"/>
      <c r="Q215" s="6"/>
      <c r="R215" s="6"/>
      <c r="S215" s="6"/>
      <c r="T215" s="6"/>
      <c r="U215" s="9"/>
      <c r="AI215" s="6"/>
      <c r="AJ215" s="12"/>
      <c r="AL215" s="13"/>
    </row>
    <row r="216">
      <c r="A216" s="5"/>
      <c r="B216" s="5"/>
      <c r="C216" s="5"/>
      <c r="D216" s="5"/>
      <c r="E216" s="6"/>
      <c r="F216" s="6"/>
      <c r="G216" s="18"/>
      <c r="I216" s="16"/>
      <c r="J216" s="9"/>
      <c r="K216" s="10"/>
      <c r="L216" s="6"/>
      <c r="M216" s="11"/>
      <c r="N216" s="6"/>
      <c r="O216" s="6"/>
      <c r="P216" s="10"/>
      <c r="Q216" s="6"/>
      <c r="R216" s="6"/>
      <c r="S216" s="6"/>
      <c r="T216" s="6"/>
      <c r="U216" s="9"/>
      <c r="AI216" s="6"/>
      <c r="AJ216" s="12"/>
      <c r="AL216" s="13"/>
    </row>
    <row r="217">
      <c r="A217" s="5"/>
      <c r="B217" s="5"/>
      <c r="C217" s="5"/>
      <c r="D217" s="5"/>
      <c r="E217" s="6"/>
      <c r="F217" s="6"/>
      <c r="G217" s="18"/>
      <c r="I217" s="16"/>
      <c r="J217" s="9"/>
      <c r="K217" s="10"/>
      <c r="L217" s="6"/>
      <c r="M217" s="11"/>
      <c r="N217" s="6"/>
      <c r="O217" s="6"/>
      <c r="P217" s="10"/>
      <c r="Q217" s="6"/>
      <c r="R217" s="6"/>
      <c r="S217" s="6"/>
      <c r="T217" s="6"/>
      <c r="U217" s="9"/>
      <c r="AI217" s="6"/>
      <c r="AJ217" s="12"/>
      <c r="AL217" s="13"/>
    </row>
    <row r="218">
      <c r="A218" s="5"/>
      <c r="B218" s="5"/>
      <c r="C218" s="5"/>
      <c r="D218" s="5"/>
      <c r="E218" s="6"/>
      <c r="F218" s="6"/>
      <c r="G218" s="18"/>
      <c r="I218" s="16"/>
      <c r="J218" s="9"/>
      <c r="K218" s="10"/>
      <c r="L218" s="6"/>
      <c r="M218" s="11"/>
      <c r="N218" s="6"/>
      <c r="O218" s="6"/>
      <c r="P218" s="10"/>
      <c r="Q218" s="6"/>
      <c r="R218" s="6"/>
      <c r="S218" s="6"/>
      <c r="T218" s="6"/>
      <c r="U218" s="9"/>
      <c r="AI218" s="6"/>
      <c r="AJ218" s="12"/>
      <c r="AL218" s="13"/>
    </row>
    <row r="219">
      <c r="A219" s="5"/>
      <c r="B219" s="5"/>
      <c r="C219" s="5"/>
      <c r="D219" s="5"/>
      <c r="E219" s="6"/>
      <c r="F219" s="6"/>
      <c r="G219" s="18"/>
      <c r="I219" s="16"/>
      <c r="J219" s="9"/>
      <c r="K219" s="10"/>
      <c r="L219" s="6"/>
      <c r="M219" s="11"/>
      <c r="N219" s="6"/>
      <c r="O219" s="6"/>
      <c r="P219" s="10"/>
      <c r="Q219" s="6"/>
      <c r="R219" s="6"/>
      <c r="S219" s="6"/>
      <c r="T219" s="6"/>
      <c r="U219" s="9"/>
      <c r="AI219" s="6"/>
      <c r="AJ219" s="12"/>
      <c r="AL219" s="13"/>
    </row>
    <row r="220">
      <c r="A220" s="5"/>
      <c r="B220" s="5"/>
      <c r="C220" s="5"/>
      <c r="D220" s="5"/>
      <c r="E220" s="6"/>
      <c r="F220" s="6"/>
      <c r="G220" s="18"/>
      <c r="I220" s="16"/>
      <c r="J220" s="9"/>
      <c r="K220" s="10"/>
      <c r="L220" s="6"/>
      <c r="M220" s="11"/>
      <c r="N220" s="6"/>
      <c r="O220" s="6"/>
      <c r="P220" s="10"/>
      <c r="Q220" s="6"/>
      <c r="R220" s="6"/>
      <c r="S220" s="6"/>
      <c r="T220" s="6"/>
      <c r="U220" s="9"/>
      <c r="AI220" s="6"/>
      <c r="AJ220" s="12"/>
      <c r="AL220" s="13"/>
    </row>
    <row r="221">
      <c r="A221" s="5"/>
      <c r="B221" s="5"/>
      <c r="C221" s="5"/>
      <c r="D221" s="5"/>
      <c r="E221" s="6"/>
      <c r="F221" s="6"/>
      <c r="G221" s="18"/>
      <c r="I221" s="16"/>
      <c r="J221" s="9"/>
      <c r="K221" s="10"/>
      <c r="L221" s="6"/>
      <c r="M221" s="11"/>
      <c r="N221" s="6"/>
      <c r="O221" s="6"/>
      <c r="P221" s="10"/>
      <c r="Q221" s="6"/>
      <c r="R221" s="6"/>
      <c r="S221" s="6"/>
      <c r="T221" s="6"/>
      <c r="U221" s="9"/>
      <c r="AI221" s="6"/>
      <c r="AJ221" s="12"/>
      <c r="AL221" s="13"/>
    </row>
    <row r="222">
      <c r="A222" s="5"/>
      <c r="B222" s="5"/>
      <c r="C222" s="5"/>
      <c r="D222" s="5"/>
      <c r="E222" s="6"/>
      <c r="F222" s="6"/>
      <c r="G222" s="18"/>
      <c r="I222" s="16"/>
      <c r="J222" s="9"/>
      <c r="K222" s="10"/>
      <c r="L222" s="6"/>
      <c r="M222" s="11"/>
      <c r="N222" s="6"/>
      <c r="O222" s="6"/>
      <c r="P222" s="10"/>
      <c r="Q222" s="6"/>
      <c r="R222" s="6"/>
      <c r="S222" s="6"/>
      <c r="T222" s="6"/>
      <c r="U222" s="9"/>
      <c r="AI222" s="6"/>
      <c r="AJ222" s="12"/>
      <c r="AL222" s="13"/>
    </row>
    <row r="223">
      <c r="A223" s="5"/>
      <c r="B223" s="5"/>
      <c r="C223" s="5"/>
      <c r="D223" s="5"/>
      <c r="E223" s="6"/>
      <c r="F223" s="6"/>
      <c r="G223" s="18"/>
      <c r="I223" s="16"/>
      <c r="J223" s="9"/>
      <c r="K223" s="10"/>
      <c r="L223" s="6"/>
      <c r="M223" s="11"/>
      <c r="N223" s="6"/>
      <c r="O223" s="6"/>
      <c r="P223" s="10"/>
      <c r="Q223" s="6"/>
      <c r="R223" s="6"/>
      <c r="S223" s="6"/>
      <c r="T223" s="6"/>
      <c r="U223" s="9"/>
      <c r="AI223" s="6"/>
      <c r="AJ223" s="12"/>
      <c r="AL223" s="13"/>
    </row>
    <row r="224">
      <c r="A224" s="5"/>
      <c r="B224" s="5"/>
      <c r="C224" s="5"/>
      <c r="D224" s="5"/>
      <c r="E224" s="6"/>
      <c r="F224" s="6"/>
      <c r="G224" s="18"/>
      <c r="I224" s="16"/>
      <c r="J224" s="9"/>
      <c r="K224" s="10"/>
      <c r="L224" s="6"/>
      <c r="M224" s="11"/>
      <c r="N224" s="6"/>
      <c r="O224" s="6"/>
      <c r="P224" s="10"/>
      <c r="Q224" s="6"/>
      <c r="R224" s="6"/>
      <c r="S224" s="6"/>
      <c r="T224" s="6"/>
      <c r="U224" s="9"/>
      <c r="AI224" s="6"/>
      <c r="AJ224" s="12"/>
      <c r="AL224" s="13"/>
    </row>
    <row r="225">
      <c r="A225" s="5"/>
      <c r="B225" s="5"/>
      <c r="C225" s="5"/>
      <c r="D225" s="5"/>
      <c r="E225" s="6"/>
      <c r="F225" s="6"/>
      <c r="G225" s="18"/>
      <c r="I225" s="16"/>
      <c r="J225" s="9"/>
      <c r="K225" s="10"/>
      <c r="L225" s="6"/>
      <c r="M225" s="11"/>
      <c r="N225" s="6"/>
      <c r="O225" s="6"/>
      <c r="P225" s="10"/>
      <c r="Q225" s="6"/>
      <c r="R225" s="6"/>
      <c r="S225" s="6"/>
      <c r="T225" s="6"/>
      <c r="U225" s="9"/>
      <c r="AI225" s="6"/>
      <c r="AJ225" s="12"/>
      <c r="AL225" s="13"/>
    </row>
    <row r="226">
      <c r="A226" s="5"/>
      <c r="B226" s="5"/>
      <c r="C226" s="5"/>
      <c r="D226" s="5"/>
      <c r="E226" s="6"/>
      <c r="F226" s="6"/>
      <c r="G226" s="18"/>
      <c r="I226" s="16"/>
      <c r="J226" s="9"/>
      <c r="K226" s="10"/>
      <c r="L226" s="6"/>
      <c r="M226" s="11"/>
      <c r="N226" s="6"/>
      <c r="O226" s="6"/>
      <c r="P226" s="10"/>
      <c r="Q226" s="6"/>
      <c r="R226" s="6"/>
      <c r="S226" s="6"/>
      <c r="T226" s="6"/>
      <c r="U226" s="9"/>
      <c r="AI226" s="6"/>
      <c r="AJ226" s="12"/>
      <c r="AL226" s="13"/>
    </row>
    <row r="227">
      <c r="A227" s="5"/>
      <c r="B227" s="5"/>
      <c r="C227" s="5"/>
      <c r="D227" s="5"/>
      <c r="E227" s="6"/>
      <c r="F227" s="6"/>
      <c r="G227" s="18"/>
      <c r="I227" s="16"/>
      <c r="J227" s="9"/>
      <c r="K227" s="10"/>
      <c r="L227" s="6"/>
      <c r="M227" s="11"/>
      <c r="N227" s="6"/>
      <c r="O227" s="6"/>
      <c r="P227" s="10"/>
      <c r="Q227" s="6"/>
      <c r="R227" s="6"/>
      <c r="S227" s="6"/>
      <c r="T227" s="6"/>
      <c r="U227" s="9"/>
      <c r="AI227" s="6"/>
      <c r="AJ227" s="12"/>
      <c r="AL227" s="13"/>
    </row>
    <row r="228">
      <c r="A228" s="5"/>
      <c r="B228" s="5"/>
      <c r="C228" s="5"/>
      <c r="D228" s="5"/>
      <c r="E228" s="6"/>
      <c r="F228" s="6"/>
      <c r="G228" s="18"/>
      <c r="I228" s="16"/>
      <c r="J228" s="9"/>
      <c r="K228" s="10"/>
      <c r="L228" s="6"/>
      <c r="M228" s="11"/>
      <c r="N228" s="6"/>
      <c r="O228" s="6"/>
      <c r="P228" s="10"/>
      <c r="Q228" s="6"/>
      <c r="R228" s="6"/>
      <c r="S228" s="6"/>
      <c r="T228" s="6"/>
      <c r="U228" s="9"/>
      <c r="AI228" s="6"/>
      <c r="AJ228" s="12"/>
      <c r="AL228" s="13"/>
    </row>
    <row r="229">
      <c r="A229" s="5"/>
      <c r="B229" s="5"/>
      <c r="C229" s="5"/>
      <c r="D229" s="5"/>
      <c r="E229" s="6"/>
      <c r="F229" s="6"/>
      <c r="G229" s="18"/>
      <c r="I229" s="16"/>
      <c r="J229" s="9"/>
      <c r="K229" s="10"/>
      <c r="L229" s="6"/>
      <c r="M229" s="11"/>
      <c r="N229" s="6"/>
      <c r="O229" s="6"/>
      <c r="P229" s="10"/>
      <c r="Q229" s="6"/>
      <c r="R229" s="6"/>
      <c r="S229" s="6"/>
      <c r="T229" s="6"/>
      <c r="U229" s="9"/>
      <c r="AI229" s="6"/>
      <c r="AJ229" s="12"/>
      <c r="AL229" s="13"/>
    </row>
    <row r="230">
      <c r="A230" s="5"/>
      <c r="B230" s="5"/>
      <c r="C230" s="5"/>
      <c r="D230" s="5"/>
      <c r="E230" s="6"/>
      <c r="F230" s="6"/>
      <c r="G230" s="18"/>
      <c r="I230" s="16"/>
      <c r="J230" s="9"/>
      <c r="K230" s="10"/>
      <c r="L230" s="6"/>
      <c r="M230" s="11"/>
      <c r="N230" s="6"/>
      <c r="O230" s="6"/>
      <c r="P230" s="10"/>
      <c r="Q230" s="6"/>
      <c r="R230" s="6"/>
      <c r="S230" s="6"/>
      <c r="T230" s="6"/>
      <c r="U230" s="9"/>
      <c r="AI230" s="6"/>
      <c r="AJ230" s="12"/>
      <c r="AL230" s="13"/>
    </row>
    <row r="231">
      <c r="A231" s="5"/>
      <c r="B231" s="5"/>
      <c r="C231" s="5"/>
      <c r="D231" s="5"/>
      <c r="E231" s="6"/>
      <c r="F231" s="6"/>
      <c r="G231" s="18"/>
      <c r="I231" s="16"/>
      <c r="J231" s="9"/>
      <c r="K231" s="10"/>
      <c r="L231" s="6"/>
      <c r="M231" s="11"/>
      <c r="N231" s="6"/>
      <c r="O231" s="6"/>
      <c r="P231" s="10"/>
      <c r="Q231" s="6"/>
      <c r="R231" s="6"/>
      <c r="S231" s="6"/>
      <c r="T231" s="6"/>
      <c r="U231" s="9"/>
      <c r="AI231" s="6"/>
      <c r="AJ231" s="12"/>
      <c r="AL231" s="13"/>
    </row>
    <row r="232">
      <c r="A232" s="5"/>
      <c r="B232" s="5"/>
      <c r="C232" s="5"/>
      <c r="D232" s="5"/>
      <c r="E232" s="6"/>
      <c r="F232" s="6"/>
      <c r="G232" s="18"/>
      <c r="I232" s="16"/>
      <c r="J232" s="9"/>
      <c r="K232" s="10"/>
      <c r="L232" s="6"/>
      <c r="M232" s="11"/>
      <c r="N232" s="6"/>
      <c r="O232" s="6"/>
      <c r="P232" s="10"/>
      <c r="Q232" s="6"/>
      <c r="R232" s="6"/>
      <c r="S232" s="6"/>
      <c r="T232" s="6"/>
      <c r="U232" s="9"/>
      <c r="AI232" s="6"/>
      <c r="AJ232" s="12"/>
      <c r="AL232" s="13"/>
    </row>
    <row r="233">
      <c r="A233" s="5"/>
      <c r="B233" s="5"/>
      <c r="C233" s="5"/>
      <c r="D233" s="5"/>
      <c r="E233" s="6"/>
      <c r="F233" s="6"/>
      <c r="G233" s="18"/>
      <c r="I233" s="16"/>
      <c r="J233" s="9"/>
      <c r="K233" s="10"/>
      <c r="L233" s="6"/>
      <c r="M233" s="11"/>
      <c r="N233" s="6"/>
      <c r="O233" s="6"/>
      <c r="P233" s="10"/>
      <c r="Q233" s="6"/>
      <c r="R233" s="6"/>
      <c r="S233" s="6"/>
      <c r="T233" s="6"/>
      <c r="U233" s="9"/>
      <c r="AI233" s="6"/>
      <c r="AJ233" s="12"/>
      <c r="AL233" s="13"/>
    </row>
    <row r="234">
      <c r="A234" s="5"/>
      <c r="B234" s="5"/>
      <c r="C234" s="5"/>
      <c r="D234" s="5"/>
      <c r="E234" s="6"/>
      <c r="F234" s="6"/>
      <c r="G234" s="18"/>
      <c r="I234" s="16"/>
      <c r="J234" s="9"/>
      <c r="K234" s="10"/>
      <c r="L234" s="6"/>
      <c r="M234" s="11"/>
      <c r="N234" s="6"/>
      <c r="O234" s="6"/>
      <c r="P234" s="10"/>
      <c r="Q234" s="6"/>
      <c r="R234" s="6"/>
      <c r="S234" s="6"/>
      <c r="T234" s="6"/>
      <c r="U234" s="9"/>
      <c r="AI234" s="6"/>
      <c r="AJ234" s="12"/>
      <c r="AL234" s="13"/>
    </row>
    <row r="235">
      <c r="A235" s="5"/>
      <c r="B235" s="5"/>
      <c r="C235" s="5"/>
      <c r="D235" s="5"/>
      <c r="E235" s="6"/>
      <c r="F235" s="6"/>
      <c r="G235" s="18"/>
      <c r="I235" s="16"/>
      <c r="J235" s="9"/>
      <c r="K235" s="10"/>
      <c r="L235" s="6"/>
      <c r="M235" s="11"/>
      <c r="N235" s="6"/>
      <c r="O235" s="6"/>
      <c r="P235" s="10"/>
      <c r="Q235" s="6"/>
      <c r="R235" s="6"/>
      <c r="S235" s="6"/>
      <c r="T235" s="6"/>
      <c r="U235" s="9"/>
      <c r="AI235" s="6"/>
      <c r="AJ235" s="12"/>
      <c r="AL235" s="13"/>
    </row>
    <row r="236">
      <c r="A236" s="5"/>
      <c r="B236" s="5"/>
      <c r="C236" s="5"/>
      <c r="D236" s="5"/>
      <c r="E236" s="6"/>
      <c r="F236" s="6"/>
      <c r="G236" s="18"/>
      <c r="I236" s="16"/>
      <c r="J236" s="9"/>
      <c r="K236" s="10"/>
      <c r="L236" s="6"/>
      <c r="M236" s="11"/>
      <c r="N236" s="6"/>
      <c r="O236" s="6"/>
      <c r="P236" s="10"/>
      <c r="Q236" s="6"/>
      <c r="R236" s="6"/>
      <c r="S236" s="6"/>
      <c r="T236" s="6"/>
      <c r="U236" s="9"/>
      <c r="AI236" s="6"/>
      <c r="AJ236" s="12"/>
      <c r="AL236" s="13"/>
    </row>
    <row r="237">
      <c r="A237" s="5"/>
      <c r="B237" s="5"/>
      <c r="C237" s="5"/>
      <c r="D237" s="5"/>
      <c r="E237" s="6"/>
      <c r="F237" s="6"/>
      <c r="G237" s="18"/>
      <c r="I237" s="16"/>
      <c r="J237" s="9"/>
      <c r="K237" s="10"/>
      <c r="L237" s="6"/>
      <c r="M237" s="11"/>
      <c r="N237" s="6"/>
      <c r="O237" s="6"/>
      <c r="P237" s="10"/>
      <c r="Q237" s="6"/>
      <c r="R237" s="6"/>
      <c r="S237" s="6"/>
      <c r="T237" s="6"/>
      <c r="U237" s="9"/>
      <c r="AI237" s="6"/>
      <c r="AJ237" s="12"/>
      <c r="AL237" s="13"/>
    </row>
    <row r="238">
      <c r="A238" s="5"/>
      <c r="B238" s="5"/>
      <c r="C238" s="5"/>
      <c r="D238" s="5"/>
      <c r="E238" s="6"/>
      <c r="F238" s="6"/>
      <c r="G238" s="18"/>
      <c r="I238" s="16"/>
      <c r="J238" s="9"/>
      <c r="K238" s="10"/>
      <c r="L238" s="6"/>
      <c r="M238" s="11"/>
      <c r="N238" s="6"/>
      <c r="O238" s="6"/>
      <c r="P238" s="10"/>
      <c r="Q238" s="6"/>
      <c r="R238" s="6"/>
      <c r="S238" s="6"/>
      <c r="T238" s="6"/>
      <c r="U238" s="9"/>
      <c r="AI238" s="6"/>
      <c r="AJ238" s="12"/>
      <c r="AL238" s="13"/>
    </row>
    <row r="239">
      <c r="A239" s="5"/>
      <c r="B239" s="5"/>
      <c r="C239" s="5"/>
      <c r="D239" s="5"/>
      <c r="E239" s="6"/>
      <c r="F239" s="6"/>
      <c r="G239" s="18"/>
      <c r="I239" s="16"/>
      <c r="J239" s="9"/>
      <c r="K239" s="10"/>
      <c r="L239" s="6"/>
      <c r="M239" s="11"/>
      <c r="N239" s="6"/>
      <c r="O239" s="6"/>
      <c r="P239" s="10"/>
      <c r="Q239" s="6"/>
      <c r="R239" s="6"/>
      <c r="S239" s="6"/>
      <c r="T239" s="6"/>
      <c r="U239" s="9"/>
      <c r="AI239" s="6"/>
      <c r="AJ239" s="12"/>
      <c r="AL239" s="13"/>
    </row>
    <row r="240">
      <c r="A240" s="5"/>
      <c r="B240" s="5"/>
      <c r="C240" s="5"/>
      <c r="D240" s="5"/>
      <c r="E240" s="6"/>
      <c r="F240" s="6"/>
      <c r="G240" s="18"/>
      <c r="I240" s="16"/>
      <c r="J240" s="9"/>
      <c r="K240" s="10"/>
      <c r="L240" s="6"/>
      <c r="M240" s="11"/>
      <c r="N240" s="6"/>
      <c r="O240" s="6"/>
      <c r="P240" s="10"/>
      <c r="Q240" s="6"/>
      <c r="R240" s="6"/>
      <c r="S240" s="6"/>
      <c r="T240" s="6"/>
      <c r="U240" s="9"/>
      <c r="AI240" s="6"/>
      <c r="AJ240" s="12"/>
      <c r="AL240" s="13"/>
    </row>
    <row r="241">
      <c r="A241" s="5"/>
      <c r="B241" s="5"/>
      <c r="C241" s="5"/>
      <c r="D241" s="5"/>
      <c r="E241" s="6"/>
      <c r="F241" s="6"/>
      <c r="G241" s="18"/>
      <c r="I241" s="16"/>
      <c r="J241" s="9"/>
      <c r="K241" s="10"/>
      <c r="L241" s="6"/>
      <c r="M241" s="11"/>
      <c r="N241" s="6"/>
      <c r="O241" s="6"/>
      <c r="P241" s="10"/>
      <c r="Q241" s="6"/>
      <c r="R241" s="6"/>
      <c r="S241" s="6"/>
      <c r="T241" s="6"/>
      <c r="U241" s="9"/>
      <c r="AI241" s="6"/>
      <c r="AJ241" s="12"/>
      <c r="AL241" s="13"/>
    </row>
    <row r="242">
      <c r="A242" s="5"/>
      <c r="B242" s="5"/>
      <c r="C242" s="5"/>
      <c r="D242" s="5"/>
      <c r="E242" s="6"/>
      <c r="F242" s="6"/>
      <c r="G242" s="18"/>
      <c r="I242" s="16"/>
      <c r="J242" s="9"/>
      <c r="K242" s="10"/>
      <c r="L242" s="6"/>
      <c r="M242" s="11"/>
      <c r="N242" s="6"/>
      <c r="O242" s="6"/>
      <c r="P242" s="10"/>
      <c r="Q242" s="6"/>
      <c r="R242" s="6"/>
      <c r="S242" s="6"/>
      <c r="T242" s="6"/>
      <c r="U242" s="9"/>
      <c r="AI242" s="6"/>
      <c r="AJ242" s="12"/>
      <c r="AL242" s="13"/>
    </row>
    <row r="243">
      <c r="A243" s="5"/>
      <c r="B243" s="5"/>
      <c r="C243" s="5"/>
      <c r="D243" s="5"/>
      <c r="E243" s="6"/>
      <c r="F243" s="6"/>
      <c r="G243" s="18"/>
      <c r="I243" s="16"/>
      <c r="J243" s="9"/>
      <c r="K243" s="10"/>
      <c r="L243" s="6"/>
      <c r="M243" s="11"/>
      <c r="N243" s="6"/>
      <c r="O243" s="6"/>
      <c r="P243" s="10"/>
      <c r="Q243" s="6"/>
      <c r="R243" s="6"/>
      <c r="S243" s="6"/>
      <c r="T243" s="6"/>
      <c r="U243" s="9"/>
      <c r="AI243" s="6"/>
      <c r="AJ243" s="12"/>
      <c r="AL243" s="13"/>
    </row>
    <row r="244">
      <c r="A244" s="5"/>
      <c r="B244" s="5"/>
      <c r="C244" s="5"/>
      <c r="D244" s="5"/>
      <c r="E244" s="6"/>
      <c r="F244" s="6"/>
      <c r="G244" s="18"/>
      <c r="I244" s="16"/>
      <c r="J244" s="9"/>
      <c r="K244" s="10"/>
      <c r="L244" s="6"/>
      <c r="M244" s="11"/>
      <c r="N244" s="6"/>
      <c r="O244" s="6"/>
      <c r="P244" s="10"/>
      <c r="Q244" s="6"/>
      <c r="R244" s="6"/>
      <c r="S244" s="6"/>
      <c r="T244" s="6"/>
      <c r="U244" s="9"/>
      <c r="AI244" s="6"/>
      <c r="AJ244" s="12"/>
      <c r="AL244" s="13"/>
    </row>
    <row r="245">
      <c r="A245" s="5"/>
      <c r="B245" s="5"/>
      <c r="C245" s="5"/>
      <c r="D245" s="5"/>
      <c r="E245" s="6"/>
      <c r="F245" s="6"/>
      <c r="G245" s="18"/>
      <c r="I245" s="16"/>
      <c r="J245" s="9"/>
      <c r="K245" s="10"/>
      <c r="L245" s="6"/>
      <c r="M245" s="11"/>
      <c r="N245" s="6"/>
      <c r="O245" s="6"/>
      <c r="P245" s="10"/>
      <c r="Q245" s="6"/>
      <c r="R245" s="6"/>
      <c r="S245" s="6"/>
      <c r="T245" s="6"/>
      <c r="U245" s="9"/>
      <c r="AI245" s="6"/>
      <c r="AJ245" s="12"/>
      <c r="AL245" s="13"/>
    </row>
    <row r="246">
      <c r="A246" s="5"/>
      <c r="B246" s="5"/>
      <c r="C246" s="5"/>
      <c r="D246" s="5"/>
      <c r="E246" s="6"/>
      <c r="F246" s="6"/>
      <c r="G246" s="18"/>
      <c r="I246" s="16"/>
      <c r="J246" s="9"/>
      <c r="K246" s="10"/>
      <c r="L246" s="6"/>
      <c r="M246" s="11"/>
      <c r="N246" s="6"/>
      <c r="O246" s="6"/>
      <c r="P246" s="10"/>
      <c r="Q246" s="6"/>
      <c r="R246" s="6"/>
      <c r="S246" s="6"/>
      <c r="T246" s="6"/>
      <c r="U246" s="9"/>
      <c r="AI246" s="6"/>
      <c r="AJ246" s="12"/>
      <c r="AL246" s="13"/>
    </row>
    <row r="247">
      <c r="A247" s="5"/>
      <c r="B247" s="5"/>
      <c r="C247" s="5"/>
      <c r="D247" s="5"/>
      <c r="E247" s="6"/>
      <c r="F247" s="6"/>
      <c r="G247" s="18"/>
      <c r="I247" s="16"/>
      <c r="J247" s="9"/>
      <c r="K247" s="10"/>
      <c r="L247" s="6"/>
      <c r="M247" s="11"/>
      <c r="N247" s="6"/>
      <c r="O247" s="6"/>
      <c r="P247" s="10"/>
      <c r="Q247" s="6"/>
      <c r="R247" s="6"/>
      <c r="S247" s="6"/>
      <c r="T247" s="6"/>
      <c r="U247" s="9"/>
      <c r="AI247" s="6"/>
      <c r="AJ247" s="12"/>
      <c r="AL247" s="13"/>
    </row>
    <row r="248">
      <c r="A248" s="5"/>
      <c r="B248" s="5"/>
      <c r="C248" s="5"/>
      <c r="D248" s="5"/>
      <c r="E248" s="6"/>
      <c r="F248" s="6"/>
      <c r="G248" s="18"/>
      <c r="I248" s="16"/>
      <c r="J248" s="9"/>
      <c r="K248" s="10"/>
      <c r="L248" s="6"/>
      <c r="M248" s="11"/>
      <c r="N248" s="6"/>
      <c r="O248" s="6"/>
      <c r="P248" s="10"/>
      <c r="Q248" s="6"/>
      <c r="R248" s="6"/>
      <c r="S248" s="6"/>
      <c r="T248" s="6"/>
      <c r="U248" s="9"/>
      <c r="AI248" s="6"/>
      <c r="AJ248" s="12"/>
      <c r="AL248" s="13"/>
    </row>
    <row r="249">
      <c r="A249" s="5"/>
      <c r="B249" s="5"/>
      <c r="C249" s="5"/>
      <c r="D249" s="5"/>
      <c r="E249" s="6"/>
      <c r="F249" s="6"/>
      <c r="G249" s="18"/>
      <c r="I249" s="16"/>
      <c r="J249" s="9"/>
      <c r="K249" s="10"/>
      <c r="L249" s="6"/>
      <c r="M249" s="11"/>
      <c r="N249" s="6"/>
      <c r="O249" s="6"/>
      <c r="P249" s="10"/>
      <c r="Q249" s="6"/>
      <c r="R249" s="6"/>
      <c r="S249" s="6"/>
      <c r="T249" s="6"/>
      <c r="U249" s="9"/>
      <c r="AI249" s="6"/>
      <c r="AJ249" s="12"/>
      <c r="AL249" s="13"/>
    </row>
    <row r="250">
      <c r="A250" s="5"/>
      <c r="B250" s="5"/>
      <c r="C250" s="5"/>
      <c r="D250" s="5"/>
      <c r="E250" s="6"/>
      <c r="F250" s="6"/>
      <c r="G250" s="18"/>
      <c r="I250" s="16"/>
      <c r="J250" s="9"/>
      <c r="K250" s="10"/>
      <c r="L250" s="6"/>
      <c r="M250" s="11"/>
      <c r="N250" s="6"/>
      <c r="O250" s="6"/>
      <c r="P250" s="10"/>
      <c r="Q250" s="6"/>
      <c r="R250" s="6"/>
      <c r="S250" s="6"/>
      <c r="T250" s="6"/>
      <c r="U250" s="9"/>
      <c r="AI250" s="6"/>
      <c r="AJ250" s="12"/>
      <c r="AL250" s="13"/>
    </row>
    <row r="251">
      <c r="A251" s="5"/>
      <c r="B251" s="5"/>
      <c r="C251" s="5"/>
      <c r="D251" s="5"/>
      <c r="E251" s="6"/>
      <c r="F251" s="6"/>
      <c r="G251" s="18"/>
      <c r="I251" s="16"/>
      <c r="J251" s="9"/>
      <c r="K251" s="10"/>
      <c r="L251" s="6"/>
      <c r="M251" s="11"/>
      <c r="N251" s="6"/>
      <c r="O251" s="6"/>
      <c r="P251" s="10"/>
      <c r="Q251" s="6"/>
      <c r="R251" s="6"/>
      <c r="S251" s="6"/>
      <c r="T251" s="6"/>
      <c r="U251" s="9"/>
      <c r="AI251" s="6"/>
      <c r="AJ251" s="12"/>
      <c r="AL251" s="13"/>
    </row>
    <row r="252">
      <c r="A252" s="5"/>
      <c r="B252" s="5"/>
      <c r="C252" s="5"/>
      <c r="D252" s="5"/>
      <c r="E252" s="6"/>
      <c r="F252" s="6"/>
      <c r="G252" s="18"/>
      <c r="I252" s="16"/>
      <c r="J252" s="9"/>
      <c r="K252" s="10"/>
      <c r="L252" s="6"/>
      <c r="M252" s="11"/>
      <c r="N252" s="6"/>
      <c r="O252" s="6"/>
      <c r="P252" s="10"/>
      <c r="Q252" s="6"/>
      <c r="R252" s="6"/>
      <c r="S252" s="6"/>
      <c r="T252" s="6"/>
      <c r="U252" s="9"/>
      <c r="AI252" s="6"/>
      <c r="AJ252" s="12"/>
      <c r="AL252" s="13"/>
    </row>
    <row r="253">
      <c r="A253" s="5"/>
      <c r="B253" s="5"/>
      <c r="C253" s="5"/>
      <c r="D253" s="5"/>
      <c r="E253" s="6"/>
      <c r="F253" s="6"/>
      <c r="G253" s="18"/>
      <c r="I253" s="16"/>
      <c r="J253" s="9"/>
      <c r="K253" s="10"/>
      <c r="L253" s="6"/>
      <c r="M253" s="11"/>
      <c r="N253" s="6"/>
      <c r="O253" s="6"/>
      <c r="P253" s="10"/>
      <c r="Q253" s="6"/>
      <c r="R253" s="6"/>
      <c r="S253" s="6"/>
      <c r="T253" s="6"/>
      <c r="U253" s="9"/>
      <c r="AI253" s="6"/>
      <c r="AJ253" s="12"/>
      <c r="AL253" s="13"/>
    </row>
    <row r="254">
      <c r="A254" s="5"/>
      <c r="B254" s="5"/>
      <c r="C254" s="5"/>
      <c r="D254" s="5"/>
      <c r="E254" s="6"/>
      <c r="F254" s="6"/>
      <c r="G254" s="18"/>
      <c r="I254" s="16"/>
      <c r="J254" s="9"/>
      <c r="K254" s="10"/>
      <c r="L254" s="6"/>
      <c r="M254" s="11"/>
      <c r="N254" s="6"/>
      <c r="O254" s="6"/>
      <c r="P254" s="10"/>
      <c r="Q254" s="6"/>
      <c r="R254" s="6"/>
      <c r="S254" s="6"/>
      <c r="T254" s="6"/>
      <c r="U254" s="9"/>
      <c r="AI254" s="6"/>
      <c r="AJ254" s="12"/>
      <c r="AL254" s="13"/>
    </row>
    <row r="255">
      <c r="A255" s="5"/>
      <c r="B255" s="5"/>
      <c r="C255" s="5"/>
      <c r="D255" s="5"/>
      <c r="E255" s="6"/>
      <c r="F255" s="6"/>
      <c r="G255" s="18"/>
      <c r="I255" s="16"/>
      <c r="J255" s="9"/>
      <c r="K255" s="10"/>
      <c r="L255" s="6"/>
      <c r="M255" s="11"/>
      <c r="N255" s="6"/>
      <c r="O255" s="6"/>
      <c r="P255" s="10"/>
      <c r="Q255" s="6"/>
      <c r="R255" s="6"/>
      <c r="S255" s="6"/>
      <c r="T255" s="6"/>
      <c r="U255" s="9"/>
      <c r="AI255" s="6"/>
      <c r="AJ255" s="12"/>
      <c r="AL255" s="13"/>
    </row>
    <row r="256">
      <c r="A256" s="5"/>
      <c r="B256" s="5"/>
      <c r="C256" s="5"/>
      <c r="D256" s="5"/>
      <c r="E256" s="6"/>
      <c r="F256" s="6"/>
      <c r="G256" s="18"/>
      <c r="I256" s="16"/>
      <c r="J256" s="9"/>
      <c r="K256" s="10"/>
      <c r="L256" s="6"/>
      <c r="M256" s="11"/>
      <c r="N256" s="6"/>
      <c r="O256" s="6"/>
      <c r="P256" s="10"/>
      <c r="Q256" s="6"/>
      <c r="R256" s="6"/>
      <c r="S256" s="6"/>
      <c r="T256" s="6"/>
      <c r="U256" s="9"/>
      <c r="AI256" s="6"/>
      <c r="AJ256" s="12"/>
      <c r="AL256" s="13"/>
    </row>
    <row r="257">
      <c r="A257" s="5"/>
      <c r="B257" s="5"/>
      <c r="C257" s="5"/>
      <c r="D257" s="5"/>
      <c r="E257" s="6"/>
      <c r="F257" s="6"/>
      <c r="G257" s="18"/>
      <c r="I257" s="16"/>
      <c r="J257" s="9"/>
      <c r="K257" s="10"/>
      <c r="L257" s="6"/>
      <c r="M257" s="11"/>
      <c r="N257" s="6"/>
      <c r="O257" s="6"/>
      <c r="P257" s="10"/>
      <c r="Q257" s="6"/>
      <c r="R257" s="6"/>
      <c r="S257" s="6"/>
      <c r="T257" s="6"/>
      <c r="U257" s="9"/>
      <c r="AI257" s="6"/>
      <c r="AJ257" s="12"/>
      <c r="AL257" s="13"/>
    </row>
    <row r="258">
      <c r="A258" s="5"/>
      <c r="B258" s="5"/>
      <c r="C258" s="5"/>
      <c r="D258" s="5"/>
      <c r="E258" s="6"/>
      <c r="F258" s="6"/>
      <c r="G258" s="18"/>
      <c r="I258" s="16"/>
      <c r="J258" s="9"/>
      <c r="K258" s="10"/>
      <c r="L258" s="6"/>
      <c r="M258" s="11"/>
      <c r="N258" s="6"/>
      <c r="O258" s="6"/>
      <c r="P258" s="10"/>
      <c r="Q258" s="6"/>
      <c r="R258" s="6"/>
      <c r="S258" s="6"/>
      <c r="T258" s="6"/>
      <c r="U258" s="9"/>
      <c r="AI258" s="6"/>
      <c r="AJ258" s="12"/>
      <c r="AL258" s="13"/>
    </row>
    <row r="259">
      <c r="A259" s="5"/>
      <c r="B259" s="5"/>
      <c r="C259" s="5"/>
      <c r="D259" s="5"/>
      <c r="E259" s="6"/>
      <c r="F259" s="6"/>
      <c r="G259" s="18"/>
      <c r="I259" s="16"/>
      <c r="J259" s="9"/>
      <c r="K259" s="10"/>
      <c r="L259" s="6"/>
      <c r="M259" s="11"/>
      <c r="N259" s="6"/>
      <c r="O259" s="6"/>
      <c r="P259" s="10"/>
      <c r="Q259" s="6"/>
      <c r="R259" s="6"/>
      <c r="S259" s="6"/>
      <c r="T259" s="6"/>
      <c r="U259" s="9"/>
      <c r="AI259" s="6"/>
      <c r="AJ259" s="12"/>
      <c r="AL259" s="13"/>
    </row>
    <row r="260">
      <c r="A260" s="5"/>
      <c r="B260" s="5"/>
      <c r="C260" s="5"/>
      <c r="D260" s="5"/>
      <c r="E260" s="6"/>
      <c r="F260" s="6"/>
      <c r="G260" s="18"/>
      <c r="I260" s="16"/>
      <c r="J260" s="9"/>
      <c r="K260" s="10"/>
      <c r="L260" s="6"/>
      <c r="M260" s="11"/>
      <c r="N260" s="6"/>
      <c r="O260" s="6"/>
      <c r="P260" s="10"/>
      <c r="Q260" s="6"/>
      <c r="R260" s="6"/>
      <c r="S260" s="6"/>
      <c r="T260" s="6"/>
      <c r="U260" s="9"/>
      <c r="AI260" s="6"/>
      <c r="AJ260" s="12"/>
      <c r="AL260" s="13"/>
    </row>
    <row r="261">
      <c r="A261" s="5"/>
      <c r="B261" s="5"/>
      <c r="C261" s="5"/>
      <c r="D261" s="5"/>
      <c r="E261" s="6"/>
      <c r="F261" s="6"/>
      <c r="G261" s="18"/>
      <c r="I261" s="16"/>
      <c r="J261" s="9"/>
      <c r="K261" s="10"/>
      <c r="L261" s="6"/>
      <c r="M261" s="11"/>
      <c r="N261" s="6"/>
      <c r="O261" s="6"/>
      <c r="P261" s="10"/>
      <c r="Q261" s="6"/>
      <c r="R261" s="6"/>
      <c r="S261" s="6"/>
      <c r="T261" s="6"/>
      <c r="U261" s="9"/>
      <c r="AI261" s="6"/>
      <c r="AJ261" s="12"/>
      <c r="AL261" s="13"/>
    </row>
    <row r="262">
      <c r="A262" s="5"/>
      <c r="B262" s="5"/>
      <c r="C262" s="5"/>
      <c r="D262" s="5"/>
      <c r="E262" s="6"/>
      <c r="F262" s="6"/>
      <c r="G262" s="18"/>
      <c r="I262" s="16"/>
      <c r="J262" s="9"/>
      <c r="K262" s="10"/>
      <c r="L262" s="6"/>
      <c r="M262" s="11"/>
      <c r="N262" s="6"/>
      <c r="O262" s="6"/>
      <c r="P262" s="10"/>
      <c r="Q262" s="6"/>
      <c r="R262" s="6"/>
      <c r="S262" s="6"/>
      <c r="T262" s="6"/>
      <c r="U262" s="9"/>
      <c r="AI262" s="6"/>
      <c r="AJ262" s="12"/>
      <c r="AL262" s="13"/>
    </row>
    <row r="263">
      <c r="A263" s="5"/>
      <c r="B263" s="5"/>
      <c r="C263" s="5"/>
      <c r="D263" s="5"/>
      <c r="E263" s="6"/>
      <c r="F263" s="6"/>
      <c r="G263" s="18"/>
      <c r="I263" s="16"/>
      <c r="J263" s="9"/>
      <c r="K263" s="10"/>
      <c r="L263" s="6"/>
      <c r="M263" s="11"/>
      <c r="N263" s="6"/>
      <c r="O263" s="6"/>
      <c r="P263" s="10"/>
      <c r="Q263" s="6"/>
      <c r="R263" s="6"/>
      <c r="S263" s="6"/>
      <c r="T263" s="6"/>
      <c r="U263" s="9"/>
      <c r="AI263" s="6"/>
      <c r="AJ263" s="12"/>
      <c r="AL263" s="13"/>
    </row>
    <row r="264">
      <c r="A264" s="5"/>
      <c r="B264" s="5"/>
      <c r="C264" s="5"/>
      <c r="D264" s="5"/>
      <c r="E264" s="6"/>
      <c r="F264" s="6"/>
      <c r="G264" s="18"/>
      <c r="I264" s="16"/>
      <c r="J264" s="9"/>
      <c r="K264" s="10"/>
      <c r="L264" s="6"/>
      <c r="M264" s="11"/>
      <c r="N264" s="6"/>
      <c r="O264" s="6"/>
      <c r="P264" s="10"/>
      <c r="Q264" s="6"/>
      <c r="R264" s="6"/>
      <c r="S264" s="6"/>
      <c r="T264" s="6"/>
      <c r="U264" s="9"/>
      <c r="AI264" s="6"/>
      <c r="AJ264" s="12"/>
      <c r="AL264" s="13"/>
    </row>
    <row r="265">
      <c r="A265" s="5"/>
      <c r="B265" s="5"/>
      <c r="C265" s="5"/>
      <c r="D265" s="5"/>
      <c r="E265" s="6"/>
      <c r="F265" s="6"/>
      <c r="G265" s="18"/>
      <c r="I265" s="16"/>
      <c r="J265" s="9"/>
      <c r="K265" s="10"/>
      <c r="L265" s="6"/>
      <c r="M265" s="11"/>
      <c r="N265" s="6"/>
      <c r="O265" s="6"/>
      <c r="P265" s="10"/>
      <c r="Q265" s="6"/>
      <c r="R265" s="6"/>
      <c r="S265" s="6"/>
      <c r="T265" s="6"/>
      <c r="U265" s="9"/>
      <c r="AI265" s="6"/>
      <c r="AJ265" s="12"/>
      <c r="AL265" s="13"/>
    </row>
    <row r="266">
      <c r="A266" s="5"/>
      <c r="B266" s="5"/>
      <c r="C266" s="5"/>
      <c r="D266" s="5"/>
      <c r="E266" s="6"/>
      <c r="F266" s="6"/>
      <c r="G266" s="18"/>
      <c r="I266" s="16"/>
      <c r="J266" s="9"/>
      <c r="K266" s="10"/>
      <c r="L266" s="6"/>
      <c r="M266" s="11"/>
      <c r="N266" s="6"/>
      <c r="O266" s="6"/>
      <c r="P266" s="10"/>
      <c r="Q266" s="6"/>
      <c r="R266" s="6"/>
      <c r="S266" s="6"/>
      <c r="T266" s="6"/>
      <c r="U266" s="9"/>
      <c r="AI266" s="6"/>
      <c r="AJ266" s="12"/>
      <c r="AL266" s="13"/>
    </row>
    <row r="267">
      <c r="A267" s="5"/>
      <c r="B267" s="5"/>
      <c r="C267" s="5"/>
      <c r="D267" s="5"/>
      <c r="E267" s="6"/>
      <c r="F267" s="6"/>
      <c r="G267" s="18"/>
      <c r="I267" s="16"/>
      <c r="J267" s="9"/>
      <c r="K267" s="10"/>
      <c r="L267" s="6"/>
      <c r="M267" s="11"/>
      <c r="N267" s="6"/>
      <c r="O267" s="6"/>
      <c r="P267" s="10"/>
      <c r="Q267" s="6"/>
      <c r="R267" s="6"/>
      <c r="S267" s="6"/>
      <c r="T267" s="6"/>
      <c r="U267" s="9"/>
      <c r="AI267" s="6"/>
      <c r="AJ267" s="12"/>
      <c r="AL267" s="13"/>
    </row>
    <row r="268">
      <c r="A268" s="5"/>
      <c r="B268" s="5"/>
      <c r="C268" s="5"/>
      <c r="D268" s="5"/>
      <c r="E268" s="6"/>
      <c r="F268" s="6"/>
      <c r="G268" s="18"/>
      <c r="I268" s="16"/>
      <c r="J268" s="9"/>
      <c r="K268" s="10"/>
      <c r="L268" s="6"/>
      <c r="M268" s="11"/>
      <c r="N268" s="6"/>
      <c r="O268" s="6"/>
      <c r="P268" s="10"/>
      <c r="Q268" s="6"/>
      <c r="R268" s="6"/>
      <c r="S268" s="6"/>
      <c r="T268" s="6"/>
      <c r="U268" s="9"/>
      <c r="AI268" s="6"/>
      <c r="AJ268" s="12"/>
      <c r="AL268" s="13"/>
    </row>
    <row r="269">
      <c r="A269" s="5"/>
      <c r="B269" s="5"/>
      <c r="C269" s="5"/>
      <c r="D269" s="5"/>
      <c r="E269" s="6"/>
      <c r="F269" s="6"/>
      <c r="G269" s="18"/>
      <c r="I269" s="16"/>
      <c r="J269" s="9"/>
      <c r="K269" s="10"/>
      <c r="L269" s="6"/>
      <c r="M269" s="11"/>
      <c r="N269" s="6"/>
      <c r="O269" s="6"/>
      <c r="P269" s="10"/>
      <c r="Q269" s="6"/>
      <c r="R269" s="6"/>
      <c r="S269" s="6"/>
      <c r="T269" s="6"/>
      <c r="U269" s="9"/>
      <c r="AI269" s="6"/>
      <c r="AJ269" s="12"/>
      <c r="AL269" s="13"/>
    </row>
    <row r="270">
      <c r="A270" s="5"/>
      <c r="B270" s="5"/>
      <c r="C270" s="5"/>
      <c r="D270" s="5"/>
      <c r="E270" s="6"/>
      <c r="F270" s="6"/>
      <c r="G270" s="18"/>
      <c r="I270" s="16"/>
      <c r="J270" s="9"/>
      <c r="K270" s="10"/>
      <c r="L270" s="6"/>
      <c r="M270" s="11"/>
      <c r="N270" s="6"/>
      <c r="O270" s="6"/>
      <c r="P270" s="10"/>
      <c r="Q270" s="6"/>
      <c r="R270" s="6"/>
      <c r="S270" s="6"/>
      <c r="T270" s="6"/>
      <c r="U270" s="9"/>
      <c r="AI270" s="6"/>
      <c r="AJ270" s="12"/>
      <c r="AL270" s="13"/>
    </row>
    <row r="271">
      <c r="A271" s="5"/>
      <c r="B271" s="5"/>
      <c r="C271" s="5"/>
      <c r="D271" s="5"/>
      <c r="E271" s="6"/>
      <c r="F271" s="6"/>
      <c r="G271" s="18"/>
      <c r="I271" s="16"/>
      <c r="J271" s="9"/>
      <c r="K271" s="10"/>
      <c r="L271" s="6"/>
      <c r="M271" s="11"/>
      <c r="N271" s="6"/>
      <c r="O271" s="6"/>
      <c r="P271" s="10"/>
      <c r="Q271" s="6"/>
      <c r="R271" s="6"/>
      <c r="S271" s="6"/>
      <c r="T271" s="6"/>
      <c r="U271" s="9"/>
      <c r="AI271" s="6"/>
      <c r="AJ271" s="12"/>
      <c r="AL271" s="13"/>
    </row>
    <row r="272">
      <c r="A272" s="5"/>
      <c r="B272" s="5"/>
      <c r="C272" s="5"/>
      <c r="D272" s="5"/>
      <c r="E272" s="6"/>
      <c r="F272" s="6"/>
      <c r="G272" s="18"/>
      <c r="I272" s="16"/>
      <c r="J272" s="9"/>
      <c r="K272" s="10"/>
      <c r="L272" s="6"/>
      <c r="M272" s="11"/>
      <c r="N272" s="6"/>
      <c r="O272" s="6"/>
      <c r="P272" s="10"/>
      <c r="Q272" s="6"/>
      <c r="R272" s="6"/>
      <c r="S272" s="6"/>
      <c r="T272" s="6"/>
      <c r="U272" s="9"/>
      <c r="AI272" s="6"/>
      <c r="AJ272" s="12"/>
      <c r="AL272" s="13"/>
    </row>
    <row r="273">
      <c r="A273" s="5"/>
      <c r="B273" s="5"/>
      <c r="C273" s="5"/>
      <c r="D273" s="5"/>
      <c r="E273" s="6"/>
      <c r="F273" s="6"/>
      <c r="G273" s="18"/>
      <c r="I273" s="16"/>
      <c r="J273" s="9"/>
      <c r="K273" s="10"/>
      <c r="L273" s="6"/>
      <c r="M273" s="11"/>
      <c r="N273" s="6"/>
      <c r="O273" s="6"/>
      <c r="P273" s="10"/>
      <c r="Q273" s="6"/>
      <c r="R273" s="6"/>
      <c r="S273" s="6"/>
      <c r="T273" s="6"/>
      <c r="U273" s="9"/>
      <c r="AI273" s="6"/>
      <c r="AJ273" s="12"/>
      <c r="AL273" s="13"/>
    </row>
    <row r="274">
      <c r="A274" s="5"/>
      <c r="B274" s="5"/>
      <c r="C274" s="5"/>
      <c r="D274" s="5"/>
      <c r="E274" s="6"/>
      <c r="F274" s="6"/>
      <c r="G274" s="18"/>
      <c r="I274" s="16"/>
      <c r="J274" s="9"/>
      <c r="K274" s="10"/>
      <c r="L274" s="6"/>
      <c r="M274" s="11"/>
      <c r="N274" s="6"/>
      <c r="O274" s="6"/>
      <c r="P274" s="10"/>
      <c r="Q274" s="6"/>
      <c r="R274" s="6"/>
      <c r="S274" s="6"/>
      <c r="T274" s="6"/>
      <c r="U274" s="9"/>
      <c r="AI274" s="6"/>
      <c r="AJ274" s="12"/>
      <c r="AL274" s="13"/>
    </row>
    <row r="275">
      <c r="A275" s="5"/>
      <c r="B275" s="5"/>
      <c r="C275" s="5"/>
      <c r="D275" s="5"/>
      <c r="E275" s="6"/>
      <c r="F275" s="6"/>
      <c r="G275" s="18"/>
      <c r="I275" s="16"/>
      <c r="J275" s="9"/>
      <c r="K275" s="10"/>
      <c r="L275" s="6"/>
      <c r="M275" s="11"/>
      <c r="N275" s="6"/>
      <c r="O275" s="6"/>
      <c r="P275" s="10"/>
      <c r="Q275" s="6"/>
      <c r="R275" s="6"/>
      <c r="S275" s="6"/>
      <c r="T275" s="6"/>
      <c r="U275" s="9"/>
      <c r="AI275" s="6"/>
      <c r="AJ275" s="12"/>
      <c r="AL275" s="13"/>
    </row>
    <row r="276">
      <c r="A276" s="5"/>
      <c r="B276" s="5"/>
      <c r="C276" s="5"/>
      <c r="D276" s="5"/>
      <c r="E276" s="6"/>
      <c r="F276" s="6"/>
      <c r="G276" s="18"/>
      <c r="I276" s="16"/>
      <c r="J276" s="9"/>
      <c r="K276" s="10"/>
      <c r="L276" s="6"/>
      <c r="M276" s="11"/>
      <c r="N276" s="6"/>
      <c r="O276" s="6"/>
      <c r="P276" s="10"/>
      <c r="Q276" s="6"/>
      <c r="R276" s="6"/>
      <c r="S276" s="6"/>
      <c r="T276" s="6"/>
      <c r="U276" s="9"/>
      <c r="AI276" s="6"/>
      <c r="AJ276" s="12"/>
      <c r="AL276" s="13"/>
    </row>
    <row r="277">
      <c r="A277" s="5"/>
      <c r="B277" s="5"/>
      <c r="C277" s="5"/>
      <c r="D277" s="5"/>
      <c r="E277" s="6"/>
      <c r="F277" s="6"/>
      <c r="G277" s="18"/>
      <c r="I277" s="16"/>
      <c r="J277" s="9"/>
      <c r="K277" s="10"/>
      <c r="L277" s="6"/>
      <c r="M277" s="11"/>
      <c r="N277" s="6"/>
      <c r="O277" s="6"/>
      <c r="P277" s="10"/>
      <c r="Q277" s="6"/>
      <c r="R277" s="6"/>
      <c r="S277" s="6"/>
      <c r="T277" s="6"/>
      <c r="U277" s="9"/>
      <c r="AI277" s="6"/>
      <c r="AJ277" s="12"/>
      <c r="AL277" s="13"/>
    </row>
    <row r="278">
      <c r="A278" s="5"/>
      <c r="B278" s="5"/>
      <c r="C278" s="5"/>
      <c r="D278" s="5"/>
      <c r="E278" s="6"/>
      <c r="F278" s="6"/>
      <c r="G278" s="18"/>
      <c r="I278" s="16"/>
      <c r="J278" s="9"/>
      <c r="K278" s="10"/>
      <c r="L278" s="6"/>
      <c r="M278" s="11"/>
      <c r="N278" s="6"/>
      <c r="O278" s="6"/>
      <c r="P278" s="10"/>
      <c r="Q278" s="6"/>
      <c r="R278" s="6"/>
      <c r="S278" s="6"/>
      <c r="T278" s="6"/>
      <c r="U278" s="9"/>
      <c r="AI278" s="6"/>
      <c r="AJ278" s="12"/>
      <c r="AL278" s="13"/>
    </row>
    <row r="279">
      <c r="A279" s="5"/>
      <c r="B279" s="5"/>
      <c r="C279" s="5"/>
      <c r="D279" s="5"/>
      <c r="E279" s="6"/>
      <c r="F279" s="6"/>
      <c r="G279" s="18"/>
      <c r="I279" s="16"/>
      <c r="J279" s="9"/>
      <c r="K279" s="10"/>
      <c r="L279" s="6"/>
      <c r="M279" s="11"/>
      <c r="N279" s="6"/>
      <c r="O279" s="6"/>
      <c r="P279" s="10"/>
      <c r="Q279" s="6"/>
      <c r="R279" s="6"/>
      <c r="S279" s="6"/>
      <c r="T279" s="6"/>
      <c r="U279" s="9"/>
      <c r="AI279" s="6"/>
      <c r="AJ279" s="12"/>
      <c r="AL279" s="13"/>
    </row>
    <row r="280">
      <c r="A280" s="5"/>
      <c r="B280" s="5"/>
      <c r="C280" s="5"/>
      <c r="D280" s="5"/>
      <c r="E280" s="6"/>
      <c r="F280" s="6"/>
      <c r="G280" s="18"/>
      <c r="I280" s="16"/>
      <c r="J280" s="9"/>
      <c r="K280" s="10"/>
      <c r="L280" s="6"/>
      <c r="M280" s="11"/>
      <c r="N280" s="6"/>
      <c r="O280" s="6"/>
      <c r="P280" s="10"/>
      <c r="Q280" s="6"/>
      <c r="R280" s="6"/>
      <c r="S280" s="6"/>
      <c r="T280" s="6"/>
      <c r="U280" s="9"/>
      <c r="AI280" s="6"/>
      <c r="AJ280" s="12"/>
      <c r="AL280" s="13"/>
    </row>
    <row r="281">
      <c r="A281" s="5"/>
      <c r="B281" s="5"/>
      <c r="C281" s="5"/>
      <c r="D281" s="5"/>
      <c r="E281" s="6"/>
      <c r="F281" s="6"/>
      <c r="G281" s="18"/>
      <c r="I281" s="16"/>
      <c r="J281" s="9"/>
      <c r="K281" s="10"/>
      <c r="L281" s="6"/>
      <c r="M281" s="11"/>
      <c r="N281" s="6"/>
      <c r="O281" s="6"/>
      <c r="P281" s="10"/>
      <c r="Q281" s="6"/>
      <c r="R281" s="6"/>
      <c r="S281" s="6"/>
      <c r="T281" s="6"/>
      <c r="U281" s="9"/>
      <c r="AI281" s="6"/>
      <c r="AJ281" s="12"/>
      <c r="AL281" s="13"/>
    </row>
    <row r="282">
      <c r="A282" s="5"/>
      <c r="B282" s="5"/>
      <c r="C282" s="5"/>
      <c r="D282" s="5"/>
      <c r="E282" s="6"/>
      <c r="F282" s="6"/>
      <c r="G282" s="18"/>
      <c r="I282" s="16"/>
      <c r="J282" s="9"/>
      <c r="K282" s="10"/>
      <c r="L282" s="6"/>
      <c r="M282" s="11"/>
      <c r="N282" s="6"/>
      <c r="O282" s="6"/>
      <c r="P282" s="10"/>
      <c r="Q282" s="6"/>
      <c r="R282" s="6"/>
      <c r="S282" s="6"/>
      <c r="T282" s="6"/>
      <c r="U282" s="9"/>
      <c r="AI282" s="6"/>
      <c r="AJ282" s="12"/>
      <c r="AL282" s="13"/>
    </row>
    <row r="283">
      <c r="A283" s="5"/>
      <c r="B283" s="5"/>
      <c r="C283" s="5"/>
      <c r="D283" s="5"/>
      <c r="E283" s="6"/>
      <c r="F283" s="6"/>
      <c r="G283" s="18"/>
      <c r="I283" s="16"/>
      <c r="J283" s="9"/>
      <c r="K283" s="10"/>
      <c r="L283" s="6"/>
      <c r="M283" s="11"/>
      <c r="N283" s="6"/>
      <c r="O283" s="6"/>
      <c r="P283" s="10"/>
      <c r="Q283" s="6"/>
      <c r="R283" s="6"/>
      <c r="S283" s="6"/>
      <c r="T283" s="6"/>
      <c r="U283" s="9"/>
      <c r="AI283" s="6"/>
      <c r="AJ283" s="12"/>
      <c r="AL283" s="13"/>
    </row>
    <row r="284">
      <c r="A284" s="5"/>
      <c r="B284" s="5"/>
      <c r="C284" s="5"/>
      <c r="D284" s="5"/>
      <c r="E284" s="6"/>
      <c r="F284" s="6"/>
      <c r="G284" s="18"/>
      <c r="I284" s="16"/>
      <c r="J284" s="9"/>
      <c r="K284" s="10"/>
      <c r="L284" s="6"/>
      <c r="M284" s="11"/>
      <c r="N284" s="6"/>
      <c r="O284" s="6"/>
      <c r="P284" s="10"/>
      <c r="Q284" s="6"/>
      <c r="R284" s="6"/>
      <c r="S284" s="6"/>
      <c r="T284" s="6"/>
      <c r="U284" s="9"/>
      <c r="AI284" s="6"/>
      <c r="AJ284" s="12"/>
      <c r="AL284" s="13"/>
    </row>
    <row r="285">
      <c r="A285" s="5"/>
      <c r="B285" s="5"/>
      <c r="C285" s="5"/>
      <c r="D285" s="5"/>
      <c r="E285" s="6"/>
      <c r="F285" s="6"/>
      <c r="G285" s="18"/>
      <c r="I285" s="16"/>
      <c r="J285" s="9"/>
      <c r="K285" s="10"/>
      <c r="L285" s="6"/>
      <c r="M285" s="11"/>
      <c r="N285" s="6"/>
      <c r="O285" s="6"/>
      <c r="P285" s="10"/>
      <c r="Q285" s="6"/>
      <c r="R285" s="6"/>
      <c r="S285" s="6"/>
      <c r="T285" s="6"/>
      <c r="U285" s="9"/>
      <c r="AI285" s="6"/>
      <c r="AJ285" s="12"/>
      <c r="AL285" s="13"/>
    </row>
    <row r="286">
      <c r="A286" s="5"/>
      <c r="B286" s="5"/>
      <c r="C286" s="5"/>
      <c r="D286" s="5"/>
      <c r="E286" s="6"/>
      <c r="F286" s="6"/>
      <c r="G286" s="18"/>
      <c r="I286" s="16"/>
      <c r="J286" s="9"/>
      <c r="K286" s="10"/>
      <c r="L286" s="6"/>
      <c r="M286" s="11"/>
      <c r="N286" s="6"/>
      <c r="O286" s="6"/>
      <c r="P286" s="10"/>
      <c r="Q286" s="6"/>
      <c r="R286" s="6"/>
      <c r="S286" s="6"/>
      <c r="T286" s="6"/>
      <c r="U286" s="9"/>
      <c r="AI286" s="6"/>
      <c r="AJ286" s="12"/>
      <c r="AL286" s="13"/>
    </row>
    <row r="287">
      <c r="A287" s="5"/>
      <c r="B287" s="5"/>
      <c r="C287" s="5"/>
      <c r="D287" s="5"/>
      <c r="E287" s="6"/>
      <c r="F287" s="6"/>
      <c r="G287" s="18"/>
      <c r="I287" s="16"/>
      <c r="J287" s="9"/>
      <c r="K287" s="10"/>
      <c r="L287" s="6"/>
      <c r="M287" s="11"/>
      <c r="N287" s="6"/>
      <c r="O287" s="6"/>
      <c r="P287" s="10"/>
      <c r="Q287" s="6"/>
      <c r="R287" s="6"/>
      <c r="S287" s="6"/>
      <c r="T287" s="6"/>
      <c r="U287" s="9"/>
      <c r="AI287" s="6"/>
      <c r="AJ287" s="12"/>
      <c r="AL287" s="13"/>
    </row>
    <row r="288">
      <c r="A288" s="5"/>
      <c r="B288" s="5"/>
      <c r="C288" s="5"/>
      <c r="D288" s="5"/>
      <c r="E288" s="6"/>
      <c r="F288" s="6"/>
      <c r="G288" s="18"/>
      <c r="I288" s="16"/>
      <c r="J288" s="9"/>
      <c r="K288" s="10"/>
      <c r="L288" s="6"/>
      <c r="M288" s="11"/>
      <c r="N288" s="6"/>
      <c r="O288" s="6"/>
      <c r="P288" s="10"/>
      <c r="Q288" s="6"/>
      <c r="R288" s="6"/>
      <c r="S288" s="6"/>
      <c r="T288" s="6"/>
      <c r="U288" s="9"/>
      <c r="AI288" s="6"/>
      <c r="AJ288" s="12"/>
      <c r="AL288" s="13"/>
    </row>
    <row r="289">
      <c r="A289" s="5"/>
      <c r="B289" s="5"/>
      <c r="C289" s="5"/>
      <c r="D289" s="5"/>
      <c r="E289" s="6"/>
      <c r="F289" s="6"/>
      <c r="G289" s="18"/>
      <c r="I289" s="16"/>
      <c r="J289" s="9"/>
      <c r="K289" s="10"/>
      <c r="L289" s="6"/>
      <c r="M289" s="11"/>
      <c r="N289" s="6"/>
      <c r="O289" s="6"/>
      <c r="P289" s="10"/>
      <c r="Q289" s="6"/>
      <c r="R289" s="6"/>
      <c r="S289" s="6"/>
      <c r="T289" s="6"/>
      <c r="U289" s="9"/>
      <c r="AI289" s="6"/>
      <c r="AJ289" s="12"/>
      <c r="AL289" s="13"/>
    </row>
    <row r="290">
      <c r="A290" s="5"/>
      <c r="B290" s="5"/>
      <c r="C290" s="5"/>
      <c r="D290" s="5"/>
      <c r="E290" s="6"/>
      <c r="F290" s="6"/>
      <c r="G290" s="18"/>
      <c r="I290" s="16"/>
      <c r="J290" s="9"/>
      <c r="K290" s="10"/>
      <c r="L290" s="6"/>
      <c r="M290" s="11"/>
      <c r="N290" s="6"/>
      <c r="O290" s="6"/>
      <c r="P290" s="10"/>
      <c r="Q290" s="6"/>
      <c r="R290" s="6"/>
      <c r="S290" s="6"/>
      <c r="T290" s="6"/>
      <c r="U290" s="9"/>
      <c r="AI290" s="6"/>
      <c r="AJ290" s="12"/>
      <c r="AL290" s="13"/>
    </row>
    <row r="291">
      <c r="A291" s="5"/>
      <c r="B291" s="5"/>
      <c r="C291" s="5"/>
      <c r="D291" s="5"/>
      <c r="E291" s="6"/>
      <c r="F291" s="6"/>
      <c r="G291" s="18"/>
      <c r="I291" s="16"/>
      <c r="J291" s="9"/>
      <c r="K291" s="10"/>
      <c r="L291" s="6"/>
      <c r="M291" s="11"/>
      <c r="N291" s="6"/>
      <c r="O291" s="6"/>
      <c r="P291" s="10"/>
      <c r="Q291" s="6"/>
      <c r="R291" s="6"/>
      <c r="S291" s="6"/>
      <c r="T291" s="6"/>
      <c r="U291" s="9"/>
      <c r="AI291" s="6"/>
      <c r="AJ291" s="12"/>
      <c r="AL291" s="13"/>
    </row>
    <row r="292">
      <c r="A292" s="5"/>
      <c r="B292" s="5"/>
      <c r="C292" s="5"/>
      <c r="D292" s="5"/>
      <c r="E292" s="6"/>
      <c r="F292" s="6"/>
      <c r="G292" s="18"/>
      <c r="I292" s="16"/>
      <c r="J292" s="9"/>
      <c r="K292" s="10"/>
      <c r="L292" s="6"/>
      <c r="M292" s="11"/>
      <c r="N292" s="6"/>
      <c r="O292" s="6"/>
      <c r="P292" s="10"/>
      <c r="Q292" s="6"/>
      <c r="R292" s="6"/>
      <c r="S292" s="6"/>
      <c r="T292" s="6"/>
      <c r="U292" s="9"/>
      <c r="AI292" s="6"/>
      <c r="AJ292" s="12"/>
      <c r="AL292" s="13"/>
    </row>
    <row r="293">
      <c r="A293" s="5"/>
      <c r="B293" s="5"/>
      <c r="C293" s="5"/>
      <c r="D293" s="5"/>
      <c r="E293" s="6"/>
      <c r="F293" s="6"/>
      <c r="G293" s="18"/>
      <c r="I293" s="16"/>
      <c r="J293" s="9"/>
      <c r="K293" s="10"/>
      <c r="L293" s="6"/>
      <c r="M293" s="11"/>
      <c r="N293" s="6"/>
      <c r="O293" s="6"/>
      <c r="P293" s="10"/>
      <c r="Q293" s="6"/>
      <c r="R293" s="6"/>
      <c r="S293" s="6"/>
      <c r="T293" s="6"/>
      <c r="U293" s="9"/>
      <c r="AI293" s="6"/>
      <c r="AJ293" s="12"/>
      <c r="AL293" s="13"/>
    </row>
    <row r="294">
      <c r="A294" s="5"/>
      <c r="B294" s="5"/>
      <c r="C294" s="5"/>
      <c r="D294" s="5"/>
      <c r="E294" s="6"/>
      <c r="F294" s="6"/>
      <c r="G294" s="18"/>
      <c r="I294" s="16"/>
      <c r="J294" s="9"/>
      <c r="K294" s="10"/>
      <c r="L294" s="6"/>
      <c r="M294" s="11"/>
      <c r="N294" s="6"/>
      <c r="O294" s="6"/>
      <c r="P294" s="10"/>
      <c r="Q294" s="6"/>
      <c r="R294" s="6"/>
      <c r="S294" s="6"/>
      <c r="T294" s="6"/>
      <c r="U294" s="9"/>
      <c r="AI294" s="6"/>
      <c r="AJ294" s="12"/>
      <c r="AL294" s="13"/>
    </row>
    <row r="295">
      <c r="A295" s="5"/>
      <c r="B295" s="5"/>
      <c r="C295" s="5"/>
      <c r="D295" s="5"/>
      <c r="E295" s="6"/>
      <c r="F295" s="6"/>
      <c r="G295" s="18"/>
      <c r="I295" s="16"/>
      <c r="J295" s="9"/>
      <c r="K295" s="10"/>
      <c r="L295" s="6"/>
      <c r="M295" s="11"/>
      <c r="N295" s="6"/>
      <c r="O295" s="6"/>
      <c r="P295" s="10"/>
      <c r="Q295" s="6"/>
      <c r="R295" s="6"/>
      <c r="S295" s="6"/>
      <c r="T295" s="6"/>
      <c r="U295" s="9"/>
      <c r="AI295" s="6"/>
      <c r="AJ295" s="12"/>
      <c r="AL295" s="13"/>
    </row>
    <row r="296">
      <c r="A296" s="5"/>
      <c r="B296" s="5"/>
      <c r="C296" s="5"/>
      <c r="D296" s="5"/>
      <c r="E296" s="6"/>
      <c r="F296" s="6"/>
      <c r="G296" s="18"/>
      <c r="I296" s="16"/>
      <c r="J296" s="9"/>
      <c r="K296" s="10"/>
      <c r="L296" s="6"/>
      <c r="M296" s="11"/>
      <c r="N296" s="6"/>
      <c r="O296" s="6"/>
      <c r="P296" s="10"/>
      <c r="Q296" s="6"/>
      <c r="R296" s="6"/>
      <c r="S296" s="6"/>
      <c r="T296" s="6"/>
      <c r="U296" s="9"/>
      <c r="AI296" s="6"/>
      <c r="AJ296" s="12"/>
      <c r="AL296" s="13"/>
    </row>
    <row r="297">
      <c r="A297" s="5"/>
      <c r="B297" s="5"/>
      <c r="C297" s="5"/>
      <c r="D297" s="5"/>
      <c r="E297" s="6"/>
      <c r="F297" s="6"/>
      <c r="G297" s="18"/>
      <c r="I297" s="16"/>
      <c r="J297" s="9"/>
      <c r="K297" s="10"/>
      <c r="L297" s="6"/>
      <c r="M297" s="11"/>
      <c r="N297" s="6"/>
      <c r="O297" s="6"/>
      <c r="P297" s="10"/>
      <c r="Q297" s="6"/>
      <c r="R297" s="6"/>
      <c r="S297" s="6"/>
      <c r="T297" s="6"/>
      <c r="U297" s="9"/>
      <c r="AI297" s="6"/>
      <c r="AJ297" s="12"/>
      <c r="AL297" s="13"/>
    </row>
    <row r="298">
      <c r="A298" s="5"/>
      <c r="B298" s="5"/>
      <c r="C298" s="5"/>
      <c r="D298" s="5"/>
      <c r="E298" s="6"/>
      <c r="F298" s="6"/>
      <c r="G298" s="18"/>
      <c r="I298" s="16"/>
      <c r="J298" s="9"/>
      <c r="K298" s="10"/>
      <c r="L298" s="6"/>
      <c r="M298" s="11"/>
      <c r="N298" s="6"/>
      <c r="O298" s="6"/>
      <c r="P298" s="10"/>
      <c r="Q298" s="6"/>
      <c r="R298" s="6"/>
      <c r="S298" s="6"/>
      <c r="T298" s="6"/>
      <c r="U298" s="9"/>
      <c r="AI298" s="6"/>
      <c r="AJ298" s="12"/>
      <c r="AL298" s="13"/>
    </row>
    <row r="299">
      <c r="A299" s="5"/>
      <c r="B299" s="5"/>
      <c r="C299" s="5"/>
      <c r="D299" s="5"/>
      <c r="E299" s="6"/>
      <c r="F299" s="6"/>
      <c r="G299" s="18"/>
      <c r="I299" s="16"/>
      <c r="J299" s="9"/>
      <c r="K299" s="10"/>
      <c r="L299" s="6"/>
      <c r="M299" s="11"/>
      <c r="N299" s="6"/>
      <c r="O299" s="6"/>
      <c r="P299" s="10"/>
      <c r="Q299" s="6"/>
      <c r="R299" s="6"/>
      <c r="S299" s="6"/>
      <c r="T299" s="6"/>
      <c r="U299" s="9"/>
      <c r="AI299" s="6"/>
      <c r="AJ299" s="12"/>
      <c r="AL299" s="13"/>
    </row>
    <row r="300">
      <c r="A300" s="5"/>
      <c r="B300" s="5"/>
      <c r="C300" s="5"/>
      <c r="D300" s="5"/>
      <c r="E300" s="6"/>
      <c r="F300" s="6"/>
      <c r="G300" s="18"/>
      <c r="I300" s="16"/>
      <c r="J300" s="9"/>
      <c r="K300" s="10"/>
      <c r="L300" s="6"/>
      <c r="M300" s="11"/>
      <c r="N300" s="6"/>
      <c r="O300" s="6"/>
      <c r="P300" s="10"/>
      <c r="Q300" s="6"/>
      <c r="R300" s="6"/>
      <c r="S300" s="6"/>
      <c r="T300" s="6"/>
      <c r="U300" s="9"/>
      <c r="AI300" s="6"/>
      <c r="AJ300" s="12"/>
      <c r="AL300" s="13"/>
    </row>
    <row r="301">
      <c r="A301" s="5"/>
      <c r="B301" s="5"/>
      <c r="C301" s="5"/>
      <c r="D301" s="5"/>
      <c r="E301" s="6"/>
      <c r="F301" s="6"/>
      <c r="G301" s="18"/>
      <c r="I301" s="16"/>
      <c r="J301" s="9"/>
      <c r="K301" s="10"/>
      <c r="L301" s="6"/>
      <c r="M301" s="11"/>
      <c r="N301" s="6"/>
      <c r="O301" s="6"/>
      <c r="P301" s="10"/>
      <c r="Q301" s="6"/>
      <c r="R301" s="6"/>
      <c r="S301" s="6"/>
      <c r="T301" s="6"/>
      <c r="U301" s="9"/>
      <c r="AI301" s="6"/>
      <c r="AJ301" s="12"/>
      <c r="AL301" s="13"/>
    </row>
    <row r="302">
      <c r="A302" s="5"/>
      <c r="B302" s="5"/>
      <c r="C302" s="5"/>
      <c r="D302" s="5"/>
      <c r="E302" s="6"/>
      <c r="F302" s="6"/>
      <c r="G302" s="18"/>
      <c r="I302" s="16"/>
      <c r="J302" s="9"/>
      <c r="K302" s="10"/>
      <c r="L302" s="6"/>
      <c r="M302" s="11"/>
      <c r="N302" s="6"/>
      <c r="O302" s="6"/>
      <c r="P302" s="10"/>
      <c r="Q302" s="6"/>
      <c r="R302" s="6"/>
      <c r="S302" s="6"/>
      <c r="T302" s="6"/>
      <c r="U302" s="9"/>
      <c r="AI302" s="6"/>
      <c r="AJ302" s="12"/>
      <c r="AL302" s="13"/>
    </row>
    <row r="303">
      <c r="A303" s="5"/>
      <c r="B303" s="5"/>
      <c r="C303" s="5"/>
      <c r="D303" s="5"/>
      <c r="E303" s="6"/>
      <c r="F303" s="6"/>
      <c r="G303" s="18"/>
      <c r="I303" s="16"/>
      <c r="J303" s="9"/>
      <c r="K303" s="10"/>
      <c r="L303" s="6"/>
      <c r="M303" s="11"/>
      <c r="N303" s="6"/>
      <c r="O303" s="6"/>
      <c r="P303" s="10"/>
      <c r="Q303" s="6"/>
      <c r="R303" s="6"/>
      <c r="S303" s="6"/>
      <c r="T303" s="6"/>
      <c r="U303" s="9"/>
      <c r="AI303" s="6"/>
      <c r="AJ303" s="12"/>
      <c r="AL303" s="13"/>
    </row>
    <row r="304">
      <c r="A304" s="5"/>
      <c r="B304" s="5"/>
      <c r="C304" s="5"/>
      <c r="D304" s="5"/>
      <c r="E304" s="6"/>
      <c r="F304" s="6"/>
      <c r="G304" s="18"/>
      <c r="I304" s="16"/>
      <c r="J304" s="9"/>
      <c r="K304" s="10"/>
      <c r="L304" s="6"/>
      <c r="M304" s="11"/>
      <c r="N304" s="6"/>
      <c r="O304" s="6"/>
      <c r="P304" s="10"/>
      <c r="Q304" s="6"/>
      <c r="R304" s="6"/>
      <c r="S304" s="6"/>
      <c r="T304" s="6"/>
      <c r="U304" s="9"/>
      <c r="AI304" s="6"/>
      <c r="AJ304" s="12"/>
      <c r="AL304" s="13"/>
    </row>
    <row r="305">
      <c r="A305" s="5"/>
      <c r="B305" s="5"/>
      <c r="C305" s="5"/>
      <c r="D305" s="5"/>
      <c r="E305" s="6"/>
      <c r="F305" s="6"/>
      <c r="G305" s="18"/>
      <c r="I305" s="16"/>
      <c r="J305" s="9"/>
      <c r="K305" s="10"/>
      <c r="L305" s="6"/>
      <c r="M305" s="11"/>
      <c r="N305" s="6"/>
      <c r="O305" s="6"/>
      <c r="P305" s="10"/>
      <c r="Q305" s="6"/>
      <c r="R305" s="6"/>
      <c r="S305" s="6"/>
      <c r="T305" s="6"/>
      <c r="U305" s="9"/>
      <c r="AI305" s="6"/>
      <c r="AJ305" s="12"/>
      <c r="AL305" s="13"/>
    </row>
    <row r="306">
      <c r="A306" s="5"/>
      <c r="B306" s="5"/>
      <c r="C306" s="5"/>
      <c r="D306" s="5"/>
      <c r="E306" s="6"/>
      <c r="F306" s="6"/>
      <c r="G306" s="18"/>
      <c r="I306" s="16"/>
      <c r="J306" s="9"/>
      <c r="K306" s="10"/>
      <c r="L306" s="6"/>
      <c r="M306" s="11"/>
      <c r="N306" s="6"/>
      <c r="O306" s="6"/>
      <c r="P306" s="10"/>
      <c r="Q306" s="6"/>
      <c r="R306" s="6"/>
      <c r="S306" s="6"/>
      <c r="T306" s="6"/>
      <c r="U306" s="9"/>
      <c r="AI306" s="6"/>
      <c r="AJ306" s="12"/>
      <c r="AL306" s="13"/>
    </row>
    <row r="307">
      <c r="A307" s="5"/>
      <c r="B307" s="5"/>
      <c r="C307" s="5"/>
      <c r="D307" s="5"/>
      <c r="E307" s="6"/>
      <c r="F307" s="6"/>
      <c r="G307" s="18"/>
      <c r="I307" s="16"/>
      <c r="J307" s="9"/>
      <c r="K307" s="10"/>
      <c r="L307" s="6"/>
      <c r="M307" s="11"/>
      <c r="N307" s="6"/>
      <c r="O307" s="6"/>
      <c r="P307" s="10"/>
      <c r="Q307" s="6"/>
      <c r="R307" s="6"/>
      <c r="S307" s="6"/>
      <c r="T307" s="6"/>
      <c r="U307" s="9"/>
      <c r="AI307" s="6"/>
      <c r="AJ307" s="12"/>
      <c r="AL307" s="13"/>
    </row>
    <row r="308">
      <c r="A308" s="5"/>
      <c r="B308" s="5"/>
      <c r="C308" s="5"/>
      <c r="D308" s="5"/>
      <c r="E308" s="6"/>
      <c r="F308" s="6"/>
      <c r="G308" s="18"/>
      <c r="I308" s="16"/>
      <c r="J308" s="9"/>
      <c r="K308" s="10"/>
      <c r="L308" s="6"/>
      <c r="M308" s="11"/>
      <c r="N308" s="6"/>
      <c r="O308" s="6"/>
      <c r="P308" s="10"/>
      <c r="Q308" s="6"/>
      <c r="R308" s="6"/>
      <c r="S308" s="6"/>
      <c r="T308" s="6"/>
      <c r="U308" s="9"/>
      <c r="AI308" s="6"/>
      <c r="AJ308" s="12"/>
      <c r="AL308" s="13"/>
    </row>
    <row r="309">
      <c r="A309" s="5"/>
      <c r="B309" s="5"/>
      <c r="C309" s="5"/>
      <c r="D309" s="5"/>
      <c r="E309" s="6"/>
      <c r="F309" s="6"/>
      <c r="G309" s="18"/>
      <c r="I309" s="16"/>
      <c r="J309" s="9"/>
      <c r="K309" s="10"/>
      <c r="L309" s="6"/>
      <c r="M309" s="11"/>
      <c r="N309" s="6"/>
      <c r="O309" s="6"/>
      <c r="P309" s="10"/>
      <c r="Q309" s="6"/>
      <c r="R309" s="6"/>
      <c r="S309" s="6"/>
      <c r="T309" s="6"/>
      <c r="U309" s="9"/>
      <c r="AI309" s="6"/>
      <c r="AJ309" s="12"/>
      <c r="AL309" s="13"/>
    </row>
    <row r="310">
      <c r="A310" s="5"/>
      <c r="B310" s="5"/>
      <c r="C310" s="5"/>
      <c r="D310" s="5"/>
      <c r="E310" s="6"/>
      <c r="F310" s="6"/>
      <c r="G310" s="18"/>
      <c r="I310" s="16"/>
      <c r="J310" s="9"/>
      <c r="K310" s="10"/>
      <c r="L310" s="6"/>
      <c r="M310" s="11"/>
      <c r="N310" s="6"/>
      <c r="O310" s="6"/>
      <c r="P310" s="10"/>
      <c r="Q310" s="6"/>
      <c r="R310" s="6"/>
      <c r="S310" s="6"/>
      <c r="T310" s="6"/>
      <c r="U310" s="9"/>
      <c r="AI310" s="6"/>
      <c r="AJ310" s="12"/>
      <c r="AL310" s="13"/>
    </row>
    <row r="311">
      <c r="A311" s="5"/>
      <c r="B311" s="5"/>
      <c r="C311" s="5"/>
      <c r="D311" s="5"/>
      <c r="E311" s="6"/>
      <c r="F311" s="6"/>
      <c r="G311" s="18"/>
      <c r="I311" s="16"/>
      <c r="J311" s="9"/>
      <c r="K311" s="10"/>
      <c r="L311" s="6"/>
      <c r="M311" s="11"/>
      <c r="N311" s="6"/>
      <c r="O311" s="6"/>
      <c r="P311" s="10"/>
      <c r="Q311" s="6"/>
      <c r="R311" s="6"/>
      <c r="S311" s="6"/>
      <c r="T311" s="6"/>
      <c r="U311" s="9"/>
      <c r="AI311" s="6"/>
      <c r="AJ311" s="12"/>
      <c r="AL311" s="13"/>
    </row>
    <row r="312">
      <c r="A312" s="5"/>
      <c r="B312" s="5"/>
      <c r="C312" s="5"/>
      <c r="D312" s="5"/>
      <c r="E312" s="6"/>
      <c r="F312" s="6"/>
      <c r="G312" s="18"/>
      <c r="I312" s="16"/>
      <c r="J312" s="9"/>
      <c r="K312" s="10"/>
      <c r="L312" s="6"/>
      <c r="M312" s="11"/>
      <c r="N312" s="6"/>
      <c r="O312" s="6"/>
      <c r="P312" s="10"/>
      <c r="Q312" s="6"/>
      <c r="R312" s="6"/>
      <c r="S312" s="6"/>
      <c r="T312" s="6"/>
      <c r="U312" s="9"/>
      <c r="AI312" s="6"/>
      <c r="AJ312" s="12"/>
      <c r="AL312" s="13"/>
    </row>
    <row r="313">
      <c r="A313" s="5"/>
      <c r="B313" s="5"/>
      <c r="C313" s="5"/>
      <c r="D313" s="5"/>
      <c r="E313" s="6"/>
      <c r="F313" s="6"/>
      <c r="G313" s="18"/>
      <c r="I313" s="16"/>
      <c r="J313" s="9"/>
      <c r="K313" s="10"/>
      <c r="L313" s="6"/>
      <c r="M313" s="11"/>
      <c r="N313" s="6"/>
      <c r="O313" s="6"/>
      <c r="P313" s="10"/>
      <c r="Q313" s="6"/>
      <c r="R313" s="6"/>
      <c r="S313" s="6"/>
      <c r="T313" s="6"/>
      <c r="U313" s="9"/>
      <c r="AI313" s="6"/>
      <c r="AJ313" s="12"/>
      <c r="AL313" s="13"/>
    </row>
    <row r="314">
      <c r="A314" s="5"/>
      <c r="B314" s="5"/>
      <c r="C314" s="5"/>
      <c r="D314" s="5"/>
      <c r="E314" s="6"/>
      <c r="F314" s="6"/>
      <c r="G314" s="18"/>
      <c r="I314" s="16"/>
      <c r="J314" s="9"/>
      <c r="K314" s="10"/>
      <c r="L314" s="6"/>
      <c r="M314" s="11"/>
      <c r="N314" s="6"/>
      <c r="O314" s="6"/>
      <c r="P314" s="10"/>
      <c r="Q314" s="6"/>
      <c r="R314" s="6"/>
      <c r="S314" s="6"/>
      <c r="T314" s="6"/>
      <c r="U314" s="9"/>
      <c r="AI314" s="6"/>
      <c r="AJ314" s="12"/>
      <c r="AL314" s="13"/>
    </row>
    <row r="315">
      <c r="A315" s="5"/>
      <c r="B315" s="5"/>
      <c r="C315" s="5"/>
      <c r="D315" s="5"/>
      <c r="E315" s="6"/>
      <c r="F315" s="6"/>
      <c r="G315" s="18"/>
      <c r="I315" s="16"/>
      <c r="J315" s="9"/>
      <c r="K315" s="10"/>
      <c r="L315" s="6"/>
      <c r="M315" s="11"/>
      <c r="N315" s="6"/>
      <c r="O315" s="6"/>
      <c r="P315" s="10"/>
      <c r="Q315" s="6"/>
      <c r="R315" s="6"/>
      <c r="S315" s="6"/>
      <c r="T315" s="6"/>
      <c r="U315" s="9"/>
      <c r="AI315" s="6"/>
      <c r="AJ315" s="12"/>
      <c r="AL315" s="13"/>
    </row>
    <row r="316">
      <c r="A316" s="5"/>
      <c r="B316" s="5"/>
      <c r="C316" s="5"/>
      <c r="D316" s="5"/>
      <c r="E316" s="6"/>
      <c r="F316" s="6"/>
      <c r="G316" s="18"/>
      <c r="I316" s="16"/>
      <c r="J316" s="9"/>
      <c r="K316" s="10"/>
      <c r="L316" s="6"/>
      <c r="M316" s="11"/>
      <c r="N316" s="6"/>
      <c r="O316" s="6"/>
      <c r="P316" s="10"/>
      <c r="Q316" s="6"/>
      <c r="R316" s="6"/>
      <c r="S316" s="6"/>
      <c r="T316" s="6"/>
      <c r="U316" s="9"/>
      <c r="AI316" s="6"/>
      <c r="AJ316" s="12"/>
      <c r="AL316" s="13"/>
    </row>
    <row r="317">
      <c r="A317" s="5"/>
      <c r="B317" s="5"/>
      <c r="C317" s="5"/>
      <c r="D317" s="5"/>
      <c r="E317" s="6"/>
      <c r="F317" s="6"/>
      <c r="G317" s="18"/>
      <c r="I317" s="16"/>
      <c r="J317" s="9"/>
      <c r="K317" s="10"/>
      <c r="L317" s="6"/>
      <c r="M317" s="11"/>
      <c r="N317" s="6"/>
      <c r="O317" s="6"/>
      <c r="P317" s="10"/>
      <c r="Q317" s="6"/>
      <c r="R317" s="6"/>
      <c r="S317" s="6"/>
      <c r="T317" s="6"/>
      <c r="U317" s="9"/>
      <c r="AI317" s="6"/>
      <c r="AJ317" s="12"/>
      <c r="AL317" s="13"/>
    </row>
    <row r="318">
      <c r="A318" s="5"/>
      <c r="B318" s="5"/>
      <c r="C318" s="5"/>
      <c r="D318" s="5"/>
      <c r="E318" s="6"/>
      <c r="F318" s="6"/>
      <c r="G318" s="18"/>
      <c r="I318" s="16"/>
      <c r="J318" s="9"/>
      <c r="K318" s="10"/>
      <c r="L318" s="6"/>
      <c r="M318" s="11"/>
      <c r="N318" s="6"/>
      <c r="O318" s="6"/>
      <c r="P318" s="10"/>
      <c r="Q318" s="6"/>
      <c r="R318" s="6"/>
      <c r="S318" s="6"/>
      <c r="T318" s="6"/>
      <c r="U318" s="9"/>
      <c r="AI318" s="6"/>
      <c r="AJ318" s="12"/>
      <c r="AL318" s="13"/>
    </row>
    <row r="319">
      <c r="A319" s="5"/>
      <c r="B319" s="5"/>
      <c r="C319" s="5"/>
      <c r="D319" s="5"/>
      <c r="E319" s="6"/>
      <c r="F319" s="6"/>
      <c r="G319" s="18"/>
      <c r="I319" s="16"/>
      <c r="J319" s="9"/>
      <c r="K319" s="10"/>
      <c r="L319" s="6"/>
      <c r="M319" s="11"/>
      <c r="N319" s="6"/>
      <c r="O319" s="6"/>
      <c r="P319" s="10"/>
      <c r="Q319" s="6"/>
      <c r="R319" s="6"/>
      <c r="S319" s="6"/>
      <c r="T319" s="6"/>
      <c r="U319" s="9"/>
      <c r="AI319" s="6"/>
      <c r="AJ319" s="12"/>
      <c r="AL319" s="13"/>
    </row>
    <row r="320">
      <c r="A320" s="5"/>
      <c r="B320" s="5"/>
      <c r="C320" s="5"/>
      <c r="D320" s="5"/>
      <c r="E320" s="6"/>
      <c r="F320" s="6"/>
      <c r="G320" s="18"/>
      <c r="I320" s="16"/>
      <c r="J320" s="9"/>
      <c r="K320" s="10"/>
      <c r="L320" s="6"/>
      <c r="M320" s="11"/>
      <c r="N320" s="6"/>
      <c r="O320" s="6"/>
      <c r="P320" s="10"/>
      <c r="Q320" s="6"/>
      <c r="R320" s="6"/>
      <c r="S320" s="6"/>
      <c r="T320" s="6"/>
      <c r="U320" s="9"/>
      <c r="AI320" s="6"/>
      <c r="AJ320" s="12"/>
      <c r="AL320" s="13"/>
    </row>
    <row r="321">
      <c r="A321" s="5"/>
      <c r="B321" s="5"/>
      <c r="C321" s="5"/>
      <c r="D321" s="5"/>
      <c r="E321" s="6"/>
      <c r="F321" s="6"/>
      <c r="G321" s="18"/>
      <c r="I321" s="16"/>
      <c r="J321" s="9"/>
      <c r="K321" s="10"/>
      <c r="L321" s="6"/>
      <c r="M321" s="11"/>
      <c r="N321" s="6"/>
      <c r="O321" s="6"/>
      <c r="P321" s="10"/>
      <c r="Q321" s="6"/>
      <c r="R321" s="6"/>
      <c r="S321" s="6"/>
      <c r="T321" s="6"/>
      <c r="U321" s="9"/>
      <c r="AI321" s="6"/>
      <c r="AJ321" s="12"/>
      <c r="AL321" s="13"/>
    </row>
    <row r="322">
      <c r="A322" s="5"/>
      <c r="B322" s="5"/>
      <c r="C322" s="5"/>
      <c r="D322" s="5"/>
      <c r="E322" s="6"/>
      <c r="F322" s="6"/>
      <c r="G322" s="18"/>
      <c r="I322" s="16"/>
      <c r="J322" s="9"/>
      <c r="K322" s="10"/>
      <c r="L322" s="6"/>
      <c r="M322" s="11"/>
      <c r="N322" s="6"/>
      <c r="O322" s="6"/>
      <c r="P322" s="10"/>
      <c r="Q322" s="6"/>
      <c r="R322" s="6"/>
      <c r="S322" s="6"/>
      <c r="T322" s="6"/>
      <c r="U322" s="9"/>
      <c r="AI322" s="6"/>
      <c r="AJ322" s="12"/>
      <c r="AL322" s="13"/>
    </row>
    <row r="323">
      <c r="A323" s="5"/>
      <c r="B323" s="5"/>
      <c r="C323" s="5"/>
      <c r="D323" s="5"/>
      <c r="E323" s="6"/>
      <c r="F323" s="6"/>
      <c r="G323" s="18"/>
      <c r="I323" s="16"/>
      <c r="J323" s="9"/>
      <c r="K323" s="10"/>
      <c r="L323" s="6"/>
      <c r="M323" s="11"/>
      <c r="N323" s="6"/>
      <c r="O323" s="6"/>
      <c r="P323" s="10"/>
      <c r="Q323" s="6"/>
      <c r="R323" s="6"/>
      <c r="S323" s="6"/>
      <c r="T323" s="6"/>
      <c r="U323" s="9"/>
      <c r="AI323" s="6"/>
      <c r="AJ323" s="12"/>
      <c r="AL323" s="13"/>
    </row>
    <row r="324">
      <c r="A324" s="5"/>
      <c r="B324" s="5"/>
      <c r="C324" s="5"/>
      <c r="D324" s="5"/>
      <c r="E324" s="6"/>
      <c r="F324" s="6"/>
      <c r="G324" s="18"/>
      <c r="I324" s="16"/>
      <c r="J324" s="9"/>
      <c r="K324" s="10"/>
      <c r="L324" s="6"/>
      <c r="M324" s="11"/>
      <c r="N324" s="6"/>
      <c r="O324" s="6"/>
      <c r="P324" s="10"/>
      <c r="Q324" s="6"/>
      <c r="R324" s="6"/>
      <c r="S324" s="6"/>
      <c r="T324" s="6"/>
      <c r="U324" s="9"/>
      <c r="AI324" s="6"/>
      <c r="AJ324" s="12"/>
      <c r="AL324" s="13"/>
    </row>
    <row r="325">
      <c r="A325" s="5"/>
      <c r="B325" s="5"/>
      <c r="C325" s="5"/>
      <c r="D325" s="5"/>
      <c r="E325" s="6"/>
      <c r="F325" s="6"/>
      <c r="G325" s="18"/>
      <c r="I325" s="16"/>
      <c r="J325" s="9"/>
      <c r="K325" s="10"/>
      <c r="L325" s="6"/>
      <c r="M325" s="11"/>
      <c r="N325" s="6"/>
      <c r="O325" s="6"/>
      <c r="P325" s="10"/>
      <c r="Q325" s="6"/>
      <c r="R325" s="6"/>
      <c r="S325" s="6"/>
      <c r="T325" s="6"/>
      <c r="U325" s="9"/>
      <c r="AI325" s="6"/>
      <c r="AJ325" s="12"/>
      <c r="AL325" s="13"/>
    </row>
    <row r="326">
      <c r="A326" s="5"/>
      <c r="B326" s="5"/>
      <c r="C326" s="5"/>
      <c r="D326" s="5"/>
      <c r="E326" s="6"/>
      <c r="F326" s="6"/>
      <c r="G326" s="18"/>
      <c r="I326" s="16"/>
      <c r="J326" s="9"/>
      <c r="K326" s="10"/>
      <c r="L326" s="6"/>
      <c r="M326" s="11"/>
      <c r="N326" s="6"/>
      <c r="O326" s="6"/>
      <c r="P326" s="10"/>
      <c r="Q326" s="6"/>
      <c r="R326" s="6"/>
      <c r="S326" s="6"/>
      <c r="T326" s="6"/>
      <c r="U326" s="9"/>
      <c r="AI326" s="6"/>
      <c r="AJ326" s="12"/>
      <c r="AL326" s="13"/>
    </row>
    <row r="327">
      <c r="A327" s="5"/>
      <c r="B327" s="5"/>
      <c r="C327" s="5"/>
      <c r="D327" s="5"/>
      <c r="E327" s="6"/>
      <c r="F327" s="6"/>
      <c r="G327" s="18"/>
      <c r="I327" s="16"/>
      <c r="J327" s="9"/>
      <c r="K327" s="10"/>
      <c r="L327" s="6"/>
      <c r="M327" s="11"/>
      <c r="N327" s="6"/>
      <c r="O327" s="6"/>
      <c r="P327" s="10"/>
      <c r="Q327" s="6"/>
      <c r="R327" s="6"/>
      <c r="S327" s="6"/>
      <c r="T327" s="6"/>
      <c r="U327" s="9"/>
      <c r="AI327" s="6"/>
      <c r="AJ327" s="12"/>
      <c r="AL327" s="13"/>
    </row>
    <row r="328">
      <c r="A328" s="5"/>
      <c r="B328" s="5"/>
      <c r="C328" s="5"/>
      <c r="D328" s="5"/>
      <c r="E328" s="6"/>
      <c r="F328" s="6"/>
      <c r="G328" s="18"/>
      <c r="I328" s="16"/>
      <c r="J328" s="9"/>
      <c r="K328" s="10"/>
      <c r="L328" s="6"/>
      <c r="M328" s="11"/>
      <c r="N328" s="6"/>
      <c r="O328" s="6"/>
      <c r="P328" s="10"/>
      <c r="Q328" s="6"/>
      <c r="R328" s="6"/>
      <c r="S328" s="6"/>
      <c r="T328" s="6"/>
      <c r="U328" s="9"/>
      <c r="AI328" s="6"/>
      <c r="AJ328" s="12"/>
      <c r="AL328" s="13"/>
    </row>
    <row r="329">
      <c r="A329" s="5"/>
      <c r="B329" s="5"/>
      <c r="C329" s="5"/>
      <c r="D329" s="5"/>
      <c r="E329" s="6"/>
      <c r="F329" s="6"/>
      <c r="G329" s="18"/>
      <c r="I329" s="16"/>
      <c r="J329" s="9"/>
      <c r="K329" s="10"/>
      <c r="L329" s="6"/>
      <c r="M329" s="11"/>
      <c r="N329" s="6"/>
      <c r="O329" s="6"/>
      <c r="P329" s="10"/>
      <c r="Q329" s="6"/>
      <c r="R329" s="6"/>
      <c r="S329" s="6"/>
      <c r="T329" s="6"/>
      <c r="U329" s="9"/>
      <c r="AI329" s="6"/>
      <c r="AJ329" s="12"/>
      <c r="AL329" s="13"/>
    </row>
    <row r="330">
      <c r="A330" s="5"/>
      <c r="B330" s="5"/>
      <c r="C330" s="5"/>
      <c r="D330" s="5"/>
      <c r="E330" s="6"/>
      <c r="F330" s="6"/>
      <c r="G330" s="18"/>
      <c r="I330" s="16"/>
      <c r="J330" s="9"/>
      <c r="K330" s="10"/>
      <c r="L330" s="6"/>
      <c r="M330" s="11"/>
      <c r="N330" s="6"/>
      <c r="O330" s="6"/>
      <c r="P330" s="10"/>
      <c r="Q330" s="6"/>
      <c r="R330" s="6"/>
      <c r="S330" s="6"/>
      <c r="T330" s="6"/>
      <c r="U330" s="9"/>
      <c r="AI330" s="6"/>
      <c r="AJ330" s="12"/>
      <c r="AL330" s="13"/>
    </row>
    <row r="331">
      <c r="A331" s="5"/>
      <c r="B331" s="5"/>
      <c r="C331" s="5"/>
      <c r="D331" s="5"/>
      <c r="E331" s="6"/>
      <c r="F331" s="6"/>
      <c r="G331" s="18"/>
      <c r="I331" s="16"/>
      <c r="J331" s="9"/>
      <c r="K331" s="10"/>
      <c r="L331" s="6"/>
      <c r="M331" s="11"/>
      <c r="N331" s="6"/>
      <c r="O331" s="6"/>
      <c r="P331" s="10"/>
      <c r="Q331" s="6"/>
      <c r="R331" s="6"/>
      <c r="S331" s="6"/>
      <c r="T331" s="6"/>
      <c r="U331" s="9"/>
      <c r="AI331" s="6"/>
      <c r="AJ331" s="12"/>
      <c r="AL331" s="13"/>
    </row>
    <row r="332">
      <c r="A332" s="5"/>
      <c r="B332" s="5"/>
      <c r="C332" s="5"/>
      <c r="D332" s="5"/>
      <c r="E332" s="6"/>
      <c r="F332" s="6"/>
      <c r="G332" s="18"/>
      <c r="I332" s="16"/>
      <c r="J332" s="9"/>
      <c r="K332" s="10"/>
      <c r="L332" s="6"/>
      <c r="M332" s="11"/>
      <c r="N332" s="6"/>
      <c r="O332" s="6"/>
      <c r="P332" s="10"/>
      <c r="Q332" s="6"/>
      <c r="R332" s="6"/>
      <c r="S332" s="6"/>
      <c r="T332" s="6"/>
      <c r="U332" s="9"/>
      <c r="AI332" s="6"/>
      <c r="AJ332" s="12"/>
      <c r="AL332" s="13"/>
    </row>
    <row r="333">
      <c r="A333" s="5"/>
      <c r="B333" s="5"/>
      <c r="C333" s="5"/>
      <c r="D333" s="5"/>
      <c r="E333" s="6"/>
      <c r="F333" s="6"/>
      <c r="G333" s="18"/>
      <c r="I333" s="16"/>
      <c r="J333" s="9"/>
      <c r="K333" s="10"/>
      <c r="L333" s="6"/>
      <c r="M333" s="11"/>
      <c r="N333" s="6"/>
      <c r="O333" s="6"/>
      <c r="P333" s="10"/>
      <c r="Q333" s="6"/>
      <c r="R333" s="6"/>
      <c r="S333" s="6"/>
      <c r="T333" s="6"/>
      <c r="U333" s="9"/>
      <c r="AI333" s="6"/>
      <c r="AJ333" s="12"/>
      <c r="AL333" s="13"/>
    </row>
    <row r="334">
      <c r="A334" s="5"/>
      <c r="B334" s="5"/>
      <c r="C334" s="5"/>
      <c r="D334" s="5"/>
      <c r="E334" s="6"/>
      <c r="F334" s="6"/>
      <c r="G334" s="18"/>
      <c r="I334" s="16"/>
      <c r="J334" s="9"/>
      <c r="K334" s="10"/>
      <c r="L334" s="6"/>
      <c r="M334" s="11"/>
      <c r="N334" s="6"/>
      <c r="O334" s="6"/>
      <c r="P334" s="10"/>
      <c r="Q334" s="6"/>
      <c r="R334" s="6"/>
      <c r="S334" s="6"/>
      <c r="T334" s="6"/>
      <c r="U334" s="9"/>
      <c r="AI334" s="6"/>
      <c r="AJ334" s="12"/>
      <c r="AL334" s="13"/>
    </row>
    <row r="335">
      <c r="A335" s="5"/>
      <c r="B335" s="5"/>
      <c r="C335" s="5"/>
      <c r="D335" s="5"/>
      <c r="E335" s="6"/>
      <c r="F335" s="6"/>
      <c r="G335" s="18"/>
      <c r="I335" s="16"/>
      <c r="J335" s="9"/>
      <c r="K335" s="10"/>
      <c r="L335" s="6"/>
      <c r="M335" s="11"/>
      <c r="N335" s="6"/>
      <c r="O335" s="6"/>
      <c r="P335" s="10"/>
      <c r="Q335" s="6"/>
      <c r="R335" s="6"/>
      <c r="S335" s="6"/>
      <c r="T335" s="6"/>
      <c r="U335" s="9"/>
      <c r="AI335" s="6"/>
      <c r="AJ335" s="12"/>
      <c r="AL335" s="13"/>
    </row>
    <row r="336">
      <c r="A336" s="5"/>
      <c r="B336" s="5"/>
      <c r="C336" s="5"/>
      <c r="D336" s="5"/>
      <c r="E336" s="6"/>
      <c r="F336" s="6"/>
      <c r="G336" s="18"/>
      <c r="I336" s="16"/>
      <c r="J336" s="9"/>
      <c r="K336" s="10"/>
      <c r="L336" s="6"/>
      <c r="M336" s="11"/>
      <c r="N336" s="6"/>
      <c r="O336" s="6"/>
      <c r="P336" s="10"/>
      <c r="Q336" s="6"/>
      <c r="R336" s="6"/>
      <c r="S336" s="6"/>
      <c r="T336" s="6"/>
      <c r="U336" s="9"/>
      <c r="AI336" s="6"/>
      <c r="AJ336" s="12"/>
      <c r="AL336" s="13"/>
    </row>
    <row r="337">
      <c r="A337" s="5"/>
      <c r="B337" s="5"/>
      <c r="C337" s="5"/>
      <c r="D337" s="5"/>
      <c r="E337" s="6"/>
      <c r="F337" s="6"/>
      <c r="G337" s="18"/>
      <c r="I337" s="16"/>
      <c r="J337" s="9"/>
      <c r="K337" s="10"/>
      <c r="L337" s="6"/>
      <c r="M337" s="11"/>
      <c r="N337" s="6"/>
      <c r="O337" s="6"/>
      <c r="P337" s="10"/>
      <c r="Q337" s="6"/>
      <c r="R337" s="6"/>
      <c r="S337" s="6"/>
      <c r="T337" s="6"/>
      <c r="U337" s="9"/>
      <c r="AI337" s="6"/>
      <c r="AJ337" s="12"/>
      <c r="AL337" s="13"/>
    </row>
    <row r="338">
      <c r="A338" s="5"/>
      <c r="B338" s="5"/>
      <c r="C338" s="5"/>
      <c r="D338" s="5"/>
      <c r="E338" s="6"/>
      <c r="F338" s="6"/>
      <c r="G338" s="18"/>
      <c r="I338" s="16"/>
      <c r="J338" s="9"/>
      <c r="K338" s="10"/>
      <c r="L338" s="6"/>
      <c r="M338" s="11"/>
      <c r="N338" s="6"/>
      <c r="O338" s="6"/>
      <c r="P338" s="10"/>
      <c r="Q338" s="6"/>
      <c r="R338" s="6"/>
      <c r="S338" s="6"/>
      <c r="T338" s="6"/>
      <c r="U338" s="9"/>
      <c r="AI338" s="6"/>
      <c r="AJ338" s="12"/>
      <c r="AL338" s="13"/>
    </row>
    <row r="339">
      <c r="A339" s="5"/>
      <c r="B339" s="5"/>
      <c r="C339" s="5"/>
      <c r="D339" s="5"/>
      <c r="E339" s="6"/>
      <c r="F339" s="6"/>
      <c r="G339" s="18"/>
      <c r="I339" s="16"/>
      <c r="J339" s="9"/>
      <c r="K339" s="10"/>
      <c r="L339" s="6"/>
      <c r="M339" s="11"/>
      <c r="N339" s="6"/>
      <c r="O339" s="6"/>
      <c r="P339" s="10"/>
      <c r="Q339" s="6"/>
      <c r="R339" s="6"/>
      <c r="S339" s="6"/>
      <c r="T339" s="6"/>
      <c r="U339" s="9"/>
      <c r="AI339" s="6"/>
      <c r="AJ339" s="12"/>
      <c r="AL339" s="13"/>
    </row>
    <row r="340">
      <c r="A340" s="5"/>
      <c r="B340" s="5"/>
      <c r="C340" s="5"/>
      <c r="D340" s="5"/>
      <c r="E340" s="6"/>
      <c r="F340" s="6"/>
      <c r="G340" s="18"/>
      <c r="I340" s="16"/>
      <c r="J340" s="9"/>
      <c r="K340" s="10"/>
      <c r="L340" s="6"/>
      <c r="M340" s="11"/>
      <c r="N340" s="6"/>
      <c r="O340" s="6"/>
      <c r="P340" s="10"/>
      <c r="Q340" s="6"/>
      <c r="R340" s="6"/>
      <c r="S340" s="6"/>
      <c r="T340" s="6"/>
      <c r="U340" s="9"/>
      <c r="AI340" s="6"/>
      <c r="AJ340" s="12"/>
      <c r="AL340" s="13"/>
    </row>
    <row r="341">
      <c r="A341" s="5"/>
      <c r="B341" s="5"/>
      <c r="C341" s="5"/>
      <c r="D341" s="5"/>
      <c r="E341" s="6"/>
      <c r="F341" s="6"/>
      <c r="G341" s="18"/>
      <c r="I341" s="16"/>
      <c r="J341" s="9"/>
      <c r="K341" s="10"/>
      <c r="L341" s="6"/>
      <c r="M341" s="11"/>
      <c r="N341" s="6"/>
      <c r="O341" s="6"/>
      <c r="P341" s="10"/>
      <c r="Q341" s="6"/>
      <c r="R341" s="6"/>
      <c r="S341" s="6"/>
      <c r="T341" s="6"/>
      <c r="U341" s="9"/>
      <c r="AI341" s="6"/>
      <c r="AJ341" s="12"/>
      <c r="AL341" s="13"/>
    </row>
    <row r="342">
      <c r="A342" s="5"/>
      <c r="B342" s="5"/>
      <c r="C342" s="5"/>
      <c r="D342" s="5"/>
      <c r="E342" s="6"/>
      <c r="F342" s="6"/>
      <c r="G342" s="18"/>
      <c r="I342" s="16"/>
      <c r="J342" s="9"/>
      <c r="K342" s="10"/>
      <c r="L342" s="6"/>
      <c r="M342" s="11"/>
      <c r="N342" s="6"/>
      <c r="O342" s="6"/>
      <c r="P342" s="10"/>
      <c r="Q342" s="6"/>
      <c r="R342" s="6"/>
      <c r="S342" s="6"/>
      <c r="T342" s="6"/>
      <c r="U342" s="9"/>
      <c r="AI342" s="6"/>
      <c r="AJ342" s="12"/>
      <c r="AL342" s="13"/>
    </row>
    <row r="343">
      <c r="A343" s="5"/>
      <c r="B343" s="5"/>
      <c r="C343" s="5"/>
      <c r="D343" s="5"/>
      <c r="E343" s="6"/>
      <c r="F343" s="6"/>
      <c r="G343" s="18"/>
      <c r="I343" s="16"/>
      <c r="J343" s="9"/>
      <c r="K343" s="10"/>
      <c r="L343" s="6"/>
      <c r="M343" s="11"/>
      <c r="N343" s="6"/>
      <c r="O343" s="6"/>
      <c r="P343" s="10"/>
      <c r="Q343" s="6"/>
      <c r="R343" s="6"/>
      <c r="S343" s="6"/>
      <c r="T343" s="6"/>
      <c r="U343" s="9"/>
      <c r="AI343" s="6"/>
      <c r="AJ343" s="12"/>
      <c r="AL343" s="13"/>
    </row>
    <row r="344">
      <c r="A344" s="5"/>
      <c r="B344" s="5"/>
      <c r="C344" s="5"/>
      <c r="D344" s="5"/>
      <c r="E344" s="6"/>
      <c r="F344" s="6"/>
      <c r="G344" s="18"/>
      <c r="I344" s="16"/>
      <c r="J344" s="9"/>
      <c r="K344" s="10"/>
      <c r="L344" s="6"/>
      <c r="M344" s="11"/>
      <c r="N344" s="6"/>
      <c r="O344" s="6"/>
      <c r="P344" s="10"/>
      <c r="Q344" s="6"/>
      <c r="R344" s="6"/>
      <c r="S344" s="6"/>
      <c r="T344" s="6"/>
      <c r="U344" s="9"/>
      <c r="AI344" s="6"/>
      <c r="AJ344" s="12"/>
      <c r="AL344" s="13"/>
    </row>
    <row r="345">
      <c r="A345" s="5"/>
      <c r="B345" s="5"/>
      <c r="C345" s="5"/>
      <c r="D345" s="5"/>
      <c r="E345" s="6"/>
      <c r="F345" s="6"/>
      <c r="G345" s="18"/>
      <c r="I345" s="16"/>
      <c r="J345" s="9"/>
      <c r="K345" s="10"/>
      <c r="L345" s="6"/>
      <c r="M345" s="11"/>
      <c r="N345" s="6"/>
      <c r="O345" s="6"/>
      <c r="P345" s="10"/>
      <c r="Q345" s="6"/>
      <c r="R345" s="6"/>
      <c r="S345" s="6"/>
      <c r="T345" s="6"/>
      <c r="U345" s="9"/>
      <c r="AI345" s="6"/>
      <c r="AJ345" s="12"/>
      <c r="AL345" s="13"/>
    </row>
    <row r="346">
      <c r="A346" s="5"/>
      <c r="B346" s="5"/>
      <c r="C346" s="5"/>
      <c r="D346" s="5"/>
      <c r="E346" s="6"/>
      <c r="F346" s="6"/>
      <c r="G346" s="18"/>
      <c r="I346" s="16"/>
      <c r="J346" s="9"/>
      <c r="K346" s="10"/>
      <c r="L346" s="6"/>
      <c r="M346" s="11"/>
      <c r="N346" s="6"/>
      <c r="O346" s="6"/>
      <c r="P346" s="10"/>
      <c r="Q346" s="6"/>
      <c r="R346" s="6"/>
      <c r="S346" s="6"/>
      <c r="T346" s="6"/>
      <c r="U346" s="9"/>
      <c r="AI346" s="6"/>
      <c r="AJ346" s="12"/>
      <c r="AL346" s="13"/>
    </row>
    <row r="347">
      <c r="A347" s="5"/>
      <c r="B347" s="5"/>
      <c r="C347" s="5"/>
      <c r="D347" s="5"/>
      <c r="E347" s="6"/>
      <c r="F347" s="6"/>
      <c r="G347" s="18"/>
      <c r="I347" s="16"/>
      <c r="J347" s="9"/>
      <c r="K347" s="10"/>
      <c r="L347" s="6"/>
      <c r="M347" s="11"/>
      <c r="N347" s="6"/>
      <c r="O347" s="6"/>
      <c r="P347" s="10"/>
      <c r="Q347" s="6"/>
      <c r="R347" s="6"/>
      <c r="S347" s="6"/>
      <c r="T347" s="6"/>
      <c r="U347" s="9"/>
      <c r="AI347" s="6"/>
      <c r="AJ347" s="12"/>
      <c r="AL347" s="13"/>
    </row>
    <row r="348">
      <c r="A348" s="5"/>
      <c r="B348" s="5"/>
      <c r="C348" s="5"/>
      <c r="D348" s="5"/>
      <c r="E348" s="6"/>
      <c r="F348" s="6"/>
      <c r="G348" s="18"/>
      <c r="I348" s="16"/>
      <c r="J348" s="9"/>
      <c r="K348" s="10"/>
      <c r="L348" s="6"/>
      <c r="M348" s="11"/>
      <c r="N348" s="6"/>
      <c r="O348" s="6"/>
      <c r="P348" s="10"/>
      <c r="Q348" s="6"/>
      <c r="R348" s="6"/>
      <c r="S348" s="6"/>
      <c r="T348" s="6"/>
      <c r="U348" s="9"/>
      <c r="AI348" s="6"/>
      <c r="AJ348" s="12"/>
      <c r="AL348" s="13"/>
    </row>
    <row r="349">
      <c r="A349" s="5"/>
      <c r="B349" s="5"/>
      <c r="C349" s="5"/>
      <c r="D349" s="5"/>
      <c r="E349" s="6"/>
      <c r="F349" s="6"/>
      <c r="G349" s="18"/>
      <c r="I349" s="16"/>
      <c r="J349" s="9"/>
      <c r="K349" s="10"/>
      <c r="L349" s="6"/>
      <c r="M349" s="11"/>
      <c r="N349" s="6"/>
      <c r="O349" s="6"/>
      <c r="P349" s="10"/>
      <c r="Q349" s="6"/>
      <c r="R349" s="6"/>
      <c r="S349" s="6"/>
      <c r="T349" s="6"/>
      <c r="U349" s="9"/>
      <c r="AI349" s="6"/>
      <c r="AJ349" s="12"/>
      <c r="AL349" s="13"/>
    </row>
    <row r="350">
      <c r="A350" s="5"/>
      <c r="B350" s="5"/>
      <c r="C350" s="5"/>
      <c r="D350" s="5"/>
      <c r="E350" s="6"/>
      <c r="F350" s="6"/>
      <c r="G350" s="18"/>
      <c r="I350" s="16"/>
      <c r="J350" s="9"/>
      <c r="K350" s="10"/>
      <c r="L350" s="6"/>
      <c r="M350" s="11"/>
      <c r="N350" s="6"/>
      <c r="O350" s="6"/>
      <c r="P350" s="10"/>
      <c r="Q350" s="6"/>
      <c r="R350" s="6"/>
      <c r="S350" s="6"/>
      <c r="T350" s="6"/>
      <c r="U350" s="9"/>
      <c r="AI350" s="6"/>
      <c r="AJ350" s="12"/>
      <c r="AL350" s="13"/>
    </row>
    <row r="351">
      <c r="A351" s="5"/>
      <c r="B351" s="5"/>
      <c r="C351" s="5"/>
      <c r="D351" s="5"/>
      <c r="E351" s="6"/>
      <c r="F351" s="6"/>
      <c r="G351" s="18"/>
      <c r="I351" s="16"/>
      <c r="J351" s="9"/>
      <c r="K351" s="10"/>
      <c r="L351" s="6"/>
      <c r="M351" s="11"/>
      <c r="N351" s="6"/>
      <c r="O351" s="6"/>
      <c r="P351" s="10"/>
      <c r="Q351" s="6"/>
      <c r="R351" s="6"/>
      <c r="S351" s="6"/>
      <c r="T351" s="6"/>
      <c r="U351" s="9"/>
      <c r="AI351" s="6"/>
      <c r="AJ351" s="12"/>
      <c r="AL351" s="13"/>
    </row>
    <row r="352">
      <c r="A352" s="5"/>
      <c r="B352" s="5"/>
      <c r="C352" s="5"/>
      <c r="D352" s="5"/>
      <c r="E352" s="6"/>
      <c r="F352" s="6"/>
      <c r="G352" s="18"/>
      <c r="I352" s="16"/>
      <c r="J352" s="9"/>
      <c r="K352" s="10"/>
      <c r="L352" s="6"/>
      <c r="M352" s="11"/>
      <c r="N352" s="6"/>
      <c r="O352" s="6"/>
      <c r="P352" s="10"/>
      <c r="Q352" s="6"/>
      <c r="R352" s="6"/>
      <c r="S352" s="6"/>
      <c r="T352" s="6"/>
      <c r="U352" s="9"/>
      <c r="AI352" s="6"/>
      <c r="AJ352" s="12"/>
      <c r="AL352" s="13"/>
    </row>
    <row r="353">
      <c r="A353" s="5"/>
      <c r="B353" s="5"/>
      <c r="C353" s="5"/>
      <c r="D353" s="5"/>
      <c r="E353" s="6"/>
      <c r="F353" s="6"/>
      <c r="G353" s="18"/>
      <c r="I353" s="16"/>
      <c r="J353" s="9"/>
      <c r="K353" s="10"/>
      <c r="L353" s="6"/>
      <c r="M353" s="11"/>
      <c r="N353" s="6"/>
      <c r="O353" s="6"/>
      <c r="P353" s="10"/>
      <c r="Q353" s="6"/>
      <c r="R353" s="6"/>
      <c r="S353" s="6"/>
      <c r="T353" s="6"/>
      <c r="U353" s="9"/>
      <c r="AI353" s="6"/>
      <c r="AJ353" s="12"/>
      <c r="AL353" s="13"/>
    </row>
    <row r="354">
      <c r="A354" s="5"/>
      <c r="B354" s="5"/>
      <c r="C354" s="5"/>
      <c r="D354" s="5"/>
      <c r="E354" s="6"/>
      <c r="F354" s="6"/>
      <c r="G354" s="18"/>
      <c r="I354" s="16"/>
      <c r="J354" s="9"/>
      <c r="K354" s="10"/>
      <c r="L354" s="6"/>
      <c r="M354" s="11"/>
      <c r="N354" s="6"/>
      <c r="O354" s="6"/>
      <c r="P354" s="10"/>
      <c r="Q354" s="6"/>
      <c r="R354" s="6"/>
      <c r="S354" s="6"/>
      <c r="T354" s="6"/>
      <c r="U354" s="9"/>
      <c r="AI354" s="6"/>
      <c r="AJ354" s="12"/>
      <c r="AL354" s="13"/>
    </row>
    <row r="355">
      <c r="A355" s="5"/>
      <c r="B355" s="5"/>
      <c r="C355" s="5"/>
      <c r="D355" s="5"/>
      <c r="E355" s="6"/>
      <c r="F355" s="6"/>
      <c r="G355" s="18"/>
      <c r="I355" s="16"/>
      <c r="J355" s="9"/>
      <c r="K355" s="10"/>
      <c r="L355" s="6"/>
      <c r="M355" s="11"/>
      <c r="N355" s="6"/>
      <c r="O355" s="6"/>
      <c r="P355" s="10"/>
      <c r="Q355" s="6"/>
      <c r="R355" s="6"/>
      <c r="S355" s="6"/>
      <c r="T355" s="6"/>
      <c r="U355" s="9"/>
      <c r="AI355" s="6"/>
      <c r="AJ355" s="12"/>
      <c r="AL355" s="13"/>
    </row>
    <row r="356">
      <c r="A356" s="5"/>
      <c r="B356" s="5"/>
      <c r="C356" s="5"/>
      <c r="D356" s="5"/>
      <c r="E356" s="6"/>
      <c r="F356" s="6"/>
      <c r="G356" s="18"/>
      <c r="I356" s="16"/>
      <c r="J356" s="9"/>
      <c r="K356" s="10"/>
      <c r="L356" s="6"/>
      <c r="M356" s="11"/>
      <c r="N356" s="6"/>
      <c r="O356" s="6"/>
      <c r="P356" s="10"/>
      <c r="Q356" s="6"/>
      <c r="R356" s="6"/>
      <c r="S356" s="6"/>
      <c r="T356" s="6"/>
      <c r="U356" s="9"/>
      <c r="AI356" s="6"/>
      <c r="AJ356" s="12"/>
      <c r="AL356" s="13"/>
    </row>
    <row r="357">
      <c r="A357" s="5"/>
      <c r="B357" s="5"/>
      <c r="C357" s="5"/>
      <c r="D357" s="5"/>
      <c r="E357" s="6"/>
      <c r="F357" s="6"/>
      <c r="G357" s="18"/>
      <c r="I357" s="16"/>
      <c r="J357" s="9"/>
      <c r="K357" s="10"/>
      <c r="L357" s="6"/>
      <c r="M357" s="11"/>
      <c r="N357" s="6"/>
      <c r="O357" s="6"/>
      <c r="P357" s="10"/>
      <c r="Q357" s="6"/>
      <c r="R357" s="6"/>
      <c r="S357" s="6"/>
      <c r="T357" s="6"/>
      <c r="U357" s="9"/>
      <c r="AI357" s="6"/>
      <c r="AJ357" s="12"/>
      <c r="AL357" s="13"/>
    </row>
    <row r="358">
      <c r="A358" s="5"/>
      <c r="B358" s="5"/>
      <c r="C358" s="5"/>
      <c r="D358" s="5"/>
      <c r="E358" s="6"/>
      <c r="F358" s="6"/>
      <c r="G358" s="18"/>
      <c r="I358" s="16"/>
      <c r="J358" s="9"/>
      <c r="K358" s="10"/>
      <c r="L358" s="6"/>
      <c r="M358" s="11"/>
      <c r="N358" s="6"/>
      <c r="O358" s="6"/>
      <c r="P358" s="10"/>
      <c r="Q358" s="6"/>
      <c r="R358" s="6"/>
      <c r="S358" s="6"/>
      <c r="T358" s="6"/>
      <c r="U358" s="9"/>
      <c r="AI358" s="6"/>
      <c r="AJ358" s="12"/>
      <c r="AL358" s="13"/>
    </row>
    <row r="359">
      <c r="A359" s="5"/>
      <c r="B359" s="5"/>
      <c r="C359" s="5"/>
      <c r="D359" s="5"/>
      <c r="E359" s="6"/>
      <c r="F359" s="6"/>
      <c r="G359" s="18"/>
      <c r="I359" s="16"/>
      <c r="J359" s="9"/>
      <c r="K359" s="10"/>
      <c r="L359" s="6"/>
      <c r="M359" s="11"/>
      <c r="N359" s="6"/>
      <c r="O359" s="6"/>
      <c r="P359" s="10"/>
      <c r="Q359" s="6"/>
      <c r="R359" s="6"/>
      <c r="S359" s="6"/>
      <c r="T359" s="6"/>
      <c r="U359" s="9"/>
      <c r="AI359" s="6"/>
      <c r="AJ359" s="12"/>
      <c r="AL359" s="13"/>
    </row>
    <row r="360">
      <c r="A360" s="5"/>
      <c r="B360" s="5"/>
      <c r="C360" s="5"/>
      <c r="D360" s="5"/>
      <c r="E360" s="6"/>
      <c r="F360" s="6"/>
      <c r="G360" s="18"/>
      <c r="I360" s="16"/>
      <c r="J360" s="9"/>
      <c r="K360" s="10"/>
      <c r="L360" s="6"/>
      <c r="M360" s="11"/>
      <c r="N360" s="6"/>
      <c r="O360" s="6"/>
      <c r="P360" s="10"/>
      <c r="Q360" s="6"/>
      <c r="R360" s="6"/>
      <c r="S360" s="6"/>
      <c r="T360" s="6"/>
      <c r="U360" s="9"/>
      <c r="AI360" s="6"/>
      <c r="AJ360" s="12"/>
      <c r="AL360" s="13"/>
    </row>
    <row r="361">
      <c r="A361" s="5"/>
      <c r="B361" s="5"/>
      <c r="C361" s="5"/>
      <c r="D361" s="5"/>
      <c r="E361" s="6"/>
      <c r="F361" s="6"/>
      <c r="G361" s="18"/>
      <c r="I361" s="16"/>
      <c r="J361" s="9"/>
      <c r="K361" s="10"/>
      <c r="L361" s="6"/>
      <c r="M361" s="11"/>
      <c r="N361" s="6"/>
      <c r="O361" s="6"/>
      <c r="P361" s="10"/>
      <c r="Q361" s="6"/>
      <c r="R361" s="6"/>
      <c r="S361" s="6"/>
      <c r="T361" s="6"/>
      <c r="U361" s="9"/>
      <c r="AI361" s="6"/>
      <c r="AJ361" s="12"/>
      <c r="AL361" s="13"/>
    </row>
    <row r="362">
      <c r="A362" s="5"/>
      <c r="B362" s="5"/>
      <c r="C362" s="5"/>
      <c r="D362" s="5"/>
      <c r="E362" s="6"/>
      <c r="F362" s="6"/>
      <c r="G362" s="18"/>
      <c r="I362" s="16"/>
      <c r="J362" s="9"/>
      <c r="K362" s="10"/>
      <c r="L362" s="6"/>
      <c r="M362" s="11"/>
      <c r="N362" s="6"/>
      <c r="O362" s="6"/>
      <c r="P362" s="10"/>
      <c r="Q362" s="6"/>
      <c r="R362" s="6"/>
      <c r="S362" s="6"/>
      <c r="T362" s="6"/>
      <c r="U362" s="9"/>
      <c r="AI362" s="6"/>
      <c r="AJ362" s="12"/>
      <c r="AL362" s="13"/>
    </row>
    <row r="363">
      <c r="A363" s="5"/>
      <c r="B363" s="5"/>
      <c r="C363" s="5"/>
      <c r="D363" s="5"/>
      <c r="E363" s="6"/>
      <c r="F363" s="6"/>
      <c r="G363" s="18"/>
      <c r="I363" s="16"/>
      <c r="J363" s="9"/>
      <c r="K363" s="10"/>
      <c r="L363" s="6"/>
      <c r="M363" s="11"/>
      <c r="N363" s="6"/>
      <c r="O363" s="6"/>
      <c r="P363" s="10"/>
      <c r="Q363" s="6"/>
      <c r="R363" s="6"/>
      <c r="S363" s="6"/>
      <c r="T363" s="6"/>
      <c r="U363" s="9"/>
      <c r="AI363" s="6"/>
      <c r="AJ363" s="12"/>
      <c r="AL363" s="13"/>
    </row>
    <row r="364">
      <c r="A364" s="5"/>
      <c r="B364" s="5"/>
      <c r="C364" s="5"/>
      <c r="D364" s="5"/>
      <c r="E364" s="6"/>
      <c r="F364" s="6"/>
      <c r="G364" s="18"/>
      <c r="I364" s="16"/>
      <c r="J364" s="9"/>
      <c r="K364" s="10"/>
      <c r="L364" s="6"/>
      <c r="M364" s="11"/>
      <c r="N364" s="6"/>
      <c r="O364" s="6"/>
      <c r="P364" s="10"/>
      <c r="Q364" s="6"/>
      <c r="R364" s="6"/>
      <c r="S364" s="6"/>
      <c r="T364" s="6"/>
      <c r="U364" s="9"/>
      <c r="AI364" s="6"/>
      <c r="AJ364" s="12"/>
      <c r="AL364" s="13"/>
    </row>
    <row r="365">
      <c r="A365" s="5"/>
      <c r="B365" s="5"/>
      <c r="C365" s="5"/>
      <c r="D365" s="5"/>
      <c r="E365" s="6"/>
      <c r="F365" s="6"/>
      <c r="G365" s="18"/>
      <c r="I365" s="16"/>
      <c r="J365" s="9"/>
      <c r="K365" s="10"/>
      <c r="L365" s="6"/>
      <c r="M365" s="11"/>
      <c r="N365" s="6"/>
      <c r="O365" s="6"/>
      <c r="P365" s="10"/>
      <c r="Q365" s="6"/>
      <c r="R365" s="6"/>
      <c r="S365" s="6"/>
      <c r="T365" s="6"/>
      <c r="U365" s="9"/>
      <c r="AI365" s="6"/>
      <c r="AJ365" s="12"/>
      <c r="AL365" s="13"/>
    </row>
    <row r="366">
      <c r="A366" s="5"/>
      <c r="B366" s="5"/>
      <c r="C366" s="5"/>
      <c r="D366" s="5"/>
      <c r="E366" s="6"/>
      <c r="F366" s="6"/>
      <c r="G366" s="18"/>
      <c r="I366" s="16"/>
      <c r="J366" s="9"/>
      <c r="K366" s="10"/>
      <c r="L366" s="6"/>
      <c r="M366" s="11"/>
      <c r="N366" s="6"/>
      <c r="O366" s="6"/>
      <c r="P366" s="10"/>
      <c r="Q366" s="6"/>
      <c r="R366" s="6"/>
      <c r="S366" s="6"/>
      <c r="T366" s="6"/>
      <c r="U366" s="9"/>
      <c r="AI366" s="6"/>
      <c r="AJ366" s="12"/>
      <c r="AL366" s="13"/>
    </row>
    <row r="367">
      <c r="A367" s="5"/>
      <c r="B367" s="5"/>
      <c r="C367" s="5"/>
      <c r="D367" s="5"/>
      <c r="E367" s="6"/>
      <c r="F367" s="6"/>
      <c r="G367" s="18"/>
      <c r="I367" s="16"/>
      <c r="J367" s="9"/>
      <c r="K367" s="10"/>
      <c r="L367" s="6"/>
      <c r="M367" s="11"/>
      <c r="N367" s="6"/>
      <c r="O367" s="6"/>
      <c r="P367" s="10"/>
      <c r="Q367" s="6"/>
      <c r="R367" s="6"/>
      <c r="S367" s="6"/>
      <c r="T367" s="6"/>
      <c r="U367" s="9"/>
      <c r="AI367" s="6"/>
      <c r="AJ367" s="12"/>
      <c r="AL367" s="13"/>
    </row>
    <row r="368">
      <c r="A368" s="5"/>
      <c r="B368" s="5"/>
      <c r="C368" s="5"/>
      <c r="D368" s="5"/>
      <c r="E368" s="6"/>
      <c r="F368" s="6"/>
      <c r="G368" s="18"/>
      <c r="I368" s="16"/>
      <c r="J368" s="9"/>
      <c r="K368" s="10"/>
      <c r="L368" s="6"/>
      <c r="M368" s="11"/>
      <c r="N368" s="6"/>
      <c r="O368" s="6"/>
      <c r="P368" s="10"/>
      <c r="Q368" s="6"/>
      <c r="R368" s="6"/>
      <c r="S368" s="6"/>
      <c r="T368" s="6"/>
      <c r="U368" s="9"/>
      <c r="AI368" s="6"/>
      <c r="AJ368" s="12"/>
      <c r="AL368" s="13"/>
    </row>
    <row r="369">
      <c r="A369" s="5"/>
      <c r="B369" s="5"/>
      <c r="C369" s="5"/>
      <c r="D369" s="5"/>
      <c r="E369" s="6"/>
      <c r="F369" s="6"/>
      <c r="G369" s="18"/>
      <c r="I369" s="16"/>
      <c r="J369" s="9"/>
      <c r="K369" s="10"/>
      <c r="L369" s="6"/>
      <c r="M369" s="11"/>
      <c r="N369" s="6"/>
      <c r="O369" s="6"/>
      <c r="P369" s="10"/>
      <c r="Q369" s="6"/>
      <c r="R369" s="6"/>
      <c r="S369" s="6"/>
      <c r="T369" s="6"/>
      <c r="U369" s="9"/>
      <c r="AI369" s="6"/>
      <c r="AJ369" s="12"/>
      <c r="AL369" s="13"/>
    </row>
    <row r="370">
      <c r="A370" s="5"/>
      <c r="B370" s="5"/>
      <c r="C370" s="5"/>
      <c r="D370" s="5"/>
      <c r="E370" s="6"/>
      <c r="F370" s="6"/>
      <c r="G370" s="18"/>
      <c r="I370" s="16"/>
      <c r="J370" s="9"/>
      <c r="K370" s="10"/>
      <c r="L370" s="6"/>
      <c r="M370" s="11"/>
      <c r="N370" s="6"/>
      <c r="O370" s="6"/>
      <c r="P370" s="10"/>
      <c r="Q370" s="6"/>
      <c r="R370" s="6"/>
      <c r="S370" s="6"/>
      <c r="T370" s="6"/>
      <c r="U370" s="9"/>
      <c r="AI370" s="6"/>
      <c r="AJ370" s="12"/>
      <c r="AL370" s="13"/>
    </row>
    <row r="371">
      <c r="A371" s="5"/>
      <c r="B371" s="5"/>
      <c r="C371" s="5"/>
      <c r="D371" s="5"/>
      <c r="E371" s="6"/>
      <c r="F371" s="6"/>
      <c r="G371" s="18"/>
      <c r="I371" s="16"/>
      <c r="J371" s="9"/>
      <c r="K371" s="10"/>
      <c r="L371" s="6"/>
      <c r="M371" s="11"/>
      <c r="N371" s="6"/>
      <c r="O371" s="6"/>
      <c r="P371" s="10"/>
      <c r="Q371" s="6"/>
      <c r="R371" s="6"/>
      <c r="S371" s="6"/>
      <c r="T371" s="6"/>
      <c r="U371" s="9"/>
      <c r="AI371" s="6"/>
      <c r="AJ371" s="12"/>
      <c r="AL371" s="13"/>
    </row>
    <row r="372">
      <c r="A372" s="5"/>
      <c r="B372" s="5"/>
      <c r="C372" s="5"/>
      <c r="D372" s="5"/>
      <c r="E372" s="6"/>
      <c r="F372" s="6"/>
      <c r="G372" s="18"/>
      <c r="I372" s="16"/>
      <c r="J372" s="9"/>
      <c r="K372" s="10"/>
      <c r="L372" s="6"/>
      <c r="M372" s="11"/>
      <c r="N372" s="6"/>
      <c r="O372" s="6"/>
      <c r="P372" s="10"/>
      <c r="Q372" s="6"/>
      <c r="R372" s="6"/>
      <c r="S372" s="6"/>
      <c r="T372" s="6"/>
      <c r="U372" s="9"/>
      <c r="AI372" s="6"/>
      <c r="AJ372" s="12"/>
      <c r="AL372" s="13"/>
    </row>
    <row r="373">
      <c r="A373" s="5"/>
      <c r="B373" s="5"/>
      <c r="C373" s="5"/>
      <c r="D373" s="5"/>
      <c r="E373" s="6"/>
      <c r="F373" s="6"/>
      <c r="G373" s="18"/>
      <c r="I373" s="16"/>
      <c r="J373" s="9"/>
      <c r="K373" s="10"/>
      <c r="L373" s="6"/>
      <c r="M373" s="11"/>
      <c r="N373" s="6"/>
      <c r="O373" s="6"/>
      <c r="P373" s="10"/>
      <c r="Q373" s="6"/>
      <c r="R373" s="6"/>
      <c r="S373" s="6"/>
      <c r="T373" s="6"/>
      <c r="U373" s="9"/>
      <c r="AI373" s="6"/>
      <c r="AJ373" s="12"/>
      <c r="AL373" s="13"/>
    </row>
    <row r="374">
      <c r="A374" s="5"/>
      <c r="B374" s="5"/>
      <c r="C374" s="5"/>
      <c r="D374" s="5"/>
      <c r="E374" s="6"/>
      <c r="F374" s="6"/>
      <c r="G374" s="18"/>
      <c r="I374" s="16"/>
      <c r="J374" s="9"/>
      <c r="K374" s="10"/>
      <c r="L374" s="6"/>
      <c r="M374" s="11"/>
      <c r="N374" s="6"/>
      <c r="O374" s="6"/>
      <c r="P374" s="10"/>
      <c r="Q374" s="6"/>
      <c r="R374" s="6"/>
      <c r="S374" s="6"/>
      <c r="T374" s="6"/>
      <c r="U374" s="9"/>
      <c r="AI374" s="6"/>
      <c r="AJ374" s="12"/>
      <c r="AL374" s="13"/>
    </row>
    <row r="375">
      <c r="A375" s="5"/>
      <c r="B375" s="5"/>
      <c r="C375" s="5"/>
      <c r="D375" s="5"/>
      <c r="E375" s="6"/>
      <c r="F375" s="6"/>
      <c r="G375" s="18"/>
      <c r="I375" s="16"/>
      <c r="J375" s="9"/>
      <c r="K375" s="10"/>
      <c r="L375" s="6"/>
      <c r="M375" s="11"/>
      <c r="N375" s="6"/>
      <c r="O375" s="6"/>
      <c r="P375" s="10"/>
      <c r="Q375" s="6"/>
      <c r="R375" s="6"/>
      <c r="S375" s="6"/>
      <c r="T375" s="6"/>
      <c r="U375" s="9"/>
      <c r="AI375" s="6"/>
      <c r="AJ375" s="12"/>
      <c r="AL375" s="13"/>
    </row>
    <row r="376">
      <c r="A376" s="5"/>
      <c r="B376" s="5"/>
      <c r="C376" s="5"/>
      <c r="D376" s="5"/>
      <c r="E376" s="6"/>
      <c r="F376" s="6"/>
      <c r="G376" s="18"/>
      <c r="I376" s="16"/>
      <c r="J376" s="9"/>
      <c r="K376" s="10"/>
      <c r="L376" s="6"/>
      <c r="M376" s="11"/>
      <c r="N376" s="6"/>
      <c r="O376" s="6"/>
      <c r="P376" s="10"/>
      <c r="Q376" s="6"/>
      <c r="R376" s="6"/>
      <c r="S376" s="6"/>
      <c r="T376" s="6"/>
      <c r="U376" s="9"/>
      <c r="AI376" s="6"/>
      <c r="AJ376" s="12"/>
      <c r="AL376" s="13"/>
    </row>
    <row r="377">
      <c r="A377" s="5"/>
      <c r="B377" s="5"/>
      <c r="C377" s="5"/>
      <c r="D377" s="5"/>
      <c r="E377" s="6"/>
      <c r="F377" s="6"/>
      <c r="G377" s="18"/>
      <c r="I377" s="16"/>
      <c r="J377" s="9"/>
      <c r="K377" s="10"/>
      <c r="L377" s="6"/>
      <c r="M377" s="11"/>
      <c r="N377" s="6"/>
      <c r="O377" s="6"/>
      <c r="P377" s="10"/>
      <c r="Q377" s="6"/>
      <c r="R377" s="6"/>
      <c r="S377" s="6"/>
      <c r="T377" s="6"/>
      <c r="U377" s="9"/>
      <c r="AI377" s="6"/>
      <c r="AJ377" s="12"/>
      <c r="AL377" s="13"/>
    </row>
    <row r="378">
      <c r="A378" s="5"/>
      <c r="B378" s="5"/>
      <c r="C378" s="5"/>
      <c r="D378" s="5"/>
      <c r="E378" s="6"/>
      <c r="F378" s="6"/>
      <c r="G378" s="18"/>
      <c r="I378" s="16"/>
      <c r="J378" s="9"/>
      <c r="K378" s="10"/>
      <c r="L378" s="6"/>
      <c r="M378" s="11"/>
      <c r="N378" s="6"/>
      <c r="O378" s="6"/>
      <c r="P378" s="10"/>
      <c r="Q378" s="6"/>
      <c r="R378" s="6"/>
      <c r="S378" s="6"/>
      <c r="T378" s="6"/>
      <c r="U378" s="9"/>
      <c r="AI378" s="6"/>
      <c r="AJ378" s="12"/>
      <c r="AL378" s="13"/>
    </row>
    <row r="379">
      <c r="A379" s="5"/>
      <c r="B379" s="5"/>
      <c r="C379" s="5"/>
      <c r="D379" s="5"/>
      <c r="E379" s="6"/>
      <c r="F379" s="6"/>
      <c r="G379" s="18"/>
      <c r="I379" s="16"/>
      <c r="J379" s="9"/>
      <c r="K379" s="10"/>
      <c r="L379" s="6"/>
      <c r="M379" s="11"/>
      <c r="N379" s="6"/>
      <c r="O379" s="6"/>
      <c r="P379" s="10"/>
      <c r="Q379" s="6"/>
      <c r="R379" s="6"/>
      <c r="S379" s="6"/>
      <c r="T379" s="6"/>
      <c r="U379" s="9"/>
      <c r="AI379" s="6"/>
      <c r="AJ379" s="12"/>
      <c r="AL379" s="13"/>
    </row>
    <row r="380">
      <c r="A380" s="5"/>
      <c r="B380" s="5"/>
      <c r="C380" s="5"/>
      <c r="D380" s="5"/>
      <c r="E380" s="6"/>
      <c r="F380" s="6"/>
      <c r="G380" s="18"/>
      <c r="I380" s="16"/>
      <c r="J380" s="9"/>
      <c r="K380" s="10"/>
      <c r="L380" s="6"/>
      <c r="M380" s="11"/>
      <c r="N380" s="6"/>
      <c r="O380" s="6"/>
      <c r="P380" s="10"/>
      <c r="Q380" s="6"/>
      <c r="R380" s="6"/>
      <c r="S380" s="6"/>
      <c r="T380" s="6"/>
      <c r="U380" s="9"/>
      <c r="AI380" s="6"/>
      <c r="AJ380" s="12"/>
      <c r="AL380" s="13"/>
    </row>
    <row r="381">
      <c r="A381" s="5"/>
      <c r="B381" s="5"/>
      <c r="C381" s="5"/>
      <c r="D381" s="5"/>
      <c r="E381" s="6"/>
      <c r="F381" s="6"/>
      <c r="G381" s="18"/>
      <c r="I381" s="16"/>
      <c r="J381" s="9"/>
      <c r="K381" s="10"/>
      <c r="L381" s="6"/>
      <c r="M381" s="11"/>
      <c r="N381" s="6"/>
      <c r="O381" s="6"/>
      <c r="P381" s="10"/>
      <c r="Q381" s="6"/>
      <c r="R381" s="6"/>
      <c r="S381" s="6"/>
      <c r="T381" s="6"/>
      <c r="U381" s="9"/>
      <c r="AI381" s="6"/>
      <c r="AJ381" s="12"/>
      <c r="AL381" s="13"/>
    </row>
    <row r="382">
      <c r="A382" s="5"/>
      <c r="B382" s="5"/>
      <c r="C382" s="5"/>
      <c r="D382" s="5"/>
      <c r="E382" s="6"/>
      <c r="F382" s="6"/>
      <c r="G382" s="18"/>
      <c r="I382" s="16"/>
      <c r="J382" s="9"/>
      <c r="K382" s="10"/>
      <c r="L382" s="6"/>
      <c r="M382" s="11"/>
      <c r="N382" s="6"/>
      <c r="O382" s="6"/>
      <c r="P382" s="10"/>
      <c r="Q382" s="6"/>
      <c r="R382" s="6"/>
      <c r="S382" s="6"/>
      <c r="T382" s="6"/>
      <c r="U382" s="9"/>
      <c r="AI382" s="6"/>
      <c r="AJ382" s="12"/>
      <c r="AL382" s="13"/>
    </row>
    <row r="383">
      <c r="A383" s="5"/>
      <c r="B383" s="5"/>
      <c r="C383" s="5"/>
      <c r="D383" s="5"/>
      <c r="E383" s="6"/>
      <c r="F383" s="6"/>
      <c r="G383" s="18"/>
      <c r="I383" s="16"/>
      <c r="J383" s="9"/>
      <c r="K383" s="10"/>
      <c r="L383" s="6"/>
      <c r="M383" s="11"/>
      <c r="N383" s="6"/>
      <c r="O383" s="6"/>
      <c r="P383" s="10"/>
      <c r="Q383" s="6"/>
      <c r="R383" s="6"/>
      <c r="S383" s="6"/>
      <c r="T383" s="6"/>
      <c r="U383" s="9"/>
      <c r="AI383" s="6"/>
      <c r="AJ383" s="12"/>
      <c r="AL383" s="13"/>
    </row>
    <row r="384">
      <c r="A384" s="5"/>
      <c r="B384" s="5"/>
      <c r="C384" s="5"/>
      <c r="D384" s="5"/>
      <c r="E384" s="6"/>
      <c r="F384" s="6"/>
      <c r="G384" s="18"/>
      <c r="I384" s="16"/>
      <c r="J384" s="9"/>
      <c r="K384" s="10"/>
      <c r="L384" s="6"/>
      <c r="M384" s="11"/>
      <c r="N384" s="6"/>
      <c r="O384" s="6"/>
      <c r="P384" s="10"/>
      <c r="Q384" s="6"/>
      <c r="R384" s="6"/>
      <c r="S384" s="6"/>
      <c r="T384" s="6"/>
      <c r="U384" s="9"/>
      <c r="AI384" s="6"/>
      <c r="AJ384" s="12"/>
      <c r="AL384" s="13"/>
    </row>
    <row r="385">
      <c r="A385" s="5"/>
      <c r="B385" s="5"/>
      <c r="C385" s="5"/>
      <c r="D385" s="5"/>
      <c r="E385" s="6"/>
      <c r="F385" s="6"/>
      <c r="G385" s="18"/>
      <c r="I385" s="16"/>
      <c r="J385" s="9"/>
      <c r="K385" s="10"/>
      <c r="L385" s="6"/>
      <c r="M385" s="11"/>
      <c r="N385" s="6"/>
      <c r="O385" s="6"/>
      <c r="P385" s="10"/>
      <c r="Q385" s="6"/>
      <c r="R385" s="6"/>
      <c r="S385" s="6"/>
      <c r="T385" s="6"/>
      <c r="U385" s="9"/>
      <c r="AI385" s="6"/>
      <c r="AJ385" s="12"/>
      <c r="AL385" s="13"/>
    </row>
    <row r="386">
      <c r="A386" s="5"/>
      <c r="B386" s="5"/>
      <c r="C386" s="5"/>
      <c r="D386" s="5"/>
      <c r="E386" s="6"/>
      <c r="F386" s="6"/>
      <c r="G386" s="18"/>
      <c r="I386" s="16"/>
      <c r="J386" s="9"/>
      <c r="K386" s="10"/>
      <c r="L386" s="6"/>
      <c r="M386" s="11"/>
      <c r="N386" s="6"/>
      <c r="O386" s="6"/>
      <c r="P386" s="10"/>
      <c r="Q386" s="6"/>
      <c r="R386" s="6"/>
      <c r="S386" s="6"/>
      <c r="T386" s="6"/>
      <c r="U386" s="9"/>
      <c r="AI386" s="6"/>
      <c r="AJ386" s="12"/>
      <c r="AL386" s="13"/>
    </row>
    <row r="387">
      <c r="A387" s="5"/>
      <c r="B387" s="5"/>
      <c r="C387" s="5"/>
      <c r="D387" s="5"/>
      <c r="E387" s="6"/>
      <c r="F387" s="6"/>
      <c r="G387" s="18"/>
      <c r="I387" s="16"/>
      <c r="J387" s="9"/>
      <c r="K387" s="10"/>
      <c r="L387" s="6"/>
      <c r="M387" s="11"/>
      <c r="N387" s="6"/>
      <c r="O387" s="6"/>
      <c r="P387" s="10"/>
      <c r="Q387" s="6"/>
      <c r="R387" s="6"/>
      <c r="S387" s="6"/>
      <c r="T387" s="6"/>
      <c r="U387" s="9"/>
      <c r="AI387" s="6"/>
      <c r="AJ387" s="12"/>
      <c r="AL387" s="13"/>
    </row>
    <row r="388">
      <c r="A388" s="5"/>
      <c r="B388" s="5"/>
      <c r="C388" s="5"/>
      <c r="D388" s="5"/>
      <c r="E388" s="6"/>
      <c r="F388" s="6"/>
      <c r="G388" s="18"/>
      <c r="I388" s="16"/>
      <c r="J388" s="9"/>
      <c r="K388" s="10"/>
      <c r="L388" s="6"/>
      <c r="M388" s="11"/>
      <c r="N388" s="6"/>
      <c r="O388" s="6"/>
      <c r="P388" s="10"/>
      <c r="Q388" s="6"/>
      <c r="R388" s="6"/>
      <c r="S388" s="6"/>
      <c r="T388" s="6"/>
      <c r="U388" s="9"/>
      <c r="AI388" s="6"/>
      <c r="AJ388" s="12"/>
      <c r="AL388" s="13"/>
    </row>
    <row r="389">
      <c r="A389" s="5"/>
      <c r="B389" s="5"/>
      <c r="C389" s="5"/>
      <c r="D389" s="5"/>
      <c r="E389" s="6"/>
      <c r="F389" s="6"/>
      <c r="G389" s="18"/>
      <c r="I389" s="16"/>
      <c r="J389" s="9"/>
      <c r="K389" s="10"/>
      <c r="L389" s="6"/>
      <c r="M389" s="11"/>
      <c r="N389" s="6"/>
      <c r="O389" s="6"/>
      <c r="P389" s="10"/>
      <c r="Q389" s="6"/>
      <c r="R389" s="6"/>
      <c r="S389" s="6"/>
      <c r="T389" s="6"/>
      <c r="U389" s="9"/>
      <c r="AI389" s="6"/>
      <c r="AJ389" s="12"/>
      <c r="AL389" s="13"/>
    </row>
    <row r="390">
      <c r="A390" s="5"/>
      <c r="B390" s="5"/>
      <c r="C390" s="5"/>
      <c r="D390" s="5"/>
      <c r="E390" s="6"/>
      <c r="F390" s="6"/>
      <c r="G390" s="18"/>
      <c r="I390" s="16"/>
      <c r="J390" s="9"/>
      <c r="K390" s="10"/>
      <c r="L390" s="6"/>
      <c r="M390" s="11"/>
      <c r="N390" s="6"/>
      <c r="O390" s="6"/>
      <c r="P390" s="10"/>
      <c r="Q390" s="6"/>
      <c r="R390" s="6"/>
      <c r="S390" s="6"/>
      <c r="T390" s="6"/>
      <c r="U390" s="9"/>
      <c r="AI390" s="6"/>
      <c r="AJ390" s="12"/>
      <c r="AL390" s="13"/>
    </row>
    <row r="391">
      <c r="A391" s="5"/>
      <c r="B391" s="5"/>
      <c r="C391" s="5"/>
      <c r="D391" s="5"/>
      <c r="E391" s="6"/>
      <c r="F391" s="6"/>
      <c r="G391" s="18"/>
      <c r="I391" s="16"/>
      <c r="J391" s="9"/>
      <c r="K391" s="10"/>
      <c r="L391" s="6"/>
      <c r="M391" s="11"/>
      <c r="N391" s="6"/>
      <c r="O391" s="6"/>
      <c r="P391" s="10"/>
      <c r="Q391" s="6"/>
      <c r="R391" s="6"/>
      <c r="S391" s="6"/>
      <c r="T391" s="6"/>
      <c r="U391" s="9"/>
      <c r="AI391" s="6"/>
      <c r="AJ391" s="12"/>
      <c r="AL391" s="13"/>
    </row>
    <row r="392">
      <c r="A392" s="5"/>
      <c r="B392" s="5"/>
      <c r="C392" s="5"/>
      <c r="D392" s="5"/>
      <c r="E392" s="6"/>
      <c r="F392" s="6"/>
      <c r="G392" s="18"/>
      <c r="I392" s="16"/>
      <c r="J392" s="9"/>
      <c r="K392" s="10"/>
      <c r="L392" s="6"/>
      <c r="M392" s="11"/>
      <c r="N392" s="6"/>
      <c r="O392" s="6"/>
      <c r="P392" s="10"/>
      <c r="Q392" s="6"/>
      <c r="R392" s="6"/>
      <c r="S392" s="6"/>
      <c r="T392" s="6"/>
      <c r="U392" s="9"/>
      <c r="AI392" s="6"/>
      <c r="AJ392" s="12"/>
      <c r="AL392" s="13"/>
    </row>
    <row r="393">
      <c r="A393" s="5"/>
      <c r="B393" s="5"/>
      <c r="C393" s="5"/>
      <c r="D393" s="5"/>
      <c r="E393" s="6"/>
      <c r="F393" s="6"/>
      <c r="G393" s="18"/>
      <c r="I393" s="16"/>
      <c r="J393" s="9"/>
      <c r="K393" s="10"/>
      <c r="L393" s="6"/>
      <c r="M393" s="11"/>
      <c r="N393" s="6"/>
      <c r="O393" s="6"/>
      <c r="P393" s="10"/>
      <c r="Q393" s="6"/>
      <c r="R393" s="6"/>
      <c r="S393" s="6"/>
      <c r="T393" s="6"/>
      <c r="U393" s="9"/>
      <c r="AI393" s="6"/>
      <c r="AJ393" s="12"/>
      <c r="AL393" s="13"/>
    </row>
    <row r="394">
      <c r="A394" s="5"/>
      <c r="B394" s="5"/>
      <c r="C394" s="5"/>
      <c r="D394" s="5"/>
      <c r="E394" s="6"/>
      <c r="F394" s="6"/>
      <c r="G394" s="18"/>
      <c r="I394" s="16"/>
      <c r="J394" s="9"/>
      <c r="K394" s="10"/>
      <c r="L394" s="6"/>
      <c r="M394" s="11"/>
      <c r="N394" s="6"/>
      <c r="O394" s="6"/>
      <c r="P394" s="10"/>
      <c r="Q394" s="6"/>
      <c r="R394" s="6"/>
      <c r="S394" s="6"/>
      <c r="T394" s="6"/>
      <c r="U394" s="9"/>
      <c r="AI394" s="6"/>
      <c r="AJ394" s="12"/>
      <c r="AL394" s="13"/>
    </row>
    <row r="395">
      <c r="A395" s="5"/>
      <c r="B395" s="5"/>
      <c r="C395" s="5"/>
      <c r="D395" s="5"/>
      <c r="E395" s="6"/>
      <c r="F395" s="6"/>
      <c r="G395" s="18"/>
      <c r="I395" s="16"/>
      <c r="J395" s="9"/>
      <c r="K395" s="10"/>
      <c r="L395" s="6"/>
      <c r="M395" s="11"/>
      <c r="N395" s="6"/>
      <c r="O395" s="6"/>
      <c r="P395" s="10"/>
      <c r="Q395" s="6"/>
      <c r="R395" s="6"/>
      <c r="S395" s="6"/>
      <c r="T395" s="6"/>
      <c r="U395" s="9"/>
      <c r="AI395" s="6"/>
      <c r="AJ395" s="12"/>
      <c r="AL395" s="13"/>
    </row>
    <row r="396">
      <c r="A396" s="5"/>
      <c r="B396" s="5"/>
      <c r="C396" s="5"/>
      <c r="D396" s="5"/>
      <c r="E396" s="6"/>
      <c r="F396" s="6"/>
      <c r="G396" s="18"/>
      <c r="I396" s="16"/>
      <c r="J396" s="9"/>
      <c r="K396" s="10"/>
      <c r="L396" s="6"/>
      <c r="M396" s="11"/>
      <c r="N396" s="6"/>
      <c r="O396" s="6"/>
      <c r="P396" s="10"/>
      <c r="Q396" s="6"/>
      <c r="R396" s="6"/>
      <c r="S396" s="6"/>
      <c r="T396" s="6"/>
      <c r="U396" s="9"/>
      <c r="AI396" s="6"/>
      <c r="AJ396" s="12"/>
      <c r="AL396" s="13"/>
    </row>
    <row r="397">
      <c r="A397" s="5"/>
      <c r="B397" s="5"/>
      <c r="C397" s="5"/>
      <c r="D397" s="5"/>
      <c r="E397" s="6"/>
      <c r="F397" s="6"/>
      <c r="G397" s="18"/>
      <c r="I397" s="16"/>
      <c r="J397" s="9"/>
      <c r="K397" s="10"/>
      <c r="L397" s="6"/>
      <c r="M397" s="11"/>
      <c r="N397" s="6"/>
      <c r="O397" s="6"/>
      <c r="P397" s="10"/>
      <c r="Q397" s="6"/>
      <c r="R397" s="6"/>
      <c r="S397" s="6"/>
      <c r="T397" s="6"/>
      <c r="U397" s="9"/>
      <c r="AI397" s="6"/>
      <c r="AJ397" s="12"/>
      <c r="AL397" s="13"/>
    </row>
    <row r="398">
      <c r="A398" s="5"/>
      <c r="B398" s="5"/>
      <c r="C398" s="5"/>
      <c r="D398" s="5"/>
      <c r="E398" s="6"/>
      <c r="F398" s="6"/>
      <c r="G398" s="18"/>
      <c r="I398" s="16"/>
      <c r="J398" s="9"/>
      <c r="K398" s="10"/>
      <c r="L398" s="6"/>
      <c r="M398" s="11"/>
      <c r="N398" s="6"/>
      <c r="O398" s="6"/>
      <c r="P398" s="10"/>
      <c r="Q398" s="6"/>
      <c r="R398" s="6"/>
      <c r="S398" s="6"/>
      <c r="T398" s="6"/>
      <c r="U398" s="9"/>
      <c r="AI398" s="6"/>
      <c r="AJ398" s="12"/>
      <c r="AL398" s="13"/>
    </row>
    <row r="399">
      <c r="A399" s="5"/>
      <c r="B399" s="5"/>
      <c r="C399" s="5"/>
      <c r="D399" s="5"/>
      <c r="E399" s="6"/>
      <c r="F399" s="6"/>
      <c r="G399" s="18"/>
      <c r="I399" s="16"/>
      <c r="J399" s="9"/>
      <c r="K399" s="10"/>
      <c r="L399" s="6"/>
      <c r="M399" s="11"/>
      <c r="N399" s="6"/>
      <c r="O399" s="6"/>
      <c r="P399" s="10"/>
      <c r="Q399" s="6"/>
      <c r="R399" s="6"/>
      <c r="S399" s="6"/>
      <c r="T399" s="6"/>
      <c r="U399" s="9"/>
      <c r="AI399" s="6"/>
      <c r="AJ399" s="12"/>
      <c r="AL399" s="13"/>
    </row>
    <row r="400">
      <c r="A400" s="5"/>
      <c r="B400" s="5"/>
      <c r="C400" s="5"/>
      <c r="D400" s="5"/>
      <c r="E400" s="6"/>
      <c r="F400" s="6"/>
      <c r="G400" s="18"/>
      <c r="I400" s="16"/>
      <c r="J400" s="9"/>
      <c r="K400" s="10"/>
      <c r="L400" s="6"/>
      <c r="M400" s="11"/>
      <c r="N400" s="6"/>
      <c r="O400" s="6"/>
      <c r="P400" s="10"/>
      <c r="Q400" s="6"/>
      <c r="R400" s="6"/>
      <c r="S400" s="6"/>
      <c r="T400" s="6"/>
      <c r="U400" s="9"/>
      <c r="AI400" s="6"/>
      <c r="AJ400" s="12"/>
      <c r="AL400" s="13"/>
    </row>
    <row r="401">
      <c r="A401" s="5"/>
      <c r="B401" s="5"/>
      <c r="C401" s="5"/>
      <c r="D401" s="5"/>
      <c r="E401" s="6"/>
      <c r="F401" s="6"/>
      <c r="G401" s="18"/>
      <c r="I401" s="16"/>
      <c r="J401" s="9"/>
      <c r="K401" s="10"/>
      <c r="L401" s="6"/>
      <c r="M401" s="11"/>
      <c r="N401" s="6"/>
      <c r="O401" s="6"/>
      <c r="P401" s="10"/>
      <c r="Q401" s="6"/>
      <c r="R401" s="6"/>
      <c r="S401" s="6"/>
      <c r="T401" s="6"/>
      <c r="U401" s="9"/>
      <c r="AI401" s="6"/>
      <c r="AJ401" s="12"/>
      <c r="AL401" s="13"/>
    </row>
    <row r="402">
      <c r="A402" s="5"/>
      <c r="B402" s="5"/>
      <c r="C402" s="5"/>
      <c r="D402" s="5"/>
      <c r="E402" s="6"/>
      <c r="F402" s="6"/>
      <c r="G402" s="18"/>
      <c r="I402" s="16"/>
      <c r="J402" s="9"/>
      <c r="K402" s="10"/>
      <c r="L402" s="6"/>
      <c r="M402" s="11"/>
      <c r="N402" s="6"/>
      <c r="O402" s="6"/>
      <c r="P402" s="10"/>
      <c r="Q402" s="6"/>
      <c r="R402" s="6"/>
      <c r="S402" s="6"/>
      <c r="T402" s="6"/>
      <c r="U402" s="9"/>
      <c r="AI402" s="6"/>
      <c r="AJ402" s="12"/>
      <c r="AL402" s="13"/>
    </row>
    <row r="403">
      <c r="A403" s="5"/>
      <c r="B403" s="5"/>
      <c r="C403" s="5"/>
      <c r="D403" s="5"/>
      <c r="E403" s="6"/>
      <c r="F403" s="6"/>
      <c r="G403" s="18"/>
      <c r="I403" s="16"/>
      <c r="J403" s="9"/>
      <c r="K403" s="10"/>
      <c r="L403" s="6"/>
      <c r="M403" s="11"/>
      <c r="N403" s="6"/>
      <c r="O403" s="6"/>
      <c r="P403" s="10"/>
      <c r="Q403" s="6"/>
      <c r="R403" s="6"/>
      <c r="S403" s="6"/>
      <c r="T403" s="6"/>
      <c r="U403" s="9"/>
      <c r="AI403" s="6"/>
      <c r="AJ403" s="12"/>
      <c r="AL403" s="13"/>
    </row>
    <row r="404">
      <c r="A404" s="5"/>
      <c r="B404" s="5"/>
      <c r="C404" s="5"/>
      <c r="D404" s="5"/>
      <c r="E404" s="6"/>
      <c r="F404" s="6"/>
      <c r="G404" s="18"/>
      <c r="I404" s="16"/>
      <c r="J404" s="9"/>
      <c r="K404" s="10"/>
      <c r="L404" s="6"/>
      <c r="M404" s="11"/>
      <c r="N404" s="6"/>
      <c r="O404" s="6"/>
      <c r="P404" s="10"/>
      <c r="Q404" s="6"/>
      <c r="R404" s="6"/>
      <c r="S404" s="6"/>
      <c r="T404" s="6"/>
      <c r="U404" s="9"/>
      <c r="AI404" s="6"/>
      <c r="AJ404" s="12"/>
      <c r="AL404" s="13"/>
    </row>
    <row r="405">
      <c r="A405" s="5"/>
      <c r="B405" s="5"/>
      <c r="C405" s="5"/>
      <c r="D405" s="5"/>
      <c r="E405" s="6"/>
      <c r="F405" s="6"/>
      <c r="G405" s="18"/>
      <c r="I405" s="16"/>
      <c r="J405" s="9"/>
      <c r="K405" s="10"/>
      <c r="L405" s="6"/>
      <c r="M405" s="11"/>
      <c r="N405" s="6"/>
      <c r="O405" s="6"/>
      <c r="P405" s="10"/>
      <c r="Q405" s="6"/>
      <c r="R405" s="6"/>
      <c r="S405" s="6"/>
      <c r="T405" s="6"/>
      <c r="U405" s="9"/>
      <c r="AI405" s="6"/>
      <c r="AJ405" s="12"/>
      <c r="AL405" s="13"/>
    </row>
    <row r="406">
      <c r="A406" s="5"/>
      <c r="B406" s="5"/>
      <c r="C406" s="5"/>
      <c r="D406" s="5"/>
      <c r="E406" s="6"/>
      <c r="F406" s="6"/>
      <c r="G406" s="18"/>
      <c r="I406" s="16"/>
      <c r="J406" s="9"/>
      <c r="K406" s="10"/>
      <c r="L406" s="6"/>
      <c r="M406" s="11"/>
      <c r="N406" s="6"/>
      <c r="O406" s="6"/>
      <c r="P406" s="10"/>
      <c r="Q406" s="6"/>
      <c r="R406" s="6"/>
      <c r="S406" s="6"/>
      <c r="T406" s="6"/>
      <c r="U406" s="9"/>
      <c r="AI406" s="6"/>
      <c r="AJ406" s="12"/>
      <c r="AL406" s="13"/>
    </row>
    <row r="407">
      <c r="A407" s="5"/>
      <c r="B407" s="5"/>
      <c r="C407" s="5"/>
      <c r="D407" s="5"/>
      <c r="E407" s="6"/>
      <c r="F407" s="6"/>
      <c r="G407" s="18"/>
      <c r="I407" s="16"/>
      <c r="J407" s="9"/>
      <c r="K407" s="10"/>
      <c r="L407" s="6"/>
      <c r="M407" s="11"/>
      <c r="N407" s="6"/>
      <c r="O407" s="6"/>
      <c r="P407" s="10"/>
      <c r="Q407" s="6"/>
      <c r="R407" s="6"/>
      <c r="S407" s="6"/>
      <c r="T407" s="6"/>
      <c r="U407" s="9"/>
      <c r="AI407" s="6"/>
      <c r="AJ407" s="12"/>
      <c r="AL407" s="13"/>
    </row>
    <row r="408">
      <c r="A408" s="5"/>
      <c r="B408" s="5"/>
      <c r="C408" s="5"/>
      <c r="D408" s="5"/>
      <c r="E408" s="6"/>
      <c r="F408" s="6"/>
      <c r="G408" s="18"/>
      <c r="I408" s="16"/>
      <c r="J408" s="9"/>
      <c r="K408" s="10"/>
      <c r="L408" s="6"/>
      <c r="M408" s="11"/>
      <c r="N408" s="6"/>
      <c r="O408" s="6"/>
      <c r="P408" s="10"/>
      <c r="Q408" s="6"/>
      <c r="R408" s="6"/>
      <c r="S408" s="6"/>
      <c r="T408" s="6"/>
      <c r="U408" s="9"/>
      <c r="AI408" s="6"/>
      <c r="AJ408" s="12"/>
      <c r="AL408" s="13"/>
    </row>
    <row r="409">
      <c r="A409" s="5"/>
      <c r="B409" s="5"/>
      <c r="C409" s="5"/>
      <c r="D409" s="5"/>
      <c r="E409" s="6"/>
      <c r="F409" s="6"/>
      <c r="G409" s="18"/>
      <c r="I409" s="16"/>
      <c r="J409" s="9"/>
      <c r="K409" s="10"/>
      <c r="L409" s="6"/>
      <c r="M409" s="11"/>
      <c r="N409" s="6"/>
      <c r="O409" s="6"/>
      <c r="P409" s="10"/>
      <c r="Q409" s="6"/>
      <c r="R409" s="6"/>
      <c r="S409" s="6"/>
      <c r="T409" s="6"/>
      <c r="U409" s="9"/>
      <c r="AI409" s="6"/>
      <c r="AJ409" s="12"/>
      <c r="AL409" s="13"/>
    </row>
    <row r="410">
      <c r="A410" s="5"/>
      <c r="B410" s="5"/>
      <c r="C410" s="5"/>
      <c r="D410" s="5"/>
      <c r="E410" s="6"/>
      <c r="F410" s="6"/>
      <c r="G410" s="18"/>
      <c r="I410" s="16"/>
      <c r="J410" s="9"/>
      <c r="K410" s="10"/>
      <c r="L410" s="6"/>
      <c r="M410" s="11"/>
      <c r="N410" s="6"/>
      <c r="O410" s="6"/>
      <c r="P410" s="10"/>
      <c r="Q410" s="6"/>
      <c r="R410" s="6"/>
      <c r="S410" s="6"/>
      <c r="T410" s="6"/>
      <c r="U410" s="9"/>
      <c r="AI410" s="6"/>
      <c r="AJ410" s="12"/>
      <c r="AL410" s="13"/>
    </row>
    <row r="411">
      <c r="A411" s="5"/>
      <c r="B411" s="5"/>
      <c r="C411" s="5"/>
      <c r="D411" s="5"/>
      <c r="E411" s="6"/>
      <c r="F411" s="6"/>
      <c r="G411" s="18"/>
      <c r="I411" s="16"/>
      <c r="J411" s="9"/>
      <c r="K411" s="10"/>
      <c r="L411" s="6"/>
      <c r="M411" s="11"/>
      <c r="N411" s="6"/>
      <c r="O411" s="6"/>
      <c r="P411" s="10"/>
      <c r="Q411" s="6"/>
      <c r="R411" s="6"/>
      <c r="S411" s="6"/>
      <c r="T411" s="6"/>
      <c r="U411" s="9"/>
      <c r="AI411" s="6"/>
      <c r="AJ411" s="12"/>
      <c r="AL411" s="13"/>
    </row>
    <row r="412">
      <c r="A412" s="5"/>
      <c r="B412" s="5"/>
      <c r="C412" s="5"/>
      <c r="D412" s="5"/>
      <c r="E412" s="6"/>
      <c r="F412" s="6"/>
      <c r="G412" s="18"/>
      <c r="I412" s="16"/>
      <c r="J412" s="9"/>
      <c r="K412" s="10"/>
      <c r="L412" s="6"/>
      <c r="M412" s="11"/>
      <c r="N412" s="6"/>
      <c r="O412" s="6"/>
      <c r="P412" s="10"/>
      <c r="Q412" s="6"/>
      <c r="R412" s="6"/>
      <c r="S412" s="6"/>
      <c r="T412" s="6"/>
      <c r="U412" s="9"/>
      <c r="AI412" s="6"/>
      <c r="AJ412" s="12"/>
      <c r="AL412" s="13"/>
    </row>
    <row r="413">
      <c r="A413" s="5"/>
      <c r="B413" s="5"/>
      <c r="C413" s="5"/>
      <c r="D413" s="5"/>
      <c r="E413" s="6"/>
      <c r="F413" s="6"/>
      <c r="G413" s="18"/>
      <c r="I413" s="16"/>
      <c r="J413" s="9"/>
      <c r="K413" s="10"/>
      <c r="L413" s="6"/>
      <c r="M413" s="11"/>
      <c r="N413" s="6"/>
      <c r="O413" s="6"/>
      <c r="P413" s="10"/>
      <c r="Q413" s="6"/>
      <c r="R413" s="6"/>
      <c r="S413" s="6"/>
      <c r="T413" s="6"/>
      <c r="U413" s="9"/>
      <c r="AI413" s="6"/>
      <c r="AJ413" s="12"/>
      <c r="AL413" s="13"/>
    </row>
    <row r="414">
      <c r="A414" s="5"/>
      <c r="B414" s="5"/>
      <c r="C414" s="5"/>
      <c r="D414" s="5"/>
      <c r="E414" s="6"/>
      <c r="F414" s="6"/>
      <c r="G414" s="18"/>
      <c r="I414" s="16"/>
      <c r="J414" s="9"/>
      <c r="K414" s="10"/>
      <c r="L414" s="6"/>
      <c r="M414" s="11"/>
      <c r="N414" s="6"/>
      <c r="O414" s="6"/>
      <c r="P414" s="10"/>
      <c r="Q414" s="6"/>
      <c r="R414" s="6"/>
      <c r="S414" s="6"/>
      <c r="T414" s="6"/>
      <c r="U414" s="9"/>
      <c r="AI414" s="6"/>
      <c r="AJ414" s="12"/>
      <c r="AL414" s="13"/>
    </row>
    <row r="415">
      <c r="A415" s="5"/>
      <c r="B415" s="5"/>
      <c r="C415" s="5"/>
      <c r="D415" s="5"/>
      <c r="E415" s="6"/>
      <c r="F415" s="6"/>
      <c r="G415" s="18"/>
      <c r="I415" s="16"/>
      <c r="J415" s="9"/>
      <c r="K415" s="10"/>
      <c r="L415" s="6"/>
      <c r="M415" s="11"/>
      <c r="N415" s="6"/>
      <c r="O415" s="6"/>
      <c r="P415" s="10"/>
      <c r="Q415" s="6"/>
      <c r="R415" s="6"/>
      <c r="S415" s="6"/>
      <c r="T415" s="6"/>
      <c r="U415" s="9"/>
      <c r="AI415" s="6"/>
      <c r="AJ415" s="12"/>
      <c r="AL415" s="13"/>
    </row>
    <row r="416">
      <c r="A416" s="5"/>
      <c r="B416" s="5"/>
      <c r="C416" s="5"/>
      <c r="D416" s="5"/>
      <c r="E416" s="6"/>
      <c r="F416" s="6"/>
      <c r="G416" s="18"/>
      <c r="I416" s="16"/>
      <c r="J416" s="9"/>
      <c r="K416" s="10"/>
      <c r="L416" s="6"/>
      <c r="M416" s="11"/>
      <c r="N416" s="6"/>
      <c r="O416" s="6"/>
      <c r="P416" s="10"/>
      <c r="Q416" s="6"/>
      <c r="R416" s="6"/>
      <c r="S416" s="6"/>
      <c r="T416" s="6"/>
      <c r="U416" s="9"/>
      <c r="AI416" s="6"/>
      <c r="AJ416" s="12"/>
      <c r="AL416" s="13"/>
    </row>
    <row r="417">
      <c r="A417" s="5"/>
      <c r="B417" s="5"/>
      <c r="C417" s="5"/>
      <c r="D417" s="5"/>
      <c r="E417" s="6"/>
      <c r="F417" s="6"/>
      <c r="G417" s="18"/>
      <c r="I417" s="16"/>
      <c r="J417" s="9"/>
      <c r="K417" s="10"/>
      <c r="L417" s="6"/>
      <c r="M417" s="11"/>
      <c r="N417" s="6"/>
      <c r="O417" s="6"/>
      <c r="P417" s="10"/>
      <c r="Q417" s="6"/>
      <c r="R417" s="6"/>
      <c r="S417" s="6"/>
      <c r="T417" s="6"/>
      <c r="U417" s="9"/>
      <c r="AI417" s="6"/>
      <c r="AJ417" s="12"/>
      <c r="AL417" s="13"/>
    </row>
    <row r="418">
      <c r="A418" s="5"/>
      <c r="B418" s="5"/>
      <c r="C418" s="5"/>
      <c r="D418" s="5"/>
      <c r="E418" s="6"/>
      <c r="F418" s="6"/>
      <c r="G418" s="18"/>
      <c r="I418" s="16"/>
      <c r="J418" s="9"/>
      <c r="K418" s="10"/>
      <c r="L418" s="6"/>
      <c r="M418" s="11"/>
      <c r="N418" s="6"/>
      <c r="O418" s="6"/>
      <c r="P418" s="10"/>
      <c r="Q418" s="6"/>
      <c r="R418" s="6"/>
      <c r="S418" s="6"/>
      <c r="T418" s="6"/>
      <c r="U418" s="9"/>
      <c r="AI418" s="6"/>
      <c r="AJ418" s="12"/>
      <c r="AL418" s="13"/>
    </row>
    <row r="419">
      <c r="A419" s="5"/>
      <c r="B419" s="5"/>
      <c r="C419" s="5"/>
      <c r="D419" s="5"/>
      <c r="E419" s="6"/>
      <c r="F419" s="6"/>
      <c r="G419" s="18"/>
      <c r="I419" s="16"/>
      <c r="J419" s="9"/>
      <c r="K419" s="10"/>
      <c r="L419" s="6"/>
      <c r="M419" s="11"/>
      <c r="N419" s="6"/>
      <c r="O419" s="6"/>
      <c r="P419" s="10"/>
      <c r="Q419" s="6"/>
      <c r="R419" s="6"/>
      <c r="S419" s="6"/>
      <c r="T419" s="6"/>
      <c r="U419" s="9"/>
      <c r="AI419" s="6"/>
      <c r="AJ419" s="12"/>
      <c r="AL419" s="13"/>
    </row>
    <row r="420">
      <c r="A420" s="5"/>
      <c r="B420" s="5"/>
      <c r="C420" s="5"/>
      <c r="D420" s="5"/>
      <c r="E420" s="6"/>
      <c r="F420" s="6"/>
      <c r="G420" s="18"/>
      <c r="I420" s="16"/>
      <c r="J420" s="9"/>
      <c r="K420" s="10"/>
      <c r="L420" s="6"/>
      <c r="M420" s="11"/>
      <c r="N420" s="6"/>
      <c r="O420" s="6"/>
      <c r="P420" s="10"/>
      <c r="Q420" s="6"/>
      <c r="R420" s="6"/>
      <c r="S420" s="6"/>
      <c r="T420" s="6"/>
      <c r="U420" s="9"/>
      <c r="AI420" s="6"/>
      <c r="AJ420" s="12"/>
      <c r="AL420" s="13"/>
    </row>
    <row r="421">
      <c r="A421" s="5"/>
      <c r="B421" s="5"/>
      <c r="C421" s="5"/>
      <c r="D421" s="5"/>
      <c r="E421" s="6"/>
      <c r="F421" s="6"/>
      <c r="G421" s="18"/>
      <c r="I421" s="16"/>
      <c r="J421" s="9"/>
      <c r="K421" s="10"/>
      <c r="L421" s="6"/>
      <c r="M421" s="11"/>
      <c r="N421" s="6"/>
      <c r="O421" s="6"/>
      <c r="P421" s="10"/>
      <c r="Q421" s="6"/>
      <c r="R421" s="6"/>
      <c r="S421" s="6"/>
      <c r="T421" s="6"/>
      <c r="U421" s="9"/>
      <c r="AI421" s="6"/>
      <c r="AJ421" s="12"/>
      <c r="AL421" s="13"/>
    </row>
    <row r="422">
      <c r="A422" s="5"/>
      <c r="B422" s="5"/>
      <c r="C422" s="5"/>
      <c r="D422" s="5"/>
      <c r="E422" s="6"/>
      <c r="F422" s="6"/>
      <c r="G422" s="18"/>
      <c r="I422" s="16"/>
      <c r="J422" s="9"/>
      <c r="K422" s="10"/>
      <c r="L422" s="6"/>
      <c r="M422" s="11"/>
      <c r="N422" s="6"/>
      <c r="O422" s="6"/>
      <c r="P422" s="10"/>
      <c r="Q422" s="6"/>
      <c r="R422" s="6"/>
      <c r="S422" s="6"/>
      <c r="T422" s="6"/>
      <c r="U422" s="9"/>
      <c r="AI422" s="6"/>
      <c r="AJ422" s="12"/>
      <c r="AL422" s="13"/>
    </row>
    <row r="423">
      <c r="A423" s="5"/>
      <c r="B423" s="5"/>
      <c r="C423" s="5"/>
      <c r="D423" s="5"/>
      <c r="E423" s="6"/>
      <c r="F423" s="6"/>
      <c r="G423" s="18"/>
      <c r="I423" s="16"/>
      <c r="J423" s="9"/>
      <c r="K423" s="10"/>
      <c r="L423" s="6"/>
      <c r="M423" s="11"/>
      <c r="N423" s="6"/>
      <c r="O423" s="6"/>
      <c r="P423" s="10"/>
      <c r="Q423" s="6"/>
      <c r="R423" s="6"/>
      <c r="S423" s="6"/>
      <c r="T423" s="6"/>
      <c r="U423" s="9"/>
      <c r="AI423" s="6"/>
      <c r="AJ423" s="12"/>
      <c r="AL423" s="13"/>
    </row>
    <row r="424">
      <c r="A424" s="5"/>
      <c r="B424" s="5"/>
      <c r="C424" s="5"/>
      <c r="D424" s="5"/>
      <c r="E424" s="6"/>
      <c r="F424" s="6"/>
      <c r="G424" s="18"/>
      <c r="I424" s="16"/>
      <c r="J424" s="9"/>
      <c r="K424" s="10"/>
      <c r="L424" s="6"/>
      <c r="M424" s="11"/>
      <c r="N424" s="6"/>
      <c r="O424" s="6"/>
      <c r="P424" s="10"/>
      <c r="Q424" s="6"/>
      <c r="R424" s="6"/>
      <c r="S424" s="6"/>
      <c r="T424" s="6"/>
      <c r="U424" s="9"/>
      <c r="AI424" s="6"/>
      <c r="AJ424" s="12"/>
      <c r="AL424" s="13"/>
    </row>
    <row r="425">
      <c r="A425" s="5"/>
      <c r="B425" s="5"/>
      <c r="C425" s="5"/>
      <c r="D425" s="5"/>
      <c r="E425" s="6"/>
      <c r="F425" s="6"/>
      <c r="G425" s="18"/>
      <c r="I425" s="16"/>
      <c r="J425" s="9"/>
      <c r="K425" s="10"/>
      <c r="L425" s="6"/>
      <c r="M425" s="11"/>
      <c r="N425" s="6"/>
      <c r="O425" s="6"/>
      <c r="P425" s="10"/>
      <c r="Q425" s="6"/>
      <c r="R425" s="6"/>
      <c r="S425" s="6"/>
      <c r="T425" s="6"/>
      <c r="U425" s="9"/>
      <c r="AI425" s="6"/>
      <c r="AJ425" s="12"/>
      <c r="AL425" s="13"/>
    </row>
    <row r="426">
      <c r="A426" s="5"/>
      <c r="B426" s="5"/>
      <c r="C426" s="5"/>
      <c r="D426" s="5"/>
      <c r="E426" s="6"/>
      <c r="F426" s="6"/>
      <c r="G426" s="18"/>
      <c r="I426" s="16"/>
      <c r="J426" s="9"/>
      <c r="K426" s="10"/>
      <c r="L426" s="6"/>
      <c r="M426" s="11"/>
      <c r="N426" s="6"/>
      <c r="O426" s="6"/>
      <c r="P426" s="10"/>
      <c r="Q426" s="6"/>
      <c r="R426" s="6"/>
      <c r="S426" s="6"/>
      <c r="T426" s="6"/>
      <c r="U426" s="9"/>
      <c r="AI426" s="6"/>
      <c r="AJ426" s="12"/>
      <c r="AL426" s="13"/>
    </row>
    <row r="427">
      <c r="A427" s="5"/>
      <c r="B427" s="5"/>
      <c r="C427" s="5"/>
      <c r="D427" s="5"/>
      <c r="E427" s="6"/>
      <c r="F427" s="6"/>
      <c r="G427" s="18"/>
      <c r="I427" s="16"/>
      <c r="J427" s="9"/>
      <c r="K427" s="10"/>
      <c r="L427" s="6"/>
      <c r="M427" s="11"/>
      <c r="N427" s="6"/>
      <c r="O427" s="6"/>
      <c r="P427" s="10"/>
      <c r="Q427" s="6"/>
      <c r="R427" s="6"/>
      <c r="S427" s="6"/>
      <c r="T427" s="6"/>
      <c r="U427" s="9"/>
      <c r="AI427" s="6"/>
      <c r="AJ427" s="12"/>
      <c r="AL427" s="13"/>
    </row>
    <row r="428">
      <c r="A428" s="5"/>
      <c r="B428" s="5"/>
      <c r="C428" s="5"/>
      <c r="D428" s="5"/>
      <c r="E428" s="6"/>
      <c r="F428" s="6"/>
      <c r="G428" s="18"/>
      <c r="I428" s="16"/>
      <c r="J428" s="9"/>
      <c r="K428" s="10"/>
      <c r="L428" s="6"/>
      <c r="M428" s="11"/>
      <c r="N428" s="6"/>
      <c r="O428" s="6"/>
      <c r="P428" s="10"/>
      <c r="Q428" s="6"/>
      <c r="R428" s="6"/>
      <c r="S428" s="6"/>
      <c r="T428" s="6"/>
      <c r="U428" s="9"/>
      <c r="AI428" s="6"/>
      <c r="AJ428" s="12"/>
      <c r="AL428" s="13"/>
    </row>
    <row r="429">
      <c r="A429" s="5"/>
      <c r="B429" s="5"/>
      <c r="C429" s="5"/>
      <c r="D429" s="5"/>
      <c r="E429" s="6"/>
      <c r="F429" s="6"/>
      <c r="G429" s="18"/>
      <c r="I429" s="16"/>
      <c r="J429" s="9"/>
      <c r="K429" s="10"/>
      <c r="L429" s="6"/>
      <c r="M429" s="11"/>
      <c r="N429" s="6"/>
      <c r="O429" s="6"/>
      <c r="P429" s="10"/>
      <c r="Q429" s="6"/>
      <c r="R429" s="6"/>
      <c r="S429" s="6"/>
      <c r="T429" s="6"/>
      <c r="U429" s="9"/>
      <c r="AI429" s="6"/>
      <c r="AJ429" s="12"/>
      <c r="AL429" s="13"/>
    </row>
    <row r="430">
      <c r="A430" s="5"/>
      <c r="B430" s="5"/>
      <c r="C430" s="5"/>
      <c r="D430" s="5"/>
      <c r="E430" s="6"/>
      <c r="F430" s="6"/>
      <c r="G430" s="18"/>
      <c r="I430" s="16"/>
      <c r="J430" s="9"/>
      <c r="K430" s="10"/>
      <c r="L430" s="6"/>
      <c r="M430" s="11"/>
      <c r="N430" s="6"/>
      <c r="O430" s="6"/>
      <c r="P430" s="10"/>
      <c r="Q430" s="6"/>
      <c r="R430" s="6"/>
      <c r="S430" s="6"/>
      <c r="T430" s="6"/>
      <c r="U430" s="9"/>
      <c r="AI430" s="6"/>
      <c r="AJ430" s="12"/>
      <c r="AL430" s="13"/>
    </row>
    <row r="431">
      <c r="A431" s="5"/>
      <c r="B431" s="5"/>
      <c r="C431" s="5"/>
      <c r="D431" s="5"/>
      <c r="E431" s="6"/>
      <c r="F431" s="6"/>
      <c r="G431" s="18"/>
      <c r="I431" s="16"/>
      <c r="J431" s="9"/>
      <c r="K431" s="10"/>
      <c r="L431" s="6"/>
      <c r="M431" s="11"/>
      <c r="N431" s="6"/>
      <c r="O431" s="6"/>
      <c r="P431" s="10"/>
      <c r="Q431" s="6"/>
      <c r="R431" s="6"/>
      <c r="S431" s="6"/>
      <c r="T431" s="6"/>
      <c r="U431" s="9"/>
      <c r="AI431" s="6"/>
      <c r="AJ431" s="12"/>
      <c r="AL431" s="13"/>
    </row>
    <row r="432">
      <c r="A432" s="5"/>
      <c r="B432" s="5"/>
      <c r="C432" s="5"/>
      <c r="D432" s="5"/>
      <c r="E432" s="6"/>
      <c r="F432" s="6"/>
      <c r="G432" s="18"/>
      <c r="I432" s="16"/>
      <c r="J432" s="9"/>
      <c r="K432" s="10"/>
      <c r="L432" s="6"/>
      <c r="M432" s="11"/>
      <c r="N432" s="6"/>
      <c r="O432" s="6"/>
      <c r="P432" s="10"/>
      <c r="Q432" s="6"/>
      <c r="R432" s="6"/>
      <c r="S432" s="6"/>
      <c r="T432" s="6"/>
      <c r="U432" s="9"/>
      <c r="AI432" s="6"/>
      <c r="AJ432" s="12"/>
      <c r="AL432" s="13"/>
    </row>
    <row r="433">
      <c r="A433" s="5"/>
      <c r="B433" s="5"/>
      <c r="C433" s="5"/>
      <c r="D433" s="5"/>
      <c r="E433" s="6"/>
      <c r="F433" s="6"/>
      <c r="G433" s="18"/>
      <c r="I433" s="16"/>
      <c r="J433" s="9"/>
      <c r="K433" s="10"/>
      <c r="L433" s="6"/>
      <c r="M433" s="11"/>
      <c r="N433" s="6"/>
      <c r="O433" s="6"/>
      <c r="P433" s="10"/>
      <c r="Q433" s="6"/>
      <c r="R433" s="6"/>
      <c r="S433" s="6"/>
      <c r="T433" s="6"/>
      <c r="U433" s="9"/>
      <c r="AI433" s="6"/>
      <c r="AJ433" s="12"/>
      <c r="AL433" s="13"/>
    </row>
    <row r="434">
      <c r="A434" s="5"/>
      <c r="B434" s="5"/>
      <c r="C434" s="5"/>
      <c r="D434" s="5"/>
      <c r="E434" s="6"/>
      <c r="F434" s="6"/>
      <c r="G434" s="18"/>
      <c r="I434" s="16"/>
      <c r="J434" s="9"/>
      <c r="K434" s="10"/>
      <c r="L434" s="6"/>
      <c r="M434" s="11"/>
      <c r="N434" s="6"/>
      <c r="O434" s="6"/>
      <c r="P434" s="10"/>
      <c r="Q434" s="6"/>
      <c r="R434" s="6"/>
      <c r="S434" s="6"/>
      <c r="T434" s="6"/>
      <c r="U434" s="9"/>
      <c r="AI434" s="6"/>
      <c r="AJ434" s="12"/>
      <c r="AL434" s="13"/>
    </row>
    <row r="435">
      <c r="A435" s="5"/>
      <c r="B435" s="5"/>
      <c r="C435" s="5"/>
      <c r="D435" s="5"/>
      <c r="E435" s="6"/>
      <c r="F435" s="6"/>
      <c r="G435" s="18"/>
      <c r="I435" s="16"/>
      <c r="J435" s="9"/>
      <c r="K435" s="10"/>
      <c r="L435" s="6"/>
      <c r="M435" s="11"/>
      <c r="N435" s="6"/>
      <c r="O435" s="6"/>
      <c r="P435" s="10"/>
      <c r="Q435" s="6"/>
      <c r="R435" s="6"/>
      <c r="S435" s="6"/>
      <c r="T435" s="6"/>
      <c r="U435" s="9"/>
      <c r="AI435" s="6"/>
      <c r="AJ435" s="12"/>
      <c r="AL435" s="13"/>
    </row>
    <row r="436">
      <c r="A436" s="5"/>
      <c r="B436" s="5"/>
      <c r="C436" s="5"/>
      <c r="D436" s="5"/>
      <c r="E436" s="6"/>
      <c r="F436" s="6"/>
      <c r="G436" s="18"/>
      <c r="I436" s="16"/>
      <c r="J436" s="9"/>
      <c r="K436" s="10"/>
      <c r="L436" s="6"/>
      <c r="M436" s="11"/>
      <c r="N436" s="6"/>
      <c r="O436" s="6"/>
      <c r="P436" s="10"/>
      <c r="Q436" s="6"/>
      <c r="R436" s="6"/>
      <c r="S436" s="6"/>
      <c r="T436" s="6"/>
      <c r="U436" s="9"/>
      <c r="AI436" s="6"/>
      <c r="AJ436" s="12"/>
      <c r="AL436" s="13"/>
    </row>
    <row r="437">
      <c r="A437" s="5"/>
      <c r="B437" s="5"/>
      <c r="C437" s="5"/>
      <c r="D437" s="5"/>
      <c r="E437" s="6"/>
      <c r="F437" s="6"/>
      <c r="G437" s="18"/>
      <c r="I437" s="16"/>
      <c r="J437" s="9"/>
      <c r="K437" s="10"/>
      <c r="L437" s="6"/>
      <c r="M437" s="11"/>
      <c r="N437" s="6"/>
      <c r="O437" s="6"/>
      <c r="P437" s="10"/>
      <c r="Q437" s="6"/>
      <c r="R437" s="6"/>
      <c r="S437" s="6"/>
      <c r="T437" s="6"/>
      <c r="U437" s="9"/>
      <c r="AI437" s="6"/>
      <c r="AJ437" s="12"/>
      <c r="AL437" s="13"/>
    </row>
    <row r="438">
      <c r="A438" s="5"/>
      <c r="B438" s="5"/>
      <c r="C438" s="5"/>
      <c r="D438" s="5"/>
      <c r="E438" s="6"/>
      <c r="F438" s="6"/>
      <c r="G438" s="18"/>
      <c r="I438" s="16"/>
      <c r="J438" s="9"/>
      <c r="K438" s="10"/>
      <c r="L438" s="6"/>
      <c r="M438" s="11"/>
      <c r="N438" s="6"/>
      <c r="O438" s="6"/>
      <c r="P438" s="10"/>
      <c r="Q438" s="6"/>
      <c r="R438" s="6"/>
      <c r="S438" s="6"/>
      <c r="T438" s="6"/>
      <c r="U438" s="9"/>
      <c r="AI438" s="6"/>
      <c r="AJ438" s="12"/>
      <c r="AL438" s="13"/>
    </row>
    <row r="439">
      <c r="A439" s="5"/>
      <c r="B439" s="5"/>
      <c r="C439" s="5"/>
      <c r="D439" s="5"/>
      <c r="E439" s="6"/>
      <c r="F439" s="6"/>
      <c r="G439" s="18"/>
      <c r="I439" s="16"/>
      <c r="J439" s="9"/>
      <c r="K439" s="10"/>
      <c r="L439" s="6"/>
      <c r="M439" s="11"/>
      <c r="N439" s="6"/>
      <c r="O439" s="6"/>
      <c r="P439" s="10"/>
      <c r="Q439" s="6"/>
      <c r="R439" s="6"/>
      <c r="S439" s="6"/>
      <c r="T439" s="6"/>
      <c r="U439" s="9"/>
      <c r="AI439" s="6"/>
      <c r="AJ439" s="12"/>
      <c r="AL439" s="13"/>
    </row>
    <row r="440">
      <c r="A440" s="5"/>
      <c r="B440" s="5"/>
      <c r="C440" s="5"/>
      <c r="D440" s="5"/>
      <c r="E440" s="6"/>
      <c r="F440" s="6"/>
      <c r="G440" s="18"/>
      <c r="I440" s="16"/>
      <c r="J440" s="9"/>
      <c r="K440" s="10"/>
      <c r="L440" s="6"/>
      <c r="M440" s="11"/>
      <c r="N440" s="6"/>
      <c r="O440" s="6"/>
      <c r="P440" s="10"/>
      <c r="Q440" s="6"/>
      <c r="R440" s="6"/>
      <c r="S440" s="6"/>
      <c r="T440" s="6"/>
      <c r="U440" s="9"/>
      <c r="AI440" s="6"/>
      <c r="AJ440" s="12"/>
      <c r="AL440" s="13"/>
    </row>
    <row r="441">
      <c r="A441" s="5"/>
      <c r="B441" s="5"/>
      <c r="C441" s="5"/>
      <c r="D441" s="5"/>
      <c r="E441" s="6"/>
      <c r="F441" s="6"/>
      <c r="G441" s="18"/>
      <c r="I441" s="16"/>
      <c r="J441" s="9"/>
      <c r="K441" s="10"/>
      <c r="L441" s="6"/>
      <c r="M441" s="11"/>
      <c r="N441" s="6"/>
      <c r="O441" s="6"/>
      <c r="P441" s="10"/>
      <c r="Q441" s="6"/>
      <c r="R441" s="6"/>
      <c r="S441" s="6"/>
      <c r="T441" s="6"/>
      <c r="U441" s="9"/>
      <c r="AI441" s="6"/>
      <c r="AJ441" s="12"/>
      <c r="AL441" s="13"/>
    </row>
    <row r="442">
      <c r="A442" s="5"/>
      <c r="B442" s="5"/>
      <c r="C442" s="5"/>
      <c r="D442" s="5"/>
      <c r="E442" s="6"/>
      <c r="F442" s="6"/>
      <c r="G442" s="18"/>
      <c r="I442" s="16"/>
      <c r="J442" s="9"/>
      <c r="K442" s="10"/>
      <c r="L442" s="6"/>
      <c r="M442" s="11"/>
      <c r="N442" s="6"/>
      <c r="O442" s="6"/>
      <c r="P442" s="10"/>
      <c r="Q442" s="6"/>
      <c r="R442" s="6"/>
      <c r="S442" s="6"/>
      <c r="T442" s="6"/>
      <c r="U442" s="9"/>
      <c r="AI442" s="6"/>
      <c r="AJ442" s="12"/>
      <c r="AL442" s="13"/>
    </row>
    <row r="443">
      <c r="A443" s="5"/>
      <c r="B443" s="5"/>
      <c r="C443" s="5"/>
      <c r="D443" s="5"/>
      <c r="E443" s="6"/>
      <c r="F443" s="6"/>
      <c r="G443" s="18"/>
      <c r="I443" s="16"/>
      <c r="J443" s="9"/>
      <c r="K443" s="10"/>
      <c r="L443" s="6"/>
      <c r="M443" s="11"/>
      <c r="N443" s="6"/>
      <c r="O443" s="6"/>
      <c r="P443" s="10"/>
      <c r="Q443" s="6"/>
      <c r="R443" s="6"/>
      <c r="S443" s="6"/>
      <c r="T443" s="6"/>
      <c r="U443" s="9"/>
      <c r="AI443" s="6"/>
      <c r="AJ443" s="12"/>
      <c r="AL443" s="13"/>
    </row>
    <row r="444">
      <c r="A444" s="5"/>
      <c r="B444" s="5"/>
      <c r="C444" s="5"/>
      <c r="D444" s="5"/>
      <c r="E444" s="6"/>
      <c r="F444" s="6"/>
      <c r="G444" s="18"/>
      <c r="I444" s="16"/>
      <c r="J444" s="9"/>
      <c r="K444" s="10"/>
      <c r="L444" s="6"/>
      <c r="M444" s="11"/>
      <c r="N444" s="6"/>
      <c r="O444" s="6"/>
      <c r="P444" s="10"/>
      <c r="Q444" s="6"/>
      <c r="R444" s="6"/>
      <c r="S444" s="6"/>
      <c r="T444" s="6"/>
      <c r="U444" s="9"/>
      <c r="AI444" s="6"/>
      <c r="AJ444" s="12"/>
      <c r="AL444" s="13"/>
    </row>
    <row r="445">
      <c r="A445" s="5"/>
      <c r="B445" s="5"/>
      <c r="C445" s="5"/>
      <c r="D445" s="5"/>
      <c r="E445" s="6"/>
      <c r="F445" s="6"/>
      <c r="G445" s="18"/>
      <c r="I445" s="16"/>
      <c r="J445" s="9"/>
      <c r="K445" s="10"/>
      <c r="L445" s="6"/>
      <c r="M445" s="11"/>
      <c r="N445" s="6"/>
      <c r="O445" s="6"/>
      <c r="P445" s="10"/>
      <c r="Q445" s="6"/>
      <c r="R445" s="6"/>
      <c r="S445" s="6"/>
      <c r="T445" s="6"/>
      <c r="U445" s="9"/>
      <c r="AI445" s="6"/>
      <c r="AJ445" s="12"/>
      <c r="AL445" s="13"/>
    </row>
    <row r="446">
      <c r="A446" s="5"/>
      <c r="B446" s="5"/>
      <c r="C446" s="5"/>
      <c r="D446" s="5"/>
      <c r="E446" s="6"/>
      <c r="F446" s="6"/>
      <c r="G446" s="18"/>
      <c r="I446" s="16"/>
      <c r="J446" s="9"/>
      <c r="K446" s="10"/>
      <c r="L446" s="6"/>
      <c r="M446" s="11"/>
      <c r="N446" s="6"/>
      <c r="O446" s="6"/>
      <c r="P446" s="10"/>
      <c r="Q446" s="6"/>
      <c r="R446" s="6"/>
      <c r="S446" s="6"/>
      <c r="T446" s="6"/>
      <c r="U446" s="9"/>
      <c r="AI446" s="6"/>
      <c r="AJ446" s="12"/>
      <c r="AL446" s="13"/>
    </row>
    <row r="447">
      <c r="A447" s="5"/>
      <c r="B447" s="5"/>
      <c r="C447" s="5"/>
      <c r="D447" s="5"/>
      <c r="E447" s="6"/>
      <c r="F447" s="6"/>
      <c r="G447" s="18"/>
      <c r="I447" s="16"/>
      <c r="J447" s="9"/>
      <c r="K447" s="10"/>
      <c r="L447" s="6"/>
      <c r="M447" s="11"/>
      <c r="N447" s="6"/>
      <c r="O447" s="6"/>
      <c r="P447" s="10"/>
      <c r="Q447" s="6"/>
      <c r="R447" s="6"/>
      <c r="S447" s="6"/>
      <c r="T447" s="6"/>
      <c r="U447" s="9"/>
      <c r="AI447" s="6"/>
      <c r="AJ447" s="12"/>
      <c r="AL447" s="13"/>
    </row>
    <row r="448">
      <c r="A448" s="5"/>
      <c r="B448" s="5"/>
      <c r="C448" s="5"/>
      <c r="D448" s="5"/>
      <c r="E448" s="6"/>
      <c r="F448" s="6"/>
      <c r="G448" s="18"/>
      <c r="I448" s="16"/>
      <c r="J448" s="9"/>
      <c r="K448" s="10"/>
      <c r="L448" s="6"/>
      <c r="M448" s="11"/>
      <c r="N448" s="6"/>
      <c r="O448" s="6"/>
      <c r="P448" s="10"/>
      <c r="Q448" s="6"/>
      <c r="R448" s="6"/>
      <c r="S448" s="6"/>
      <c r="T448" s="6"/>
      <c r="U448" s="9"/>
      <c r="AI448" s="6"/>
      <c r="AJ448" s="12"/>
      <c r="AL448" s="13"/>
    </row>
    <row r="449">
      <c r="A449" s="5"/>
      <c r="B449" s="5"/>
      <c r="C449" s="5"/>
      <c r="D449" s="5"/>
      <c r="E449" s="6"/>
      <c r="F449" s="6"/>
      <c r="G449" s="18"/>
      <c r="I449" s="16"/>
      <c r="J449" s="9"/>
      <c r="K449" s="10"/>
      <c r="L449" s="6"/>
      <c r="M449" s="11"/>
      <c r="N449" s="6"/>
      <c r="O449" s="6"/>
      <c r="P449" s="10"/>
      <c r="Q449" s="6"/>
      <c r="R449" s="6"/>
      <c r="S449" s="6"/>
      <c r="T449" s="6"/>
      <c r="U449" s="9"/>
      <c r="AI449" s="6"/>
      <c r="AJ449" s="12"/>
      <c r="AL449" s="13"/>
    </row>
    <row r="450">
      <c r="A450" s="5"/>
      <c r="B450" s="5"/>
      <c r="C450" s="5"/>
      <c r="D450" s="5"/>
      <c r="E450" s="6"/>
      <c r="F450" s="6"/>
      <c r="G450" s="18"/>
      <c r="I450" s="16"/>
      <c r="J450" s="9"/>
      <c r="K450" s="10"/>
      <c r="L450" s="6"/>
      <c r="M450" s="11"/>
      <c r="N450" s="6"/>
      <c r="O450" s="6"/>
      <c r="P450" s="10"/>
      <c r="Q450" s="6"/>
      <c r="R450" s="6"/>
      <c r="S450" s="6"/>
      <c r="T450" s="6"/>
      <c r="U450" s="9"/>
      <c r="AI450" s="6"/>
      <c r="AJ450" s="12"/>
      <c r="AL450" s="13"/>
    </row>
    <row r="451">
      <c r="A451" s="5"/>
      <c r="B451" s="5"/>
      <c r="C451" s="5"/>
      <c r="D451" s="5"/>
      <c r="E451" s="6"/>
      <c r="F451" s="6"/>
      <c r="G451" s="18"/>
      <c r="I451" s="16"/>
      <c r="J451" s="9"/>
      <c r="K451" s="10"/>
      <c r="L451" s="6"/>
      <c r="M451" s="11"/>
      <c r="N451" s="6"/>
      <c r="O451" s="6"/>
      <c r="P451" s="10"/>
      <c r="Q451" s="6"/>
      <c r="R451" s="6"/>
      <c r="S451" s="6"/>
      <c r="T451" s="6"/>
      <c r="U451" s="9"/>
      <c r="AI451" s="6"/>
      <c r="AJ451" s="12"/>
      <c r="AL451" s="13"/>
    </row>
    <row r="452">
      <c r="A452" s="5"/>
      <c r="B452" s="5"/>
      <c r="C452" s="5"/>
      <c r="D452" s="5"/>
      <c r="E452" s="6"/>
      <c r="F452" s="6"/>
      <c r="G452" s="18"/>
      <c r="I452" s="16"/>
      <c r="J452" s="9"/>
      <c r="K452" s="10"/>
      <c r="L452" s="6"/>
      <c r="M452" s="11"/>
      <c r="N452" s="6"/>
      <c r="O452" s="6"/>
      <c r="P452" s="10"/>
      <c r="Q452" s="6"/>
      <c r="R452" s="6"/>
      <c r="S452" s="6"/>
      <c r="T452" s="6"/>
      <c r="U452" s="9"/>
      <c r="AI452" s="6"/>
      <c r="AJ452" s="12"/>
      <c r="AL452" s="13"/>
    </row>
    <row r="453">
      <c r="A453" s="5"/>
      <c r="B453" s="5"/>
      <c r="C453" s="5"/>
      <c r="D453" s="5"/>
      <c r="E453" s="6"/>
      <c r="F453" s="6"/>
      <c r="G453" s="18"/>
      <c r="I453" s="16"/>
      <c r="J453" s="9"/>
      <c r="K453" s="10"/>
      <c r="L453" s="6"/>
      <c r="M453" s="11"/>
      <c r="N453" s="6"/>
      <c r="O453" s="6"/>
      <c r="P453" s="10"/>
      <c r="Q453" s="6"/>
      <c r="R453" s="6"/>
      <c r="S453" s="6"/>
      <c r="T453" s="6"/>
      <c r="U453" s="9"/>
      <c r="AI453" s="6"/>
      <c r="AJ453" s="12"/>
      <c r="AL453" s="13"/>
    </row>
    <row r="454">
      <c r="A454" s="5"/>
      <c r="B454" s="5"/>
      <c r="C454" s="5"/>
      <c r="D454" s="5"/>
      <c r="E454" s="6"/>
      <c r="F454" s="6"/>
      <c r="G454" s="18"/>
      <c r="I454" s="16"/>
      <c r="J454" s="9"/>
      <c r="K454" s="10"/>
      <c r="L454" s="6"/>
      <c r="M454" s="11"/>
      <c r="N454" s="6"/>
      <c r="O454" s="6"/>
      <c r="P454" s="10"/>
      <c r="Q454" s="6"/>
      <c r="R454" s="6"/>
      <c r="S454" s="6"/>
      <c r="T454" s="6"/>
      <c r="U454" s="9"/>
      <c r="AI454" s="6"/>
      <c r="AJ454" s="12"/>
      <c r="AL454" s="13"/>
    </row>
    <row r="455">
      <c r="A455" s="5"/>
      <c r="B455" s="5"/>
      <c r="C455" s="5"/>
      <c r="D455" s="5"/>
      <c r="E455" s="6"/>
      <c r="F455" s="6"/>
      <c r="G455" s="18"/>
      <c r="I455" s="16"/>
      <c r="J455" s="9"/>
      <c r="K455" s="10"/>
      <c r="L455" s="6"/>
      <c r="M455" s="11"/>
      <c r="N455" s="6"/>
      <c r="O455" s="6"/>
      <c r="P455" s="10"/>
      <c r="Q455" s="6"/>
      <c r="R455" s="6"/>
      <c r="S455" s="6"/>
      <c r="T455" s="6"/>
      <c r="U455" s="9"/>
      <c r="AI455" s="6"/>
      <c r="AJ455" s="12"/>
      <c r="AL455" s="13"/>
    </row>
    <row r="456">
      <c r="A456" s="5"/>
      <c r="B456" s="5"/>
      <c r="C456" s="5"/>
      <c r="D456" s="5"/>
      <c r="E456" s="6"/>
      <c r="F456" s="6"/>
      <c r="G456" s="18"/>
      <c r="I456" s="16"/>
      <c r="J456" s="9"/>
      <c r="K456" s="10"/>
      <c r="L456" s="6"/>
      <c r="M456" s="11"/>
      <c r="N456" s="6"/>
      <c r="O456" s="6"/>
      <c r="P456" s="10"/>
      <c r="Q456" s="6"/>
      <c r="R456" s="6"/>
      <c r="S456" s="6"/>
      <c r="T456" s="6"/>
      <c r="U456" s="9"/>
      <c r="AI456" s="6"/>
      <c r="AJ456" s="12"/>
      <c r="AL456" s="13"/>
    </row>
    <row r="457">
      <c r="A457" s="5"/>
      <c r="B457" s="5"/>
      <c r="C457" s="5"/>
      <c r="D457" s="5"/>
      <c r="E457" s="6"/>
      <c r="F457" s="6"/>
      <c r="G457" s="18"/>
      <c r="I457" s="16"/>
      <c r="J457" s="9"/>
      <c r="K457" s="10"/>
      <c r="L457" s="6"/>
      <c r="M457" s="11"/>
      <c r="N457" s="6"/>
      <c r="O457" s="6"/>
      <c r="P457" s="10"/>
      <c r="Q457" s="6"/>
      <c r="R457" s="6"/>
      <c r="S457" s="6"/>
      <c r="T457" s="6"/>
      <c r="U457" s="9"/>
      <c r="AI457" s="6"/>
      <c r="AJ457" s="12"/>
      <c r="AL457" s="13"/>
    </row>
    <row r="458">
      <c r="A458" s="5"/>
      <c r="B458" s="5"/>
      <c r="C458" s="5"/>
      <c r="D458" s="5"/>
      <c r="E458" s="6"/>
      <c r="F458" s="6"/>
      <c r="G458" s="18"/>
      <c r="I458" s="16"/>
      <c r="J458" s="9"/>
      <c r="K458" s="10"/>
      <c r="L458" s="6"/>
      <c r="M458" s="11"/>
      <c r="N458" s="6"/>
      <c r="O458" s="6"/>
      <c r="P458" s="10"/>
      <c r="Q458" s="6"/>
      <c r="R458" s="6"/>
      <c r="S458" s="6"/>
      <c r="T458" s="6"/>
      <c r="U458" s="9"/>
      <c r="AI458" s="6"/>
      <c r="AJ458" s="12"/>
      <c r="AL458" s="13"/>
    </row>
    <row r="459">
      <c r="A459" s="5"/>
      <c r="B459" s="5"/>
      <c r="C459" s="5"/>
      <c r="D459" s="5"/>
      <c r="E459" s="6"/>
      <c r="F459" s="6"/>
      <c r="G459" s="18"/>
      <c r="I459" s="16"/>
      <c r="J459" s="9"/>
      <c r="K459" s="10"/>
      <c r="L459" s="6"/>
      <c r="M459" s="11"/>
      <c r="N459" s="6"/>
      <c r="O459" s="6"/>
      <c r="P459" s="10"/>
      <c r="Q459" s="6"/>
      <c r="R459" s="6"/>
      <c r="S459" s="6"/>
      <c r="T459" s="6"/>
      <c r="U459" s="9"/>
      <c r="AI459" s="6"/>
      <c r="AJ459" s="12"/>
      <c r="AL459" s="13"/>
    </row>
    <row r="460">
      <c r="A460" s="5"/>
      <c r="B460" s="5"/>
      <c r="C460" s="5"/>
      <c r="D460" s="5"/>
      <c r="E460" s="6"/>
      <c r="F460" s="6"/>
      <c r="G460" s="18"/>
      <c r="I460" s="16"/>
      <c r="J460" s="9"/>
      <c r="K460" s="10"/>
      <c r="L460" s="6"/>
      <c r="M460" s="11"/>
      <c r="N460" s="6"/>
      <c r="O460" s="6"/>
      <c r="P460" s="10"/>
      <c r="Q460" s="6"/>
      <c r="R460" s="6"/>
      <c r="S460" s="6"/>
      <c r="T460" s="6"/>
      <c r="U460" s="9"/>
      <c r="AI460" s="6"/>
      <c r="AJ460" s="12"/>
      <c r="AL460" s="13"/>
    </row>
    <row r="461">
      <c r="A461" s="5"/>
      <c r="B461" s="5"/>
      <c r="C461" s="5"/>
      <c r="D461" s="5"/>
      <c r="E461" s="6"/>
      <c r="F461" s="6"/>
      <c r="G461" s="18"/>
      <c r="I461" s="16"/>
      <c r="J461" s="9"/>
      <c r="K461" s="10"/>
      <c r="L461" s="6"/>
      <c r="M461" s="11"/>
      <c r="N461" s="6"/>
      <c r="O461" s="6"/>
      <c r="P461" s="10"/>
      <c r="Q461" s="6"/>
      <c r="R461" s="6"/>
      <c r="S461" s="6"/>
      <c r="T461" s="6"/>
      <c r="U461" s="9"/>
      <c r="AI461" s="6"/>
      <c r="AJ461" s="12"/>
      <c r="AL461" s="13"/>
    </row>
    <row r="462">
      <c r="A462" s="5"/>
      <c r="B462" s="5"/>
      <c r="C462" s="5"/>
      <c r="D462" s="5"/>
      <c r="E462" s="6"/>
      <c r="F462" s="6"/>
      <c r="G462" s="18"/>
      <c r="I462" s="16"/>
      <c r="J462" s="9"/>
      <c r="K462" s="10"/>
      <c r="L462" s="6"/>
      <c r="M462" s="11"/>
      <c r="N462" s="6"/>
      <c r="O462" s="6"/>
      <c r="P462" s="10"/>
      <c r="Q462" s="6"/>
      <c r="R462" s="6"/>
      <c r="S462" s="6"/>
      <c r="T462" s="6"/>
      <c r="U462" s="9"/>
      <c r="AI462" s="6"/>
      <c r="AJ462" s="12"/>
      <c r="AL462" s="13"/>
    </row>
    <row r="463">
      <c r="A463" s="5"/>
      <c r="B463" s="5"/>
      <c r="C463" s="5"/>
      <c r="D463" s="5"/>
      <c r="E463" s="6"/>
      <c r="F463" s="6"/>
      <c r="G463" s="18"/>
      <c r="I463" s="16"/>
      <c r="J463" s="9"/>
      <c r="K463" s="10"/>
      <c r="L463" s="6"/>
      <c r="M463" s="11"/>
      <c r="N463" s="6"/>
      <c r="O463" s="6"/>
      <c r="P463" s="10"/>
      <c r="Q463" s="6"/>
      <c r="R463" s="6"/>
      <c r="S463" s="6"/>
      <c r="T463" s="6"/>
      <c r="U463" s="9"/>
      <c r="AI463" s="6"/>
      <c r="AJ463" s="12"/>
      <c r="AL463" s="13"/>
    </row>
    <row r="464">
      <c r="A464" s="5"/>
      <c r="B464" s="5"/>
      <c r="C464" s="5"/>
      <c r="D464" s="5"/>
      <c r="E464" s="6"/>
      <c r="F464" s="6"/>
      <c r="G464" s="18"/>
      <c r="I464" s="16"/>
      <c r="J464" s="9"/>
      <c r="K464" s="10"/>
      <c r="L464" s="6"/>
      <c r="M464" s="11"/>
      <c r="N464" s="6"/>
      <c r="O464" s="6"/>
      <c r="P464" s="10"/>
      <c r="Q464" s="6"/>
      <c r="R464" s="6"/>
      <c r="S464" s="6"/>
      <c r="T464" s="6"/>
      <c r="U464" s="9"/>
      <c r="AI464" s="6"/>
      <c r="AJ464" s="12"/>
      <c r="AL464" s="13"/>
    </row>
    <row r="465">
      <c r="A465" s="5"/>
      <c r="B465" s="5"/>
      <c r="C465" s="5"/>
      <c r="D465" s="5"/>
      <c r="E465" s="6"/>
      <c r="F465" s="6"/>
      <c r="G465" s="18"/>
      <c r="I465" s="16"/>
      <c r="J465" s="9"/>
      <c r="K465" s="10"/>
      <c r="L465" s="6"/>
      <c r="M465" s="11"/>
      <c r="N465" s="6"/>
      <c r="O465" s="6"/>
      <c r="P465" s="10"/>
      <c r="Q465" s="6"/>
      <c r="R465" s="6"/>
      <c r="S465" s="6"/>
      <c r="T465" s="6"/>
      <c r="U465" s="9"/>
      <c r="AI465" s="6"/>
      <c r="AJ465" s="12"/>
      <c r="AL465" s="13"/>
    </row>
    <row r="466">
      <c r="A466" s="5"/>
      <c r="B466" s="5"/>
      <c r="C466" s="5"/>
      <c r="D466" s="5"/>
      <c r="E466" s="6"/>
      <c r="F466" s="6"/>
      <c r="G466" s="18"/>
      <c r="I466" s="16"/>
      <c r="J466" s="9"/>
      <c r="K466" s="10"/>
      <c r="L466" s="6"/>
      <c r="M466" s="11"/>
      <c r="N466" s="6"/>
      <c r="O466" s="6"/>
      <c r="P466" s="10"/>
      <c r="Q466" s="6"/>
      <c r="R466" s="6"/>
      <c r="S466" s="6"/>
      <c r="T466" s="6"/>
      <c r="U466" s="9"/>
      <c r="AI466" s="6"/>
      <c r="AJ466" s="12"/>
      <c r="AL466" s="13"/>
    </row>
    <row r="467">
      <c r="A467" s="5"/>
      <c r="B467" s="5"/>
      <c r="C467" s="5"/>
      <c r="D467" s="5"/>
      <c r="E467" s="6"/>
      <c r="F467" s="6"/>
      <c r="G467" s="18"/>
      <c r="I467" s="16"/>
      <c r="J467" s="9"/>
      <c r="K467" s="10"/>
      <c r="L467" s="6"/>
      <c r="M467" s="11"/>
      <c r="N467" s="6"/>
      <c r="O467" s="6"/>
      <c r="P467" s="10"/>
      <c r="Q467" s="6"/>
      <c r="R467" s="6"/>
      <c r="S467" s="6"/>
      <c r="T467" s="6"/>
      <c r="U467" s="9"/>
      <c r="AI467" s="6"/>
      <c r="AJ467" s="12"/>
      <c r="AL467" s="13"/>
    </row>
    <row r="468">
      <c r="A468" s="5"/>
      <c r="B468" s="5"/>
      <c r="C468" s="5"/>
      <c r="D468" s="5"/>
      <c r="E468" s="6"/>
      <c r="F468" s="6"/>
      <c r="G468" s="18"/>
      <c r="I468" s="16"/>
      <c r="J468" s="9"/>
      <c r="K468" s="10"/>
      <c r="L468" s="6"/>
      <c r="M468" s="11"/>
      <c r="N468" s="6"/>
      <c r="O468" s="6"/>
      <c r="P468" s="10"/>
      <c r="Q468" s="6"/>
      <c r="R468" s="6"/>
      <c r="S468" s="6"/>
      <c r="T468" s="6"/>
      <c r="U468" s="9"/>
      <c r="AI468" s="6"/>
      <c r="AJ468" s="12"/>
      <c r="AL468" s="13"/>
    </row>
    <row r="469">
      <c r="A469" s="5"/>
      <c r="B469" s="5"/>
      <c r="C469" s="5"/>
      <c r="D469" s="5"/>
      <c r="E469" s="6"/>
      <c r="F469" s="6"/>
      <c r="G469" s="18"/>
      <c r="I469" s="16"/>
      <c r="J469" s="9"/>
      <c r="K469" s="10"/>
      <c r="L469" s="6"/>
      <c r="M469" s="11"/>
      <c r="N469" s="6"/>
      <c r="O469" s="6"/>
      <c r="P469" s="10"/>
      <c r="Q469" s="6"/>
      <c r="R469" s="6"/>
      <c r="S469" s="6"/>
      <c r="T469" s="6"/>
      <c r="U469" s="9"/>
      <c r="AI469" s="6"/>
      <c r="AJ469" s="12"/>
      <c r="AL469" s="13"/>
    </row>
    <row r="470">
      <c r="A470" s="5"/>
      <c r="B470" s="5"/>
      <c r="C470" s="5"/>
      <c r="D470" s="5"/>
      <c r="E470" s="6"/>
      <c r="F470" s="6"/>
      <c r="G470" s="18"/>
      <c r="I470" s="16"/>
      <c r="J470" s="9"/>
      <c r="K470" s="10"/>
      <c r="L470" s="6"/>
      <c r="M470" s="11"/>
      <c r="N470" s="6"/>
      <c r="O470" s="6"/>
      <c r="P470" s="10"/>
      <c r="Q470" s="6"/>
      <c r="R470" s="6"/>
      <c r="S470" s="6"/>
      <c r="T470" s="6"/>
      <c r="U470" s="9"/>
      <c r="AI470" s="6"/>
      <c r="AJ470" s="12"/>
      <c r="AL470" s="13"/>
    </row>
    <row r="471">
      <c r="A471" s="5"/>
      <c r="B471" s="5"/>
      <c r="C471" s="5"/>
      <c r="D471" s="5"/>
      <c r="E471" s="6"/>
      <c r="F471" s="6"/>
      <c r="G471" s="18"/>
      <c r="I471" s="16"/>
      <c r="J471" s="9"/>
      <c r="K471" s="10"/>
      <c r="L471" s="6"/>
      <c r="M471" s="11"/>
      <c r="N471" s="6"/>
      <c r="O471" s="6"/>
      <c r="P471" s="10"/>
      <c r="Q471" s="6"/>
      <c r="R471" s="6"/>
      <c r="S471" s="6"/>
      <c r="T471" s="6"/>
      <c r="U471" s="9"/>
      <c r="AI471" s="6"/>
      <c r="AJ471" s="12"/>
      <c r="AL471" s="13"/>
    </row>
    <row r="472">
      <c r="A472" s="5"/>
      <c r="B472" s="5"/>
      <c r="C472" s="5"/>
      <c r="D472" s="5"/>
      <c r="E472" s="6"/>
      <c r="F472" s="6"/>
      <c r="G472" s="18"/>
      <c r="I472" s="16"/>
      <c r="J472" s="9"/>
      <c r="K472" s="10"/>
      <c r="L472" s="6"/>
      <c r="M472" s="11"/>
      <c r="N472" s="6"/>
      <c r="O472" s="6"/>
      <c r="P472" s="10"/>
      <c r="Q472" s="6"/>
      <c r="R472" s="6"/>
      <c r="S472" s="6"/>
      <c r="T472" s="6"/>
      <c r="U472" s="9"/>
      <c r="AI472" s="6"/>
      <c r="AJ472" s="12"/>
      <c r="AL472" s="13"/>
    </row>
    <row r="473">
      <c r="A473" s="5"/>
      <c r="B473" s="5"/>
      <c r="C473" s="5"/>
      <c r="D473" s="5"/>
      <c r="E473" s="6"/>
      <c r="F473" s="6"/>
      <c r="G473" s="18"/>
      <c r="I473" s="16"/>
      <c r="J473" s="9"/>
      <c r="K473" s="10"/>
      <c r="L473" s="6"/>
      <c r="M473" s="11"/>
      <c r="N473" s="6"/>
      <c r="O473" s="6"/>
      <c r="P473" s="10"/>
      <c r="Q473" s="6"/>
      <c r="R473" s="6"/>
      <c r="S473" s="6"/>
      <c r="T473" s="6"/>
      <c r="U473" s="9"/>
      <c r="AI473" s="6"/>
      <c r="AJ473" s="12"/>
      <c r="AL473" s="13"/>
    </row>
    <row r="474">
      <c r="A474" s="5"/>
      <c r="B474" s="5"/>
      <c r="C474" s="5"/>
      <c r="D474" s="5"/>
      <c r="E474" s="6"/>
      <c r="F474" s="6"/>
      <c r="G474" s="18"/>
      <c r="I474" s="16"/>
      <c r="J474" s="9"/>
      <c r="K474" s="10"/>
      <c r="L474" s="6"/>
      <c r="M474" s="11"/>
      <c r="N474" s="6"/>
      <c r="O474" s="6"/>
      <c r="P474" s="10"/>
      <c r="Q474" s="6"/>
      <c r="R474" s="6"/>
      <c r="S474" s="6"/>
      <c r="T474" s="6"/>
      <c r="U474" s="9"/>
      <c r="AI474" s="6"/>
      <c r="AJ474" s="12"/>
      <c r="AL474" s="13"/>
    </row>
    <row r="475">
      <c r="A475" s="5"/>
      <c r="B475" s="5"/>
      <c r="C475" s="5"/>
      <c r="D475" s="5"/>
      <c r="E475" s="6"/>
      <c r="F475" s="6"/>
      <c r="G475" s="18"/>
      <c r="I475" s="16"/>
      <c r="J475" s="9"/>
      <c r="K475" s="10"/>
      <c r="L475" s="6"/>
      <c r="M475" s="11"/>
      <c r="N475" s="6"/>
      <c r="O475" s="6"/>
      <c r="P475" s="10"/>
      <c r="Q475" s="6"/>
      <c r="R475" s="6"/>
      <c r="S475" s="6"/>
      <c r="T475" s="6"/>
      <c r="U475" s="9"/>
      <c r="AI475" s="6"/>
      <c r="AJ475" s="12"/>
      <c r="AL475" s="13"/>
    </row>
    <row r="476">
      <c r="A476" s="5"/>
      <c r="B476" s="5"/>
      <c r="C476" s="5"/>
      <c r="D476" s="5"/>
      <c r="E476" s="6"/>
      <c r="F476" s="6"/>
      <c r="G476" s="18"/>
      <c r="I476" s="16"/>
      <c r="J476" s="9"/>
      <c r="K476" s="10"/>
      <c r="L476" s="6"/>
      <c r="M476" s="11"/>
      <c r="N476" s="6"/>
      <c r="O476" s="6"/>
      <c r="P476" s="10"/>
      <c r="Q476" s="6"/>
      <c r="R476" s="6"/>
      <c r="S476" s="6"/>
      <c r="T476" s="6"/>
      <c r="U476" s="9"/>
      <c r="AI476" s="6"/>
      <c r="AJ476" s="12"/>
      <c r="AL476" s="13"/>
    </row>
    <row r="477">
      <c r="A477" s="5"/>
      <c r="B477" s="5"/>
      <c r="C477" s="5"/>
      <c r="D477" s="5"/>
      <c r="E477" s="6"/>
      <c r="F477" s="6"/>
      <c r="G477" s="18"/>
      <c r="I477" s="16"/>
      <c r="J477" s="9"/>
      <c r="K477" s="10"/>
      <c r="L477" s="6"/>
      <c r="M477" s="11"/>
      <c r="N477" s="6"/>
      <c r="O477" s="6"/>
      <c r="P477" s="10"/>
      <c r="Q477" s="6"/>
      <c r="R477" s="6"/>
      <c r="S477" s="6"/>
      <c r="T477" s="6"/>
      <c r="U477" s="9"/>
      <c r="AI477" s="6"/>
      <c r="AJ477" s="12"/>
      <c r="AL477" s="13"/>
    </row>
    <row r="478">
      <c r="A478" s="5"/>
      <c r="B478" s="5"/>
      <c r="C478" s="5"/>
      <c r="D478" s="5"/>
      <c r="E478" s="6"/>
      <c r="F478" s="6"/>
      <c r="G478" s="18"/>
      <c r="I478" s="16"/>
      <c r="J478" s="9"/>
      <c r="K478" s="10"/>
      <c r="L478" s="6"/>
      <c r="M478" s="11"/>
      <c r="N478" s="6"/>
      <c r="O478" s="6"/>
      <c r="P478" s="10"/>
      <c r="Q478" s="6"/>
      <c r="R478" s="6"/>
      <c r="S478" s="6"/>
      <c r="T478" s="6"/>
      <c r="U478" s="9"/>
      <c r="AI478" s="6"/>
      <c r="AJ478" s="12"/>
      <c r="AL478" s="13"/>
    </row>
    <row r="479">
      <c r="A479" s="5"/>
      <c r="B479" s="5"/>
      <c r="C479" s="5"/>
      <c r="D479" s="5"/>
      <c r="E479" s="6"/>
      <c r="F479" s="6"/>
      <c r="G479" s="18"/>
      <c r="I479" s="16"/>
      <c r="J479" s="9"/>
      <c r="K479" s="10"/>
      <c r="L479" s="6"/>
      <c r="M479" s="11"/>
      <c r="N479" s="6"/>
      <c r="O479" s="6"/>
      <c r="P479" s="10"/>
      <c r="Q479" s="6"/>
      <c r="R479" s="6"/>
      <c r="S479" s="6"/>
      <c r="T479" s="6"/>
      <c r="U479" s="9"/>
      <c r="AI479" s="6"/>
      <c r="AJ479" s="12"/>
      <c r="AL479" s="13"/>
    </row>
    <row r="480">
      <c r="A480" s="5"/>
      <c r="B480" s="5"/>
      <c r="C480" s="5"/>
      <c r="D480" s="5"/>
      <c r="E480" s="6"/>
      <c r="F480" s="6"/>
      <c r="G480" s="18"/>
      <c r="I480" s="16"/>
      <c r="J480" s="9"/>
      <c r="K480" s="10"/>
      <c r="L480" s="6"/>
      <c r="M480" s="11"/>
      <c r="N480" s="6"/>
      <c r="O480" s="6"/>
      <c r="P480" s="10"/>
      <c r="Q480" s="6"/>
      <c r="R480" s="6"/>
      <c r="S480" s="6"/>
      <c r="T480" s="6"/>
      <c r="U480" s="9"/>
      <c r="AI480" s="6"/>
      <c r="AJ480" s="12"/>
      <c r="AL480" s="13"/>
    </row>
    <row r="481">
      <c r="A481" s="5"/>
      <c r="B481" s="5"/>
      <c r="C481" s="5"/>
      <c r="D481" s="5"/>
      <c r="E481" s="6"/>
      <c r="F481" s="6"/>
      <c r="G481" s="18"/>
      <c r="I481" s="16"/>
      <c r="J481" s="9"/>
      <c r="K481" s="10"/>
      <c r="L481" s="6"/>
      <c r="M481" s="11"/>
      <c r="N481" s="6"/>
      <c r="O481" s="6"/>
      <c r="P481" s="10"/>
      <c r="Q481" s="6"/>
      <c r="R481" s="6"/>
      <c r="S481" s="6"/>
      <c r="T481" s="6"/>
      <c r="U481" s="9"/>
      <c r="AI481" s="6"/>
      <c r="AJ481" s="12"/>
      <c r="AL481" s="13"/>
    </row>
    <row r="482">
      <c r="A482" s="5"/>
      <c r="B482" s="5"/>
      <c r="C482" s="5"/>
      <c r="D482" s="5"/>
      <c r="E482" s="6"/>
      <c r="F482" s="6"/>
      <c r="G482" s="18"/>
      <c r="I482" s="16"/>
      <c r="J482" s="9"/>
      <c r="K482" s="10"/>
      <c r="L482" s="6"/>
      <c r="M482" s="11"/>
      <c r="N482" s="6"/>
      <c r="O482" s="6"/>
      <c r="P482" s="10"/>
      <c r="Q482" s="6"/>
      <c r="R482" s="6"/>
      <c r="S482" s="6"/>
      <c r="T482" s="6"/>
      <c r="U482" s="9"/>
      <c r="AI482" s="6"/>
      <c r="AJ482" s="12"/>
      <c r="AL482" s="13"/>
    </row>
    <row r="483">
      <c r="A483" s="5"/>
      <c r="B483" s="5"/>
      <c r="C483" s="5"/>
      <c r="D483" s="5"/>
      <c r="E483" s="6"/>
      <c r="F483" s="6"/>
      <c r="G483" s="18"/>
      <c r="I483" s="16"/>
      <c r="J483" s="9"/>
      <c r="K483" s="10"/>
      <c r="L483" s="6"/>
      <c r="M483" s="11"/>
      <c r="N483" s="6"/>
      <c r="O483" s="6"/>
      <c r="P483" s="10"/>
      <c r="Q483" s="6"/>
      <c r="R483" s="6"/>
      <c r="S483" s="6"/>
      <c r="T483" s="6"/>
      <c r="U483" s="9"/>
      <c r="AI483" s="6"/>
      <c r="AJ483" s="12"/>
      <c r="AL483" s="13"/>
    </row>
    <row r="484">
      <c r="A484" s="5"/>
      <c r="B484" s="5"/>
      <c r="C484" s="5"/>
      <c r="D484" s="5"/>
      <c r="E484" s="6"/>
      <c r="F484" s="6"/>
      <c r="G484" s="18"/>
      <c r="I484" s="16"/>
      <c r="J484" s="9"/>
      <c r="K484" s="10"/>
      <c r="L484" s="6"/>
      <c r="M484" s="11"/>
      <c r="N484" s="6"/>
      <c r="O484" s="6"/>
      <c r="P484" s="10"/>
      <c r="Q484" s="6"/>
      <c r="R484" s="6"/>
      <c r="S484" s="6"/>
      <c r="T484" s="6"/>
      <c r="U484" s="9"/>
      <c r="AI484" s="6"/>
      <c r="AJ484" s="12"/>
      <c r="AL484" s="13"/>
    </row>
    <row r="485">
      <c r="A485" s="5"/>
      <c r="B485" s="5"/>
      <c r="C485" s="5"/>
      <c r="D485" s="5"/>
      <c r="E485" s="6"/>
      <c r="F485" s="6"/>
      <c r="G485" s="18"/>
      <c r="I485" s="16"/>
      <c r="J485" s="9"/>
      <c r="K485" s="10"/>
      <c r="L485" s="6"/>
      <c r="M485" s="11"/>
      <c r="N485" s="6"/>
      <c r="O485" s="6"/>
      <c r="P485" s="10"/>
      <c r="Q485" s="6"/>
      <c r="R485" s="6"/>
      <c r="S485" s="6"/>
      <c r="T485" s="6"/>
      <c r="U485" s="9"/>
      <c r="AI485" s="6"/>
      <c r="AJ485" s="12"/>
      <c r="AL485" s="13"/>
    </row>
    <row r="486">
      <c r="A486" s="5"/>
      <c r="B486" s="5"/>
      <c r="C486" s="5"/>
      <c r="D486" s="5"/>
      <c r="E486" s="6"/>
      <c r="F486" s="6"/>
      <c r="G486" s="18"/>
      <c r="I486" s="16"/>
      <c r="J486" s="9"/>
      <c r="K486" s="10"/>
      <c r="L486" s="6"/>
      <c r="M486" s="11"/>
      <c r="N486" s="6"/>
      <c r="O486" s="6"/>
      <c r="P486" s="10"/>
      <c r="Q486" s="6"/>
      <c r="R486" s="6"/>
      <c r="S486" s="6"/>
      <c r="T486" s="6"/>
      <c r="U486" s="9"/>
      <c r="AI486" s="6"/>
      <c r="AJ486" s="12"/>
      <c r="AL486" s="13"/>
    </row>
    <row r="487">
      <c r="A487" s="5"/>
      <c r="B487" s="5"/>
      <c r="C487" s="5"/>
      <c r="D487" s="5"/>
      <c r="E487" s="6"/>
      <c r="F487" s="6"/>
      <c r="G487" s="18"/>
      <c r="I487" s="16"/>
      <c r="J487" s="9"/>
      <c r="K487" s="10"/>
      <c r="L487" s="6"/>
      <c r="M487" s="11"/>
      <c r="N487" s="6"/>
      <c r="O487" s="6"/>
      <c r="P487" s="10"/>
      <c r="Q487" s="6"/>
      <c r="R487" s="6"/>
      <c r="S487" s="6"/>
      <c r="T487" s="6"/>
      <c r="U487" s="9"/>
      <c r="AI487" s="6"/>
      <c r="AJ487" s="12"/>
      <c r="AL487" s="13"/>
    </row>
    <row r="488">
      <c r="A488" s="5"/>
      <c r="B488" s="5"/>
      <c r="C488" s="5"/>
      <c r="D488" s="5"/>
      <c r="E488" s="6"/>
      <c r="F488" s="6"/>
      <c r="G488" s="18"/>
      <c r="I488" s="16"/>
      <c r="J488" s="9"/>
      <c r="K488" s="10"/>
      <c r="L488" s="6"/>
      <c r="M488" s="11"/>
      <c r="N488" s="6"/>
      <c r="O488" s="6"/>
      <c r="P488" s="10"/>
      <c r="Q488" s="6"/>
      <c r="R488" s="6"/>
      <c r="S488" s="6"/>
      <c r="T488" s="6"/>
      <c r="U488" s="9"/>
      <c r="AI488" s="6"/>
      <c r="AJ488" s="12"/>
      <c r="AL488" s="13"/>
    </row>
    <row r="489">
      <c r="A489" s="5"/>
      <c r="B489" s="5"/>
      <c r="C489" s="5"/>
      <c r="D489" s="5"/>
      <c r="E489" s="6"/>
      <c r="F489" s="6"/>
      <c r="G489" s="18"/>
      <c r="I489" s="16"/>
      <c r="J489" s="9"/>
      <c r="K489" s="10"/>
      <c r="L489" s="6"/>
      <c r="M489" s="11"/>
      <c r="N489" s="6"/>
      <c r="O489" s="6"/>
      <c r="P489" s="10"/>
      <c r="Q489" s="6"/>
      <c r="R489" s="6"/>
      <c r="S489" s="6"/>
      <c r="T489" s="6"/>
      <c r="U489" s="9"/>
      <c r="AI489" s="6"/>
      <c r="AJ489" s="12"/>
      <c r="AL489" s="13"/>
    </row>
    <row r="490">
      <c r="A490" s="5"/>
      <c r="B490" s="5"/>
      <c r="C490" s="5"/>
      <c r="D490" s="5"/>
      <c r="E490" s="6"/>
      <c r="F490" s="6"/>
      <c r="G490" s="18"/>
      <c r="I490" s="16"/>
      <c r="J490" s="9"/>
      <c r="K490" s="10"/>
      <c r="L490" s="6"/>
      <c r="M490" s="11"/>
      <c r="N490" s="6"/>
      <c r="O490" s="6"/>
      <c r="P490" s="10"/>
      <c r="Q490" s="6"/>
      <c r="R490" s="6"/>
      <c r="S490" s="6"/>
      <c r="T490" s="6"/>
      <c r="U490" s="9"/>
      <c r="AI490" s="6"/>
      <c r="AJ490" s="12"/>
      <c r="AL490" s="13"/>
    </row>
    <row r="491">
      <c r="A491" s="5"/>
      <c r="B491" s="5"/>
      <c r="C491" s="5"/>
      <c r="D491" s="5"/>
      <c r="E491" s="6"/>
      <c r="F491" s="6"/>
      <c r="G491" s="18"/>
      <c r="I491" s="16"/>
      <c r="J491" s="9"/>
      <c r="K491" s="10"/>
      <c r="L491" s="6"/>
      <c r="M491" s="11"/>
      <c r="N491" s="6"/>
      <c r="O491" s="6"/>
      <c r="P491" s="10"/>
      <c r="Q491" s="6"/>
      <c r="R491" s="6"/>
      <c r="S491" s="6"/>
      <c r="T491" s="6"/>
      <c r="U491" s="9"/>
      <c r="AI491" s="6"/>
      <c r="AJ491" s="12"/>
      <c r="AL491" s="13"/>
    </row>
    <row r="492">
      <c r="A492" s="5"/>
      <c r="B492" s="5"/>
      <c r="C492" s="5"/>
      <c r="D492" s="5"/>
      <c r="E492" s="6"/>
      <c r="F492" s="6"/>
      <c r="G492" s="18"/>
      <c r="I492" s="16"/>
      <c r="J492" s="9"/>
      <c r="K492" s="10"/>
      <c r="L492" s="6"/>
      <c r="M492" s="11"/>
      <c r="N492" s="6"/>
      <c r="O492" s="6"/>
      <c r="P492" s="10"/>
      <c r="Q492" s="6"/>
      <c r="R492" s="6"/>
      <c r="S492" s="6"/>
      <c r="T492" s="6"/>
      <c r="U492" s="9"/>
      <c r="AI492" s="6"/>
      <c r="AJ492" s="12"/>
      <c r="AL492" s="13"/>
    </row>
    <row r="493">
      <c r="A493" s="5"/>
      <c r="B493" s="5"/>
      <c r="C493" s="5"/>
      <c r="D493" s="5"/>
      <c r="E493" s="6"/>
      <c r="F493" s="6"/>
      <c r="G493" s="18"/>
      <c r="I493" s="16"/>
      <c r="J493" s="9"/>
      <c r="K493" s="10"/>
      <c r="L493" s="6"/>
      <c r="M493" s="11"/>
      <c r="N493" s="6"/>
      <c r="O493" s="6"/>
      <c r="P493" s="10"/>
      <c r="Q493" s="6"/>
      <c r="R493" s="6"/>
      <c r="S493" s="6"/>
      <c r="T493" s="6"/>
      <c r="U493" s="9"/>
      <c r="AI493" s="6"/>
      <c r="AJ493" s="12"/>
      <c r="AL493" s="13"/>
    </row>
    <row r="494">
      <c r="A494" s="5"/>
      <c r="B494" s="5"/>
      <c r="C494" s="5"/>
      <c r="D494" s="5"/>
      <c r="E494" s="6"/>
      <c r="F494" s="6"/>
      <c r="G494" s="18"/>
      <c r="I494" s="16"/>
      <c r="J494" s="9"/>
      <c r="K494" s="10"/>
      <c r="L494" s="6"/>
      <c r="M494" s="11"/>
      <c r="N494" s="6"/>
      <c r="O494" s="6"/>
      <c r="P494" s="10"/>
      <c r="Q494" s="6"/>
      <c r="R494" s="6"/>
      <c r="S494" s="6"/>
      <c r="T494" s="6"/>
      <c r="U494" s="9"/>
      <c r="AI494" s="6"/>
      <c r="AJ494" s="12"/>
      <c r="AL494" s="13"/>
    </row>
    <row r="495">
      <c r="A495" s="5"/>
      <c r="B495" s="5"/>
      <c r="C495" s="5"/>
      <c r="D495" s="5"/>
      <c r="E495" s="6"/>
      <c r="F495" s="6"/>
      <c r="G495" s="18"/>
      <c r="I495" s="16"/>
      <c r="J495" s="9"/>
      <c r="K495" s="10"/>
      <c r="L495" s="6"/>
      <c r="M495" s="11"/>
      <c r="N495" s="6"/>
      <c r="O495" s="6"/>
      <c r="P495" s="10"/>
      <c r="Q495" s="6"/>
      <c r="R495" s="6"/>
      <c r="S495" s="6"/>
      <c r="T495" s="6"/>
      <c r="U495" s="9"/>
      <c r="AI495" s="6"/>
      <c r="AJ495" s="12"/>
      <c r="AL495" s="13"/>
    </row>
    <row r="496">
      <c r="A496" s="5"/>
      <c r="B496" s="5"/>
      <c r="C496" s="5"/>
      <c r="D496" s="5"/>
      <c r="E496" s="6"/>
      <c r="F496" s="6"/>
      <c r="G496" s="18"/>
      <c r="I496" s="16"/>
      <c r="J496" s="9"/>
      <c r="K496" s="10"/>
      <c r="L496" s="6"/>
      <c r="M496" s="11"/>
      <c r="N496" s="6"/>
      <c r="O496" s="6"/>
      <c r="P496" s="10"/>
      <c r="Q496" s="6"/>
      <c r="R496" s="6"/>
      <c r="S496" s="6"/>
      <c r="T496" s="6"/>
      <c r="U496" s="9"/>
      <c r="AI496" s="6"/>
      <c r="AJ496" s="12"/>
      <c r="AL496" s="13"/>
    </row>
    <row r="497">
      <c r="A497" s="5"/>
      <c r="B497" s="5"/>
      <c r="C497" s="5"/>
      <c r="D497" s="5"/>
      <c r="E497" s="6"/>
      <c r="F497" s="6"/>
      <c r="G497" s="18"/>
      <c r="I497" s="16"/>
      <c r="J497" s="9"/>
      <c r="K497" s="10"/>
      <c r="L497" s="6"/>
      <c r="M497" s="11"/>
      <c r="N497" s="6"/>
      <c r="O497" s="6"/>
      <c r="P497" s="10"/>
      <c r="Q497" s="6"/>
      <c r="R497" s="6"/>
      <c r="S497" s="6"/>
      <c r="T497" s="6"/>
      <c r="U497" s="9"/>
      <c r="AI497" s="6"/>
      <c r="AJ497" s="12"/>
      <c r="AL497" s="13"/>
    </row>
    <row r="498">
      <c r="A498" s="5"/>
      <c r="B498" s="5"/>
      <c r="C498" s="5"/>
      <c r="D498" s="5"/>
      <c r="E498" s="6"/>
      <c r="F498" s="6"/>
      <c r="G498" s="18"/>
      <c r="I498" s="16"/>
      <c r="J498" s="9"/>
      <c r="K498" s="10"/>
      <c r="L498" s="6"/>
      <c r="M498" s="11"/>
      <c r="N498" s="6"/>
      <c r="O498" s="6"/>
      <c r="P498" s="10"/>
      <c r="Q498" s="6"/>
      <c r="R498" s="6"/>
      <c r="S498" s="6"/>
      <c r="T498" s="6"/>
      <c r="U498" s="9"/>
      <c r="AI498" s="6"/>
      <c r="AJ498" s="12"/>
      <c r="AL498" s="13"/>
    </row>
    <row r="499">
      <c r="A499" s="5"/>
      <c r="B499" s="5"/>
      <c r="C499" s="5"/>
      <c r="D499" s="5"/>
      <c r="E499" s="6"/>
      <c r="F499" s="6"/>
      <c r="G499" s="18"/>
      <c r="I499" s="16"/>
      <c r="J499" s="9"/>
      <c r="K499" s="10"/>
      <c r="L499" s="6"/>
      <c r="M499" s="11"/>
      <c r="N499" s="6"/>
      <c r="O499" s="6"/>
      <c r="P499" s="10"/>
      <c r="Q499" s="6"/>
      <c r="R499" s="6"/>
      <c r="S499" s="6"/>
      <c r="T499" s="6"/>
      <c r="U499" s="9"/>
      <c r="AI499" s="6"/>
      <c r="AJ499" s="12"/>
      <c r="AL499" s="13"/>
    </row>
    <row r="500">
      <c r="A500" s="5"/>
      <c r="B500" s="5"/>
      <c r="C500" s="5"/>
      <c r="D500" s="5"/>
      <c r="E500" s="6"/>
      <c r="F500" s="6"/>
      <c r="G500" s="18"/>
      <c r="I500" s="16"/>
      <c r="J500" s="9"/>
      <c r="K500" s="10"/>
      <c r="L500" s="6"/>
      <c r="M500" s="11"/>
      <c r="N500" s="6"/>
      <c r="O500" s="6"/>
      <c r="P500" s="10"/>
      <c r="Q500" s="6"/>
      <c r="R500" s="6"/>
      <c r="S500" s="6"/>
      <c r="T500" s="6"/>
      <c r="U500" s="9"/>
      <c r="AI500" s="6"/>
      <c r="AJ500" s="12"/>
      <c r="AL500" s="13"/>
    </row>
    <row r="501">
      <c r="A501" s="5"/>
      <c r="B501" s="5"/>
      <c r="C501" s="5"/>
      <c r="D501" s="5"/>
      <c r="E501" s="6"/>
      <c r="F501" s="6"/>
      <c r="G501" s="18"/>
      <c r="I501" s="16"/>
      <c r="J501" s="9"/>
      <c r="K501" s="10"/>
      <c r="L501" s="6"/>
      <c r="M501" s="11"/>
      <c r="N501" s="6"/>
      <c r="O501" s="6"/>
      <c r="P501" s="10"/>
      <c r="Q501" s="6"/>
      <c r="R501" s="6"/>
      <c r="S501" s="6"/>
      <c r="T501" s="6"/>
      <c r="U501" s="9"/>
      <c r="AI501" s="6"/>
      <c r="AJ501" s="12"/>
      <c r="AL501" s="13"/>
    </row>
    <row r="502">
      <c r="A502" s="5"/>
      <c r="B502" s="5"/>
      <c r="C502" s="5"/>
      <c r="D502" s="5"/>
      <c r="E502" s="6"/>
      <c r="F502" s="6"/>
      <c r="G502" s="18"/>
      <c r="I502" s="16"/>
      <c r="J502" s="9"/>
      <c r="K502" s="10"/>
      <c r="L502" s="6"/>
      <c r="M502" s="11"/>
      <c r="N502" s="6"/>
      <c r="O502" s="6"/>
      <c r="P502" s="10"/>
      <c r="Q502" s="6"/>
      <c r="R502" s="6"/>
      <c r="S502" s="6"/>
      <c r="T502" s="6"/>
      <c r="U502" s="9"/>
      <c r="AI502" s="6"/>
      <c r="AJ502" s="12"/>
      <c r="AL502" s="13"/>
    </row>
    <row r="503">
      <c r="A503" s="5"/>
      <c r="B503" s="5"/>
      <c r="C503" s="5"/>
      <c r="D503" s="5"/>
      <c r="E503" s="6"/>
      <c r="F503" s="6"/>
      <c r="G503" s="18"/>
      <c r="I503" s="16"/>
      <c r="J503" s="9"/>
      <c r="K503" s="10"/>
      <c r="L503" s="6"/>
      <c r="M503" s="11"/>
      <c r="N503" s="6"/>
      <c r="O503" s="6"/>
      <c r="P503" s="10"/>
      <c r="Q503" s="6"/>
      <c r="R503" s="6"/>
      <c r="S503" s="6"/>
      <c r="T503" s="6"/>
      <c r="U503" s="9"/>
      <c r="AI503" s="6"/>
      <c r="AJ503" s="12"/>
      <c r="AL503" s="13"/>
    </row>
    <row r="504">
      <c r="A504" s="5"/>
      <c r="B504" s="5"/>
      <c r="C504" s="5"/>
      <c r="D504" s="5"/>
      <c r="E504" s="6"/>
      <c r="F504" s="6"/>
      <c r="G504" s="18"/>
      <c r="I504" s="16"/>
      <c r="J504" s="9"/>
      <c r="K504" s="10"/>
      <c r="L504" s="6"/>
      <c r="M504" s="11"/>
      <c r="N504" s="6"/>
      <c r="O504" s="6"/>
      <c r="P504" s="10"/>
      <c r="Q504" s="6"/>
      <c r="R504" s="6"/>
      <c r="S504" s="6"/>
      <c r="T504" s="6"/>
      <c r="U504" s="9"/>
      <c r="AI504" s="6"/>
      <c r="AJ504" s="12"/>
      <c r="AL504" s="13"/>
    </row>
    <row r="505">
      <c r="A505" s="5"/>
      <c r="B505" s="5"/>
      <c r="C505" s="5"/>
      <c r="D505" s="5"/>
      <c r="E505" s="6"/>
      <c r="F505" s="6"/>
      <c r="G505" s="18"/>
      <c r="I505" s="16"/>
      <c r="J505" s="9"/>
      <c r="K505" s="10"/>
      <c r="L505" s="6"/>
      <c r="M505" s="11"/>
      <c r="N505" s="6"/>
      <c r="O505" s="6"/>
      <c r="P505" s="10"/>
      <c r="Q505" s="6"/>
      <c r="R505" s="6"/>
      <c r="S505" s="6"/>
      <c r="T505" s="6"/>
      <c r="U505" s="9"/>
      <c r="AI505" s="6"/>
      <c r="AJ505" s="12"/>
      <c r="AL505" s="13"/>
    </row>
    <row r="506">
      <c r="A506" s="5"/>
      <c r="B506" s="5"/>
      <c r="C506" s="5"/>
      <c r="D506" s="5"/>
      <c r="E506" s="6"/>
      <c r="F506" s="6"/>
      <c r="G506" s="18"/>
      <c r="I506" s="16"/>
      <c r="J506" s="9"/>
      <c r="K506" s="10"/>
      <c r="L506" s="6"/>
      <c r="M506" s="11"/>
      <c r="N506" s="6"/>
      <c r="O506" s="6"/>
      <c r="P506" s="10"/>
      <c r="Q506" s="6"/>
      <c r="R506" s="6"/>
      <c r="S506" s="6"/>
      <c r="T506" s="6"/>
      <c r="U506" s="9"/>
      <c r="AI506" s="6"/>
      <c r="AJ506" s="12"/>
      <c r="AL506" s="13"/>
    </row>
    <row r="507">
      <c r="A507" s="5"/>
      <c r="B507" s="5"/>
      <c r="C507" s="5"/>
      <c r="D507" s="5"/>
      <c r="E507" s="6"/>
      <c r="F507" s="6"/>
      <c r="G507" s="18"/>
      <c r="I507" s="16"/>
      <c r="J507" s="9"/>
      <c r="K507" s="10"/>
      <c r="L507" s="6"/>
      <c r="M507" s="11"/>
      <c r="N507" s="6"/>
      <c r="O507" s="6"/>
      <c r="P507" s="10"/>
      <c r="Q507" s="6"/>
      <c r="R507" s="6"/>
      <c r="S507" s="6"/>
      <c r="T507" s="6"/>
      <c r="U507" s="9"/>
      <c r="AI507" s="6"/>
      <c r="AJ507" s="12"/>
      <c r="AL507" s="13"/>
    </row>
    <row r="508">
      <c r="A508" s="5"/>
      <c r="B508" s="5"/>
      <c r="C508" s="5"/>
      <c r="D508" s="5"/>
      <c r="E508" s="6"/>
      <c r="F508" s="6"/>
      <c r="G508" s="18"/>
      <c r="I508" s="16"/>
      <c r="J508" s="9"/>
      <c r="K508" s="10"/>
      <c r="L508" s="6"/>
      <c r="M508" s="11"/>
      <c r="N508" s="6"/>
      <c r="O508" s="6"/>
      <c r="P508" s="10"/>
      <c r="Q508" s="6"/>
      <c r="R508" s="6"/>
      <c r="S508" s="6"/>
      <c r="T508" s="6"/>
      <c r="U508" s="9"/>
      <c r="AI508" s="6"/>
      <c r="AJ508" s="12"/>
      <c r="AL508" s="13"/>
    </row>
    <row r="509">
      <c r="A509" s="5"/>
      <c r="B509" s="5"/>
      <c r="C509" s="5"/>
      <c r="D509" s="5"/>
      <c r="E509" s="6"/>
      <c r="F509" s="6"/>
      <c r="G509" s="18"/>
      <c r="I509" s="16"/>
      <c r="J509" s="9"/>
      <c r="K509" s="10"/>
      <c r="L509" s="6"/>
      <c r="M509" s="11"/>
      <c r="N509" s="6"/>
      <c r="O509" s="6"/>
      <c r="P509" s="10"/>
      <c r="Q509" s="6"/>
      <c r="R509" s="6"/>
      <c r="S509" s="6"/>
      <c r="T509" s="6"/>
      <c r="U509" s="9"/>
      <c r="AI509" s="6"/>
      <c r="AJ509" s="12"/>
      <c r="AL509" s="13"/>
    </row>
    <row r="510">
      <c r="A510" s="5"/>
      <c r="B510" s="5"/>
      <c r="C510" s="5"/>
      <c r="D510" s="5"/>
      <c r="E510" s="6"/>
      <c r="F510" s="6"/>
      <c r="G510" s="18"/>
      <c r="I510" s="16"/>
      <c r="J510" s="9"/>
      <c r="K510" s="10"/>
      <c r="L510" s="6"/>
      <c r="M510" s="11"/>
      <c r="N510" s="6"/>
      <c r="O510" s="6"/>
      <c r="P510" s="10"/>
      <c r="Q510" s="6"/>
      <c r="R510" s="6"/>
      <c r="S510" s="6"/>
      <c r="T510" s="6"/>
      <c r="U510" s="9"/>
      <c r="AI510" s="6"/>
      <c r="AJ510" s="12"/>
      <c r="AL510" s="13"/>
    </row>
    <row r="511">
      <c r="A511" s="5"/>
      <c r="B511" s="5"/>
      <c r="C511" s="5"/>
      <c r="D511" s="5"/>
      <c r="E511" s="6"/>
      <c r="F511" s="6"/>
      <c r="G511" s="18"/>
      <c r="I511" s="16"/>
      <c r="J511" s="9"/>
      <c r="K511" s="10"/>
      <c r="L511" s="6"/>
      <c r="M511" s="11"/>
      <c r="N511" s="6"/>
      <c r="O511" s="6"/>
      <c r="P511" s="10"/>
      <c r="Q511" s="6"/>
      <c r="R511" s="6"/>
      <c r="S511" s="6"/>
      <c r="T511" s="6"/>
      <c r="U511" s="9"/>
      <c r="AI511" s="6"/>
      <c r="AJ511" s="12"/>
      <c r="AL511" s="13"/>
    </row>
    <row r="512">
      <c r="A512" s="5"/>
      <c r="B512" s="5"/>
      <c r="C512" s="5"/>
      <c r="D512" s="5"/>
      <c r="E512" s="6"/>
      <c r="F512" s="6"/>
      <c r="G512" s="18"/>
      <c r="I512" s="16"/>
      <c r="J512" s="9"/>
      <c r="K512" s="10"/>
      <c r="L512" s="6"/>
      <c r="M512" s="11"/>
      <c r="N512" s="6"/>
      <c r="O512" s="6"/>
      <c r="P512" s="10"/>
      <c r="Q512" s="6"/>
      <c r="R512" s="6"/>
      <c r="S512" s="6"/>
      <c r="T512" s="6"/>
      <c r="U512" s="9"/>
      <c r="AI512" s="6"/>
      <c r="AJ512" s="12"/>
      <c r="AL512" s="13"/>
    </row>
    <row r="513">
      <c r="A513" s="5"/>
      <c r="B513" s="5"/>
      <c r="C513" s="5"/>
      <c r="D513" s="5"/>
      <c r="E513" s="6"/>
      <c r="F513" s="6"/>
      <c r="G513" s="18"/>
      <c r="I513" s="16"/>
      <c r="J513" s="9"/>
      <c r="K513" s="10"/>
      <c r="L513" s="6"/>
      <c r="M513" s="11"/>
      <c r="N513" s="6"/>
      <c r="O513" s="6"/>
      <c r="P513" s="10"/>
      <c r="Q513" s="6"/>
      <c r="R513" s="6"/>
      <c r="S513" s="6"/>
      <c r="T513" s="6"/>
      <c r="U513" s="9"/>
      <c r="AI513" s="6"/>
      <c r="AJ513" s="12"/>
      <c r="AL513" s="13"/>
    </row>
    <row r="514">
      <c r="A514" s="5"/>
      <c r="B514" s="5"/>
      <c r="C514" s="5"/>
      <c r="D514" s="5"/>
      <c r="E514" s="6"/>
      <c r="F514" s="6"/>
      <c r="G514" s="18"/>
      <c r="I514" s="16"/>
      <c r="J514" s="9"/>
      <c r="K514" s="10"/>
      <c r="L514" s="6"/>
      <c r="M514" s="11"/>
      <c r="N514" s="6"/>
      <c r="O514" s="6"/>
      <c r="P514" s="10"/>
      <c r="Q514" s="6"/>
      <c r="R514" s="6"/>
      <c r="S514" s="6"/>
      <c r="T514" s="6"/>
      <c r="U514" s="9"/>
      <c r="AI514" s="6"/>
      <c r="AJ514" s="12"/>
      <c r="AL514" s="13"/>
    </row>
    <row r="515">
      <c r="A515" s="5"/>
      <c r="B515" s="5"/>
      <c r="C515" s="5"/>
      <c r="D515" s="5"/>
      <c r="E515" s="6"/>
      <c r="F515" s="6"/>
      <c r="G515" s="18"/>
      <c r="I515" s="16"/>
      <c r="J515" s="9"/>
      <c r="K515" s="10"/>
      <c r="L515" s="6"/>
      <c r="M515" s="11"/>
      <c r="N515" s="6"/>
      <c r="O515" s="6"/>
      <c r="P515" s="10"/>
      <c r="Q515" s="6"/>
      <c r="R515" s="6"/>
      <c r="S515" s="6"/>
      <c r="T515" s="6"/>
      <c r="U515" s="9"/>
      <c r="AI515" s="6"/>
      <c r="AJ515" s="12"/>
      <c r="AL515" s="13"/>
    </row>
    <row r="516">
      <c r="A516" s="5"/>
      <c r="B516" s="5"/>
      <c r="C516" s="5"/>
      <c r="D516" s="5"/>
      <c r="E516" s="6"/>
      <c r="F516" s="6"/>
      <c r="G516" s="18"/>
      <c r="I516" s="16"/>
      <c r="J516" s="9"/>
      <c r="K516" s="10"/>
      <c r="L516" s="6"/>
      <c r="M516" s="11"/>
      <c r="N516" s="6"/>
      <c r="O516" s="6"/>
      <c r="P516" s="10"/>
      <c r="Q516" s="6"/>
      <c r="R516" s="6"/>
      <c r="S516" s="6"/>
      <c r="T516" s="6"/>
      <c r="U516" s="9"/>
      <c r="AI516" s="6"/>
      <c r="AJ516" s="12"/>
      <c r="AL516" s="13"/>
    </row>
    <row r="517">
      <c r="A517" s="5"/>
      <c r="B517" s="5"/>
      <c r="C517" s="5"/>
      <c r="D517" s="5"/>
      <c r="E517" s="6"/>
      <c r="F517" s="6"/>
      <c r="G517" s="18"/>
      <c r="I517" s="16"/>
      <c r="J517" s="9"/>
      <c r="K517" s="10"/>
      <c r="L517" s="6"/>
      <c r="M517" s="11"/>
      <c r="N517" s="6"/>
      <c r="O517" s="6"/>
      <c r="P517" s="10"/>
      <c r="Q517" s="6"/>
      <c r="R517" s="6"/>
      <c r="S517" s="6"/>
      <c r="T517" s="6"/>
      <c r="U517" s="9"/>
      <c r="AI517" s="6"/>
      <c r="AJ517" s="12"/>
      <c r="AL517" s="13"/>
    </row>
    <row r="518">
      <c r="A518" s="5"/>
      <c r="B518" s="5"/>
      <c r="C518" s="5"/>
      <c r="D518" s="5"/>
      <c r="E518" s="6"/>
      <c r="F518" s="6"/>
      <c r="G518" s="18"/>
      <c r="I518" s="16"/>
      <c r="J518" s="9"/>
      <c r="K518" s="10"/>
      <c r="L518" s="6"/>
      <c r="M518" s="11"/>
      <c r="N518" s="6"/>
      <c r="O518" s="6"/>
      <c r="P518" s="10"/>
      <c r="Q518" s="6"/>
      <c r="R518" s="6"/>
      <c r="S518" s="6"/>
      <c r="T518" s="6"/>
      <c r="U518" s="9"/>
      <c r="AI518" s="6"/>
      <c r="AJ518" s="12"/>
      <c r="AL518" s="13"/>
    </row>
    <row r="519">
      <c r="A519" s="5"/>
      <c r="B519" s="5"/>
      <c r="C519" s="5"/>
      <c r="D519" s="5"/>
      <c r="E519" s="6"/>
      <c r="F519" s="6"/>
      <c r="G519" s="18"/>
      <c r="I519" s="16"/>
      <c r="J519" s="9"/>
      <c r="K519" s="10"/>
      <c r="L519" s="6"/>
      <c r="M519" s="11"/>
      <c r="N519" s="6"/>
      <c r="O519" s="6"/>
      <c r="P519" s="10"/>
      <c r="Q519" s="6"/>
      <c r="R519" s="6"/>
      <c r="S519" s="6"/>
      <c r="T519" s="6"/>
      <c r="U519" s="9"/>
      <c r="AI519" s="6"/>
      <c r="AJ519" s="12"/>
      <c r="AL519" s="13"/>
    </row>
    <row r="520">
      <c r="A520" s="5"/>
      <c r="B520" s="5"/>
      <c r="C520" s="5"/>
      <c r="D520" s="5"/>
      <c r="E520" s="6"/>
      <c r="F520" s="6"/>
      <c r="G520" s="18"/>
      <c r="I520" s="16"/>
      <c r="J520" s="9"/>
      <c r="K520" s="10"/>
      <c r="L520" s="6"/>
      <c r="M520" s="11"/>
      <c r="N520" s="6"/>
      <c r="O520" s="6"/>
      <c r="P520" s="10"/>
      <c r="Q520" s="6"/>
      <c r="R520" s="6"/>
      <c r="S520" s="6"/>
      <c r="T520" s="6"/>
      <c r="U520" s="9"/>
      <c r="AI520" s="6"/>
      <c r="AJ520" s="12"/>
      <c r="AL520" s="13"/>
    </row>
    <row r="521">
      <c r="A521" s="5"/>
      <c r="B521" s="5"/>
      <c r="C521" s="5"/>
      <c r="D521" s="5"/>
      <c r="E521" s="6"/>
      <c r="F521" s="6"/>
      <c r="G521" s="18"/>
      <c r="I521" s="16"/>
      <c r="J521" s="9"/>
      <c r="K521" s="10"/>
      <c r="L521" s="6"/>
      <c r="M521" s="11"/>
      <c r="N521" s="6"/>
      <c r="O521" s="6"/>
      <c r="P521" s="10"/>
      <c r="Q521" s="6"/>
      <c r="R521" s="6"/>
      <c r="S521" s="6"/>
      <c r="T521" s="6"/>
      <c r="U521" s="9"/>
      <c r="AI521" s="6"/>
      <c r="AJ521" s="12"/>
      <c r="AL521" s="13"/>
    </row>
    <row r="522">
      <c r="A522" s="5"/>
      <c r="B522" s="5"/>
      <c r="C522" s="5"/>
      <c r="D522" s="5"/>
      <c r="E522" s="6"/>
      <c r="F522" s="6"/>
      <c r="G522" s="18"/>
      <c r="I522" s="16"/>
      <c r="J522" s="9"/>
      <c r="K522" s="10"/>
      <c r="L522" s="6"/>
      <c r="M522" s="11"/>
      <c r="N522" s="6"/>
      <c r="O522" s="6"/>
      <c r="P522" s="10"/>
      <c r="Q522" s="6"/>
      <c r="R522" s="6"/>
      <c r="S522" s="6"/>
      <c r="T522" s="6"/>
      <c r="U522" s="9"/>
      <c r="AI522" s="6"/>
      <c r="AJ522" s="12"/>
      <c r="AL522" s="13"/>
    </row>
    <row r="523">
      <c r="A523" s="5"/>
      <c r="B523" s="5"/>
      <c r="C523" s="5"/>
      <c r="D523" s="5"/>
      <c r="E523" s="6"/>
      <c r="F523" s="6"/>
      <c r="G523" s="18"/>
      <c r="I523" s="16"/>
      <c r="J523" s="9"/>
      <c r="K523" s="10"/>
      <c r="L523" s="6"/>
      <c r="M523" s="11"/>
      <c r="N523" s="6"/>
      <c r="O523" s="6"/>
      <c r="P523" s="10"/>
      <c r="Q523" s="6"/>
      <c r="R523" s="6"/>
      <c r="S523" s="6"/>
      <c r="T523" s="6"/>
      <c r="U523" s="9"/>
      <c r="AI523" s="6"/>
      <c r="AJ523" s="12"/>
      <c r="AL523" s="13"/>
    </row>
    <row r="524">
      <c r="A524" s="5"/>
      <c r="B524" s="5"/>
      <c r="C524" s="5"/>
      <c r="D524" s="5"/>
      <c r="E524" s="6"/>
      <c r="F524" s="6"/>
      <c r="G524" s="18"/>
      <c r="I524" s="16"/>
      <c r="J524" s="9"/>
      <c r="K524" s="10"/>
      <c r="L524" s="6"/>
      <c r="M524" s="11"/>
      <c r="N524" s="6"/>
      <c r="O524" s="6"/>
      <c r="P524" s="10"/>
      <c r="Q524" s="6"/>
      <c r="R524" s="6"/>
      <c r="S524" s="6"/>
      <c r="T524" s="6"/>
      <c r="U524" s="9"/>
      <c r="AI524" s="6"/>
      <c r="AJ524" s="12"/>
      <c r="AL524" s="13"/>
    </row>
    <row r="525">
      <c r="A525" s="5"/>
      <c r="B525" s="5"/>
      <c r="C525" s="5"/>
      <c r="D525" s="5"/>
      <c r="E525" s="6"/>
      <c r="F525" s="6"/>
      <c r="G525" s="18"/>
      <c r="I525" s="16"/>
      <c r="J525" s="9"/>
      <c r="K525" s="10"/>
      <c r="L525" s="6"/>
      <c r="M525" s="11"/>
      <c r="N525" s="6"/>
      <c r="O525" s="6"/>
      <c r="P525" s="10"/>
      <c r="Q525" s="6"/>
      <c r="R525" s="6"/>
      <c r="S525" s="6"/>
      <c r="T525" s="6"/>
      <c r="U525" s="9"/>
      <c r="AI525" s="6"/>
      <c r="AJ525" s="12"/>
      <c r="AL525" s="13"/>
    </row>
    <row r="526">
      <c r="A526" s="5"/>
      <c r="B526" s="5"/>
      <c r="C526" s="5"/>
      <c r="D526" s="5"/>
      <c r="E526" s="6"/>
      <c r="F526" s="6"/>
      <c r="G526" s="18"/>
      <c r="I526" s="16"/>
      <c r="J526" s="9"/>
      <c r="K526" s="10"/>
      <c r="L526" s="6"/>
      <c r="M526" s="11"/>
      <c r="N526" s="6"/>
      <c r="O526" s="6"/>
      <c r="P526" s="10"/>
      <c r="Q526" s="6"/>
      <c r="R526" s="6"/>
      <c r="S526" s="6"/>
      <c r="T526" s="6"/>
      <c r="U526" s="9"/>
      <c r="AI526" s="6"/>
      <c r="AJ526" s="12"/>
      <c r="AL526" s="13"/>
    </row>
    <row r="527">
      <c r="A527" s="5"/>
      <c r="B527" s="5"/>
      <c r="C527" s="5"/>
      <c r="D527" s="5"/>
      <c r="E527" s="6"/>
      <c r="F527" s="6"/>
      <c r="G527" s="18"/>
      <c r="I527" s="16"/>
      <c r="J527" s="9"/>
      <c r="K527" s="10"/>
      <c r="L527" s="6"/>
      <c r="M527" s="11"/>
      <c r="N527" s="6"/>
      <c r="O527" s="6"/>
      <c r="P527" s="10"/>
      <c r="Q527" s="6"/>
      <c r="R527" s="6"/>
      <c r="S527" s="6"/>
      <c r="T527" s="6"/>
      <c r="U527" s="9"/>
      <c r="AI527" s="6"/>
      <c r="AJ527" s="12"/>
      <c r="AL527" s="13"/>
    </row>
    <row r="528">
      <c r="A528" s="5"/>
      <c r="B528" s="5"/>
      <c r="C528" s="5"/>
      <c r="D528" s="5"/>
      <c r="E528" s="6"/>
      <c r="F528" s="6"/>
      <c r="G528" s="18"/>
      <c r="I528" s="16"/>
      <c r="J528" s="9"/>
      <c r="K528" s="10"/>
      <c r="L528" s="6"/>
      <c r="M528" s="11"/>
      <c r="N528" s="6"/>
      <c r="O528" s="6"/>
      <c r="P528" s="10"/>
      <c r="Q528" s="6"/>
      <c r="R528" s="6"/>
      <c r="S528" s="6"/>
      <c r="T528" s="6"/>
      <c r="U528" s="9"/>
      <c r="AI528" s="6"/>
      <c r="AJ528" s="12"/>
      <c r="AL528" s="13"/>
    </row>
    <row r="529">
      <c r="A529" s="5"/>
      <c r="B529" s="5"/>
      <c r="C529" s="5"/>
      <c r="D529" s="17"/>
      <c r="E529" s="6"/>
      <c r="F529" s="6"/>
      <c r="G529" s="18"/>
      <c r="I529" s="16"/>
      <c r="J529" s="9"/>
      <c r="K529" s="10"/>
      <c r="L529" s="6"/>
      <c r="M529" s="11"/>
      <c r="N529" s="6"/>
      <c r="O529" s="6"/>
      <c r="P529" s="10"/>
      <c r="Q529" s="6"/>
      <c r="R529" s="6"/>
      <c r="S529" s="6"/>
      <c r="T529" s="6"/>
      <c r="U529" s="9"/>
      <c r="AI529" s="6"/>
      <c r="AJ529" s="12"/>
      <c r="AL529" s="13"/>
    </row>
    <row r="530">
      <c r="A530" s="5"/>
      <c r="B530" s="5"/>
      <c r="C530" s="5"/>
      <c r="D530" s="5"/>
      <c r="E530" s="6"/>
      <c r="F530" s="6"/>
      <c r="G530" s="18"/>
      <c r="I530" s="16"/>
      <c r="J530" s="9"/>
      <c r="K530" s="10"/>
      <c r="L530" s="6"/>
      <c r="M530" s="11"/>
      <c r="N530" s="6"/>
      <c r="O530" s="6"/>
      <c r="P530" s="10"/>
      <c r="Q530" s="6"/>
      <c r="R530" s="6"/>
      <c r="S530" s="6"/>
      <c r="T530" s="6"/>
      <c r="U530" s="9"/>
      <c r="AI530" s="6"/>
      <c r="AJ530" s="12"/>
      <c r="AL530" s="13"/>
    </row>
    <row r="531">
      <c r="A531" s="5"/>
      <c r="B531" s="5"/>
      <c r="C531" s="5"/>
      <c r="D531" s="5"/>
      <c r="E531" s="6"/>
      <c r="F531" s="6"/>
      <c r="G531" s="18"/>
      <c r="I531" s="16"/>
      <c r="J531" s="9"/>
      <c r="K531" s="10"/>
      <c r="L531" s="6"/>
      <c r="M531" s="11"/>
      <c r="N531" s="6"/>
      <c r="O531" s="6"/>
      <c r="P531" s="10"/>
      <c r="Q531" s="6"/>
      <c r="R531" s="6"/>
      <c r="S531" s="6"/>
      <c r="T531" s="6"/>
      <c r="U531" s="9"/>
      <c r="AI531" s="6"/>
      <c r="AJ531" s="12"/>
      <c r="AL531" s="13"/>
    </row>
    <row r="532">
      <c r="A532" s="5"/>
      <c r="B532" s="5"/>
      <c r="C532" s="5"/>
      <c r="D532" s="5"/>
      <c r="E532" s="6"/>
      <c r="F532" s="6"/>
      <c r="G532" s="18"/>
      <c r="I532" s="16"/>
      <c r="J532" s="9"/>
      <c r="K532" s="10"/>
      <c r="L532" s="6"/>
      <c r="M532" s="11"/>
      <c r="N532" s="6"/>
      <c r="O532" s="6"/>
      <c r="P532" s="10"/>
      <c r="Q532" s="6"/>
      <c r="R532" s="6"/>
      <c r="S532" s="6"/>
      <c r="T532" s="6"/>
      <c r="U532" s="9"/>
      <c r="AI532" s="6"/>
      <c r="AJ532" s="12"/>
      <c r="AL532" s="13"/>
    </row>
    <row r="533">
      <c r="A533" s="5"/>
      <c r="B533" s="5"/>
      <c r="C533" s="5"/>
      <c r="D533" s="5"/>
      <c r="E533" s="6"/>
      <c r="F533" s="6"/>
      <c r="G533" s="18"/>
      <c r="I533" s="16"/>
      <c r="J533" s="9"/>
      <c r="K533" s="10"/>
      <c r="L533" s="6"/>
      <c r="M533" s="11"/>
      <c r="N533" s="6"/>
      <c r="O533" s="6"/>
      <c r="P533" s="10"/>
      <c r="Q533" s="6"/>
      <c r="R533" s="6"/>
      <c r="S533" s="6"/>
      <c r="T533" s="6"/>
      <c r="U533" s="9"/>
      <c r="AI533" s="6"/>
      <c r="AJ533" s="12"/>
      <c r="AL533" s="13"/>
    </row>
    <row r="534">
      <c r="A534" s="5"/>
      <c r="B534" s="5"/>
      <c r="C534" s="5"/>
      <c r="D534" s="5"/>
      <c r="E534" s="6"/>
      <c r="F534" s="6"/>
      <c r="G534" s="18"/>
      <c r="I534" s="16"/>
      <c r="J534" s="9"/>
      <c r="K534" s="10"/>
      <c r="L534" s="6"/>
      <c r="M534" s="11"/>
      <c r="N534" s="6"/>
      <c r="O534" s="6"/>
      <c r="P534" s="10"/>
      <c r="Q534" s="6"/>
      <c r="R534" s="6"/>
      <c r="S534" s="6"/>
      <c r="T534" s="6"/>
      <c r="U534" s="9"/>
      <c r="AI534" s="6"/>
      <c r="AJ534" s="12"/>
      <c r="AL534" s="13"/>
    </row>
    <row r="535">
      <c r="A535" s="5"/>
      <c r="B535" s="5"/>
      <c r="C535" s="5"/>
      <c r="D535" s="5"/>
      <c r="E535" s="6"/>
      <c r="F535" s="6"/>
      <c r="G535" s="18"/>
      <c r="I535" s="16"/>
      <c r="J535" s="9"/>
      <c r="K535" s="10"/>
      <c r="L535" s="6"/>
      <c r="M535" s="11"/>
      <c r="N535" s="6"/>
      <c r="O535" s="6"/>
      <c r="P535" s="10"/>
      <c r="Q535" s="6"/>
      <c r="R535" s="6"/>
      <c r="S535" s="6"/>
      <c r="T535" s="6"/>
      <c r="U535" s="9"/>
      <c r="AI535" s="6"/>
      <c r="AJ535" s="12"/>
      <c r="AL535" s="13"/>
    </row>
    <row r="536">
      <c r="A536" s="5"/>
      <c r="B536" s="5"/>
      <c r="C536" s="5"/>
      <c r="D536" s="5"/>
      <c r="E536" s="6"/>
      <c r="F536" s="6"/>
      <c r="G536" s="18"/>
      <c r="I536" s="16"/>
      <c r="J536" s="9"/>
      <c r="K536" s="10"/>
      <c r="L536" s="6"/>
      <c r="M536" s="11"/>
      <c r="N536" s="6"/>
      <c r="O536" s="6"/>
      <c r="P536" s="10"/>
      <c r="Q536" s="6"/>
      <c r="R536" s="6"/>
      <c r="S536" s="6"/>
      <c r="T536" s="6"/>
      <c r="U536" s="9"/>
      <c r="AI536" s="6"/>
      <c r="AJ536" s="12"/>
      <c r="AL536" s="13"/>
    </row>
    <row r="537">
      <c r="A537" s="5"/>
      <c r="B537" s="5"/>
      <c r="C537" s="5"/>
      <c r="D537" s="5"/>
      <c r="E537" s="6"/>
      <c r="F537" s="6"/>
      <c r="G537" s="18"/>
      <c r="I537" s="16"/>
      <c r="J537" s="9"/>
      <c r="K537" s="10"/>
      <c r="L537" s="6"/>
      <c r="M537" s="11"/>
      <c r="N537" s="6"/>
      <c r="O537" s="6"/>
      <c r="P537" s="10"/>
      <c r="Q537" s="6"/>
      <c r="R537" s="6"/>
      <c r="S537" s="6"/>
      <c r="T537" s="6"/>
      <c r="U537" s="9"/>
      <c r="AI537" s="6"/>
      <c r="AJ537" s="12"/>
      <c r="AL537" s="13"/>
    </row>
    <row r="538">
      <c r="A538" s="5"/>
      <c r="B538" s="5"/>
      <c r="C538" s="5"/>
      <c r="D538" s="5"/>
      <c r="E538" s="6"/>
      <c r="F538" s="6"/>
      <c r="G538" s="18"/>
      <c r="I538" s="16"/>
      <c r="J538" s="9"/>
      <c r="K538" s="10"/>
      <c r="L538" s="6"/>
      <c r="M538" s="11"/>
      <c r="N538" s="6"/>
      <c r="O538" s="6"/>
      <c r="P538" s="10"/>
      <c r="Q538" s="6"/>
      <c r="R538" s="6"/>
      <c r="S538" s="6"/>
      <c r="T538" s="6"/>
      <c r="U538" s="9"/>
      <c r="AI538" s="6"/>
      <c r="AJ538" s="12"/>
      <c r="AL538" s="13"/>
    </row>
    <row r="539">
      <c r="A539" s="5"/>
      <c r="B539" s="5"/>
      <c r="C539" s="5"/>
      <c r="D539" s="5"/>
      <c r="E539" s="6"/>
      <c r="F539" s="6"/>
      <c r="G539" s="18"/>
      <c r="I539" s="16"/>
      <c r="J539" s="9"/>
      <c r="K539" s="10"/>
      <c r="L539" s="6"/>
      <c r="M539" s="11"/>
      <c r="N539" s="6"/>
      <c r="O539" s="6"/>
      <c r="P539" s="10"/>
      <c r="Q539" s="6"/>
      <c r="R539" s="6"/>
      <c r="S539" s="6"/>
      <c r="T539" s="6"/>
      <c r="U539" s="9"/>
      <c r="AI539" s="6"/>
      <c r="AJ539" s="12"/>
      <c r="AL539" s="13"/>
    </row>
    <row r="540">
      <c r="A540" s="5"/>
      <c r="B540" s="5"/>
      <c r="C540" s="5"/>
      <c r="D540" s="5"/>
      <c r="E540" s="6"/>
      <c r="F540" s="6"/>
      <c r="G540" s="18"/>
      <c r="I540" s="16"/>
      <c r="J540" s="9"/>
      <c r="K540" s="10"/>
      <c r="L540" s="6"/>
      <c r="M540" s="11"/>
      <c r="N540" s="6"/>
      <c r="O540" s="6"/>
      <c r="P540" s="10"/>
      <c r="Q540" s="6"/>
      <c r="R540" s="6"/>
      <c r="S540" s="6"/>
      <c r="T540" s="6"/>
      <c r="U540" s="9"/>
      <c r="AI540" s="6"/>
      <c r="AJ540" s="12"/>
      <c r="AL540" s="13"/>
    </row>
    <row r="541">
      <c r="A541" s="5"/>
      <c r="B541" s="5"/>
      <c r="C541" s="5"/>
      <c r="D541" s="5"/>
      <c r="E541" s="6"/>
      <c r="F541" s="6"/>
      <c r="G541" s="18"/>
      <c r="I541" s="16"/>
      <c r="J541" s="9"/>
      <c r="K541" s="10"/>
      <c r="L541" s="6"/>
      <c r="M541" s="11"/>
      <c r="N541" s="6"/>
      <c r="O541" s="6"/>
      <c r="P541" s="10"/>
      <c r="Q541" s="6"/>
      <c r="R541" s="6"/>
      <c r="S541" s="6"/>
      <c r="T541" s="6"/>
      <c r="U541" s="9"/>
      <c r="AI541" s="6"/>
      <c r="AJ541" s="12"/>
      <c r="AL541" s="13"/>
    </row>
    <row r="542">
      <c r="A542" s="5"/>
      <c r="B542" s="5"/>
      <c r="C542" s="5"/>
      <c r="D542" s="5"/>
      <c r="E542" s="6"/>
      <c r="F542" s="6"/>
      <c r="G542" s="18"/>
      <c r="I542" s="16"/>
      <c r="J542" s="9"/>
      <c r="K542" s="10"/>
      <c r="L542" s="6"/>
      <c r="M542" s="11"/>
      <c r="N542" s="6"/>
      <c r="O542" s="6"/>
      <c r="P542" s="10"/>
      <c r="Q542" s="6"/>
      <c r="R542" s="6"/>
      <c r="S542" s="6"/>
      <c r="T542" s="6"/>
      <c r="U542" s="9"/>
      <c r="AI542" s="6"/>
      <c r="AJ542" s="12"/>
      <c r="AL542" s="13"/>
    </row>
    <row r="543">
      <c r="A543" s="5"/>
      <c r="B543" s="5"/>
      <c r="C543" s="5"/>
      <c r="D543" s="5"/>
      <c r="E543" s="6"/>
      <c r="F543" s="6"/>
      <c r="G543" s="18"/>
      <c r="I543" s="16"/>
      <c r="J543" s="9"/>
      <c r="K543" s="10"/>
      <c r="L543" s="6"/>
      <c r="M543" s="11"/>
      <c r="N543" s="6"/>
      <c r="O543" s="6"/>
      <c r="P543" s="10"/>
      <c r="Q543" s="6"/>
      <c r="R543" s="6"/>
      <c r="S543" s="6"/>
      <c r="T543" s="6"/>
      <c r="U543" s="9"/>
      <c r="AI543" s="6"/>
      <c r="AJ543" s="12"/>
      <c r="AL543" s="13"/>
    </row>
    <row r="544">
      <c r="A544" s="5"/>
      <c r="B544" s="5"/>
      <c r="C544" s="5"/>
      <c r="D544" s="5"/>
      <c r="E544" s="6"/>
      <c r="F544" s="6"/>
      <c r="G544" s="18"/>
      <c r="I544" s="16"/>
      <c r="J544" s="9"/>
      <c r="K544" s="10"/>
      <c r="L544" s="6"/>
      <c r="M544" s="11"/>
      <c r="N544" s="6"/>
      <c r="O544" s="6"/>
      <c r="P544" s="10"/>
      <c r="Q544" s="6"/>
      <c r="R544" s="6"/>
      <c r="S544" s="6"/>
      <c r="T544" s="6"/>
      <c r="U544" s="9"/>
      <c r="AI544" s="6"/>
      <c r="AJ544" s="12"/>
      <c r="AL544" s="13"/>
    </row>
    <row r="545">
      <c r="A545" s="5"/>
      <c r="B545" s="5"/>
      <c r="C545" s="5"/>
      <c r="D545" s="5"/>
      <c r="E545" s="6"/>
      <c r="F545" s="6"/>
      <c r="G545" s="18"/>
      <c r="I545" s="16"/>
      <c r="J545" s="9"/>
      <c r="K545" s="10"/>
      <c r="L545" s="6"/>
      <c r="M545" s="11"/>
      <c r="N545" s="6"/>
      <c r="O545" s="6"/>
      <c r="P545" s="10"/>
      <c r="Q545" s="6"/>
      <c r="R545" s="6"/>
      <c r="S545" s="6"/>
      <c r="T545" s="6"/>
      <c r="U545" s="9"/>
      <c r="AI545" s="6"/>
      <c r="AJ545" s="12"/>
      <c r="AL545" s="13"/>
    </row>
    <row r="546">
      <c r="A546" s="5"/>
      <c r="B546" s="5"/>
      <c r="C546" s="5"/>
      <c r="D546" s="5"/>
      <c r="E546" s="6"/>
      <c r="F546" s="6"/>
      <c r="G546" s="18"/>
      <c r="I546" s="16"/>
      <c r="J546" s="9"/>
      <c r="K546" s="10"/>
      <c r="L546" s="6"/>
      <c r="M546" s="11"/>
      <c r="N546" s="6"/>
      <c r="O546" s="6"/>
      <c r="P546" s="10"/>
      <c r="Q546" s="6"/>
      <c r="R546" s="6"/>
      <c r="S546" s="6"/>
      <c r="T546" s="6"/>
      <c r="U546" s="9"/>
      <c r="AI546" s="6"/>
      <c r="AJ546" s="12"/>
      <c r="AL546" s="13"/>
    </row>
    <row r="547">
      <c r="A547" s="5"/>
      <c r="B547" s="5"/>
      <c r="C547" s="5"/>
      <c r="D547" s="5"/>
      <c r="E547" s="6"/>
      <c r="F547" s="6"/>
      <c r="G547" s="18"/>
      <c r="I547" s="16"/>
      <c r="J547" s="9"/>
      <c r="K547" s="10"/>
      <c r="L547" s="6"/>
      <c r="M547" s="11"/>
      <c r="N547" s="6"/>
      <c r="O547" s="6"/>
      <c r="P547" s="10"/>
      <c r="Q547" s="6"/>
      <c r="R547" s="6"/>
      <c r="S547" s="6"/>
      <c r="T547" s="6"/>
      <c r="U547" s="9"/>
      <c r="AI547" s="6"/>
      <c r="AJ547" s="12"/>
      <c r="AL547" s="13"/>
    </row>
    <row r="548">
      <c r="A548" s="5"/>
      <c r="B548" s="5"/>
      <c r="C548" s="5"/>
      <c r="D548" s="5"/>
      <c r="E548" s="6"/>
      <c r="F548" s="6"/>
      <c r="G548" s="18"/>
      <c r="I548" s="16"/>
      <c r="J548" s="9"/>
      <c r="K548" s="10"/>
      <c r="L548" s="6"/>
      <c r="M548" s="11"/>
      <c r="N548" s="6"/>
      <c r="O548" s="6"/>
      <c r="P548" s="10"/>
      <c r="Q548" s="6"/>
      <c r="R548" s="6"/>
      <c r="S548" s="6"/>
      <c r="T548" s="6"/>
      <c r="U548" s="9"/>
      <c r="AI548" s="6"/>
      <c r="AJ548" s="12"/>
      <c r="AL548" s="13"/>
    </row>
    <row r="549">
      <c r="A549" s="5"/>
      <c r="B549" s="5"/>
      <c r="C549" s="5"/>
      <c r="D549" s="5"/>
      <c r="E549" s="6"/>
      <c r="F549" s="6"/>
      <c r="G549" s="18"/>
      <c r="I549" s="16"/>
      <c r="J549" s="9"/>
      <c r="K549" s="10"/>
      <c r="L549" s="6"/>
      <c r="M549" s="11"/>
      <c r="N549" s="6"/>
      <c r="O549" s="6"/>
      <c r="P549" s="10"/>
      <c r="Q549" s="6"/>
      <c r="R549" s="6"/>
      <c r="S549" s="6"/>
      <c r="T549" s="6"/>
      <c r="U549" s="9"/>
      <c r="AI549" s="6"/>
      <c r="AJ549" s="12"/>
      <c r="AL549" s="13"/>
    </row>
    <row r="550">
      <c r="A550" s="5"/>
      <c r="B550" s="5"/>
      <c r="C550" s="5"/>
      <c r="D550" s="5"/>
      <c r="E550" s="6"/>
      <c r="F550" s="6"/>
      <c r="G550" s="18"/>
      <c r="I550" s="16"/>
      <c r="J550" s="9"/>
      <c r="K550" s="10"/>
      <c r="L550" s="6"/>
      <c r="M550" s="11"/>
      <c r="N550" s="6"/>
      <c r="O550" s="6"/>
      <c r="P550" s="10"/>
      <c r="Q550" s="6"/>
      <c r="R550" s="6"/>
      <c r="S550" s="6"/>
      <c r="T550" s="6"/>
      <c r="U550" s="9"/>
      <c r="AI550" s="6"/>
      <c r="AJ550" s="12"/>
      <c r="AL550" s="13"/>
    </row>
    <row r="551">
      <c r="A551" s="5"/>
      <c r="B551" s="5"/>
      <c r="C551" s="5"/>
      <c r="D551" s="5"/>
      <c r="E551" s="6"/>
      <c r="F551" s="6"/>
      <c r="G551" s="18"/>
      <c r="I551" s="16"/>
      <c r="J551" s="9"/>
      <c r="K551" s="10"/>
      <c r="L551" s="6"/>
      <c r="M551" s="11"/>
      <c r="N551" s="6"/>
      <c r="O551" s="6"/>
      <c r="P551" s="10"/>
      <c r="Q551" s="6"/>
      <c r="R551" s="6"/>
      <c r="S551" s="6"/>
      <c r="T551" s="6"/>
      <c r="U551" s="9"/>
      <c r="AI551" s="6"/>
      <c r="AJ551" s="12"/>
      <c r="AL551" s="13"/>
    </row>
    <row r="552">
      <c r="A552" s="5"/>
      <c r="B552" s="5"/>
      <c r="C552" s="5"/>
      <c r="D552" s="5"/>
      <c r="E552" s="6"/>
      <c r="F552" s="6"/>
      <c r="G552" s="18"/>
      <c r="I552" s="16"/>
      <c r="J552" s="9"/>
      <c r="K552" s="10"/>
      <c r="L552" s="6"/>
      <c r="M552" s="11"/>
      <c r="N552" s="6"/>
      <c r="O552" s="6"/>
      <c r="P552" s="10"/>
      <c r="Q552" s="6"/>
      <c r="R552" s="6"/>
      <c r="S552" s="6"/>
      <c r="T552" s="6"/>
      <c r="U552" s="9"/>
      <c r="AI552" s="6"/>
      <c r="AJ552" s="12"/>
      <c r="AL552" s="13"/>
    </row>
    <row r="553">
      <c r="A553" s="5"/>
      <c r="B553" s="5"/>
      <c r="C553" s="5"/>
      <c r="D553" s="5"/>
      <c r="E553" s="6"/>
      <c r="F553" s="6"/>
      <c r="G553" s="18"/>
      <c r="I553" s="16"/>
      <c r="J553" s="9"/>
      <c r="K553" s="10"/>
      <c r="L553" s="6"/>
      <c r="M553" s="11"/>
      <c r="N553" s="6"/>
      <c r="O553" s="6"/>
      <c r="P553" s="10"/>
      <c r="Q553" s="6"/>
      <c r="R553" s="6"/>
      <c r="S553" s="6"/>
      <c r="T553" s="6"/>
      <c r="U553" s="9"/>
      <c r="AI553" s="6"/>
      <c r="AJ553" s="12"/>
      <c r="AL553" s="13"/>
    </row>
    <row r="554">
      <c r="A554" s="5"/>
      <c r="B554" s="5"/>
      <c r="C554" s="5"/>
      <c r="D554" s="5"/>
      <c r="E554" s="6"/>
      <c r="F554" s="6"/>
      <c r="G554" s="18"/>
      <c r="I554" s="16"/>
      <c r="J554" s="9"/>
      <c r="K554" s="10"/>
      <c r="L554" s="6"/>
      <c r="M554" s="11"/>
      <c r="N554" s="6"/>
      <c r="O554" s="6"/>
      <c r="P554" s="10"/>
      <c r="Q554" s="6"/>
      <c r="R554" s="6"/>
      <c r="S554" s="6"/>
      <c r="T554" s="6"/>
      <c r="U554" s="9"/>
      <c r="AI554" s="6"/>
      <c r="AJ554" s="12"/>
      <c r="AL554" s="13"/>
    </row>
    <row r="555">
      <c r="A555" s="5"/>
      <c r="B555" s="5"/>
      <c r="C555" s="5"/>
      <c r="D555" s="5"/>
      <c r="E555" s="6"/>
      <c r="F555" s="6"/>
      <c r="G555" s="18"/>
      <c r="I555" s="16"/>
      <c r="J555" s="9"/>
      <c r="K555" s="10"/>
      <c r="L555" s="6"/>
      <c r="M555" s="11"/>
      <c r="N555" s="6"/>
      <c r="O555" s="6"/>
      <c r="P555" s="10"/>
      <c r="Q555" s="6"/>
      <c r="R555" s="6"/>
      <c r="S555" s="6"/>
      <c r="T555" s="6"/>
      <c r="U555" s="9"/>
      <c r="AI555" s="6"/>
      <c r="AJ555" s="12"/>
      <c r="AL555" s="13"/>
    </row>
    <row r="556">
      <c r="A556" s="5"/>
      <c r="B556" s="5"/>
      <c r="C556" s="5"/>
      <c r="D556" s="5"/>
      <c r="E556" s="6"/>
      <c r="F556" s="6"/>
      <c r="G556" s="18"/>
      <c r="I556" s="16"/>
      <c r="J556" s="9"/>
      <c r="K556" s="10"/>
      <c r="L556" s="6"/>
      <c r="M556" s="11"/>
      <c r="N556" s="6"/>
      <c r="O556" s="6"/>
      <c r="P556" s="10"/>
      <c r="Q556" s="6"/>
      <c r="R556" s="6"/>
      <c r="S556" s="6"/>
      <c r="T556" s="6"/>
      <c r="U556" s="9"/>
      <c r="AI556" s="6"/>
      <c r="AJ556" s="12"/>
      <c r="AL556" s="13"/>
    </row>
    <row r="557">
      <c r="A557" s="5"/>
      <c r="B557" s="5"/>
      <c r="C557" s="5"/>
      <c r="D557" s="5"/>
      <c r="E557" s="6"/>
      <c r="F557" s="6"/>
      <c r="G557" s="18"/>
      <c r="I557" s="16"/>
      <c r="J557" s="9"/>
      <c r="K557" s="10"/>
      <c r="L557" s="6"/>
      <c r="M557" s="11"/>
      <c r="N557" s="6"/>
      <c r="O557" s="6"/>
      <c r="P557" s="10"/>
      <c r="Q557" s="6"/>
      <c r="R557" s="6"/>
      <c r="S557" s="6"/>
      <c r="T557" s="6"/>
      <c r="U557" s="9"/>
      <c r="AI557" s="6"/>
      <c r="AJ557" s="12"/>
      <c r="AL557" s="13"/>
    </row>
    <row r="558">
      <c r="A558" s="5"/>
      <c r="B558" s="5"/>
      <c r="C558" s="5"/>
      <c r="D558" s="5"/>
      <c r="E558" s="6"/>
      <c r="F558" s="6"/>
      <c r="G558" s="18"/>
      <c r="I558" s="16"/>
      <c r="J558" s="9"/>
      <c r="K558" s="10"/>
      <c r="L558" s="6"/>
      <c r="M558" s="11"/>
      <c r="N558" s="6"/>
      <c r="O558" s="6"/>
      <c r="P558" s="10"/>
      <c r="Q558" s="6"/>
      <c r="R558" s="6"/>
      <c r="S558" s="6"/>
      <c r="T558" s="6"/>
      <c r="U558" s="9"/>
      <c r="AI558" s="6"/>
      <c r="AJ558" s="12"/>
      <c r="AL558" s="13"/>
    </row>
    <row r="559">
      <c r="A559" s="5"/>
      <c r="B559" s="5"/>
      <c r="C559" s="5"/>
      <c r="D559" s="5"/>
      <c r="E559" s="6"/>
      <c r="F559" s="6"/>
      <c r="G559" s="18"/>
      <c r="I559" s="16"/>
      <c r="J559" s="9"/>
      <c r="K559" s="10"/>
      <c r="L559" s="6"/>
      <c r="M559" s="11"/>
      <c r="N559" s="6"/>
      <c r="O559" s="6"/>
      <c r="P559" s="10"/>
      <c r="Q559" s="6"/>
      <c r="R559" s="6"/>
      <c r="S559" s="6"/>
      <c r="T559" s="6"/>
      <c r="U559" s="9"/>
      <c r="AI559" s="6"/>
      <c r="AJ559" s="12"/>
      <c r="AL559" s="13"/>
    </row>
    <row r="560">
      <c r="A560" s="5"/>
      <c r="B560" s="5"/>
      <c r="C560" s="5"/>
      <c r="D560" s="5"/>
      <c r="E560" s="6"/>
      <c r="F560" s="6"/>
      <c r="G560" s="18"/>
      <c r="I560" s="16"/>
      <c r="J560" s="9"/>
      <c r="K560" s="10"/>
      <c r="L560" s="6"/>
      <c r="M560" s="11"/>
      <c r="N560" s="6"/>
      <c r="O560" s="6"/>
      <c r="P560" s="10"/>
      <c r="Q560" s="6"/>
      <c r="R560" s="6"/>
      <c r="S560" s="6"/>
      <c r="T560" s="6"/>
      <c r="U560" s="9"/>
      <c r="AI560" s="6"/>
      <c r="AJ560" s="12"/>
      <c r="AL560" s="13"/>
    </row>
    <row r="561">
      <c r="A561" s="5"/>
      <c r="B561" s="5"/>
      <c r="C561" s="5"/>
      <c r="D561" s="5"/>
      <c r="E561" s="6"/>
      <c r="F561" s="6"/>
      <c r="G561" s="18"/>
      <c r="I561" s="16"/>
      <c r="J561" s="9"/>
      <c r="K561" s="10"/>
      <c r="L561" s="6"/>
      <c r="M561" s="11"/>
      <c r="N561" s="6"/>
      <c r="O561" s="6"/>
      <c r="P561" s="10"/>
      <c r="Q561" s="6"/>
      <c r="R561" s="6"/>
      <c r="S561" s="6"/>
      <c r="T561" s="6"/>
      <c r="U561" s="9"/>
      <c r="AI561" s="6"/>
      <c r="AJ561" s="12"/>
      <c r="AL561" s="13"/>
    </row>
    <row r="562">
      <c r="A562" s="5"/>
      <c r="B562" s="5"/>
      <c r="C562" s="5"/>
      <c r="D562" s="5"/>
      <c r="E562" s="6"/>
      <c r="F562" s="6"/>
      <c r="G562" s="18"/>
      <c r="I562" s="16"/>
      <c r="J562" s="9"/>
      <c r="K562" s="10"/>
      <c r="L562" s="6"/>
      <c r="M562" s="11"/>
      <c r="N562" s="6"/>
      <c r="O562" s="6"/>
      <c r="P562" s="10"/>
      <c r="Q562" s="6"/>
      <c r="R562" s="6"/>
      <c r="S562" s="6"/>
      <c r="T562" s="6"/>
      <c r="U562" s="9"/>
      <c r="AI562" s="6"/>
      <c r="AJ562" s="12"/>
      <c r="AL562" s="13"/>
    </row>
    <row r="563">
      <c r="A563" s="5"/>
      <c r="B563" s="5"/>
      <c r="C563" s="5"/>
      <c r="D563" s="5"/>
      <c r="E563" s="6"/>
      <c r="F563" s="6"/>
      <c r="G563" s="18"/>
      <c r="I563" s="16"/>
      <c r="J563" s="9"/>
      <c r="K563" s="10"/>
      <c r="L563" s="6"/>
      <c r="M563" s="11"/>
      <c r="N563" s="6"/>
      <c r="O563" s="6"/>
      <c r="P563" s="10"/>
      <c r="Q563" s="6"/>
      <c r="R563" s="6"/>
      <c r="S563" s="6"/>
      <c r="T563" s="6"/>
      <c r="U563" s="9"/>
      <c r="AI563" s="6"/>
      <c r="AJ563" s="12"/>
      <c r="AL563" s="13"/>
    </row>
    <row r="564">
      <c r="A564" s="5"/>
      <c r="B564" s="5"/>
      <c r="C564" s="5"/>
      <c r="D564" s="5"/>
      <c r="E564" s="6"/>
      <c r="F564" s="6"/>
      <c r="G564" s="18"/>
      <c r="I564" s="16"/>
      <c r="J564" s="9"/>
      <c r="K564" s="10"/>
      <c r="L564" s="6"/>
      <c r="M564" s="11"/>
      <c r="N564" s="6"/>
      <c r="O564" s="6"/>
      <c r="P564" s="10"/>
      <c r="Q564" s="6"/>
      <c r="R564" s="6"/>
      <c r="S564" s="6"/>
      <c r="T564" s="6"/>
      <c r="U564" s="9"/>
      <c r="AI564" s="6"/>
      <c r="AJ564" s="12"/>
      <c r="AL564" s="13"/>
    </row>
    <row r="565">
      <c r="A565" s="5"/>
      <c r="B565" s="5"/>
      <c r="C565" s="5"/>
      <c r="D565" s="5"/>
      <c r="E565" s="6"/>
      <c r="F565" s="6"/>
      <c r="G565" s="18"/>
      <c r="I565" s="16"/>
      <c r="J565" s="9"/>
      <c r="K565" s="10"/>
      <c r="L565" s="6"/>
      <c r="M565" s="11"/>
      <c r="N565" s="6"/>
      <c r="O565" s="6"/>
      <c r="P565" s="10"/>
      <c r="Q565" s="6"/>
      <c r="R565" s="6"/>
      <c r="S565" s="6"/>
      <c r="T565" s="6"/>
      <c r="U565" s="9"/>
      <c r="AI565" s="6"/>
      <c r="AJ565" s="12"/>
      <c r="AL565" s="13"/>
    </row>
    <row r="566">
      <c r="A566" s="5"/>
      <c r="B566" s="5"/>
      <c r="C566" s="5"/>
      <c r="D566" s="5"/>
      <c r="E566" s="6"/>
      <c r="F566" s="6"/>
      <c r="G566" s="18"/>
      <c r="I566" s="16"/>
      <c r="J566" s="9"/>
      <c r="K566" s="10"/>
      <c r="L566" s="6"/>
      <c r="M566" s="11"/>
      <c r="N566" s="6"/>
      <c r="O566" s="6"/>
      <c r="P566" s="10"/>
      <c r="Q566" s="6"/>
      <c r="R566" s="6"/>
      <c r="S566" s="6"/>
      <c r="T566" s="6"/>
      <c r="U566" s="9"/>
      <c r="AI566" s="6"/>
      <c r="AJ566" s="12"/>
      <c r="AL566" s="13"/>
    </row>
    <row r="567">
      <c r="A567" s="5"/>
      <c r="B567" s="5"/>
      <c r="C567" s="5"/>
      <c r="D567" s="5"/>
      <c r="E567" s="6"/>
      <c r="F567" s="6"/>
      <c r="G567" s="18"/>
      <c r="I567" s="16"/>
      <c r="J567" s="9"/>
      <c r="K567" s="10"/>
      <c r="L567" s="6"/>
      <c r="M567" s="11"/>
      <c r="N567" s="6"/>
      <c r="O567" s="6"/>
      <c r="P567" s="10"/>
      <c r="Q567" s="6"/>
      <c r="R567" s="6"/>
      <c r="S567" s="6"/>
      <c r="T567" s="6"/>
      <c r="U567" s="9"/>
      <c r="AI567" s="6"/>
      <c r="AJ567" s="12"/>
      <c r="AL567" s="13"/>
    </row>
    <row r="568">
      <c r="A568" s="5"/>
      <c r="B568" s="5"/>
      <c r="C568" s="5"/>
      <c r="D568" s="5"/>
      <c r="E568" s="6"/>
      <c r="F568" s="6"/>
      <c r="G568" s="18"/>
      <c r="I568" s="16"/>
      <c r="J568" s="9"/>
      <c r="K568" s="10"/>
      <c r="L568" s="6"/>
      <c r="M568" s="11"/>
      <c r="N568" s="6"/>
      <c r="O568" s="6"/>
      <c r="P568" s="10"/>
      <c r="Q568" s="6"/>
      <c r="R568" s="6"/>
      <c r="S568" s="6"/>
      <c r="T568" s="6"/>
      <c r="U568" s="9"/>
      <c r="AI568" s="6"/>
      <c r="AJ568" s="12"/>
      <c r="AL568" s="13"/>
    </row>
    <row r="569">
      <c r="A569" s="5"/>
      <c r="B569" s="5"/>
      <c r="C569" s="5"/>
      <c r="D569" s="5"/>
      <c r="E569" s="6"/>
      <c r="F569" s="6"/>
      <c r="G569" s="18"/>
      <c r="I569" s="16"/>
      <c r="J569" s="9"/>
      <c r="K569" s="10"/>
      <c r="L569" s="6"/>
      <c r="M569" s="11"/>
      <c r="N569" s="6"/>
      <c r="O569" s="6"/>
      <c r="P569" s="10"/>
      <c r="Q569" s="6"/>
      <c r="R569" s="6"/>
      <c r="S569" s="6"/>
      <c r="T569" s="6"/>
      <c r="U569" s="9"/>
      <c r="AI569" s="6"/>
      <c r="AJ569" s="12"/>
      <c r="AL569" s="13"/>
    </row>
    <row r="570">
      <c r="A570" s="5"/>
      <c r="B570" s="5"/>
      <c r="C570" s="5"/>
      <c r="D570" s="5"/>
      <c r="E570" s="6"/>
      <c r="F570" s="6"/>
      <c r="G570" s="18"/>
      <c r="I570" s="16"/>
      <c r="J570" s="9"/>
      <c r="K570" s="10"/>
      <c r="L570" s="6"/>
      <c r="M570" s="11"/>
      <c r="N570" s="6"/>
      <c r="O570" s="6"/>
      <c r="P570" s="10"/>
      <c r="Q570" s="6"/>
      <c r="R570" s="6"/>
      <c r="S570" s="6"/>
      <c r="T570" s="6"/>
      <c r="U570" s="9"/>
      <c r="AI570" s="6"/>
      <c r="AJ570" s="12"/>
      <c r="AL570" s="13"/>
    </row>
    <row r="571">
      <c r="A571" s="5"/>
      <c r="B571" s="5"/>
      <c r="C571" s="5"/>
      <c r="D571" s="5"/>
      <c r="E571" s="6"/>
      <c r="F571" s="6"/>
      <c r="G571" s="18"/>
      <c r="I571" s="16"/>
      <c r="J571" s="9"/>
      <c r="K571" s="10"/>
      <c r="L571" s="6"/>
      <c r="M571" s="11"/>
      <c r="N571" s="6"/>
      <c r="O571" s="6"/>
      <c r="P571" s="10"/>
      <c r="Q571" s="6"/>
      <c r="R571" s="6"/>
      <c r="S571" s="6"/>
      <c r="T571" s="6"/>
      <c r="U571" s="9"/>
      <c r="AI571" s="6"/>
      <c r="AJ571" s="12"/>
      <c r="AL571" s="13"/>
    </row>
    <row r="572">
      <c r="A572" s="5"/>
      <c r="B572" s="5"/>
      <c r="C572" s="5"/>
      <c r="D572" s="5"/>
      <c r="E572" s="6"/>
      <c r="F572" s="6"/>
      <c r="G572" s="18"/>
      <c r="I572" s="16"/>
      <c r="J572" s="9"/>
      <c r="K572" s="10"/>
      <c r="L572" s="6"/>
      <c r="M572" s="11"/>
      <c r="N572" s="6"/>
      <c r="O572" s="6"/>
      <c r="P572" s="10"/>
      <c r="Q572" s="6"/>
      <c r="R572" s="6"/>
      <c r="S572" s="6"/>
      <c r="T572" s="6"/>
      <c r="U572" s="9"/>
      <c r="AI572" s="6"/>
      <c r="AJ572" s="12"/>
      <c r="AL572" s="13"/>
    </row>
    <row r="573">
      <c r="A573" s="5"/>
      <c r="B573" s="5"/>
      <c r="C573" s="5"/>
      <c r="D573" s="5"/>
      <c r="E573" s="6"/>
      <c r="F573" s="6"/>
      <c r="G573" s="18"/>
      <c r="I573" s="16"/>
      <c r="J573" s="9"/>
      <c r="K573" s="10"/>
      <c r="L573" s="6"/>
      <c r="M573" s="11"/>
      <c r="N573" s="6"/>
      <c r="O573" s="6"/>
      <c r="P573" s="10"/>
      <c r="Q573" s="6"/>
      <c r="R573" s="6"/>
      <c r="S573" s="6"/>
      <c r="T573" s="6"/>
      <c r="U573" s="9"/>
      <c r="AI573" s="6"/>
      <c r="AJ573" s="12"/>
      <c r="AL573" s="13"/>
    </row>
    <row r="574">
      <c r="A574" s="5"/>
      <c r="B574" s="5"/>
      <c r="C574" s="5"/>
      <c r="D574" s="5"/>
      <c r="E574" s="6"/>
      <c r="F574" s="6"/>
      <c r="G574" s="18"/>
      <c r="I574" s="16"/>
      <c r="J574" s="9"/>
      <c r="K574" s="10"/>
      <c r="L574" s="6"/>
      <c r="M574" s="11"/>
      <c r="N574" s="6"/>
      <c r="O574" s="6"/>
      <c r="P574" s="10"/>
      <c r="Q574" s="6"/>
      <c r="R574" s="6"/>
      <c r="S574" s="6"/>
      <c r="T574" s="6"/>
      <c r="U574" s="9"/>
      <c r="AI574" s="6"/>
      <c r="AJ574" s="12"/>
      <c r="AL574" s="13"/>
    </row>
    <row r="575">
      <c r="A575" s="5"/>
      <c r="B575" s="5"/>
      <c r="C575" s="5"/>
      <c r="D575" s="5"/>
      <c r="E575" s="6"/>
      <c r="F575" s="6"/>
      <c r="G575" s="18"/>
      <c r="I575" s="16"/>
      <c r="J575" s="9"/>
      <c r="K575" s="10"/>
      <c r="L575" s="6"/>
      <c r="M575" s="11"/>
      <c r="N575" s="6"/>
      <c r="O575" s="6"/>
      <c r="P575" s="10"/>
      <c r="Q575" s="6"/>
      <c r="R575" s="6"/>
      <c r="S575" s="6"/>
      <c r="T575" s="6"/>
      <c r="U575" s="9"/>
      <c r="AI575" s="6"/>
      <c r="AJ575" s="12"/>
      <c r="AL575" s="13"/>
    </row>
    <row r="576">
      <c r="A576" s="5"/>
      <c r="B576" s="5"/>
      <c r="C576" s="5"/>
      <c r="D576" s="5"/>
      <c r="E576" s="6"/>
      <c r="F576" s="6"/>
      <c r="G576" s="18"/>
      <c r="I576" s="16"/>
      <c r="J576" s="9"/>
      <c r="K576" s="10"/>
      <c r="L576" s="6"/>
      <c r="M576" s="11"/>
      <c r="N576" s="6"/>
      <c r="O576" s="6"/>
      <c r="P576" s="10"/>
      <c r="Q576" s="6"/>
      <c r="R576" s="6"/>
      <c r="S576" s="6"/>
      <c r="T576" s="6"/>
      <c r="U576" s="9"/>
      <c r="AI576" s="6"/>
      <c r="AJ576" s="12"/>
      <c r="AL576" s="13"/>
    </row>
    <row r="577">
      <c r="A577" s="5"/>
      <c r="B577" s="5"/>
      <c r="C577" s="5"/>
      <c r="D577" s="5"/>
      <c r="E577" s="6"/>
      <c r="F577" s="6"/>
      <c r="G577" s="18"/>
      <c r="I577" s="16"/>
      <c r="J577" s="9"/>
      <c r="K577" s="10"/>
      <c r="L577" s="6"/>
      <c r="M577" s="11"/>
      <c r="N577" s="6"/>
      <c r="O577" s="6"/>
      <c r="P577" s="10"/>
      <c r="Q577" s="6"/>
      <c r="R577" s="6"/>
      <c r="S577" s="6"/>
      <c r="T577" s="6"/>
      <c r="U577" s="9"/>
      <c r="AI577" s="6"/>
      <c r="AJ577" s="12"/>
      <c r="AL577" s="13"/>
    </row>
    <row r="578">
      <c r="A578" s="5"/>
      <c r="B578" s="5"/>
      <c r="C578" s="5"/>
      <c r="D578" s="5"/>
      <c r="E578" s="6"/>
      <c r="F578" s="6"/>
      <c r="G578" s="18"/>
      <c r="I578" s="16"/>
      <c r="J578" s="9"/>
      <c r="K578" s="10"/>
      <c r="L578" s="6"/>
      <c r="M578" s="11"/>
      <c r="N578" s="6"/>
      <c r="O578" s="6"/>
      <c r="P578" s="10"/>
      <c r="Q578" s="6"/>
      <c r="R578" s="6"/>
      <c r="S578" s="6"/>
      <c r="T578" s="6"/>
      <c r="U578" s="9"/>
      <c r="AI578" s="6"/>
      <c r="AJ578" s="12"/>
      <c r="AL578" s="13"/>
    </row>
    <row r="579">
      <c r="A579" s="5"/>
      <c r="B579" s="5"/>
      <c r="C579" s="5"/>
      <c r="D579" s="5"/>
      <c r="E579" s="6"/>
      <c r="F579" s="6"/>
      <c r="G579" s="18"/>
      <c r="I579" s="16"/>
      <c r="J579" s="9"/>
      <c r="K579" s="10"/>
      <c r="L579" s="6"/>
      <c r="M579" s="11"/>
      <c r="N579" s="6"/>
      <c r="O579" s="6"/>
      <c r="P579" s="10"/>
      <c r="Q579" s="6"/>
      <c r="R579" s="6"/>
      <c r="S579" s="6"/>
      <c r="T579" s="6"/>
      <c r="U579" s="9"/>
      <c r="AI579" s="6"/>
      <c r="AJ579" s="12"/>
      <c r="AL579" s="13"/>
    </row>
    <row r="580">
      <c r="A580" s="5"/>
      <c r="B580" s="5"/>
      <c r="C580" s="5"/>
      <c r="D580" s="5"/>
      <c r="E580" s="6"/>
      <c r="F580" s="6"/>
      <c r="G580" s="18"/>
      <c r="I580" s="16"/>
      <c r="J580" s="9"/>
      <c r="K580" s="10"/>
      <c r="L580" s="6"/>
      <c r="M580" s="11"/>
      <c r="N580" s="6"/>
      <c r="O580" s="6"/>
      <c r="P580" s="10"/>
      <c r="Q580" s="6"/>
      <c r="R580" s="6"/>
      <c r="S580" s="6"/>
      <c r="T580" s="6"/>
      <c r="U580" s="9"/>
      <c r="AI580" s="6"/>
      <c r="AJ580" s="12"/>
      <c r="AL580" s="13"/>
    </row>
    <row r="581">
      <c r="A581" s="5"/>
      <c r="B581" s="5"/>
      <c r="C581" s="5"/>
      <c r="D581" s="5"/>
      <c r="E581" s="6"/>
      <c r="F581" s="6"/>
      <c r="G581" s="18"/>
      <c r="I581" s="16"/>
      <c r="J581" s="9"/>
      <c r="K581" s="10"/>
      <c r="L581" s="6"/>
      <c r="M581" s="11"/>
      <c r="N581" s="6"/>
      <c r="O581" s="6"/>
      <c r="P581" s="10"/>
      <c r="Q581" s="6"/>
      <c r="R581" s="6"/>
      <c r="S581" s="6"/>
      <c r="T581" s="6"/>
      <c r="U581" s="9"/>
      <c r="AI581" s="6"/>
      <c r="AJ581" s="12"/>
      <c r="AL581" s="13"/>
    </row>
    <row r="582">
      <c r="A582" s="5"/>
      <c r="B582" s="5"/>
      <c r="C582" s="5"/>
      <c r="D582" s="5"/>
      <c r="E582" s="6"/>
      <c r="F582" s="6"/>
      <c r="G582" s="18"/>
      <c r="I582" s="16"/>
      <c r="J582" s="9"/>
      <c r="K582" s="10"/>
      <c r="L582" s="6"/>
      <c r="M582" s="11"/>
      <c r="N582" s="6"/>
      <c r="O582" s="6"/>
      <c r="P582" s="10"/>
      <c r="Q582" s="6"/>
      <c r="R582" s="6"/>
      <c r="S582" s="6"/>
      <c r="T582" s="6"/>
      <c r="U582" s="9"/>
      <c r="AI582" s="6"/>
      <c r="AJ582" s="12"/>
      <c r="AL582" s="13"/>
    </row>
    <row r="583">
      <c r="A583" s="5"/>
      <c r="B583" s="5"/>
      <c r="C583" s="5"/>
      <c r="D583" s="5"/>
      <c r="E583" s="6"/>
      <c r="F583" s="6"/>
      <c r="G583" s="18"/>
      <c r="I583" s="16"/>
      <c r="J583" s="9"/>
      <c r="K583" s="10"/>
      <c r="L583" s="6"/>
      <c r="M583" s="11"/>
      <c r="N583" s="6"/>
      <c r="O583" s="6"/>
      <c r="P583" s="10"/>
      <c r="Q583" s="6"/>
      <c r="R583" s="6"/>
      <c r="S583" s="6"/>
      <c r="T583" s="6"/>
      <c r="U583" s="9"/>
      <c r="AI583" s="6"/>
      <c r="AJ583" s="12"/>
      <c r="AL583" s="13"/>
    </row>
    <row r="584">
      <c r="A584" s="5"/>
      <c r="B584" s="5"/>
      <c r="C584" s="5"/>
      <c r="D584" s="5"/>
      <c r="E584" s="6"/>
      <c r="F584" s="6"/>
      <c r="G584" s="18"/>
      <c r="I584" s="16"/>
      <c r="J584" s="9"/>
      <c r="K584" s="10"/>
      <c r="L584" s="6"/>
      <c r="M584" s="11"/>
      <c r="N584" s="6"/>
      <c r="O584" s="6"/>
      <c r="P584" s="10"/>
      <c r="Q584" s="6"/>
      <c r="R584" s="6"/>
      <c r="S584" s="6"/>
      <c r="T584" s="6"/>
      <c r="U584" s="9"/>
      <c r="AI584" s="6"/>
      <c r="AJ584" s="12"/>
      <c r="AL584" s="13"/>
    </row>
    <row r="585">
      <c r="A585" s="5"/>
      <c r="B585" s="5"/>
      <c r="C585" s="5"/>
      <c r="D585" s="5"/>
      <c r="E585" s="6"/>
      <c r="F585" s="6"/>
      <c r="G585" s="18"/>
      <c r="I585" s="16"/>
      <c r="J585" s="9"/>
      <c r="K585" s="10"/>
      <c r="L585" s="6"/>
      <c r="M585" s="11"/>
      <c r="N585" s="6"/>
      <c r="O585" s="6"/>
      <c r="P585" s="10"/>
      <c r="Q585" s="6"/>
      <c r="R585" s="6"/>
      <c r="S585" s="6"/>
      <c r="T585" s="6"/>
      <c r="U585" s="9"/>
      <c r="AI585" s="6"/>
      <c r="AJ585" s="12"/>
      <c r="AL585" s="13"/>
    </row>
    <row r="586">
      <c r="A586" s="5"/>
      <c r="B586" s="5"/>
      <c r="C586" s="5"/>
      <c r="D586" s="5"/>
      <c r="E586" s="6"/>
      <c r="F586" s="6"/>
      <c r="G586" s="18"/>
      <c r="I586" s="16"/>
      <c r="J586" s="9"/>
      <c r="K586" s="10"/>
      <c r="L586" s="6"/>
      <c r="M586" s="11"/>
      <c r="N586" s="6"/>
      <c r="O586" s="6"/>
      <c r="P586" s="10"/>
      <c r="Q586" s="6"/>
      <c r="R586" s="6"/>
      <c r="S586" s="6"/>
      <c r="T586" s="6"/>
      <c r="U586" s="9"/>
      <c r="AI586" s="6"/>
      <c r="AJ586" s="12"/>
      <c r="AL586" s="13"/>
    </row>
    <row r="587">
      <c r="A587" s="5"/>
      <c r="B587" s="5"/>
      <c r="C587" s="5"/>
      <c r="D587" s="5"/>
      <c r="E587" s="6"/>
      <c r="F587" s="6"/>
      <c r="G587" s="18"/>
      <c r="I587" s="16"/>
      <c r="J587" s="9"/>
      <c r="K587" s="10"/>
      <c r="L587" s="6"/>
      <c r="M587" s="11"/>
      <c r="N587" s="6"/>
      <c r="O587" s="6"/>
      <c r="P587" s="10"/>
      <c r="Q587" s="6"/>
      <c r="R587" s="6"/>
      <c r="S587" s="6"/>
      <c r="T587" s="6"/>
      <c r="U587" s="9"/>
      <c r="AI587" s="6"/>
      <c r="AJ587" s="12"/>
      <c r="AL587" s="13"/>
    </row>
    <row r="588">
      <c r="A588" s="5"/>
      <c r="B588" s="5"/>
      <c r="C588" s="5"/>
      <c r="D588" s="5"/>
      <c r="E588" s="6"/>
      <c r="F588" s="6"/>
      <c r="G588" s="18"/>
      <c r="I588" s="16"/>
      <c r="J588" s="9"/>
      <c r="K588" s="10"/>
      <c r="L588" s="6"/>
      <c r="M588" s="11"/>
      <c r="N588" s="6"/>
      <c r="O588" s="6"/>
      <c r="P588" s="10"/>
      <c r="Q588" s="6"/>
      <c r="R588" s="6"/>
      <c r="S588" s="6"/>
      <c r="T588" s="6"/>
      <c r="U588" s="9"/>
      <c r="AI588" s="6"/>
      <c r="AJ588" s="12"/>
      <c r="AL588" s="13"/>
    </row>
    <row r="589">
      <c r="A589" s="5"/>
      <c r="B589" s="5"/>
      <c r="C589" s="5"/>
      <c r="D589" s="5"/>
      <c r="E589" s="6"/>
      <c r="F589" s="6"/>
      <c r="G589" s="18"/>
      <c r="I589" s="16"/>
      <c r="J589" s="9"/>
      <c r="K589" s="10"/>
      <c r="L589" s="6"/>
      <c r="M589" s="11"/>
      <c r="N589" s="6"/>
      <c r="O589" s="6"/>
      <c r="P589" s="10"/>
      <c r="Q589" s="6"/>
      <c r="R589" s="6"/>
      <c r="S589" s="6"/>
      <c r="T589" s="6"/>
      <c r="U589" s="9"/>
      <c r="AI589" s="6"/>
      <c r="AJ589" s="12"/>
      <c r="AL589" s="13"/>
    </row>
    <row r="590">
      <c r="A590" s="5"/>
      <c r="B590" s="5"/>
      <c r="C590" s="5"/>
      <c r="D590" s="5"/>
      <c r="E590" s="6"/>
      <c r="F590" s="6"/>
      <c r="G590" s="18"/>
      <c r="I590" s="16"/>
      <c r="J590" s="9"/>
      <c r="K590" s="10"/>
      <c r="L590" s="6"/>
      <c r="M590" s="11"/>
      <c r="N590" s="6"/>
      <c r="O590" s="6"/>
      <c r="P590" s="10"/>
      <c r="Q590" s="6"/>
      <c r="R590" s="6"/>
      <c r="S590" s="6"/>
      <c r="T590" s="6"/>
      <c r="U590" s="9"/>
      <c r="AI590" s="6"/>
      <c r="AJ590" s="12"/>
      <c r="AL590" s="13"/>
    </row>
    <row r="591">
      <c r="A591" s="5"/>
      <c r="B591" s="5"/>
      <c r="C591" s="5"/>
      <c r="D591" s="5"/>
      <c r="E591" s="6"/>
      <c r="F591" s="6"/>
      <c r="G591" s="18"/>
      <c r="I591" s="16"/>
      <c r="J591" s="9"/>
      <c r="K591" s="10"/>
      <c r="L591" s="6"/>
      <c r="M591" s="11"/>
      <c r="N591" s="6"/>
      <c r="O591" s="6"/>
      <c r="P591" s="10"/>
      <c r="Q591" s="6"/>
      <c r="R591" s="6"/>
      <c r="S591" s="6"/>
      <c r="T591" s="6"/>
      <c r="U591" s="9"/>
      <c r="AI591" s="6"/>
      <c r="AJ591" s="12"/>
      <c r="AL591" s="13"/>
    </row>
    <row r="592">
      <c r="A592" s="5"/>
      <c r="B592" s="5"/>
      <c r="C592" s="5"/>
      <c r="D592" s="5"/>
      <c r="E592" s="6"/>
      <c r="F592" s="6"/>
      <c r="G592" s="18"/>
      <c r="I592" s="16"/>
      <c r="J592" s="9"/>
      <c r="K592" s="10"/>
      <c r="L592" s="6"/>
      <c r="M592" s="11"/>
      <c r="N592" s="6"/>
      <c r="O592" s="6"/>
      <c r="P592" s="10"/>
      <c r="Q592" s="6"/>
      <c r="R592" s="6"/>
      <c r="S592" s="6"/>
      <c r="T592" s="6"/>
      <c r="U592" s="9"/>
      <c r="AI592" s="6"/>
      <c r="AJ592" s="12"/>
      <c r="AL592" s="13"/>
    </row>
    <row r="593">
      <c r="A593" s="5"/>
      <c r="B593" s="5"/>
      <c r="C593" s="5"/>
      <c r="D593" s="5"/>
      <c r="E593" s="6"/>
      <c r="F593" s="6"/>
      <c r="G593" s="18"/>
      <c r="I593" s="16"/>
      <c r="J593" s="9"/>
      <c r="K593" s="10"/>
      <c r="L593" s="6"/>
      <c r="M593" s="11"/>
      <c r="N593" s="6"/>
      <c r="O593" s="6"/>
      <c r="P593" s="10"/>
      <c r="Q593" s="6"/>
      <c r="R593" s="6"/>
      <c r="S593" s="6"/>
      <c r="T593" s="6"/>
      <c r="U593" s="9"/>
      <c r="AI593" s="6"/>
      <c r="AJ593" s="12"/>
      <c r="AL593" s="13"/>
    </row>
    <row r="594">
      <c r="A594" s="5"/>
      <c r="B594" s="5"/>
      <c r="C594" s="5"/>
      <c r="D594" s="5"/>
      <c r="E594" s="6"/>
      <c r="F594" s="6"/>
      <c r="G594" s="18"/>
      <c r="I594" s="16"/>
      <c r="J594" s="9"/>
      <c r="K594" s="10"/>
      <c r="L594" s="6"/>
      <c r="M594" s="11"/>
      <c r="N594" s="6"/>
      <c r="O594" s="6"/>
      <c r="P594" s="10"/>
      <c r="Q594" s="6"/>
      <c r="R594" s="6"/>
      <c r="S594" s="6"/>
      <c r="T594" s="6"/>
      <c r="U594" s="9"/>
      <c r="AI594" s="6"/>
      <c r="AJ594" s="12"/>
      <c r="AL594" s="13"/>
    </row>
    <row r="595">
      <c r="A595" s="5"/>
      <c r="B595" s="5"/>
      <c r="C595" s="5"/>
      <c r="D595" s="5"/>
      <c r="E595" s="6"/>
      <c r="F595" s="6"/>
      <c r="G595" s="18"/>
      <c r="I595" s="16"/>
      <c r="J595" s="9"/>
      <c r="K595" s="10"/>
      <c r="L595" s="6"/>
      <c r="M595" s="11"/>
      <c r="N595" s="6"/>
      <c r="O595" s="6"/>
      <c r="P595" s="10"/>
      <c r="Q595" s="6"/>
      <c r="R595" s="6"/>
      <c r="S595" s="6"/>
      <c r="T595" s="6"/>
      <c r="U595" s="9"/>
      <c r="AI595" s="6"/>
      <c r="AJ595" s="12"/>
      <c r="AL595" s="13"/>
    </row>
    <row r="596">
      <c r="A596" s="5"/>
      <c r="B596" s="5"/>
      <c r="C596" s="5"/>
      <c r="D596" s="5"/>
      <c r="E596" s="6"/>
      <c r="F596" s="6"/>
      <c r="G596" s="18"/>
      <c r="I596" s="16"/>
      <c r="J596" s="9"/>
      <c r="K596" s="10"/>
      <c r="L596" s="6"/>
      <c r="M596" s="11"/>
      <c r="N596" s="6"/>
      <c r="O596" s="6"/>
      <c r="P596" s="10"/>
      <c r="Q596" s="6"/>
      <c r="R596" s="6"/>
      <c r="S596" s="6"/>
      <c r="T596" s="6"/>
      <c r="U596" s="9"/>
      <c r="AI596" s="6"/>
      <c r="AJ596" s="12"/>
      <c r="AL596" s="13"/>
    </row>
    <row r="597">
      <c r="A597" s="5"/>
      <c r="B597" s="5"/>
      <c r="C597" s="5"/>
      <c r="D597" s="5"/>
      <c r="E597" s="6"/>
      <c r="F597" s="6"/>
      <c r="G597" s="18"/>
      <c r="I597" s="16"/>
      <c r="J597" s="9"/>
      <c r="K597" s="10"/>
      <c r="L597" s="6"/>
      <c r="M597" s="11"/>
      <c r="N597" s="6"/>
      <c r="O597" s="6"/>
      <c r="P597" s="10"/>
      <c r="Q597" s="6"/>
      <c r="R597" s="6"/>
      <c r="S597" s="6"/>
      <c r="T597" s="6"/>
      <c r="U597" s="9"/>
      <c r="AI597" s="6"/>
      <c r="AJ597" s="12"/>
      <c r="AL597" s="13"/>
    </row>
    <row r="598">
      <c r="A598" s="5"/>
      <c r="B598" s="5"/>
      <c r="C598" s="5"/>
      <c r="D598" s="5"/>
      <c r="E598" s="6"/>
      <c r="F598" s="6"/>
      <c r="G598" s="18"/>
      <c r="I598" s="16"/>
      <c r="J598" s="9"/>
      <c r="K598" s="10"/>
      <c r="L598" s="6"/>
      <c r="M598" s="11"/>
      <c r="N598" s="6"/>
      <c r="O598" s="6"/>
      <c r="P598" s="10"/>
      <c r="Q598" s="6"/>
      <c r="R598" s="6"/>
      <c r="S598" s="6"/>
      <c r="T598" s="6"/>
      <c r="U598" s="9"/>
      <c r="AI598" s="6"/>
      <c r="AJ598" s="12"/>
      <c r="AL598" s="13"/>
    </row>
    <row r="599">
      <c r="A599" s="5"/>
      <c r="B599" s="5"/>
      <c r="C599" s="5"/>
      <c r="D599" s="5"/>
      <c r="E599" s="6"/>
      <c r="F599" s="6"/>
      <c r="G599" s="18"/>
      <c r="I599" s="16"/>
      <c r="J599" s="9"/>
      <c r="K599" s="10"/>
      <c r="L599" s="6"/>
      <c r="M599" s="11"/>
      <c r="N599" s="6"/>
      <c r="O599" s="6"/>
      <c r="P599" s="10"/>
      <c r="Q599" s="6"/>
      <c r="R599" s="6"/>
      <c r="S599" s="6"/>
      <c r="T599" s="6"/>
      <c r="U599" s="9"/>
      <c r="AI599" s="6"/>
      <c r="AJ599" s="12"/>
      <c r="AL599" s="13"/>
    </row>
    <row r="600">
      <c r="A600" s="5"/>
      <c r="B600" s="5"/>
      <c r="C600" s="5"/>
      <c r="D600" s="5"/>
      <c r="E600" s="6"/>
      <c r="F600" s="6"/>
      <c r="G600" s="18"/>
      <c r="I600" s="16"/>
      <c r="J600" s="9"/>
      <c r="K600" s="10"/>
      <c r="L600" s="6"/>
      <c r="M600" s="11"/>
      <c r="N600" s="6"/>
      <c r="O600" s="6"/>
      <c r="P600" s="10"/>
      <c r="Q600" s="6"/>
      <c r="R600" s="6"/>
      <c r="S600" s="6"/>
      <c r="T600" s="6"/>
      <c r="U600" s="9"/>
      <c r="AI600" s="6"/>
      <c r="AJ600" s="12"/>
      <c r="AL600" s="13"/>
    </row>
    <row r="601">
      <c r="A601" s="5"/>
      <c r="B601" s="5"/>
      <c r="C601" s="5"/>
      <c r="D601" s="5"/>
      <c r="E601" s="6"/>
      <c r="F601" s="6"/>
      <c r="G601" s="18"/>
      <c r="I601" s="16"/>
      <c r="J601" s="9"/>
      <c r="K601" s="10"/>
      <c r="L601" s="6"/>
      <c r="M601" s="11"/>
      <c r="N601" s="6"/>
      <c r="O601" s="6"/>
      <c r="P601" s="10"/>
      <c r="Q601" s="6"/>
      <c r="R601" s="6"/>
      <c r="S601" s="6"/>
      <c r="T601" s="6"/>
      <c r="U601" s="9"/>
      <c r="AI601" s="6"/>
      <c r="AJ601" s="12"/>
      <c r="AL601" s="13"/>
    </row>
    <row r="602">
      <c r="A602" s="5"/>
      <c r="B602" s="5"/>
      <c r="C602" s="5"/>
      <c r="D602" s="5"/>
      <c r="E602" s="6"/>
      <c r="F602" s="6"/>
      <c r="G602" s="18"/>
      <c r="I602" s="16"/>
      <c r="J602" s="9"/>
      <c r="K602" s="10"/>
      <c r="L602" s="6"/>
      <c r="M602" s="11"/>
      <c r="N602" s="6"/>
      <c r="O602" s="6"/>
      <c r="P602" s="10"/>
      <c r="Q602" s="6"/>
      <c r="R602" s="6"/>
      <c r="S602" s="6"/>
      <c r="T602" s="6"/>
      <c r="U602" s="9"/>
      <c r="AI602" s="6"/>
      <c r="AJ602" s="12"/>
      <c r="AL602" s="13"/>
    </row>
    <row r="603">
      <c r="A603" s="5"/>
      <c r="B603" s="5"/>
      <c r="C603" s="5"/>
      <c r="D603" s="5"/>
      <c r="E603" s="6"/>
      <c r="F603" s="6"/>
      <c r="G603" s="18"/>
      <c r="I603" s="16"/>
      <c r="J603" s="9"/>
      <c r="K603" s="10"/>
      <c r="L603" s="6"/>
      <c r="M603" s="11"/>
      <c r="N603" s="6"/>
      <c r="O603" s="6"/>
      <c r="P603" s="10"/>
      <c r="Q603" s="6"/>
      <c r="R603" s="6"/>
      <c r="S603" s="6"/>
      <c r="T603" s="6"/>
      <c r="U603" s="9"/>
      <c r="AI603" s="6"/>
      <c r="AJ603" s="12"/>
      <c r="AL603" s="13"/>
    </row>
    <row r="604">
      <c r="A604" s="5"/>
      <c r="B604" s="5"/>
      <c r="C604" s="5"/>
      <c r="D604" s="5"/>
      <c r="E604" s="6"/>
      <c r="F604" s="6"/>
      <c r="G604" s="18"/>
      <c r="I604" s="16"/>
      <c r="J604" s="9"/>
      <c r="K604" s="10"/>
      <c r="L604" s="6"/>
      <c r="M604" s="11"/>
      <c r="N604" s="6"/>
      <c r="O604" s="6"/>
      <c r="P604" s="10"/>
      <c r="Q604" s="6"/>
      <c r="R604" s="6"/>
      <c r="S604" s="6"/>
      <c r="T604" s="6"/>
      <c r="U604" s="9"/>
      <c r="AI604" s="6"/>
      <c r="AJ604" s="12"/>
      <c r="AL604" s="13"/>
    </row>
    <row r="605">
      <c r="A605" s="5"/>
      <c r="B605" s="5"/>
      <c r="C605" s="5"/>
      <c r="D605" s="5"/>
      <c r="E605" s="6"/>
      <c r="F605" s="6"/>
      <c r="G605" s="18"/>
      <c r="I605" s="16"/>
      <c r="J605" s="9"/>
      <c r="K605" s="10"/>
      <c r="L605" s="6"/>
      <c r="M605" s="11"/>
      <c r="N605" s="6"/>
      <c r="O605" s="6"/>
      <c r="P605" s="10"/>
      <c r="Q605" s="6"/>
      <c r="R605" s="6"/>
      <c r="S605" s="6"/>
      <c r="T605" s="6"/>
      <c r="U605" s="9"/>
      <c r="AI605" s="6"/>
      <c r="AJ605" s="12"/>
      <c r="AL605" s="13"/>
    </row>
    <row r="606">
      <c r="A606" s="5"/>
      <c r="B606" s="5"/>
      <c r="C606" s="5"/>
      <c r="D606" s="5"/>
      <c r="E606" s="6"/>
      <c r="F606" s="6"/>
      <c r="G606" s="18"/>
      <c r="I606" s="16"/>
      <c r="J606" s="9"/>
      <c r="K606" s="10"/>
      <c r="L606" s="6"/>
      <c r="M606" s="11"/>
      <c r="N606" s="6"/>
      <c r="O606" s="6"/>
      <c r="P606" s="10"/>
      <c r="Q606" s="6"/>
      <c r="R606" s="6"/>
      <c r="S606" s="6"/>
      <c r="T606" s="6"/>
      <c r="U606" s="9"/>
      <c r="AI606" s="6"/>
      <c r="AJ606" s="12"/>
      <c r="AL606" s="13"/>
    </row>
    <row r="607">
      <c r="A607" s="5"/>
      <c r="B607" s="5"/>
      <c r="C607" s="5"/>
      <c r="D607" s="5"/>
      <c r="E607" s="6"/>
      <c r="F607" s="6"/>
      <c r="G607" s="18"/>
      <c r="I607" s="16"/>
      <c r="J607" s="9"/>
      <c r="K607" s="10"/>
      <c r="L607" s="6"/>
      <c r="M607" s="11"/>
      <c r="N607" s="6"/>
      <c r="O607" s="6"/>
      <c r="P607" s="10"/>
      <c r="Q607" s="6"/>
      <c r="R607" s="6"/>
      <c r="S607" s="6"/>
      <c r="T607" s="6"/>
      <c r="U607" s="9"/>
      <c r="AI607" s="6"/>
      <c r="AJ607" s="12"/>
      <c r="AL607" s="13"/>
    </row>
    <row r="608">
      <c r="A608" s="5"/>
      <c r="B608" s="5"/>
      <c r="C608" s="5"/>
      <c r="D608" s="5"/>
      <c r="E608" s="6"/>
      <c r="F608" s="6"/>
      <c r="G608" s="18"/>
      <c r="I608" s="16"/>
      <c r="J608" s="9"/>
      <c r="K608" s="10"/>
      <c r="L608" s="6"/>
      <c r="M608" s="11"/>
      <c r="N608" s="6"/>
      <c r="O608" s="6"/>
      <c r="P608" s="10"/>
      <c r="Q608" s="6"/>
      <c r="R608" s="6"/>
      <c r="S608" s="6"/>
      <c r="T608" s="6"/>
      <c r="U608" s="9"/>
      <c r="AI608" s="6"/>
      <c r="AJ608" s="12"/>
      <c r="AL608" s="13"/>
    </row>
    <row r="609">
      <c r="A609" s="5"/>
      <c r="B609" s="5"/>
      <c r="C609" s="5"/>
      <c r="D609" s="5"/>
      <c r="E609" s="6"/>
      <c r="F609" s="6"/>
      <c r="G609" s="18"/>
      <c r="I609" s="16"/>
      <c r="J609" s="9"/>
      <c r="K609" s="10"/>
      <c r="L609" s="6"/>
      <c r="M609" s="11"/>
      <c r="N609" s="6"/>
      <c r="O609" s="6"/>
      <c r="P609" s="10"/>
      <c r="Q609" s="6"/>
      <c r="R609" s="6"/>
      <c r="S609" s="6"/>
      <c r="T609" s="6"/>
      <c r="U609" s="9"/>
      <c r="AI609" s="6"/>
      <c r="AJ609" s="12"/>
      <c r="AL609" s="13"/>
    </row>
    <row r="610">
      <c r="A610" s="5"/>
      <c r="B610" s="5"/>
      <c r="C610" s="5"/>
      <c r="D610" s="5"/>
      <c r="E610" s="6"/>
      <c r="F610" s="6"/>
      <c r="G610" s="18"/>
      <c r="I610" s="16"/>
      <c r="J610" s="9"/>
      <c r="K610" s="10"/>
      <c r="L610" s="6"/>
      <c r="M610" s="11"/>
      <c r="N610" s="6"/>
      <c r="O610" s="6"/>
      <c r="P610" s="10"/>
      <c r="Q610" s="6"/>
      <c r="R610" s="6"/>
      <c r="S610" s="6"/>
      <c r="T610" s="6"/>
      <c r="U610" s="9"/>
      <c r="AI610" s="6"/>
      <c r="AJ610" s="12"/>
      <c r="AL610" s="13"/>
    </row>
    <row r="611">
      <c r="A611" s="5"/>
      <c r="B611" s="5"/>
      <c r="C611" s="5"/>
      <c r="D611" s="5"/>
      <c r="E611" s="6"/>
      <c r="F611" s="6"/>
      <c r="G611" s="18"/>
      <c r="I611" s="16"/>
      <c r="J611" s="9"/>
      <c r="K611" s="10"/>
      <c r="L611" s="6"/>
      <c r="M611" s="11"/>
      <c r="N611" s="6"/>
      <c r="O611" s="6"/>
      <c r="P611" s="10"/>
      <c r="Q611" s="6"/>
      <c r="R611" s="6"/>
      <c r="S611" s="6"/>
      <c r="T611" s="6"/>
      <c r="U611" s="9"/>
      <c r="AI611" s="6"/>
      <c r="AJ611" s="12"/>
      <c r="AL611" s="13"/>
    </row>
    <row r="612">
      <c r="A612" s="5"/>
      <c r="B612" s="5"/>
      <c r="C612" s="5"/>
      <c r="D612" s="5"/>
      <c r="E612" s="6"/>
      <c r="F612" s="6"/>
      <c r="G612" s="18"/>
      <c r="I612" s="16"/>
      <c r="J612" s="9"/>
      <c r="K612" s="10"/>
      <c r="L612" s="6"/>
      <c r="M612" s="11"/>
      <c r="N612" s="6"/>
      <c r="O612" s="6"/>
      <c r="P612" s="10"/>
      <c r="Q612" s="6"/>
      <c r="R612" s="6"/>
      <c r="S612" s="6"/>
      <c r="T612" s="6"/>
      <c r="U612" s="9"/>
      <c r="AI612" s="6"/>
      <c r="AJ612" s="12"/>
      <c r="AL612" s="13"/>
    </row>
    <row r="613">
      <c r="A613" s="5"/>
      <c r="B613" s="5"/>
      <c r="C613" s="5"/>
      <c r="D613" s="5"/>
      <c r="E613" s="6"/>
      <c r="F613" s="6"/>
      <c r="G613" s="18"/>
      <c r="I613" s="16"/>
      <c r="J613" s="9"/>
      <c r="K613" s="10"/>
      <c r="L613" s="6"/>
      <c r="M613" s="11"/>
      <c r="N613" s="6"/>
      <c r="O613" s="6"/>
      <c r="P613" s="10"/>
      <c r="Q613" s="6"/>
      <c r="R613" s="6"/>
      <c r="S613" s="6"/>
      <c r="T613" s="6"/>
      <c r="U613" s="9"/>
      <c r="AI613" s="6"/>
      <c r="AJ613" s="12"/>
      <c r="AL613" s="13"/>
    </row>
    <row r="614">
      <c r="A614" s="5"/>
      <c r="B614" s="5"/>
      <c r="C614" s="5"/>
      <c r="D614" s="5"/>
      <c r="E614" s="6"/>
      <c r="F614" s="6"/>
      <c r="G614" s="18"/>
      <c r="I614" s="16"/>
      <c r="J614" s="9"/>
      <c r="K614" s="10"/>
      <c r="L614" s="6"/>
      <c r="M614" s="11"/>
      <c r="N614" s="6"/>
      <c r="O614" s="6"/>
      <c r="P614" s="10"/>
      <c r="Q614" s="6"/>
      <c r="R614" s="6"/>
      <c r="S614" s="6"/>
      <c r="T614" s="6"/>
      <c r="U614" s="9"/>
      <c r="AI614" s="6"/>
      <c r="AJ614" s="12"/>
      <c r="AL614" s="13"/>
    </row>
    <row r="615">
      <c r="A615" s="5"/>
      <c r="B615" s="5"/>
      <c r="C615" s="5"/>
      <c r="D615" s="5"/>
      <c r="E615" s="6"/>
      <c r="F615" s="6"/>
      <c r="G615" s="18"/>
      <c r="I615" s="16"/>
      <c r="J615" s="9"/>
      <c r="K615" s="10"/>
      <c r="L615" s="6"/>
      <c r="M615" s="11"/>
      <c r="N615" s="6"/>
      <c r="O615" s="6"/>
      <c r="P615" s="10"/>
      <c r="Q615" s="6"/>
      <c r="R615" s="6"/>
      <c r="S615" s="6"/>
      <c r="T615" s="6"/>
      <c r="U615" s="9"/>
      <c r="AI615" s="6"/>
      <c r="AJ615" s="12"/>
      <c r="AL615" s="13"/>
    </row>
    <row r="616">
      <c r="A616" s="5"/>
      <c r="B616" s="5"/>
      <c r="C616" s="5"/>
      <c r="D616" s="5"/>
      <c r="E616" s="6"/>
      <c r="F616" s="6"/>
      <c r="G616" s="18"/>
      <c r="I616" s="16"/>
      <c r="J616" s="9"/>
      <c r="K616" s="10"/>
      <c r="L616" s="6"/>
      <c r="M616" s="11"/>
      <c r="N616" s="6"/>
      <c r="O616" s="6"/>
      <c r="P616" s="10"/>
      <c r="Q616" s="6"/>
      <c r="R616" s="6"/>
      <c r="S616" s="6"/>
      <c r="T616" s="6"/>
      <c r="U616" s="9"/>
      <c r="AI616" s="6"/>
      <c r="AJ616" s="12"/>
      <c r="AL616" s="13"/>
    </row>
    <row r="617">
      <c r="A617" s="5"/>
      <c r="B617" s="5"/>
      <c r="C617" s="5"/>
      <c r="D617" s="5"/>
      <c r="E617" s="6"/>
      <c r="F617" s="6"/>
      <c r="G617" s="18"/>
      <c r="I617" s="16"/>
      <c r="J617" s="9"/>
      <c r="K617" s="10"/>
      <c r="L617" s="6"/>
      <c r="M617" s="11"/>
      <c r="N617" s="6"/>
      <c r="O617" s="6"/>
      <c r="P617" s="10"/>
      <c r="Q617" s="6"/>
      <c r="R617" s="6"/>
      <c r="S617" s="6"/>
      <c r="T617" s="6"/>
      <c r="U617" s="9"/>
      <c r="AI617" s="6"/>
      <c r="AJ617" s="12"/>
      <c r="AL617" s="13"/>
    </row>
    <row r="618">
      <c r="A618" s="5"/>
      <c r="B618" s="5"/>
      <c r="C618" s="5"/>
      <c r="D618" s="5"/>
      <c r="E618" s="6"/>
      <c r="F618" s="6"/>
      <c r="G618" s="18"/>
      <c r="I618" s="16"/>
      <c r="J618" s="9"/>
      <c r="K618" s="10"/>
      <c r="L618" s="6"/>
      <c r="M618" s="11"/>
      <c r="N618" s="6"/>
      <c r="O618" s="6"/>
      <c r="P618" s="10"/>
      <c r="Q618" s="6"/>
      <c r="R618" s="6"/>
      <c r="S618" s="6"/>
      <c r="T618" s="6"/>
      <c r="U618" s="9"/>
      <c r="AI618" s="6"/>
      <c r="AJ618" s="12"/>
      <c r="AL618" s="13"/>
    </row>
    <row r="619">
      <c r="A619" s="5"/>
      <c r="B619" s="5"/>
      <c r="C619" s="5"/>
      <c r="D619" s="5"/>
      <c r="E619" s="6"/>
      <c r="F619" s="6"/>
      <c r="G619" s="18"/>
      <c r="I619" s="16"/>
      <c r="J619" s="9"/>
      <c r="K619" s="10"/>
      <c r="L619" s="6"/>
      <c r="M619" s="11"/>
      <c r="N619" s="6"/>
      <c r="O619" s="6"/>
      <c r="P619" s="10"/>
      <c r="Q619" s="6"/>
      <c r="R619" s="6"/>
      <c r="S619" s="6"/>
      <c r="T619" s="6"/>
      <c r="U619" s="9"/>
      <c r="AI619" s="6"/>
      <c r="AJ619" s="12"/>
      <c r="AL619" s="13"/>
    </row>
    <row r="620">
      <c r="A620" s="5"/>
      <c r="B620" s="5"/>
      <c r="C620" s="5"/>
      <c r="D620" s="5"/>
      <c r="E620" s="6"/>
      <c r="F620" s="6"/>
      <c r="G620" s="18"/>
      <c r="I620" s="16"/>
      <c r="J620" s="9"/>
      <c r="K620" s="10"/>
      <c r="L620" s="6"/>
      <c r="M620" s="11"/>
      <c r="N620" s="6"/>
      <c r="O620" s="6"/>
      <c r="P620" s="10"/>
      <c r="Q620" s="6"/>
      <c r="R620" s="6"/>
      <c r="S620" s="6"/>
      <c r="T620" s="6"/>
      <c r="U620" s="9"/>
      <c r="AI620" s="6"/>
      <c r="AJ620" s="12"/>
      <c r="AL620" s="13"/>
    </row>
    <row r="621">
      <c r="A621" s="5"/>
      <c r="B621" s="5"/>
      <c r="C621" s="5"/>
      <c r="D621" s="5"/>
      <c r="E621" s="6"/>
      <c r="F621" s="6"/>
      <c r="G621" s="18"/>
      <c r="I621" s="16"/>
      <c r="J621" s="9"/>
      <c r="K621" s="10"/>
      <c r="L621" s="6"/>
      <c r="M621" s="11"/>
      <c r="N621" s="6"/>
      <c r="O621" s="6"/>
      <c r="P621" s="10"/>
      <c r="Q621" s="6"/>
      <c r="R621" s="6"/>
      <c r="S621" s="6"/>
      <c r="T621" s="6"/>
      <c r="U621" s="9"/>
      <c r="AI621" s="6"/>
      <c r="AJ621" s="12"/>
      <c r="AL621" s="13"/>
    </row>
    <row r="622">
      <c r="A622" s="5"/>
      <c r="B622" s="5"/>
      <c r="C622" s="5"/>
      <c r="D622" s="5"/>
      <c r="E622" s="6"/>
      <c r="F622" s="6"/>
      <c r="G622" s="18"/>
      <c r="I622" s="16"/>
      <c r="J622" s="9"/>
      <c r="K622" s="10"/>
      <c r="L622" s="6"/>
      <c r="M622" s="11"/>
      <c r="N622" s="6"/>
      <c r="O622" s="6"/>
      <c r="P622" s="10"/>
      <c r="Q622" s="6"/>
      <c r="R622" s="6"/>
      <c r="S622" s="6"/>
      <c r="T622" s="6"/>
      <c r="U622" s="9"/>
      <c r="AI622" s="6"/>
      <c r="AJ622" s="12"/>
      <c r="AL622" s="13"/>
    </row>
    <row r="623">
      <c r="A623" s="5"/>
      <c r="B623" s="5"/>
      <c r="C623" s="5"/>
      <c r="D623" s="5"/>
      <c r="E623" s="6"/>
      <c r="F623" s="6"/>
      <c r="G623" s="18"/>
      <c r="I623" s="16"/>
      <c r="J623" s="9"/>
      <c r="K623" s="10"/>
      <c r="L623" s="6"/>
      <c r="M623" s="11"/>
      <c r="N623" s="6"/>
      <c r="O623" s="6"/>
      <c r="P623" s="10"/>
      <c r="Q623" s="6"/>
      <c r="R623" s="6"/>
      <c r="S623" s="6"/>
      <c r="T623" s="6"/>
      <c r="U623" s="9"/>
      <c r="AI623" s="6"/>
      <c r="AJ623" s="12"/>
      <c r="AL623" s="13"/>
    </row>
    <row r="624">
      <c r="A624" s="5"/>
      <c r="B624" s="5"/>
      <c r="C624" s="5"/>
      <c r="D624" s="5"/>
      <c r="E624" s="6"/>
      <c r="F624" s="6"/>
      <c r="G624" s="18"/>
      <c r="I624" s="16"/>
      <c r="J624" s="9"/>
      <c r="K624" s="10"/>
      <c r="L624" s="6"/>
      <c r="M624" s="11"/>
      <c r="N624" s="6"/>
      <c r="O624" s="6"/>
      <c r="P624" s="10"/>
      <c r="Q624" s="6"/>
      <c r="R624" s="6"/>
      <c r="S624" s="6"/>
      <c r="T624" s="6"/>
      <c r="U624" s="9"/>
      <c r="AI624" s="6"/>
      <c r="AJ624" s="12"/>
      <c r="AL624" s="13"/>
    </row>
    <row r="625">
      <c r="A625" s="5"/>
      <c r="B625" s="5"/>
      <c r="C625" s="5"/>
      <c r="D625" s="5"/>
      <c r="E625" s="6"/>
      <c r="F625" s="6"/>
      <c r="G625" s="18"/>
      <c r="I625" s="16"/>
      <c r="J625" s="9"/>
      <c r="K625" s="10"/>
      <c r="L625" s="6"/>
      <c r="M625" s="11"/>
      <c r="N625" s="6"/>
      <c r="O625" s="6"/>
      <c r="P625" s="10"/>
      <c r="Q625" s="6"/>
      <c r="R625" s="6"/>
      <c r="S625" s="6"/>
      <c r="T625" s="6"/>
      <c r="U625" s="9"/>
      <c r="AI625" s="6"/>
      <c r="AJ625" s="12"/>
      <c r="AL625" s="13"/>
    </row>
    <row r="626">
      <c r="A626" s="5"/>
      <c r="B626" s="5"/>
      <c r="C626" s="5"/>
      <c r="D626" s="5"/>
      <c r="E626" s="6"/>
      <c r="F626" s="6"/>
      <c r="G626" s="18"/>
      <c r="I626" s="16"/>
      <c r="J626" s="9"/>
      <c r="K626" s="10"/>
      <c r="L626" s="6"/>
      <c r="M626" s="11"/>
      <c r="N626" s="6"/>
      <c r="O626" s="6"/>
      <c r="P626" s="10"/>
      <c r="Q626" s="6"/>
      <c r="R626" s="6"/>
      <c r="S626" s="6"/>
      <c r="T626" s="6"/>
      <c r="U626" s="9"/>
      <c r="AI626" s="6"/>
      <c r="AJ626" s="12"/>
      <c r="AL626" s="13"/>
    </row>
    <row r="627">
      <c r="A627" s="5"/>
      <c r="B627" s="5"/>
      <c r="C627" s="5"/>
      <c r="D627" s="5"/>
      <c r="E627" s="6"/>
      <c r="F627" s="6"/>
      <c r="G627" s="18"/>
      <c r="I627" s="16"/>
      <c r="J627" s="9"/>
      <c r="K627" s="10"/>
      <c r="L627" s="6"/>
      <c r="M627" s="11"/>
      <c r="N627" s="6"/>
      <c r="O627" s="6"/>
      <c r="P627" s="10"/>
      <c r="Q627" s="6"/>
      <c r="R627" s="6"/>
      <c r="S627" s="6"/>
      <c r="T627" s="6"/>
      <c r="U627" s="9"/>
      <c r="AI627" s="6"/>
      <c r="AJ627" s="12"/>
      <c r="AL627" s="13"/>
    </row>
    <row r="628">
      <c r="A628" s="5"/>
      <c r="B628" s="5"/>
      <c r="C628" s="5"/>
      <c r="D628" s="5"/>
      <c r="E628" s="6"/>
      <c r="F628" s="6"/>
      <c r="G628" s="18"/>
      <c r="I628" s="16"/>
      <c r="J628" s="9"/>
      <c r="K628" s="10"/>
      <c r="L628" s="6"/>
      <c r="M628" s="11"/>
      <c r="N628" s="6"/>
      <c r="O628" s="6"/>
      <c r="P628" s="10"/>
      <c r="Q628" s="6"/>
      <c r="R628" s="6"/>
      <c r="S628" s="6"/>
      <c r="T628" s="6"/>
      <c r="U628" s="9"/>
      <c r="AI628" s="6"/>
      <c r="AJ628" s="12"/>
      <c r="AL628" s="13"/>
    </row>
    <row r="629">
      <c r="A629" s="5"/>
      <c r="B629" s="5"/>
      <c r="C629" s="5"/>
      <c r="D629" s="5"/>
      <c r="E629" s="6"/>
      <c r="F629" s="6"/>
      <c r="G629" s="18"/>
      <c r="I629" s="16"/>
      <c r="J629" s="9"/>
      <c r="K629" s="10"/>
      <c r="L629" s="6"/>
      <c r="M629" s="11"/>
      <c r="N629" s="6"/>
      <c r="O629" s="6"/>
      <c r="P629" s="10"/>
      <c r="Q629" s="6"/>
      <c r="R629" s="6"/>
      <c r="S629" s="6"/>
      <c r="T629" s="6"/>
      <c r="U629" s="9"/>
      <c r="AI629" s="6"/>
      <c r="AJ629" s="12"/>
      <c r="AL629" s="13"/>
    </row>
    <row r="630">
      <c r="A630" s="5"/>
      <c r="B630" s="5"/>
      <c r="C630" s="5"/>
      <c r="D630" s="5"/>
      <c r="E630" s="6"/>
      <c r="F630" s="6"/>
      <c r="G630" s="18"/>
      <c r="I630" s="16"/>
      <c r="J630" s="9"/>
      <c r="K630" s="10"/>
      <c r="L630" s="6"/>
      <c r="M630" s="11"/>
      <c r="N630" s="6"/>
      <c r="O630" s="6"/>
      <c r="P630" s="10"/>
      <c r="Q630" s="6"/>
      <c r="R630" s="6"/>
      <c r="S630" s="6"/>
      <c r="T630" s="6"/>
      <c r="U630" s="9"/>
      <c r="AI630" s="6"/>
      <c r="AJ630" s="12"/>
      <c r="AL630" s="13"/>
    </row>
    <row r="631">
      <c r="A631" s="5"/>
      <c r="B631" s="5"/>
      <c r="C631" s="5"/>
      <c r="D631" s="5"/>
      <c r="E631" s="6"/>
      <c r="F631" s="6"/>
      <c r="G631" s="18"/>
      <c r="I631" s="16"/>
      <c r="J631" s="9"/>
      <c r="K631" s="10"/>
      <c r="L631" s="6"/>
      <c r="M631" s="11"/>
      <c r="N631" s="6"/>
      <c r="O631" s="6"/>
      <c r="P631" s="10"/>
      <c r="Q631" s="6"/>
      <c r="R631" s="6"/>
      <c r="S631" s="6"/>
      <c r="T631" s="6"/>
      <c r="U631" s="9"/>
      <c r="AI631" s="6"/>
      <c r="AJ631" s="12"/>
      <c r="AL631" s="13"/>
    </row>
    <row r="632">
      <c r="A632" s="5"/>
      <c r="B632" s="5"/>
      <c r="C632" s="5"/>
      <c r="D632" s="5"/>
      <c r="E632" s="6"/>
      <c r="F632" s="6"/>
      <c r="G632" s="18"/>
      <c r="I632" s="16"/>
      <c r="J632" s="9"/>
      <c r="K632" s="10"/>
      <c r="L632" s="6"/>
      <c r="M632" s="11"/>
      <c r="N632" s="6"/>
      <c r="O632" s="6"/>
      <c r="P632" s="10"/>
      <c r="Q632" s="6"/>
      <c r="R632" s="6"/>
      <c r="S632" s="6"/>
      <c r="T632" s="6"/>
      <c r="U632" s="9"/>
      <c r="AI632" s="6"/>
      <c r="AJ632" s="12"/>
      <c r="AL632" s="13"/>
    </row>
    <row r="633">
      <c r="A633" s="5"/>
      <c r="B633" s="5"/>
      <c r="C633" s="5"/>
      <c r="D633" s="5"/>
      <c r="E633" s="6"/>
      <c r="F633" s="6"/>
      <c r="G633" s="18"/>
      <c r="I633" s="16"/>
      <c r="J633" s="9"/>
      <c r="K633" s="10"/>
      <c r="L633" s="6"/>
      <c r="M633" s="11"/>
      <c r="N633" s="6"/>
      <c r="O633" s="6"/>
      <c r="P633" s="10"/>
      <c r="Q633" s="6"/>
      <c r="R633" s="6"/>
      <c r="S633" s="6"/>
      <c r="T633" s="6"/>
      <c r="U633" s="9"/>
      <c r="AI633" s="6"/>
      <c r="AJ633" s="12"/>
      <c r="AL633" s="13"/>
    </row>
    <row r="634">
      <c r="A634" s="5"/>
      <c r="B634" s="5"/>
      <c r="C634" s="5"/>
      <c r="D634" s="5"/>
      <c r="E634" s="6"/>
      <c r="F634" s="6"/>
      <c r="G634" s="18"/>
      <c r="I634" s="16"/>
      <c r="J634" s="9"/>
      <c r="K634" s="10"/>
      <c r="L634" s="6"/>
      <c r="M634" s="11"/>
      <c r="N634" s="6"/>
      <c r="O634" s="6"/>
      <c r="P634" s="10"/>
      <c r="Q634" s="6"/>
      <c r="R634" s="6"/>
      <c r="S634" s="6"/>
      <c r="T634" s="6"/>
      <c r="U634" s="9"/>
      <c r="AI634" s="6"/>
      <c r="AJ634" s="12"/>
      <c r="AL634" s="13"/>
    </row>
    <row r="635">
      <c r="A635" s="5"/>
      <c r="B635" s="5"/>
      <c r="C635" s="5"/>
      <c r="D635" s="5"/>
      <c r="E635" s="6"/>
      <c r="F635" s="6"/>
      <c r="G635" s="18"/>
      <c r="I635" s="16"/>
      <c r="J635" s="9"/>
      <c r="K635" s="10"/>
      <c r="L635" s="6"/>
      <c r="M635" s="11"/>
      <c r="N635" s="6"/>
      <c r="O635" s="6"/>
      <c r="P635" s="10"/>
      <c r="Q635" s="6"/>
      <c r="R635" s="6"/>
      <c r="S635" s="6"/>
      <c r="T635" s="6"/>
      <c r="U635" s="9"/>
      <c r="AI635" s="6"/>
      <c r="AJ635" s="12"/>
      <c r="AL635" s="13"/>
    </row>
    <row r="636">
      <c r="A636" s="5"/>
      <c r="B636" s="5"/>
      <c r="C636" s="5"/>
      <c r="D636" s="5"/>
      <c r="E636" s="6"/>
      <c r="F636" s="6"/>
      <c r="G636" s="18"/>
      <c r="I636" s="16"/>
      <c r="J636" s="9"/>
      <c r="K636" s="10"/>
      <c r="L636" s="6"/>
      <c r="M636" s="11"/>
      <c r="N636" s="6"/>
      <c r="O636" s="6"/>
      <c r="P636" s="10"/>
      <c r="Q636" s="6"/>
      <c r="R636" s="6"/>
      <c r="S636" s="6"/>
      <c r="T636" s="6"/>
      <c r="U636" s="9"/>
      <c r="AI636" s="6"/>
      <c r="AJ636" s="12"/>
      <c r="AL636" s="13"/>
    </row>
    <row r="637">
      <c r="A637" s="5"/>
      <c r="B637" s="5"/>
      <c r="C637" s="5"/>
      <c r="D637" s="5"/>
      <c r="E637" s="6"/>
      <c r="F637" s="6"/>
      <c r="G637" s="18"/>
      <c r="I637" s="16"/>
      <c r="J637" s="9"/>
      <c r="K637" s="10"/>
      <c r="L637" s="6"/>
      <c r="M637" s="11"/>
      <c r="N637" s="6"/>
      <c r="O637" s="6"/>
      <c r="P637" s="10"/>
      <c r="Q637" s="6"/>
      <c r="R637" s="6"/>
      <c r="S637" s="6"/>
      <c r="T637" s="6"/>
      <c r="U637" s="9"/>
      <c r="AI637" s="6"/>
      <c r="AJ637" s="12"/>
      <c r="AL637" s="13"/>
    </row>
    <row r="638">
      <c r="A638" s="5"/>
      <c r="B638" s="5"/>
      <c r="C638" s="5"/>
      <c r="D638" s="5"/>
      <c r="E638" s="6"/>
      <c r="F638" s="6"/>
      <c r="G638" s="18"/>
      <c r="I638" s="16"/>
      <c r="J638" s="9"/>
      <c r="K638" s="10"/>
      <c r="L638" s="6"/>
      <c r="M638" s="11"/>
      <c r="N638" s="6"/>
      <c r="O638" s="6"/>
      <c r="P638" s="10"/>
      <c r="Q638" s="6"/>
      <c r="R638" s="6"/>
      <c r="S638" s="6"/>
      <c r="T638" s="6"/>
      <c r="U638" s="9"/>
      <c r="AI638" s="6"/>
      <c r="AJ638" s="12"/>
      <c r="AL638" s="13"/>
    </row>
    <row r="639">
      <c r="A639" s="5"/>
      <c r="B639" s="5"/>
      <c r="C639" s="5"/>
      <c r="D639" s="5"/>
      <c r="E639" s="6"/>
      <c r="F639" s="6"/>
      <c r="G639" s="18"/>
      <c r="I639" s="16"/>
      <c r="J639" s="9"/>
      <c r="K639" s="10"/>
      <c r="L639" s="6"/>
      <c r="M639" s="11"/>
      <c r="N639" s="6"/>
      <c r="O639" s="6"/>
      <c r="P639" s="10"/>
      <c r="Q639" s="6"/>
      <c r="R639" s="6"/>
      <c r="S639" s="6"/>
      <c r="T639" s="6"/>
      <c r="U639" s="9"/>
      <c r="AI639" s="6"/>
      <c r="AJ639" s="12"/>
      <c r="AL639" s="13"/>
    </row>
    <row r="640">
      <c r="A640" s="5"/>
      <c r="B640" s="5"/>
      <c r="C640" s="5"/>
      <c r="D640" s="5"/>
      <c r="E640" s="6"/>
      <c r="F640" s="6"/>
      <c r="G640" s="18"/>
      <c r="I640" s="16"/>
      <c r="J640" s="9"/>
      <c r="K640" s="10"/>
      <c r="L640" s="6"/>
      <c r="M640" s="11"/>
      <c r="N640" s="6"/>
      <c r="O640" s="6"/>
      <c r="P640" s="10"/>
      <c r="Q640" s="6"/>
      <c r="R640" s="6"/>
      <c r="S640" s="6"/>
      <c r="T640" s="6"/>
      <c r="U640" s="9"/>
      <c r="AI640" s="6"/>
      <c r="AJ640" s="12"/>
      <c r="AL640" s="13"/>
    </row>
    <row r="641">
      <c r="A641" s="5"/>
      <c r="B641" s="5"/>
      <c r="C641" s="5"/>
      <c r="D641" s="5"/>
      <c r="E641" s="6"/>
      <c r="F641" s="6"/>
      <c r="G641" s="18"/>
      <c r="I641" s="16"/>
      <c r="J641" s="9"/>
      <c r="K641" s="10"/>
      <c r="L641" s="6"/>
      <c r="M641" s="11"/>
      <c r="N641" s="6"/>
      <c r="O641" s="6"/>
      <c r="P641" s="10"/>
      <c r="Q641" s="6"/>
      <c r="R641" s="6"/>
      <c r="S641" s="6"/>
      <c r="T641" s="6"/>
      <c r="U641" s="9"/>
      <c r="AI641" s="6"/>
      <c r="AJ641" s="12"/>
      <c r="AL641" s="13"/>
    </row>
    <row r="642">
      <c r="A642" s="5"/>
      <c r="B642" s="5"/>
      <c r="C642" s="5"/>
      <c r="D642" s="5"/>
      <c r="E642" s="6"/>
      <c r="F642" s="6"/>
      <c r="G642" s="18"/>
      <c r="I642" s="16"/>
      <c r="J642" s="9"/>
      <c r="K642" s="10"/>
      <c r="L642" s="6"/>
      <c r="M642" s="11"/>
      <c r="N642" s="6"/>
      <c r="O642" s="6"/>
      <c r="P642" s="10"/>
      <c r="Q642" s="6"/>
      <c r="R642" s="6"/>
      <c r="S642" s="6"/>
      <c r="T642" s="6"/>
      <c r="U642" s="9"/>
      <c r="AI642" s="6"/>
      <c r="AJ642" s="12"/>
      <c r="AL642" s="13"/>
    </row>
    <row r="643">
      <c r="A643" s="5"/>
      <c r="B643" s="5"/>
      <c r="C643" s="5"/>
      <c r="D643" s="5"/>
      <c r="E643" s="6"/>
      <c r="F643" s="6"/>
      <c r="G643" s="18"/>
      <c r="I643" s="16"/>
      <c r="J643" s="9"/>
      <c r="K643" s="10"/>
      <c r="L643" s="6"/>
      <c r="M643" s="11"/>
      <c r="N643" s="6"/>
      <c r="O643" s="6"/>
      <c r="P643" s="10"/>
      <c r="Q643" s="6"/>
      <c r="R643" s="6"/>
      <c r="S643" s="6"/>
      <c r="T643" s="6"/>
      <c r="U643" s="9"/>
      <c r="AI643" s="6"/>
      <c r="AJ643" s="12"/>
      <c r="AL643" s="13"/>
    </row>
    <row r="644">
      <c r="A644" s="5"/>
      <c r="B644" s="5"/>
      <c r="C644" s="5"/>
      <c r="D644" s="5"/>
      <c r="E644" s="6"/>
      <c r="F644" s="6"/>
      <c r="G644" s="18"/>
      <c r="I644" s="16"/>
      <c r="J644" s="9"/>
      <c r="K644" s="10"/>
      <c r="L644" s="6"/>
      <c r="M644" s="11"/>
      <c r="N644" s="6"/>
      <c r="O644" s="6"/>
      <c r="P644" s="10"/>
      <c r="Q644" s="6"/>
      <c r="R644" s="6"/>
      <c r="S644" s="6"/>
      <c r="T644" s="6"/>
      <c r="U644" s="9"/>
      <c r="AI644" s="6"/>
      <c r="AJ644" s="12"/>
      <c r="AL644" s="13"/>
    </row>
    <row r="645">
      <c r="A645" s="5"/>
      <c r="B645" s="5"/>
      <c r="C645" s="5"/>
      <c r="D645" s="5"/>
      <c r="E645" s="6"/>
      <c r="F645" s="6"/>
      <c r="G645" s="18"/>
      <c r="I645" s="16"/>
      <c r="J645" s="9"/>
      <c r="K645" s="10"/>
      <c r="L645" s="6"/>
      <c r="M645" s="11"/>
      <c r="N645" s="6"/>
      <c r="O645" s="6"/>
      <c r="P645" s="10"/>
      <c r="Q645" s="6"/>
      <c r="R645" s="6"/>
      <c r="S645" s="6"/>
      <c r="T645" s="6"/>
      <c r="U645" s="9"/>
      <c r="AI645" s="6"/>
      <c r="AJ645" s="12"/>
      <c r="AL645" s="13"/>
    </row>
    <row r="646">
      <c r="A646" s="5"/>
      <c r="B646" s="5"/>
      <c r="C646" s="5"/>
      <c r="D646" s="5"/>
      <c r="E646" s="6"/>
      <c r="F646" s="6"/>
      <c r="G646" s="18"/>
      <c r="I646" s="16"/>
      <c r="J646" s="9"/>
      <c r="K646" s="10"/>
      <c r="L646" s="6"/>
      <c r="M646" s="11"/>
      <c r="N646" s="6"/>
      <c r="O646" s="6"/>
      <c r="P646" s="10"/>
      <c r="Q646" s="6"/>
      <c r="R646" s="6"/>
      <c r="S646" s="6"/>
      <c r="T646" s="6"/>
      <c r="U646" s="9"/>
      <c r="AI646" s="6"/>
      <c r="AJ646" s="12"/>
      <c r="AL646" s="13"/>
    </row>
    <row r="647">
      <c r="A647" s="5"/>
      <c r="B647" s="5"/>
      <c r="C647" s="5"/>
      <c r="D647" s="5"/>
      <c r="E647" s="6"/>
      <c r="F647" s="6"/>
      <c r="G647" s="18"/>
      <c r="I647" s="16"/>
      <c r="J647" s="9"/>
      <c r="K647" s="10"/>
      <c r="L647" s="6"/>
      <c r="M647" s="11"/>
      <c r="N647" s="6"/>
      <c r="O647" s="6"/>
      <c r="P647" s="10"/>
      <c r="Q647" s="6"/>
      <c r="R647" s="6"/>
      <c r="S647" s="6"/>
      <c r="T647" s="6"/>
      <c r="U647" s="9"/>
      <c r="AI647" s="6"/>
      <c r="AJ647" s="12"/>
      <c r="AL647" s="13"/>
    </row>
    <row r="648">
      <c r="A648" s="5"/>
      <c r="B648" s="5"/>
      <c r="C648" s="5"/>
      <c r="D648" s="5"/>
      <c r="E648" s="6"/>
      <c r="F648" s="6"/>
      <c r="G648" s="18"/>
      <c r="I648" s="16"/>
      <c r="J648" s="9"/>
      <c r="K648" s="10"/>
      <c r="L648" s="6"/>
      <c r="M648" s="11"/>
      <c r="N648" s="6"/>
      <c r="O648" s="6"/>
      <c r="P648" s="10"/>
      <c r="Q648" s="6"/>
      <c r="R648" s="6"/>
      <c r="S648" s="6"/>
      <c r="T648" s="6"/>
      <c r="U648" s="9"/>
      <c r="AI648" s="6"/>
      <c r="AJ648" s="12"/>
      <c r="AL648" s="13"/>
    </row>
    <row r="649">
      <c r="A649" s="5"/>
      <c r="B649" s="5"/>
      <c r="C649" s="5"/>
      <c r="D649" s="5"/>
      <c r="E649" s="6"/>
      <c r="F649" s="6"/>
      <c r="G649" s="18"/>
      <c r="I649" s="16"/>
      <c r="J649" s="9"/>
      <c r="K649" s="10"/>
      <c r="L649" s="6"/>
      <c r="M649" s="11"/>
      <c r="N649" s="6"/>
      <c r="O649" s="6"/>
      <c r="P649" s="10"/>
      <c r="Q649" s="6"/>
      <c r="R649" s="6"/>
      <c r="S649" s="6"/>
      <c r="T649" s="6"/>
      <c r="U649" s="9"/>
      <c r="AI649" s="6"/>
      <c r="AJ649" s="12"/>
      <c r="AL649" s="13"/>
    </row>
    <row r="650">
      <c r="A650" s="5"/>
      <c r="B650" s="5"/>
      <c r="C650" s="5"/>
      <c r="D650" s="5"/>
      <c r="E650" s="6"/>
      <c r="F650" s="6"/>
      <c r="G650" s="18"/>
      <c r="I650" s="16"/>
      <c r="J650" s="9"/>
      <c r="K650" s="10"/>
      <c r="L650" s="6"/>
      <c r="M650" s="11"/>
      <c r="N650" s="6"/>
      <c r="O650" s="6"/>
      <c r="P650" s="10"/>
      <c r="Q650" s="6"/>
      <c r="R650" s="6"/>
      <c r="S650" s="6"/>
      <c r="T650" s="6"/>
      <c r="U650" s="9"/>
      <c r="AI650" s="6"/>
      <c r="AJ650" s="12"/>
      <c r="AL650" s="13"/>
    </row>
    <row r="651">
      <c r="A651" s="5"/>
      <c r="B651" s="5"/>
      <c r="C651" s="5"/>
      <c r="D651" s="5"/>
      <c r="E651" s="6"/>
      <c r="F651" s="6"/>
      <c r="G651" s="18"/>
      <c r="I651" s="16"/>
      <c r="J651" s="9"/>
      <c r="K651" s="10"/>
      <c r="L651" s="6"/>
      <c r="M651" s="11"/>
      <c r="N651" s="6"/>
      <c r="O651" s="6"/>
      <c r="P651" s="10"/>
      <c r="Q651" s="6"/>
      <c r="R651" s="6"/>
      <c r="S651" s="6"/>
      <c r="T651" s="6"/>
      <c r="U651" s="9"/>
      <c r="AI651" s="6"/>
      <c r="AJ651" s="12"/>
      <c r="AL651" s="13"/>
    </row>
    <row r="652">
      <c r="A652" s="5"/>
      <c r="B652" s="5"/>
      <c r="C652" s="5"/>
      <c r="D652" s="5"/>
      <c r="E652" s="6"/>
      <c r="F652" s="6"/>
      <c r="G652" s="18"/>
      <c r="I652" s="16"/>
      <c r="J652" s="9"/>
      <c r="K652" s="10"/>
      <c r="L652" s="6"/>
      <c r="M652" s="11"/>
      <c r="N652" s="6"/>
      <c r="O652" s="6"/>
      <c r="P652" s="10"/>
      <c r="Q652" s="6"/>
      <c r="R652" s="6"/>
      <c r="S652" s="6"/>
      <c r="T652" s="6"/>
      <c r="U652" s="9"/>
      <c r="AI652" s="6"/>
      <c r="AJ652" s="12"/>
      <c r="AL652" s="13"/>
    </row>
    <row r="653">
      <c r="A653" s="5"/>
      <c r="B653" s="5"/>
      <c r="C653" s="5"/>
      <c r="D653" s="5"/>
      <c r="E653" s="6"/>
      <c r="F653" s="6"/>
      <c r="G653" s="18"/>
      <c r="I653" s="16"/>
      <c r="J653" s="9"/>
      <c r="K653" s="10"/>
      <c r="L653" s="6"/>
      <c r="M653" s="11"/>
      <c r="N653" s="6"/>
      <c r="O653" s="6"/>
      <c r="P653" s="10"/>
      <c r="Q653" s="6"/>
      <c r="R653" s="6"/>
      <c r="S653" s="6"/>
      <c r="T653" s="6"/>
      <c r="U653" s="9"/>
      <c r="AI653" s="6"/>
      <c r="AJ653" s="12"/>
      <c r="AL653" s="13"/>
    </row>
    <row r="654">
      <c r="A654" s="5"/>
      <c r="B654" s="5"/>
      <c r="C654" s="5"/>
      <c r="D654" s="5"/>
      <c r="E654" s="6"/>
      <c r="F654" s="6"/>
      <c r="G654" s="18"/>
      <c r="I654" s="16"/>
      <c r="J654" s="9"/>
      <c r="K654" s="10"/>
      <c r="L654" s="6"/>
      <c r="M654" s="11"/>
      <c r="N654" s="6"/>
      <c r="O654" s="6"/>
      <c r="P654" s="10"/>
      <c r="Q654" s="6"/>
      <c r="R654" s="6"/>
      <c r="S654" s="6"/>
      <c r="T654" s="6"/>
      <c r="U654" s="9"/>
      <c r="AI654" s="6"/>
      <c r="AJ654" s="12"/>
      <c r="AL654" s="13"/>
    </row>
    <row r="655">
      <c r="A655" s="5"/>
      <c r="B655" s="5"/>
      <c r="C655" s="5"/>
      <c r="D655" s="5"/>
      <c r="E655" s="6"/>
      <c r="F655" s="6"/>
      <c r="G655" s="18"/>
      <c r="I655" s="16"/>
      <c r="J655" s="9"/>
      <c r="K655" s="10"/>
      <c r="L655" s="6"/>
      <c r="M655" s="11"/>
      <c r="N655" s="6"/>
      <c r="O655" s="6"/>
      <c r="P655" s="10"/>
      <c r="Q655" s="6"/>
      <c r="R655" s="6"/>
      <c r="S655" s="6"/>
      <c r="T655" s="6"/>
      <c r="U655" s="9"/>
      <c r="AI655" s="6"/>
      <c r="AJ655" s="12"/>
      <c r="AL655" s="13"/>
    </row>
    <row r="656">
      <c r="A656" s="5"/>
      <c r="B656" s="5"/>
      <c r="C656" s="5"/>
      <c r="D656" s="5"/>
      <c r="E656" s="6"/>
      <c r="F656" s="6"/>
      <c r="G656" s="18"/>
      <c r="I656" s="16"/>
      <c r="J656" s="9"/>
      <c r="K656" s="10"/>
      <c r="L656" s="6"/>
      <c r="M656" s="11"/>
      <c r="N656" s="6"/>
      <c r="O656" s="6"/>
      <c r="P656" s="10"/>
      <c r="Q656" s="6"/>
      <c r="R656" s="6"/>
      <c r="S656" s="6"/>
      <c r="T656" s="6"/>
      <c r="U656" s="9"/>
      <c r="AI656" s="6"/>
      <c r="AJ656" s="12"/>
      <c r="AL656" s="13"/>
    </row>
    <row r="657">
      <c r="A657" s="5"/>
      <c r="B657" s="5"/>
      <c r="C657" s="5"/>
      <c r="D657" s="5"/>
      <c r="E657" s="6"/>
      <c r="F657" s="6"/>
      <c r="G657" s="18"/>
      <c r="I657" s="16"/>
      <c r="J657" s="9"/>
      <c r="K657" s="10"/>
      <c r="L657" s="6"/>
      <c r="M657" s="11"/>
      <c r="N657" s="6"/>
      <c r="O657" s="6"/>
      <c r="P657" s="10"/>
      <c r="Q657" s="6"/>
      <c r="R657" s="6"/>
      <c r="S657" s="6"/>
      <c r="T657" s="6"/>
      <c r="U657" s="9"/>
      <c r="AI657" s="6"/>
      <c r="AJ657" s="12"/>
      <c r="AL657" s="13"/>
    </row>
    <row r="658">
      <c r="A658" s="5"/>
      <c r="B658" s="5"/>
      <c r="C658" s="5"/>
      <c r="D658" s="5"/>
      <c r="E658" s="6"/>
      <c r="F658" s="6"/>
      <c r="G658" s="18"/>
      <c r="I658" s="16"/>
      <c r="J658" s="9"/>
      <c r="K658" s="10"/>
      <c r="L658" s="6"/>
      <c r="M658" s="11"/>
      <c r="N658" s="6"/>
      <c r="O658" s="6"/>
      <c r="P658" s="10"/>
      <c r="Q658" s="6"/>
      <c r="R658" s="6"/>
      <c r="S658" s="6"/>
      <c r="T658" s="6"/>
      <c r="U658" s="9"/>
      <c r="AI658" s="6"/>
      <c r="AJ658" s="12"/>
      <c r="AL658" s="13"/>
    </row>
    <row r="659">
      <c r="A659" s="5"/>
      <c r="B659" s="5"/>
      <c r="C659" s="5"/>
      <c r="D659" s="5"/>
      <c r="E659" s="6"/>
      <c r="F659" s="6"/>
      <c r="G659" s="18"/>
      <c r="I659" s="16"/>
      <c r="J659" s="9"/>
      <c r="K659" s="10"/>
      <c r="L659" s="6"/>
      <c r="M659" s="11"/>
      <c r="N659" s="6"/>
      <c r="O659" s="6"/>
      <c r="P659" s="10"/>
      <c r="Q659" s="6"/>
      <c r="R659" s="6"/>
      <c r="S659" s="6"/>
      <c r="T659" s="6"/>
      <c r="U659" s="9"/>
      <c r="AI659" s="6"/>
      <c r="AJ659" s="12"/>
      <c r="AL659" s="13"/>
    </row>
    <row r="660">
      <c r="A660" s="5"/>
      <c r="B660" s="5"/>
      <c r="C660" s="5"/>
      <c r="D660" s="5"/>
      <c r="E660" s="6"/>
      <c r="F660" s="6"/>
      <c r="G660" s="18"/>
      <c r="I660" s="16"/>
      <c r="J660" s="9"/>
      <c r="K660" s="10"/>
      <c r="L660" s="6"/>
      <c r="M660" s="11"/>
      <c r="N660" s="6"/>
      <c r="O660" s="6"/>
      <c r="P660" s="10"/>
      <c r="Q660" s="6"/>
      <c r="R660" s="6"/>
      <c r="S660" s="6"/>
      <c r="T660" s="6"/>
      <c r="U660" s="9"/>
      <c r="AI660" s="6"/>
      <c r="AJ660" s="12"/>
      <c r="AL660" s="13"/>
    </row>
    <row r="661">
      <c r="A661" s="5"/>
      <c r="B661" s="5"/>
      <c r="C661" s="5"/>
      <c r="D661" s="5"/>
      <c r="E661" s="6"/>
      <c r="F661" s="6"/>
      <c r="G661" s="18"/>
      <c r="I661" s="16"/>
      <c r="J661" s="9"/>
      <c r="K661" s="10"/>
      <c r="L661" s="6"/>
      <c r="M661" s="11"/>
      <c r="N661" s="6"/>
      <c r="O661" s="6"/>
      <c r="P661" s="10"/>
      <c r="Q661" s="6"/>
      <c r="R661" s="6"/>
      <c r="S661" s="6"/>
      <c r="T661" s="6"/>
      <c r="U661" s="9"/>
      <c r="AI661" s="6"/>
      <c r="AJ661" s="12"/>
      <c r="AL661" s="13"/>
    </row>
    <row r="662">
      <c r="A662" s="5"/>
      <c r="B662" s="5"/>
      <c r="C662" s="5"/>
      <c r="D662" s="5"/>
      <c r="E662" s="6"/>
      <c r="F662" s="6"/>
      <c r="G662" s="18"/>
      <c r="I662" s="16"/>
      <c r="J662" s="9"/>
      <c r="K662" s="10"/>
      <c r="L662" s="6"/>
      <c r="M662" s="11"/>
      <c r="N662" s="6"/>
      <c r="O662" s="6"/>
      <c r="P662" s="10"/>
      <c r="Q662" s="6"/>
      <c r="R662" s="6"/>
      <c r="S662" s="6"/>
      <c r="T662" s="6"/>
      <c r="U662" s="9"/>
      <c r="AI662" s="6"/>
      <c r="AJ662" s="12"/>
      <c r="AL662" s="13"/>
    </row>
    <row r="663">
      <c r="A663" s="5"/>
      <c r="B663" s="5"/>
      <c r="C663" s="5"/>
      <c r="D663" s="5"/>
      <c r="E663" s="6"/>
      <c r="F663" s="6"/>
      <c r="G663" s="18"/>
      <c r="I663" s="16"/>
      <c r="J663" s="9"/>
      <c r="K663" s="10"/>
      <c r="L663" s="6"/>
      <c r="M663" s="11"/>
      <c r="N663" s="6"/>
      <c r="O663" s="6"/>
      <c r="P663" s="10"/>
      <c r="Q663" s="6"/>
      <c r="R663" s="6"/>
      <c r="S663" s="6"/>
      <c r="T663" s="6"/>
      <c r="U663" s="9"/>
      <c r="AI663" s="6"/>
      <c r="AJ663" s="12"/>
      <c r="AL663" s="13"/>
    </row>
    <row r="664">
      <c r="A664" s="5"/>
      <c r="B664" s="5"/>
      <c r="C664" s="5"/>
      <c r="D664" s="5"/>
      <c r="E664" s="6"/>
      <c r="F664" s="6"/>
      <c r="G664" s="18"/>
      <c r="I664" s="16"/>
      <c r="J664" s="9"/>
      <c r="K664" s="10"/>
      <c r="L664" s="6"/>
      <c r="M664" s="11"/>
      <c r="N664" s="6"/>
      <c r="O664" s="6"/>
      <c r="P664" s="10"/>
      <c r="Q664" s="6"/>
      <c r="R664" s="6"/>
      <c r="S664" s="6"/>
      <c r="T664" s="6"/>
      <c r="U664" s="9"/>
      <c r="AI664" s="6"/>
      <c r="AJ664" s="12"/>
      <c r="AL664" s="13"/>
    </row>
    <row r="665">
      <c r="A665" s="5"/>
      <c r="B665" s="5"/>
      <c r="C665" s="5"/>
      <c r="D665" s="5"/>
      <c r="E665" s="6"/>
      <c r="F665" s="6"/>
      <c r="G665" s="18"/>
      <c r="I665" s="16"/>
      <c r="J665" s="9"/>
      <c r="K665" s="10"/>
      <c r="L665" s="6"/>
      <c r="M665" s="11"/>
      <c r="N665" s="6"/>
      <c r="O665" s="6"/>
      <c r="P665" s="10"/>
      <c r="Q665" s="6"/>
      <c r="R665" s="6"/>
      <c r="S665" s="6"/>
      <c r="T665" s="6"/>
      <c r="U665" s="9"/>
      <c r="AI665" s="6"/>
      <c r="AJ665" s="12"/>
      <c r="AL665" s="13"/>
    </row>
    <row r="666">
      <c r="A666" s="5"/>
      <c r="B666" s="5"/>
      <c r="C666" s="5"/>
      <c r="D666" s="5"/>
      <c r="E666" s="6"/>
      <c r="F666" s="6"/>
      <c r="G666" s="18"/>
      <c r="I666" s="16"/>
      <c r="J666" s="9"/>
      <c r="K666" s="10"/>
      <c r="L666" s="6"/>
      <c r="M666" s="11"/>
      <c r="N666" s="6"/>
      <c r="O666" s="6"/>
      <c r="P666" s="10"/>
      <c r="Q666" s="6"/>
      <c r="R666" s="6"/>
      <c r="S666" s="6"/>
      <c r="T666" s="6"/>
      <c r="U666" s="9"/>
      <c r="AI666" s="6"/>
      <c r="AJ666" s="12"/>
      <c r="AL666" s="13"/>
    </row>
    <row r="667">
      <c r="A667" s="5"/>
      <c r="B667" s="5"/>
      <c r="C667" s="5"/>
      <c r="D667" s="5"/>
      <c r="E667" s="6"/>
      <c r="F667" s="6"/>
      <c r="G667" s="18"/>
      <c r="I667" s="16"/>
      <c r="J667" s="9"/>
      <c r="K667" s="10"/>
      <c r="L667" s="6"/>
      <c r="M667" s="11"/>
      <c r="N667" s="6"/>
      <c r="O667" s="6"/>
      <c r="P667" s="10"/>
      <c r="Q667" s="6"/>
      <c r="R667" s="6"/>
      <c r="S667" s="6"/>
      <c r="T667" s="6"/>
      <c r="U667" s="9"/>
      <c r="AI667" s="6"/>
      <c r="AJ667" s="12"/>
      <c r="AL667" s="13"/>
    </row>
    <row r="668">
      <c r="A668" s="5"/>
      <c r="B668" s="5"/>
      <c r="C668" s="5"/>
      <c r="D668" s="5"/>
      <c r="E668" s="6"/>
      <c r="F668" s="6"/>
      <c r="G668" s="18"/>
      <c r="I668" s="16"/>
      <c r="J668" s="9"/>
      <c r="K668" s="10"/>
      <c r="L668" s="6"/>
      <c r="M668" s="11"/>
      <c r="N668" s="6"/>
      <c r="O668" s="6"/>
      <c r="P668" s="10"/>
      <c r="Q668" s="6"/>
      <c r="R668" s="6"/>
      <c r="S668" s="6"/>
      <c r="T668" s="6"/>
      <c r="U668" s="9"/>
      <c r="AI668" s="6"/>
      <c r="AJ668" s="12"/>
      <c r="AL668" s="13"/>
    </row>
    <row r="669">
      <c r="A669" s="5"/>
      <c r="B669" s="5"/>
      <c r="C669" s="5"/>
      <c r="D669" s="5"/>
      <c r="E669" s="6"/>
      <c r="F669" s="6"/>
      <c r="G669" s="18"/>
      <c r="I669" s="16"/>
      <c r="J669" s="9"/>
      <c r="K669" s="10"/>
      <c r="L669" s="6"/>
      <c r="M669" s="11"/>
      <c r="N669" s="6"/>
      <c r="O669" s="6"/>
      <c r="P669" s="10"/>
      <c r="Q669" s="6"/>
      <c r="R669" s="6"/>
      <c r="S669" s="6"/>
      <c r="T669" s="6"/>
      <c r="U669" s="9"/>
      <c r="AI669" s="6"/>
      <c r="AJ669" s="12"/>
      <c r="AL669" s="13"/>
    </row>
    <row r="670">
      <c r="A670" s="5"/>
      <c r="B670" s="5"/>
      <c r="C670" s="5"/>
      <c r="D670" s="5"/>
      <c r="E670" s="6"/>
      <c r="F670" s="6"/>
      <c r="G670" s="18"/>
      <c r="I670" s="16"/>
      <c r="J670" s="9"/>
      <c r="K670" s="10"/>
      <c r="L670" s="6"/>
      <c r="M670" s="11"/>
      <c r="N670" s="6"/>
      <c r="O670" s="6"/>
      <c r="P670" s="10"/>
      <c r="Q670" s="6"/>
      <c r="R670" s="6"/>
      <c r="S670" s="6"/>
      <c r="T670" s="6"/>
      <c r="U670" s="9"/>
      <c r="AI670" s="6"/>
      <c r="AJ670" s="12"/>
      <c r="AL670" s="13"/>
    </row>
    <row r="671">
      <c r="A671" s="5"/>
      <c r="B671" s="5"/>
      <c r="C671" s="5"/>
      <c r="D671" s="5"/>
      <c r="E671" s="6"/>
      <c r="F671" s="6"/>
      <c r="G671" s="18"/>
      <c r="I671" s="16"/>
      <c r="J671" s="9"/>
      <c r="K671" s="10"/>
      <c r="L671" s="6"/>
      <c r="M671" s="11"/>
      <c r="N671" s="6"/>
      <c r="O671" s="6"/>
      <c r="P671" s="10"/>
      <c r="Q671" s="6"/>
      <c r="R671" s="6"/>
      <c r="S671" s="6"/>
      <c r="T671" s="6"/>
      <c r="U671" s="9"/>
      <c r="AI671" s="6"/>
      <c r="AJ671" s="12"/>
      <c r="AL671" s="13"/>
    </row>
    <row r="672">
      <c r="A672" s="5"/>
      <c r="B672" s="5"/>
      <c r="C672" s="5"/>
      <c r="D672" s="5"/>
      <c r="E672" s="6"/>
      <c r="F672" s="6"/>
      <c r="G672" s="18"/>
      <c r="I672" s="16"/>
      <c r="J672" s="9"/>
      <c r="K672" s="10"/>
      <c r="L672" s="6"/>
      <c r="M672" s="11"/>
      <c r="N672" s="6"/>
      <c r="O672" s="6"/>
      <c r="P672" s="10"/>
      <c r="Q672" s="6"/>
      <c r="R672" s="6"/>
      <c r="S672" s="6"/>
      <c r="T672" s="6"/>
      <c r="U672" s="9"/>
      <c r="AI672" s="6"/>
      <c r="AJ672" s="12"/>
      <c r="AL672" s="13"/>
    </row>
    <row r="673">
      <c r="A673" s="5"/>
      <c r="B673" s="5"/>
      <c r="C673" s="5"/>
      <c r="D673" s="5"/>
      <c r="E673" s="6"/>
      <c r="F673" s="6"/>
      <c r="G673" s="18"/>
      <c r="I673" s="16"/>
      <c r="J673" s="9"/>
      <c r="K673" s="10"/>
      <c r="L673" s="6"/>
      <c r="M673" s="11"/>
      <c r="N673" s="6"/>
      <c r="O673" s="6"/>
      <c r="P673" s="10"/>
      <c r="Q673" s="6"/>
      <c r="R673" s="6"/>
      <c r="S673" s="6"/>
      <c r="T673" s="6"/>
      <c r="U673" s="9"/>
      <c r="AI673" s="6"/>
      <c r="AJ673" s="12"/>
      <c r="AL673" s="13"/>
    </row>
    <row r="674">
      <c r="A674" s="5"/>
      <c r="B674" s="5"/>
      <c r="C674" s="5"/>
      <c r="D674" s="5"/>
      <c r="E674" s="6"/>
      <c r="F674" s="6"/>
      <c r="G674" s="18"/>
      <c r="I674" s="16"/>
      <c r="J674" s="9"/>
      <c r="K674" s="10"/>
      <c r="L674" s="6"/>
      <c r="M674" s="11"/>
      <c r="N674" s="6"/>
      <c r="O674" s="6"/>
      <c r="P674" s="10"/>
      <c r="Q674" s="6"/>
      <c r="R674" s="6"/>
      <c r="S674" s="6"/>
      <c r="T674" s="6"/>
      <c r="U674" s="9"/>
      <c r="AI674" s="6"/>
      <c r="AJ674" s="12"/>
      <c r="AL674" s="13"/>
    </row>
    <row r="675">
      <c r="A675" s="5"/>
      <c r="B675" s="5"/>
      <c r="C675" s="5"/>
      <c r="D675" s="5"/>
      <c r="E675" s="6"/>
      <c r="F675" s="6"/>
      <c r="G675" s="18"/>
      <c r="I675" s="16"/>
      <c r="J675" s="9"/>
      <c r="K675" s="10"/>
      <c r="L675" s="6"/>
      <c r="M675" s="11"/>
      <c r="N675" s="6"/>
      <c r="O675" s="6"/>
      <c r="P675" s="10"/>
      <c r="Q675" s="6"/>
      <c r="R675" s="6"/>
      <c r="S675" s="6"/>
      <c r="T675" s="6"/>
      <c r="U675" s="9"/>
      <c r="AI675" s="6"/>
      <c r="AJ675" s="12"/>
      <c r="AL675" s="13"/>
    </row>
    <row r="676">
      <c r="A676" s="5"/>
      <c r="B676" s="5"/>
      <c r="C676" s="5"/>
      <c r="D676" s="5"/>
      <c r="E676" s="6"/>
      <c r="F676" s="6"/>
      <c r="G676" s="18"/>
      <c r="I676" s="16"/>
      <c r="J676" s="9"/>
      <c r="K676" s="10"/>
      <c r="L676" s="6"/>
      <c r="M676" s="11"/>
      <c r="N676" s="6"/>
      <c r="O676" s="6"/>
      <c r="P676" s="10"/>
      <c r="Q676" s="6"/>
      <c r="R676" s="6"/>
      <c r="S676" s="6"/>
      <c r="T676" s="6"/>
      <c r="U676" s="9"/>
      <c r="AI676" s="6"/>
      <c r="AJ676" s="12"/>
      <c r="AL676" s="13"/>
    </row>
    <row r="677">
      <c r="A677" s="5"/>
      <c r="B677" s="5"/>
      <c r="C677" s="5"/>
      <c r="D677" s="5"/>
      <c r="E677" s="6"/>
      <c r="F677" s="6"/>
      <c r="G677" s="18"/>
      <c r="I677" s="16"/>
      <c r="J677" s="9"/>
      <c r="K677" s="10"/>
      <c r="L677" s="6"/>
      <c r="M677" s="11"/>
      <c r="N677" s="6"/>
      <c r="O677" s="6"/>
      <c r="P677" s="10"/>
      <c r="Q677" s="6"/>
      <c r="R677" s="6"/>
      <c r="S677" s="6"/>
      <c r="T677" s="6"/>
      <c r="U677" s="9"/>
      <c r="AI677" s="6"/>
      <c r="AJ677" s="12"/>
      <c r="AL677" s="13"/>
    </row>
    <row r="678">
      <c r="A678" s="5"/>
      <c r="B678" s="5"/>
      <c r="C678" s="5"/>
      <c r="D678" s="5"/>
      <c r="E678" s="6"/>
      <c r="F678" s="6"/>
      <c r="G678" s="18"/>
      <c r="I678" s="16"/>
      <c r="J678" s="9"/>
      <c r="K678" s="10"/>
      <c r="L678" s="6"/>
      <c r="M678" s="11"/>
      <c r="N678" s="6"/>
      <c r="O678" s="6"/>
      <c r="P678" s="10"/>
      <c r="Q678" s="6"/>
      <c r="R678" s="6"/>
      <c r="S678" s="6"/>
      <c r="T678" s="6"/>
      <c r="U678" s="9"/>
      <c r="AI678" s="6"/>
      <c r="AJ678" s="12"/>
      <c r="AL678" s="13"/>
    </row>
    <row r="679">
      <c r="A679" s="5"/>
      <c r="B679" s="5"/>
      <c r="C679" s="5"/>
      <c r="D679" s="5"/>
      <c r="E679" s="6"/>
      <c r="F679" s="6"/>
      <c r="G679" s="18"/>
      <c r="I679" s="16"/>
      <c r="J679" s="9"/>
      <c r="K679" s="10"/>
      <c r="L679" s="6"/>
      <c r="M679" s="11"/>
      <c r="N679" s="6"/>
      <c r="O679" s="6"/>
      <c r="P679" s="10"/>
      <c r="Q679" s="6"/>
      <c r="R679" s="6"/>
      <c r="S679" s="6"/>
      <c r="T679" s="6"/>
      <c r="U679" s="9"/>
      <c r="AI679" s="6"/>
      <c r="AJ679" s="12"/>
      <c r="AL679" s="13"/>
    </row>
    <row r="680">
      <c r="A680" s="5"/>
      <c r="B680" s="5"/>
      <c r="C680" s="5"/>
      <c r="D680" s="5"/>
      <c r="E680" s="6"/>
      <c r="F680" s="6"/>
      <c r="G680" s="18"/>
      <c r="I680" s="16"/>
      <c r="J680" s="9"/>
      <c r="K680" s="10"/>
      <c r="L680" s="6"/>
      <c r="M680" s="11"/>
      <c r="N680" s="6"/>
      <c r="O680" s="6"/>
      <c r="P680" s="10"/>
      <c r="Q680" s="6"/>
      <c r="R680" s="6"/>
      <c r="S680" s="6"/>
      <c r="T680" s="6"/>
      <c r="U680" s="9"/>
      <c r="AI680" s="6"/>
      <c r="AJ680" s="12"/>
      <c r="AL680" s="13"/>
    </row>
    <row r="681">
      <c r="A681" s="5"/>
      <c r="B681" s="5"/>
      <c r="C681" s="5"/>
      <c r="D681" s="5"/>
      <c r="E681" s="6"/>
      <c r="F681" s="6"/>
      <c r="G681" s="18"/>
      <c r="I681" s="16"/>
      <c r="J681" s="9"/>
      <c r="K681" s="10"/>
      <c r="L681" s="6"/>
      <c r="M681" s="11"/>
      <c r="N681" s="6"/>
      <c r="O681" s="6"/>
      <c r="P681" s="10"/>
      <c r="Q681" s="6"/>
      <c r="R681" s="6"/>
      <c r="S681" s="6"/>
      <c r="T681" s="6"/>
      <c r="U681" s="9"/>
      <c r="AI681" s="6"/>
      <c r="AJ681" s="12"/>
      <c r="AL681" s="13"/>
    </row>
    <row r="682">
      <c r="A682" s="5"/>
      <c r="B682" s="5"/>
      <c r="C682" s="5"/>
      <c r="D682" s="5"/>
      <c r="E682" s="6"/>
      <c r="F682" s="6"/>
      <c r="G682" s="18"/>
      <c r="I682" s="16"/>
      <c r="J682" s="9"/>
      <c r="K682" s="10"/>
      <c r="L682" s="6"/>
      <c r="M682" s="11"/>
      <c r="N682" s="6"/>
      <c r="O682" s="6"/>
      <c r="P682" s="10"/>
      <c r="Q682" s="6"/>
      <c r="R682" s="6"/>
      <c r="S682" s="6"/>
      <c r="T682" s="6"/>
      <c r="U682" s="9"/>
      <c r="AI682" s="6"/>
      <c r="AJ682" s="12"/>
      <c r="AL682" s="13"/>
    </row>
    <row r="683">
      <c r="A683" s="5"/>
      <c r="B683" s="5"/>
      <c r="C683" s="5"/>
      <c r="D683" s="5"/>
      <c r="E683" s="6"/>
      <c r="F683" s="6"/>
      <c r="G683" s="18"/>
      <c r="I683" s="16"/>
      <c r="J683" s="9"/>
      <c r="K683" s="10"/>
      <c r="L683" s="6"/>
      <c r="M683" s="11"/>
      <c r="N683" s="6"/>
      <c r="O683" s="6"/>
      <c r="P683" s="10"/>
      <c r="Q683" s="6"/>
      <c r="R683" s="6"/>
      <c r="S683" s="6"/>
      <c r="T683" s="6"/>
      <c r="U683" s="9"/>
      <c r="AI683" s="6"/>
      <c r="AJ683" s="12"/>
      <c r="AL683" s="13"/>
    </row>
    <row r="684">
      <c r="A684" s="5"/>
      <c r="B684" s="5"/>
      <c r="C684" s="5"/>
      <c r="D684" s="5"/>
      <c r="E684" s="6"/>
      <c r="F684" s="6"/>
      <c r="G684" s="18"/>
      <c r="I684" s="16"/>
      <c r="J684" s="9"/>
      <c r="K684" s="10"/>
      <c r="L684" s="6"/>
      <c r="M684" s="11"/>
      <c r="N684" s="6"/>
      <c r="O684" s="6"/>
      <c r="P684" s="10"/>
      <c r="Q684" s="6"/>
      <c r="R684" s="6"/>
      <c r="S684" s="6"/>
      <c r="T684" s="6"/>
      <c r="U684" s="9"/>
      <c r="AI684" s="6"/>
      <c r="AJ684" s="12"/>
      <c r="AL684" s="13"/>
    </row>
    <row r="685">
      <c r="A685" s="5"/>
      <c r="B685" s="5"/>
      <c r="C685" s="5"/>
      <c r="D685" s="5"/>
      <c r="E685" s="6"/>
      <c r="F685" s="6"/>
      <c r="G685" s="18"/>
      <c r="I685" s="16"/>
      <c r="J685" s="9"/>
      <c r="K685" s="10"/>
      <c r="L685" s="6"/>
      <c r="M685" s="11"/>
      <c r="N685" s="6"/>
      <c r="O685" s="6"/>
      <c r="P685" s="10"/>
      <c r="Q685" s="6"/>
      <c r="R685" s="6"/>
      <c r="S685" s="6"/>
      <c r="T685" s="6"/>
      <c r="U685" s="9"/>
      <c r="AI685" s="6"/>
      <c r="AJ685" s="12"/>
      <c r="AL685" s="13"/>
    </row>
    <row r="686">
      <c r="A686" s="5"/>
      <c r="B686" s="5"/>
      <c r="C686" s="5"/>
      <c r="D686" s="5"/>
      <c r="E686" s="6"/>
      <c r="F686" s="6"/>
      <c r="G686" s="18"/>
      <c r="I686" s="16"/>
      <c r="J686" s="9"/>
      <c r="K686" s="10"/>
      <c r="L686" s="6"/>
      <c r="M686" s="11"/>
      <c r="N686" s="6"/>
      <c r="O686" s="6"/>
      <c r="P686" s="10"/>
      <c r="Q686" s="6"/>
      <c r="R686" s="6"/>
      <c r="S686" s="6"/>
      <c r="T686" s="6"/>
      <c r="U686" s="9"/>
      <c r="AI686" s="6"/>
      <c r="AJ686" s="12"/>
      <c r="AL686" s="13"/>
    </row>
    <row r="687">
      <c r="A687" s="5"/>
      <c r="B687" s="5"/>
      <c r="C687" s="5"/>
      <c r="D687" s="5"/>
      <c r="E687" s="6"/>
      <c r="F687" s="6"/>
      <c r="G687" s="18"/>
      <c r="I687" s="16"/>
      <c r="J687" s="9"/>
      <c r="K687" s="10"/>
      <c r="L687" s="6"/>
      <c r="M687" s="11"/>
      <c r="N687" s="6"/>
      <c r="O687" s="6"/>
      <c r="P687" s="10"/>
      <c r="Q687" s="6"/>
      <c r="R687" s="6"/>
      <c r="S687" s="6"/>
      <c r="T687" s="6"/>
      <c r="U687" s="9"/>
      <c r="AI687" s="6"/>
      <c r="AJ687" s="12"/>
      <c r="AL687" s="13"/>
    </row>
    <row r="688">
      <c r="A688" s="5"/>
      <c r="B688" s="5"/>
      <c r="C688" s="5"/>
      <c r="D688" s="5"/>
      <c r="E688" s="6"/>
      <c r="F688" s="6"/>
      <c r="G688" s="18"/>
      <c r="I688" s="16"/>
      <c r="J688" s="9"/>
      <c r="K688" s="10"/>
      <c r="L688" s="6"/>
      <c r="M688" s="11"/>
      <c r="N688" s="6"/>
      <c r="O688" s="6"/>
      <c r="P688" s="10"/>
      <c r="Q688" s="6"/>
      <c r="R688" s="6"/>
      <c r="S688" s="6"/>
      <c r="T688" s="6"/>
      <c r="U688" s="9"/>
      <c r="AI688" s="6"/>
      <c r="AJ688" s="12"/>
      <c r="AL688" s="13"/>
    </row>
    <row r="689">
      <c r="A689" s="5"/>
      <c r="B689" s="5"/>
      <c r="C689" s="5"/>
      <c r="D689" s="5"/>
      <c r="E689" s="6"/>
      <c r="F689" s="6"/>
      <c r="G689" s="18"/>
      <c r="I689" s="16"/>
      <c r="J689" s="9"/>
      <c r="K689" s="10"/>
      <c r="L689" s="6"/>
      <c r="M689" s="11"/>
      <c r="N689" s="6"/>
      <c r="O689" s="6"/>
      <c r="P689" s="10"/>
      <c r="Q689" s="6"/>
      <c r="R689" s="6"/>
      <c r="S689" s="6"/>
      <c r="T689" s="6"/>
      <c r="U689" s="9"/>
      <c r="AI689" s="6"/>
      <c r="AJ689" s="12"/>
      <c r="AL689" s="13"/>
    </row>
    <row r="690">
      <c r="A690" s="5"/>
      <c r="B690" s="5"/>
      <c r="C690" s="5"/>
      <c r="D690" s="5"/>
      <c r="E690" s="6"/>
      <c r="F690" s="6"/>
      <c r="G690" s="18"/>
      <c r="I690" s="16"/>
      <c r="J690" s="9"/>
      <c r="K690" s="10"/>
      <c r="L690" s="6"/>
      <c r="M690" s="11"/>
      <c r="N690" s="6"/>
      <c r="O690" s="6"/>
      <c r="P690" s="10"/>
      <c r="Q690" s="6"/>
      <c r="R690" s="6"/>
      <c r="S690" s="6"/>
      <c r="T690" s="6"/>
      <c r="U690" s="9"/>
      <c r="AI690" s="6"/>
      <c r="AJ690" s="12"/>
      <c r="AL690" s="13"/>
    </row>
    <row r="691">
      <c r="A691" s="5"/>
      <c r="B691" s="5"/>
      <c r="C691" s="5"/>
      <c r="D691" s="5"/>
      <c r="E691" s="6"/>
      <c r="F691" s="6"/>
      <c r="G691" s="18"/>
      <c r="I691" s="16"/>
      <c r="J691" s="9"/>
      <c r="K691" s="10"/>
      <c r="L691" s="6"/>
      <c r="M691" s="11"/>
      <c r="N691" s="6"/>
      <c r="O691" s="6"/>
      <c r="P691" s="10"/>
      <c r="Q691" s="6"/>
      <c r="R691" s="6"/>
      <c r="S691" s="6"/>
      <c r="T691" s="6"/>
      <c r="U691" s="9"/>
      <c r="AI691" s="6"/>
      <c r="AJ691" s="12"/>
      <c r="AL691" s="13"/>
    </row>
    <row r="692">
      <c r="A692" s="5"/>
      <c r="B692" s="5"/>
      <c r="C692" s="5"/>
      <c r="D692" s="5"/>
      <c r="E692" s="6"/>
      <c r="F692" s="6"/>
      <c r="G692" s="18"/>
      <c r="I692" s="16"/>
      <c r="J692" s="9"/>
      <c r="K692" s="10"/>
      <c r="L692" s="6"/>
      <c r="M692" s="11"/>
      <c r="N692" s="6"/>
      <c r="O692" s="6"/>
      <c r="P692" s="10"/>
      <c r="Q692" s="6"/>
      <c r="R692" s="6"/>
      <c r="S692" s="6"/>
      <c r="T692" s="6"/>
      <c r="U692" s="9"/>
      <c r="AI692" s="6"/>
      <c r="AJ692" s="12"/>
      <c r="AL692" s="13"/>
    </row>
    <row r="693">
      <c r="A693" s="5"/>
      <c r="B693" s="5"/>
      <c r="C693" s="5"/>
      <c r="D693" s="5"/>
      <c r="E693" s="6"/>
      <c r="F693" s="6"/>
      <c r="G693" s="18"/>
      <c r="I693" s="16"/>
      <c r="J693" s="9"/>
      <c r="K693" s="10"/>
      <c r="L693" s="6"/>
      <c r="M693" s="11"/>
      <c r="N693" s="6"/>
      <c r="O693" s="6"/>
      <c r="P693" s="10"/>
      <c r="Q693" s="6"/>
      <c r="R693" s="6"/>
      <c r="S693" s="6"/>
      <c r="T693" s="6"/>
      <c r="U693" s="9"/>
      <c r="AI693" s="6"/>
      <c r="AJ693" s="12"/>
      <c r="AL693" s="13"/>
    </row>
    <row r="694">
      <c r="A694" s="5"/>
      <c r="B694" s="5"/>
      <c r="C694" s="5"/>
      <c r="D694" s="5"/>
      <c r="E694" s="6"/>
      <c r="F694" s="6"/>
      <c r="G694" s="18"/>
      <c r="I694" s="16"/>
      <c r="J694" s="9"/>
      <c r="K694" s="10"/>
      <c r="L694" s="6"/>
      <c r="M694" s="11"/>
      <c r="N694" s="6"/>
      <c r="O694" s="6"/>
      <c r="P694" s="10"/>
      <c r="Q694" s="6"/>
      <c r="R694" s="6"/>
      <c r="S694" s="6"/>
      <c r="T694" s="6"/>
      <c r="U694" s="9"/>
      <c r="AI694" s="6"/>
      <c r="AJ694" s="12"/>
      <c r="AL694" s="13"/>
    </row>
    <row r="695">
      <c r="A695" s="5"/>
      <c r="B695" s="5"/>
      <c r="C695" s="5"/>
      <c r="D695" s="5"/>
      <c r="E695" s="6"/>
      <c r="F695" s="6"/>
      <c r="G695" s="18"/>
      <c r="I695" s="16"/>
      <c r="J695" s="9"/>
      <c r="K695" s="10"/>
      <c r="L695" s="6"/>
      <c r="M695" s="11"/>
      <c r="N695" s="6"/>
      <c r="O695" s="6"/>
      <c r="P695" s="10"/>
      <c r="Q695" s="6"/>
      <c r="R695" s="6"/>
      <c r="S695" s="6"/>
      <c r="T695" s="6"/>
      <c r="U695" s="9"/>
      <c r="AI695" s="6"/>
      <c r="AJ695" s="12"/>
      <c r="AL695" s="13"/>
    </row>
    <row r="696">
      <c r="A696" s="5"/>
      <c r="B696" s="5"/>
      <c r="C696" s="5"/>
      <c r="D696" s="5"/>
      <c r="E696" s="6"/>
      <c r="F696" s="6"/>
      <c r="G696" s="18"/>
      <c r="I696" s="16"/>
      <c r="J696" s="9"/>
      <c r="K696" s="10"/>
      <c r="L696" s="6"/>
      <c r="M696" s="11"/>
      <c r="N696" s="6"/>
      <c r="O696" s="6"/>
      <c r="P696" s="10"/>
      <c r="Q696" s="6"/>
      <c r="R696" s="6"/>
      <c r="S696" s="6"/>
      <c r="T696" s="6"/>
      <c r="U696" s="9"/>
      <c r="AI696" s="6"/>
      <c r="AJ696" s="12"/>
      <c r="AL696" s="13"/>
    </row>
    <row r="697">
      <c r="A697" s="5"/>
      <c r="B697" s="5"/>
      <c r="C697" s="5"/>
      <c r="D697" s="5"/>
      <c r="E697" s="6"/>
      <c r="F697" s="6"/>
      <c r="G697" s="18"/>
      <c r="I697" s="16"/>
      <c r="J697" s="9"/>
      <c r="K697" s="10"/>
      <c r="L697" s="6"/>
      <c r="M697" s="11"/>
      <c r="N697" s="6"/>
      <c r="O697" s="6"/>
      <c r="P697" s="10"/>
      <c r="Q697" s="6"/>
      <c r="R697" s="6"/>
      <c r="S697" s="6"/>
      <c r="T697" s="6"/>
      <c r="U697" s="9"/>
      <c r="AI697" s="6"/>
      <c r="AJ697" s="12"/>
      <c r="AL697" s="13"/>
    </row>
    <row r="698">
      <c r="A698" s="5"/>
      <c r="B698" s="5"/>
      <c r="C698" s="5"/>
      <c r="D698" s="5"/>
      <c r="E698" s="6"/>
      <c r="F698" s="6"/>
      <c r="G698" s="18"/>
      <c r="I698" s="16"/>
      <c r="J698" s="9"/>
      <c r="K698" s="10"/>
      <c r="L698" s="6"/>
      <c r="M698" s="11"/>
      <c r="N698" s="6"/>
      <c r="O698" s="6"/>
      <c r="P698" s="10"/>
      <c r="Q698" s="6"/>
      <c r="R698" s="6"/>
      <c r="S698" s="6"/>
      <c r="T698" s="6"/>
      <c r="U698" s="9"/>
      <c r="AI698" s="6"/>
      <c r="AJ698" s="12"/>
      <c r="AL698" s="13"/>
    </row>
    <row r="699">
      <c r="A699" s="5"/>
      <c r="B699" s="5"/>
      <c r="C699" s="5"/>
      <c r="D699" s="5"/>
      <c r="E699" s="6"/>
      <c r="F699" s="6"/>
      <c r="G699" s="18"/>
      <c r="I699" s="16"/>
      <c r="J699" s="9"/>
      <c r="K699" s="10"/>
      <c r="L699" s="6"/>
      <c r="M699" s="11"/>
      <c r="N699" s="6"/>
      <c r="O699" s="6"/>
      <c r="P699" s="10"/>
      <c r="Q699" s="6"/>
      <c r="R699" s="6"/>
      <c r="S699" s="6"/>
      <c r="T699" s="6"/>
      <c r="U699" s="9"/>
      <c r="AI699" s="6"/>
      <c r="AJ699" s="12"/>
      <c r="AL699" s="13"/>
    </row>
    <row r="700">
      <c r="A700" s="5"/>
      <c r="B700" s="5"/>
      <c r="C700" s="5"/>
      <c r="D700" s="5"/>
      <c r="E700" s="6"/>
      <c r="F700" s="6"/>
      <c r="G700" s="18"/>
      <c r="I700" s="16"/>
      <c r="J700" s="9"/>
      <c r="K700" s="10"/>
      <c r="L700" s="6"/>
      <c r="M700" s="11"/>
      <c r="N700" s="6"/>
      <c r="O700" s="6"/>
      <c r="P700" s="10"/>
      <c r="Q700" s="6"/>
      <c r="R700" s="6"/>
      <c r="S700" s="6"/>
      <c r="T700" s="6"/>
      <c r="U700" s="9"/>
      <c r="AI700" s="6"/>
      <c r="AJ700" s="12"/>
      <c r="AL700" s="13"/>
    </row>
    <row r="701">
      <c r="A701" s="5"/>
      <c r="B701" s="5"/>
      <c r="C701" s="5"/>
      <c r="D701" s="5"/>
      <c r="E701" s="6"/>
      <c r="F701" s="6"/>
      <c r="G701" s="18"/>
      <c r="I701" s="16"/>
      <c r="J701" s="9"/>
      <c r="K701" s="10"/>
      <c r="L701" s="6"/>
      <c r="M701" s="11"/>
      <c r="N701" s="6"/>
      <c r="O701" s="6"/>
      <c r="P701" s="10"/>
      <c r="Q701" s="6"/>
      <c r="R701" s="6"/>
      <c r="S701" s="6"/>
      <c r="T701" s="6"/>
      <c r="U701" s="9"/>
      <c r="AI701" s="6"/>
      <c r="AJ701" s="12"/>
      <c r="AL701" s="13"/>
    </row>
    <row r="702">
      <c r="A702" s="5"/>
      <c r="B702" s="5"/>
      <c r="C702" s="5"/>
      <c r="D702" s="17"/>
      <c r="E702" s="6"/>
      <c r="F702" s="6"/>
      <c r="G702" s="18"/>
      <c r="I702" s="16"/>
      <c r="J702" s="9"/>
      <c r="K702" s="10"/>
      <c r="L702" s="6"/>
      <c r="M702" s="11"/>
      <c r="N702" s="6"/>
      <c r="O702" s="6"/>
      <c r="P702" s="10"/>
      <c r="Q702" s="6"/>
      <c r="R702" s="6"/>
      <c r="S702" s="6"/>
      <c r="T702" s="6"/>
      <c r="U702" s="9"/>
      <c r="AI702" s="6"/>
      <c r="AJ702" s="12"/>
      <c r="AL702" s="13"/>
    </row>
    <row r="703">
      <c r="A703" s="5"/>
      <c r="B703" s="5"/>
      <c r="C703" s="5"/>
      <c r="D703" s="5"/>
      <c r="E703" s="6"/>
      <c r="F703" s="6"/>
      <c r="G703" s="18"/>
      <c r="I703" s="16"/>
      <c r="J703" s="9"/>
      <c r="K703" s="10"/>
      <c r="L703" s="6"/>
      <c r="M703" s="11"/>
      <c r="N703" s="6"/>
      <c r="O703" s="6"/>
      <c r="P703" s="10"/>
      <c r="Q703" s="6"/>
      <c r="R703" s="6"/>
      <c r="S703" s="6"/>
      <c r="T703" s="6"/>
      <c r="U703" s="9"/>
      <c r="AI703" s="6"/>
      <c r="AJ703" s="12"/>
      <c r="AL703" s="13"/>
    </row>
    <row r="704">
      <c r="A704" s="5"/>
      <c r="B704" s="5"/>
      <c r="C704" s="5"/>
      <c r="D704" s="5"/>
      <c r="E704" s="6"/>
      <c r="F704" s="6"/>
      <c r="G704" s="18"/>
      <c r="I704" s="16"/>
      <c r="J704" s="9"/>
      <c r="K704" s="10"/>
      <c r="L704" s="6"/>
      <c r="M704" s="11"/>
      <c r="N704" s="6"/>
      <c r="O704" s="6"/>
      <c r="P704" s="10"/>
      <c r="Q704" s="6"/>
      <c r="R704" s="6"/>
      <c r="S704" s="6"/>
      <c r="T704" s="6"/>
      <c r="U704" s="9"/>
      <c r="AI704" s="6"/>
      <c r="AJ704" s="12"/>
      <c r="AL704" s="13"/>
    </row>
    <row r="705">
      <c r="A705" s="5"/>
      <c r="B705" s="5"/>
      <c r="C705" s="5"/>
      <c r="D705" s="5"/>
      <c r="E705" s="6"/>
      <c r="F705" s="6"/>
      <c r="G705" s="18"/>
      <c r="I705" s="16"/>
      <c r="J705" s="9"/>
      <c r="K705" s="10"/>
      <c r="L705" s="6"/>
      <c r="M705" s="11"/>
      <c r="N705" s="6"/>
      <c r="O705" s="6"/>
      <c r="P705" s="10"/>
      <c r="Q705" s="6"/>
      <c r="R705" s="6"/>
      <c r="S705" s="6"/>
      <c r="T705" s="6"/>
      <c r="U705" s="9"/>
      <c r="AI705" s="6"/>
      <c r="AJ705" s="12"/>
      <c r="AL705" s="13"/>
    </row>
    <row r="706">
      <c r="A706" s="5"/>
      <c r="B706" s="5"/>
      <c r="C706" s="5"/>
      <c r="D706" s="5"/>
      <c r="E706" s="6"/>
      <c r="F706" s="6"/>
      <c r="G706" s="18"/>
      <c r="I706" s="16"/>
      <c r="J706" s="9"/>
      <c r="K706" s="10"/>
      <c r="L706" s="6"/>
      <c r="M706" s="11"/>
      <c r="N706" s="6"/>
      <c r="O706" s="6"/>
      <c r="P706" s="10"/>
      <c r="Q706" s="6"/>
      <c r="R706" s="6"/>
      <c r="S706" s="6"/>
      <c r="T706" s="6"/>
      <c r="U706" s="9"/>
      <c r="AI706" s="6"/>
      <c r="AJ706" s="12"/>
      <c r="AL706" s="13"/>
    </row>
    <row r="707">
      <c r="A707" s="5"/>
      <c r="B707" s="5"/>
      <c r="C707" s="5"/>
      <c r="D707" s="5"/>
      <c r="E707" s="6"/>
      <c r="F707" s="6"/>
      <c r="G707" s="18"/>
      <c r="I707" s="16"/>
      <c r="J707" s="9"/>
      <c r="K707" s="10"/>
      <c r="L707" s="6"/>
      <c r="M707" s="11"/>
      <c r="N707" s="6"/>
      <c r="O707" s="6"/>
      <c r="P707" s="10"/>
      <c r="Q707" s="6"/>
      <c r="R707" s="6"/>
      <c r="S707" s="6"/>
      <c r="T707" s="6"/>
      <c r="U707" s="9"/>
      <c r="AI707" s="6"/>
      <c r="AJ707" s="12"/>
      <c r="AL707" s="13"/>
    </row>
    <row r="708">
      <c r="A708" s="5"/>
      <c r="B708" s="5"/>
      <c r="C708" s="5"/>
      <c r="D708" s="5"/>
      <c r="E708" s="6"/>
      <c r="F708" s="6"/>
      <c r="G708" s="18"/>
      <c r="I708" s="16"/>
      <c r="J708" s="9"/>
      <c r="K708" s="10"/>
      <c r="L708" s="6"/>
      <c r="M708" s="11"/>
      <c r="N708" s="6"/>
      <c r="O708" s="6"/>
      <c r="P708" s="10"/>
      <c r="Q708" s="6"/>
      <c r="R708" s="6"/>
      <c r="S708" s="6"/>
      <c r="T708" s="6"/>
      <c r="U708" s="9"/>
      <c r="AI708" s="6"/>
      <c r="AJ708" s="12"/>
      <c r="AL708" s="13"/>
    </row>
    <row r="709">
      <c r="A709" s="5"/>
      <c r="B709" s="5"/>
      <c r="C709" s="5"/>
      <c r="D709" s="5"/>
      <c r="E709" s="6"/>
      <c r="F709" s="6"/>
      <c r="G709" s="18"/>
      <c r="I709" s="16"/>
      <c r="J709" s="9"/>
      <c r="K709" s="10"/>
      <c r="L709" s="6"/>
      <c r="M709" s="11"/>
      <c r="N709" s="6"/>
      <c r="O709" s="6"/>
      <c r="P709" s="10"/>
      <c r="Q709" s="6"/>
      <c r="R709" s="6"/>
      <c r="S709" s="6"/>
      <c r="T709" s="6"/>
      <c r="U709" s="9"/>
      <c r="AI709" s="6"/>
      <c r="AJ709" s="12"/>
      <c r="AL709" s="13"/>
    </row>
    <row r="710">
      <c r="A710" s="5"/>
      <c r="B710" s="5"/>
      <c r="C710" s="5"/>
      <c r="D710" s="17"/>
      <c r="E710" s="6"/>
      <c r="F710" s="6"/>
      <c r="G710" s="18"/>
      <c r="I710" s="16"/>
      <c r="J710" s="9"/>
      <c r="K710" s="10"/>
      <c r="L710" s="6"/>
      <c r="M710" s="11"/>
      <c r="N710" s="6"/>
      <c r="O710" s="6"/>
      <c r="P710" s="10"/>
      <c r="Q710" s="6"/>
      <c r="R710" s="6"/>
      <c r="S710" s="6"/>
      <c r="T710" s="6"/>
      <c r="U710" s="9"/>
      <c r="AI710" s="6"/>
      <c r="AJ710" s="12"/>
      <c r="AL710" s="13"/>
    </row>
    <row r="711">
      <c r="A711" s="5"/>
      <c r="B711" s="5"/>
      <c r="C711" s="5"/>
      <c r="D711" s="5"/>
      <c r="E711" s="6"/>
      <c r="F711" s="6"/>
      <c r="G711" s="18"/>
      <c r="I711" s="16"/>
      <c r="J711" s="9"/>
      <c r="K711" s="10"/>
      <c r="L711" s="6"/>
      <c r="M711" s="11"/>
      <c r="N711" s="6"/>
      <c r="O711" s="6"/>
      <c r="P711" s="10"/>
      <c r="Q711" s="6"/>
      <c r="R711" s="6"/>
      <c r="S711" s="6"/>
      <c r="T711" s="6"/>
      <c r="U711" s="9"/>
      <c r="AI711" s="6"/>
      <c r="AJ711" s="12"/>
      <c r="AL711" s="13"/>
    </row>
    <row r="712">
      <c r="A712" s="5"/>
      <c r="B712" s="5"/>
      <c r="C712" s="5"/>
      <c r="D712" s="5"/>
      <c r="E712" s="6"/>
      <c r="F712" s="6"/>
      <c r="G712" s="18"/>
      <c r="I712" s="16"/>
      <c r="J712" s="9"/>
      <c r="K712" s="10"/>
      <c r="L712" s="6"/>
      <c r="M712" s="11"/>
      <c r="N712" s="6"/>
      <c r="O712" s="6"/>
      <c r="P712" s="10"/>
      <c r="Q712" s="6"/>
      <c r="R712" s="6"/>
      <c r="S712" s="6"/>
      <c r="T712" s="6"/>
      <c r="U712" s="9"/>
      <c r="AI712" s="6"/>
      <c r="AJ712" s="12"/>
      <c r="AL712" s="13"/>
    </row>
    <row r="713">
      <c r="A713" s="5"/>
      <c r="B713" s="5"/>
      <c r="C713" s="5"/>
      <c r="D713" s="5"/>
      <c r="E713" s="6"/>
      <c r="F713" s="6"/>
      <c r="G713" s="18"/>
      <c r="I713" s="16"/>
      <c r="J713" s="9"/>
      <c r="K713" s="10"/>
      <c r="L713" s="6"/>
      <c r="M713" s="11"/>
      <c r="N713" s="6"/>
      <c r="O713" s="6"/>
      <c r="P713" s="10"/>
      <c r="Q713" s="6"/>
      <c r="R713" s="6"/>
      <c r="S713" s="6"/>
      <c r="T713" s="6"/>
      <c r="U713" s="9"/>
      <c r="AI713" s="6"/>
      <c r="AJ713" s="12"/>
      <c r="AL713" s="13"/>
    </row>
    <row r="714">
      <c r="A714" s="5"/>
      <c r="B714" s="5"/>
      <c r="C714" s="5"/>
      <c r="D714" s="5"/>
      <c r="E714" s="6"/>
      <c r="F714" s="6"/>
      <c r="G714" s="18"/>
      <c r="I714" s="16"/>
      <c r="J714" s="9"/>
      <c r="K714" s="10"/>
      <c r="L714" s="6"/>
      <c r="M714" s="11"/>
      <c r="N714" s="6"/>
      <c r="O714" s="6"/>
      <c r="P714" s="10"/>
      <c r="Q714" s="6"/>
      <c r="R714" s="6"/>
      <c r="S714" s="6"/>
      <c r="T714" s="6"/>
      <c r="U714" s="9"/>
      <c r="AI714" s="6"/>
      <c r="AJ714" s="12"/>
      <c r="AL714" s="13"/>
    </row>
    <row r="715">
      <c r="A715" s="5"/>
      <c r="B715" s="5"/>
      <c r="C715" s="5"/>
      <c r="D715" s="5"/>
      <c r="E715" s="6"/>
      <c r="F715" s="6"/>
      <c r="G715" s="18"/>
      <c r="I715" s="16"/>
      <c r="J715" s="9"/>
      <c r="K715" s="10"/>
      <c r="L715" s="6"/>
      <c r="M715" s="11"/>
      <c r="N715" s="6"/>
      <c r="O715" s="6"/>
      <c r="P715" s="10"/>
      <c r="Q715" s="6"/>
      <c r="R715" s="6"/>
      <c r="S715" s="6"/>
      <c r="T715" s="6"/>
      <c r="U715" s="9"/>
      <c r="AI715" s="6"/>
      <c r="AJ715" s="12"/>
      <c r="AL715" s="13"/>
    </row>
    <row r="716">
      <c r="A716" s="5"/>
      <c r="B716" s="5"/>
      <c r="C716" s="5"/>
      <c r="D716" s="5"/>
      <c r="E716" s="6"/>
      <c r="F716" s="6"/>
      <c r="G716" s="18"/>
      <c r="I716" s="16"/>
      <c r="J716" s="9"/>
      <c r="K716" s="10"/>
      <c r="L716" s="6"/>
      <c r="M716" s="11"/>
      <c r="N716" s="6"/>
      <c r="O716" s="6"/>
      <c r="P716" s="10"/>
      <c r="Q716" s="6"/>
      <c r="R716" s="6"/>
      <c r="S716" s="6"/>
      <c r="T716" s="6"/>
      <c r="U716" s="9"/>
      <c r="AI716" s="6"/>
      <c r="AJ716" s="12"/>
      <c r="AL716" s="13"/>
    </row>
    <row r="717">
      <c r="A717" s="5"/>
      <c r="B717" s="5"/>
      <c r="C717" s="5"/>
      <c r="D717" s="5"/>
      <c r="E717" s="6"/>
      <c r="F717" s="6"/>
      <c r="G717" s="18"/>
      <c r="I717" s="16"/>
      <c r="J717" s="9"/>
      <c r="K717" s="10"/>
      <c r="L717" s="6"/>
      <c r="M717" s="11"/>
      <c r="N717" s="6"/>
      <c r="O717" s="6"/>
      <c r="P717" s="10"/>
      <c r="Q717" s="6"/>
      <c r="R717" s="6"/>
      <c r="S717" s="6"/>
      <c r="T717" s="6"/>
      <c r="U717" s="9"/>
      <c r="AI717" s="6"/>
      <c r="AJ717" s="12"/>
      <c r="AL717" s="13"/>
    </row>
    <row r="718">
      <c r="A718" s="5"/>
      <c r="B718" s="5"/>
      <c r="C718" s="5"/>
      <c r="D718" s="17"/>
      <c r="E718" s="6"/>
      <c r="F718" s="6"/>
      <c r="G718" s="18"/>
      <c r="I718" s="16"/>
      <c r="J718" s="9"/>
      <c r="K718" s="10"/>
      <c r="L718" s="6"/>
      <c r="M718" s="11"/>
      <c r="N718" s="6"/>
      <c r="O718" s="6"/>
      <c r="P718" s="10"/>
      <c r="Q718" s="6"/>
      <c r="R718" s="6"/>
      <c r="S718" s="6"/>
      <c r="T718" s="6"/>
      <c r="U718" s="9"/>
      <c r="AI718" s="6"/>
      <c r="AJ718" s="12"/>
      <c r="AL718" s="13"/>
    </row>
    <row r="719">
      <c r="A719" s="5"/>
      <c r="B719" s="5"/>
      <c r="C719" s="5"/>
      <c r="D719" s="5"/>
      <c r="E719" s="6"/>
      <c r="F719" s="6"/>
      <c r="G719" s="18"/>
      <c r="I719" s="16"/>
      <c r="J719" s="9"/>
      <c r="K719" s="10"/>
      <c r="L719" s="6"/>
      <c r="M719" s="11"/>
      <c r="N719" s="6"/>
      <c r="O719" s="6"/>
      <c r="P719" s="10"/>
      <c r="Q719" s="6"/>
      <c r="R719" s="6"/>
      <c r="S719" s="6"/>
      <c r="T719" s="6"/>
      <c r="U719" s="9"/>
      <c r="AI719" s="6"/>
      <c r="AJ719" s="12"/>
      <c r="AL719" s="13"/>
    </row>
    <row r="720">
      <c r="A720" s="5"/>
      <c r="B720" s="5"/>
      <c r="C720" s="5"/>
      <c r="D720" s="17"/>
      <c r="E720" s="6"/>
      <c r="F720" s="6"/>
      <c r="G720" s="18"/>
      <c r="I720" s="16"/>
      <c r="J720" s="9"/>
      <c r="K720" s="10"/>
      <c r="L720" s="6"/>
      <c r="M720" s="11"/>
      <c r="N720" s="6"/>
      <c r="O720" s="6"/>
      <c r="P720" s="10"/>
      <c r="Q720" s="6"/>
      <c r="R720" s="6"/>
      <c r="S720" s="6"/>
      <c r="T720" s="6"/>
      <c r="U720" s="9"/>
      <c r="AI720" s="6"/>
      <c r="AJ720" s="12"/>
      <c r="AL720" s="13"/>
    </row>
    <row r="721">
      <c r="A721" s="5"/>
      <c r="B721" s="5"/>
      <c r="C721" s="5"/>
      <c r="D721" s="5"/>
      <c r="E721" s="6"/>
      <c r="F721" s="6"/>
      <c r="G721" s="18"/>
      <c r="I721" s="16"/>
      <c r="J721" s="9"/>
      <c r="K721" s="10"/>
      <c r="L721" s="6"/>
      <c r="M721" s="11"/>
      <c r="N721" s="6"/>
      <c r="O721" s="6"/>
      <c r="P721" s="10"/>
      <c r="Q721" s="6"/>
      <c r="R721" s="6"/>
      <c r="S721" s="6"/>
      <c r="T721" s="6"/>
      <c r="U721" s="9"/>
      <c r="AI721" s="6"/>
      <c r="AJ721" s="12"/>
      <c r="AL721" s="13"/>
    </row>
    <row r="722">
      <c r="A722" s="5"/>
      <c r="B722" s="5"/>
      <c r="C722" s="5"/>
      <c r="D722" s="17"/>
      <c r="E722" s="6"/>
      <c r="F722" s="6"/>
      <c r="G722" s="18"/>
      <c r="I722" s="16"/>
      <c r="J722" s="9"/>
      <c r="K722" s="10"/>
      <c r="L722" s="6"/>
      <c r="M722" s="11"/>
      <c r="N722" s="6"/>
      <c r="O722" s="6"/>
      <c r="P722" s="10"/>
      <c r="Q722" s="6"/>
      <c r="R722" s="6"/>
      <c r="S722" s="6"/>
      <c r="T722" s="6"/>
      <c r="U722" s="9"/>
      <c r="AI722" s="6"/>
      <c r="AJ722" s="12"/>
      <c r="AL722" s="13"/>
    </row>
    <row r="723">
      <c r="A723" s="5"/>
      <c r="B723" s="5"/>
      <c r="C723" s="5"/>
      <c r="D723" s="5"/>
      <c r="E723" s="6"/>
      <c r="F723" s="6"/>
      <c r="G723" s="18"/>
      <c r="I723" s="16"/>
      <c r="J723" s="9"/>
      <c r="K723" s="10"/>
      <c r="L723" s="6"/>
      <c r="M723" s="11"/>
      <c r="N723" s="6"/>
      <c r="O723" s="6"/>
      <c r="P723" s="10"/>
      <c r="Q723" s="6"/>
      <c r="R723" s="6"/>
      <c r="S723" s="6"/>
      <c r="T723" s="6"/>
      <c r="U723" s="9"/>
      <c r="AI723" s="6"/>
      <c r="AJ723" s="12"/>
      <c r="AL723" s="13"/>
    </row>
    <row r="724">
      <c r="A724" s="5"/>
      <c r="B724" s="5"/>
      <c r="C724" s="5"/>
      <c r="D724" s="5"/>
      <c r="E724" s="6"/>
      <c r="F724" s="6"/>
      <c r="G724" s="18"/>
      <c r="I724" s="16"/>
      <c r="J724" s="9"/>
      <c r="K724" s="10"/>
      <c r="L724" s="6"/>
      <c r="M724" s="11"/>
      <c r="N724" s="6"/>
      <c r="O724" s="6"/>
      <c r="P724" s="10"/>
      <c r="Q724" s="6"/>
      <c r="R724" s="6"/>
      <c r="S724" s="6"/>
      <c r="T724" s="6"/>
      <c r="U724" s="9"/>
      <c r="AI724" s="6"/>
      <c r="AJ724" s="12"/>
      <c r="AL724" s="13"/>
    </row>
    <row r="725">
      <c r="A725" s="5"/>
      <c r="B725" s="5"/>
      <c r="C725" s="5"/>
      <c r="D725" s="5"/>
      <c r="E725" s="6"/>
      <c r="F725" s="6"/>
      <c r="G725" s="18"/>
      <c r="I725" s="16"/>
      <c r="J725" s="9"/>
      <c r="K725" s="10"/>
      <c r="L725" s="6"/>
      <c r="M725" s="11"/>
      <c r="N725" s="6"/>
      <c r="O725" s="6"/>
      <c r="P725" s="10"/>
      <c r="Q725" s="6"/>
      <c r="R725" s="6"/>
      <c r="S725" s="6"/>
      <c r="T725" s="6"/>
      <c r="U725" s="9"/>
      <c r="AI725" s="6"/>
      <c r="AJ725" s="12"/>
      <c r="AL725" s="13"/>
    </row>
    <row r="726">
      <c r="A726" s="5"/>
      <c r="B726" s="5"/>
      <c r="C726" s="5"/>
      <c r="D726" s="5"/>
      <c r="E726" s="6"/>
      <c r="F726" s="6"/>
      <c r="G726" s="18"/>
      <c r="I726" s="16"/>
      <c r="J726" s="9"/>
      <c r="K726" s="10"/>
      <c r="L726" s="6"/>
      <c r="M726" s="11"/>
      <c r="N726" s="6"/>
      <c r="O726" s="6"/>
      <c r="P726" s="10"/>
      <c r="Q726" s="6"/>
      <c r="R726" s="6"/>
      <c r="S726" s="6"/>
      <c r="T726" s="6"/>
      <c r="U726" s="9"/>
      <c r="AI726" s="6"/>
      <c r="AJ726" s="12"/>
      <c r="AL726" s="13"/>
    </row>
    <row r="727">
      <c r="A727" s="5"/>
      <c r="B727" s="5"/>
      <c r="C727" s="5"/>
      <c r="D727" s="5"/>
      <c r="E727" s="6"/>
      <c r="F727" s="6"/>
      <c r="G727" s="18"/>
      <c r="I727" s="16"/>
      <c r="J727" s="9"/>
      <c r="K727" s="10"/>
      <c r="L727" s="6"/>
      <c r="M727" s="11"/>
      <c r="N727" s="6"/>
      <c r="O727" s="6"/>
      <c r="P727" s="10"/>
      <c r="Q727" s="6"/>
      <c r="R727" s="6"/>
      <c r="S727" s="6"/>
      <c r="T727" s="6"/>
      <c r="U727" s="9"/>
      <c r="AI727" s="6"/>
      <c r="AJ727" s="12"/>
      <c r="AL727" s="13"/>
    </row>
    <row r="728">
      <c r="A728" s="5"/>
      <c r="B728" s="5"/>
      <c r="C728" s="5"/>
      <c r="D728" s="5"/>
      <c r="E728" s="6"/>
      <c r="F728" s="6"/>
      <c r="G728" s="18"/>
      <c r="I728" s="16"/>
      <c r="J728" s="9"/>
      <c r="K728" s="10"/>
      <c r="L728" s="6"/>
      <c r="M728" s="11"/>
      <c r="N728" s="6"/>
      <c r="O728" s="6"/>
      <c r="P728" s="10"/>
      <c r="Q728" s="6"/>
      <c r="R728" s="6"/>
      <c r="S728" s="6"/>
      <c r="T728" s="6"/>
      <c r="U728" s="9"/>
      <c r="AI728" s="6"/>
      <c r="AJ728" s="12"/>
      <c r="AL728" s="13"/>
    </row>
    <row r="729">
      <c r="A729" s="5"/>
      <c r="B729" s="5"/>
      <c r="C729" s="5"/>
      <c r="D729" s="5"/>
      <c r="E729" s="6"/>
      <c r="F729" s="6"/>
      <c r="G729" s="18"/>
      <c r="I729" s="16"/>
      <c r="J729" s="9"/>
      <c r="K729" s="10"/>
      <c r="L729" s="6"/>
      <c r="M729" s="11"/>
      <c r="N729" s="6"/>
      <c r="O729" s="6"/>
      <c r="P729" s="10"/>
      <c r="Q729" s="6"/>
      <c r="R729" s="6"/>
      <c r="S729" s="6"/>
      <c r="T729" s="6"/>
      <c r="U729" s="9"/>
      <c r="AI729" s="6"/>
      <c r="AJ729" s="12"/>
      <c r="AL729" s="13"/>
    </row>
    <row r="730">
      <c r="A730" s="5"/>
      <c r="B730" s="5"/>
      <c r="C730" s="5"/>
      <c r="D730" s="5"/>
      <c r="E730" s="6"/>
      <c r="F730" s="6"/>
      <c r="G730" s="18"/>
      <c r="I730" s="16"/>
      <c r="J730" s="9"/>
      <c r="K730" s="10"/>
      <c r="L730" s="6"/>
      <c r="M730" s="11"/>
      <c r="N730" s="6"/>
      <c r="O730" s="6"/>
      <c r="P730" s="10"/>
      <c r="Q730" s="6"/>
      <c r="R730" s="6"/>
      <c r="S730" s="6"/>
      <c r="T730" s="6"/>
      <c r="U730" s="9"/>
      <c r="AI730" s="6"/>
      <c r="AJ730" s="12"/>
      <c r="AL730" s="13"/>
    </row>
    <row r="731">
      <c r="A731" s="5"/>
      <c r="B731" s="5"/>
      <c r="C731" s="5"/>
      <c r="D731" s="5"/>
      <c r="E731" s="6"/>
      <c r="F731" s="6"/>
      <c r="G731" s="18"/>
      <c r="I731" s="16"/>
      <c r="J731" s="9"/>
      <c r="K731" s="10"/>
      <c r="L731" s="6"/>
      <c r="M731" s="11"/>
      <c r="N731" s="6"/>
      <c r="O731" s="6"/>
      <c r="P731" s="10"/>
      <c r="Q731" s="6"/>
      <c r="R731" s="6"/>
      <c r="S731" s="6"/>
      <c r="T731" s="6"/>
      <c r="U731" s="9"/>
      <c r="AI731" s="6"/>
      <c r="AJ731" s="12"/>
      <c r="AL731" s="13"/>
    </row>
    <row r="732">
      <c r="A732" s="5"/>
      <c r="B732" s="5"/>
      <c r="C732" s="5"/>
      <c r="D732" s="5"/>
      <c r="E732" s="6"/>
      <c r="F732" s="6"/>
      <c r="G732" s="18"/>
      <c r="I732" s="16"/>
      <c r="J732" s="9"/>
      <c r="K732" s="10"/>
      <c r="L732" s="6"/>
      <c r="M732" s="11"/>
      <c r="N732" s="6"/>
      <c r="O732" s="6"/>
      <c r="P732" s="10"/>
      <c r="Q732" s="6"/>
      <c r="R732" s="6"/>
      <c r="S732" s="6"/>
      <c r="T732" s="6"/>
      <c r="U732" s="9"/>
      <c r="AI732" s="6"/>
      <c r="AJ732" s="12"/>
      <c r="AL732" s="13"/>
    </row>
    <row r="733">
      <c r="A733" s="5"/>
      <c r="B733" s="5"/>
      <c r="C733" s="5"/>
      <c r="D733" s="17"/>
      <c r="E733" s="6"/>
      <c r="F733" s="6"/>
      <c r="G733" s="18"/>
      <c r="I733" s="16"/>
      <c r="J733" s="9"/>
      <c r="K733" s="10"/>
      <c r="L733" s="6"/>
      <c r="M733" s="11"/>
      <c r="N733" s="6"/>
      <c r="O733" s="6"/>
      <c r="P733" s="10"/>
      <c r="Q733" s="6"/>
      <c r="R733" s="6"/>
      <c r="S733" s="6"/>
      <c r="T733" s="6"/>
      <c r="U733" s="9"/>
      <c r="AI733" s="6"/>
      <c r="AJ733" s="12"/>
      <c r="AL733" s="13"/>
    </row>
    <row r="734">
      <c r="A734" s="5"/>
      <c r="B734" s="5"/>
      <c r="C734" s="5"/>
      <c r="D734" s="17"/>
      <c r="E734" s="6"/>
      <c r="F734" s="6"/>
      <c r="G734" s="18"/>
      <c r="I734" s="16"/>
      <c r="J734" s="9"/>
      <c r="K734" s="10"/>
      <c r="L734" s="6"/>
      <c r="M734" s="11"/>
      <c r="N734" s="6"/>
      <c r="O734" s="6"/>
      <c r="P734" s="10"/>
      <c r="Q734" s="6"/>
      <c r="R734" s="6"/>
      <c r="S734" s="6"/>
      <c r="T734" s="6"/>
      <c r="U734" s="9"/>
      <c r="AI734" s="6"/>
      <c r="AJ734" s="12"/>
      <c r="AL734" s="13"/>
    </row>
    <row r="735">
      <c r="A735" s="5"/>
      <c r="B735" s="5"/>
      <c r="C735" s="5"/>
      <c r="D735" s="17"/>
      <c r="E735" s="6"/>
      <c r="F735" s="6"/>
      <c r="G735" s="18"/>
      <c r="I735" s="16"/>
      <c r="J735" s="9"/>
      <c r="K735" s="10"/>
      <c r="L735" s="6"/>
      <c r="M735" s="11"/>
      <c r="N735" s="6"/>
      <c r="O735" s="6"/>
      <c r="P735" s="10"/>
      <c r="Q735" s="6"/>
      <c r="R735" s="6"/>
      <c r="S735" s="6"/>
      <c r="T735" s="6"/>
      <c r="U735" s="9"/>
      <c r="AI735" s="6"/>
      <c r="AJ735" s="12"/>
      <c r="AL735" s="13"/>
    </row>
    <row r="736">
      <c r="A736" s="5"/>
      <c r="B736" s="5"/>
      <c r="C736" s="5"/>
      <c r="D736" s="17"/>
      <c r="E736" s="6"/>
      <c r="F736" s="6"/>
      <c r="G736" s="18"/>
      <c r="I736" s="16"/>
      <c r="J736" s="9"/>
      <c r="K736" s="10"/>
      <c r="L736" s="6"/>
      <c r="M736" s="11"/>
      <c r="N736" s="6"/>
      <c r="O736" s="6"/>
      <c r="P736" s="10"/>
      <c r="Q736" s="6"/>
      <c r="R736" s="6"/>
      <c r="S736" s="6"/>
      <c r="T736" s="6"/>
      <c r="U736" s="9"/>
      <c r="AI736" s="6"/>
      <c r="AJ736" s="12"/>
      <c r="AL736" s="13"/>
    </row>
    <row r="737">
      <c r="A737" s="5"/>
      <c r="B737" s="5"/>
      <c r="C737" s="5"/>
      <c r="D737" s="17"/>
      <c r="E737" s="6"/>
      <c r="F737" s="6"/>
      <c r="G737" s="18"/>
      <c r="I737" s="16"/>
      <c r="J737" s="9"/>
      <c r="K737" s="10"/>
      <c r="L737" s="6"/>
      <c r="M737" s="11"/>
      <c r="N737" s="6"/>
      <c r="O737" s="6"/>
      <c r="P737" s="10"/>
      <c r="Q737" s="6"/>
      <c r="R737" s="6"/>
      <c r="S737" s="6"/>
      <c r="T737" s="6"/>
      <c r="U737" s="9"/>
      <c r="AI737" s="6"/>
      <c r="AJ737" s="12"/>
      <c r="AL737" s="13"/>
    </row>
    <row r="738">
      <c r="A738" s="5"/>
      <c r="B738" s="5"/>
      <c r="C738" s="5"/>
      <c r="D738" s="17"/>
      <c r="E738" s="6"/>
      <c r="F738" s="6"/>
      <c r="G738" s="18"/>
      <c r="I738" s="16"/>
      <c r="J738" s="9"/>
      <c r="K738" s="10"/>
      <c r="L738" s="6"/>
      <c r="M738" s="11"/>
      <c r="N738" s="6"/>
      <c r="O738" s="6"/>
      <c r="P738" s="10"/>
      <c r="Q738" s="6"/>
      <c r="R738" s="6"/>
      <c r="S738" s="6"/>
      <c r="T738" s="6"/>
      <c r="U738" s="9"/>
      <c r="AI738" s="6"/>
      <c r="AJ738" s="12"/>
      <c r="AL738" s="13"/>
    </row>
    <row r="739">
      <c r="A739" s="5"/>
      <c r="B739" s="5"/>
      <c r="C739" s="5"/>
      <c r="D739" s="17"/>
      <c r="E739" s="6"/>
      <c r="F739" s="6"/>
      <c r="G739" s="18"/>
      <c r="I739" s="16"/>
      <c r="J739" s="9"/>
      <c r="K739" s="10"/>
      <c r="L739" s="6"/>
      <c r="M739" s="11"/>
      <c r="N739" s="6"/>
      <c r="O739" s="6"/>
      <c r="P739" s="10"/>
      <c r="Q739" s="6"/>
      <c r="R739" s="6"/>
      <c r="S739" s="6"/>
      <c r="T739" s="6"/>
      <c r="U739" s="9"/>
      <c r="AI739" s="6"/>
      <c r="AJ739" s="12"/>
      <c r="AL739" s="13"/>
    </row>
    <row r="740">
      <c r="A740" s="5"/>
      <c r="B740" s="5"/>
      <c r="C740" s="5"/>
      <c r="D740" s="17"/>
      <c r="E740" s="6"/>
      <c r="F740" s="6"/>
      <c r="G740" s="18"/>
      <c r="I740" s="16"/>
      <c r="J740" s="9"/>
      <c r="K740" s="10"/>
      <c r="L740" s="6"/>
      <c r="M740" s="11"/>
      <c r="N740" s="6"/>
      <c r="O740" s="6"/>
      <c r="P740" s="10"/>
      <c r="Q740" s="6"/>
      <c r="R740" s="6"/>
      <c r="S740" s="6"/>
      <c r="T740" s="6"/>
      <c r="U740" s="9"/>
      <c r="AI740" s="6"/>
      <c r="AJ740" s="12"/>
      <c r="AL740" s="13"/>
    </row>
    <row r="741">
      <c r="A741" s="5"/>
      <c r="B741" s="5"/>
      <c r="C741" s="5"/>
      <c r="D741" s="5"/>
      <c r="E741" s="6"/>
      <c r="F741" s="6"/>
      <c r="G741" s="18"/>
      <c r="I741" s="16"/>
      <c r="J741" s="9"/>
      <c r="K741" s="10"/>
      <c r="L741" s="6"/>
      <c r="M741" s="11"/>
      <c r="N741" s="6"/>
      <c r="O741" s="6"/>
      <c r="P741" s="10"/>
      <c r="Q741" s="6"/>
      <c r="R741" s="6"/>
      <c r="S741" s="6"/>
      <c r="T741" s="6"/>
      <c r="U741" s="9"/>
      <c r="AI741" s="6"/>
      <c r="AJ741" s="12"/>
      <c r="AL741" s="13"/>
    </row>
    <row r="742">
      <c r="A742" s="5"/>
      <c r="B742" s="5"/>
      <c r="C742" s="5"/>
      <c r="D742" s="5"/>
      <c r="E742" s="6"/>
      <c r="F742" s="6"/>
      <c r="G742" s="18"/>
      <c r="I742" s="16"/>
      <c r="J742" s="9"/>
      <c r="K742" s="10"/>
      <c r="L742" s="6"/>
      <c r="M742" s="11"/>
      <c r="N742" s="6"/>
      <c r="O742" s="6"/>
      <c r="P742" s="10"/>
      <c r="Q742" s="6"/>
      <c r="R742" s="6"/>
      <c r="S742" s="6"/>
      <c r="T742" s="6"/>
      <c r="U742" s="9"/>
      <c r="AI742" s="6"/>
      <c r="AJ742" s="12"/>
      <c r="AL742" s="13"/>
    </row>
    <row r="743">
      <c r="A743" s="5"/>
      <c r="B743" s="5"/>
      <c r="C743" s="5"/>
      <c r="D743" s="5"/>
      <c r="E743" s="6"/>
      <c r="F743" s="6"/>
      <c r="G743" s="18"/>
      <c r="I743" s="16"/>
      <c r="J743" s="9"/>
      <c r="K743" s="10"/>
      <c r="L743" s="6"/>
      <c r="M743" s="11"/>
      <c r="N743" s="6"/>
      <c r="O743" s="6"/>
      <c r="P743" s="10"/>
      <c r="Q743" s="6"/>
      <c r="R743" s="6"/>
      <c r="S743" s="6"/>
      <c r="T743" s="6"/>
      <c r="U743" s="9"/>
      <c r="AI743" s="6"/>
      <c r="AJ743" s="12"/>
      <c r="AL743" s="13"/>
    </row>
    <row r="744">
      <c r="A744" s="5"/>
      <c r="B744" s="5"/>
      <c r="C744" s="5"/>
      <c r="D744" s="5"/>
      <c r="E744" s="6"/>
      <c r="F744" s="6"/>
      <c r="G744" s="18"/>
      <c r="I744" s="16"/>
      <c r="J744" s="9"/>
      <c r="K744" s="10"/>
      <c r="L744" s="6"/>
      <c r="M744" s="11"/>
      <c r="N744" s="6"/>
      <c r="O744" s="6"/>
      <c r="P744" s="10"/>
      <c r="Q744" s="6"/>
      <c r="R744" s="6"/>
      <c r="S744" s="6"/>
      <c r="T744" s="6"/>
      <c r="U744" s="9"/>
      <c r="AI744" s="6"/>
      <c r="AJ744" s="12"/>
      <c r="AL744" s="13"/>
    </row>
    <row r="745">
      <c r="A745" s="5"/>
      <c r="B745" s="5"/>
      <c r="C745" s="5"/>
      <c r="D745" s="5"/>
      <c r="E745" s="6"/>
      <c r="F745" s="6"/>
      <c r="G745" s="18"/>
      <c r="I745" s="16"/>
      <c r="J745" s="9"/>
      <c r="K745" s="10"/>
      <c r="L745" s="6"/>
      <c r="M745" s="11"/>
      <c r="N745" s="6"/>
      <c r="O745" s="6"/>
      <c r="P745" s="10"/>
      <c r="Q745" s="6"/>
      <c r="R745" s="6"/>
      <c r="S745" s="6"/>
      <c r="T745" s="6"/>
      <c r="U745" s="9"/>
      <c r="AI745" s="6"/>
      <c r="AJ745" s="12"/>
      <c r="AL745" s="13"/>
    </row>
    <row r="746">
      <c r="A746" s="5"/>
      <c r="B746" s="5"/>
      <c r="C746" s="5"/>
      <c r="D746" s="5"/>
      <c r="E746" s="6"/>
      <c r="F746" s="6"/>
      <c r="G746" s="18"/>
      <c r="I746" s="16"/>
      <c r="J746" s="9"/>
      <c r="K746" s="10"/>
      <c r="L746" s="6"/>
      <c r="M746" s="11"/>
      <c r="N746" s="6"/>
      <c r="O746" s="6"/>
      <c r="P746" s="10"/>
      <c r="Q746" s="6"/>
      <c r="R746" s="6"/>
      <c r="S746" s="6"/>
      <c r="T746" s="6"/>
      <c r="U746" s="9"/>
      <c r="AI746" s="6"/>
      <c r="AJ746" s="12"/>
      <c r="AL746" s="13"/>
    </row>
    <row r="747">
      <c r="A747" s="5"/>
      <c r="B747" s="5"/>
      <c r="C747" s="5"/>
      <c r="D747" s="17"/>
      <c r="E747" s="6"/>
      <c r="F747" s="6"/>
      <c r="G747" s="18"/>
      <c r="I747" s="16"/>
      <c r="J747" s="9"/>
      <c r="K747" s="10"/>
      <c r="L747" s="6"/>
      <c r="M747" s="11"/>
      <c r="N747" s="6"/>
      <c r="O747" s="6"/>
      <c r="P747" s="10"/>
      <c r="Q747" s="6"/>
      <c r="R747" s="6"/>
      <c r="S747" s="6"/>
      <c r="T747" s="6"/>
      <c r="U747" s="9"/>
      <c r="AI747" s="6"/>
      <c r="AJ747" s="12"/>
      <c r="AL747" s="13"/>
    </row>
    <row r="748">
      <c r="A748" s="5"/>
      <c r="B748" s="5"/>
      <c r="C748" s="5"/>
      <c r="D748" s="17"/>
      <c r="E748" s="6"/>
      <c r="F748" s="6"/>
      <c r="G748" s="18"/>
      <c r="I748" s="16"/>
      <c r="J748" s="9"/>
      <c r="K748" s="10"/>
      <c r="L748" s="6"/>
      <c r="M748" s="11"/>
      <c r="N748" s="6"/>
      <c r="O748" s="6"/>
      <c r="P748" s="10"/>
      <c r="Q748" s="6"/>
      <c r="R748" s="6"/>
      <c r="S748" s="6"/>
      <c r="T748" s="6"/>
      <c r="U748" s="9"/>
      <c r="AI748" s="6"/>
      <c r="AJ748" s="12"/>
      <c r="AL748" s="13"/>
    </row>
    <row r="749">
      <c r="A749" s="5"/>
      <c r="B749" s="5"/>
      <c r="C749" s="5"/>
      <c r="D749" s="5"/>
      <c r="E749" s="6"/>
      <c r="F749" s="6"/>
      <c r="G749" s="18"/>
      <c r="I749" s="16"/>
      <c r="J749" s="9"/>
      <c r="K749" s="10"/>
      <c r="L749" s="6"/>
      <c r="M749" s="11"/>
      <c r="N749" s="6"/>
      <c r="O749" s="6"/>
      <c r="P749" s="10"/>
      <c r="Q749" s="6"/>
      <c r="R749" s="6"/>
      <c r="S749" s="6"/>
      <c r="T749" s="6"/>
      <c r="U749" s="9"/>
      <c r="AI749" s="6"/>
      <c r="AJ749" s="12"/>
      <c r="AL749" s="13"/>
    </row>
    <row r="750">
      <c r="A750" s="5"/>
      <c r="B750" s="5"/>
      <c r="C750" s="5"/>
      <c r="D750" s="5"/>
      <c r="E750" s="6"/>
      <c r="F750" s="6"/>
      <c r="G750" s="18"/>
      <c r="I750" s="16"/>
      <c r="J750" s="9"/>
      <c r="K750" s="10"/>
      <c r="L750" s="6"/>
      <c r="M750" s="11"/>
      <c r="N750" s="6"/>
      <c r="O750" s="6"/>
      <c r="P750" s="10"/>
      <c r="Q750" s="6"/>
      <c r="R750" s="6"/>
      <c r="S750" s="6"/>
      <c r="T750" s="6"/>
      <c r="U750" s="9"/>
      <c r="AI750" s="6"/>
      <c r="AJ750" s="12"/>
      <c r="AL750" s="13"/>
    </row>
    <row r="751">
      <c r="A751" s="5"/>
      <c r="B751" s="5"/>
      <c r="C751" s="5"/>
      <c r="D751" s="17"/>
      <c r="E751" s="6"/>
      <c r="F751" s="6"/>
      <c r="G751" s="18"/>
      <c r="I751" s="16"/>
      <c r="J751" s="9"/>
      <c r="K751" s="10"/>
      <c r="L751" s="6"/>
      <c r="M751" s="11"/>
      <c r="N751" s="6"/>
      <c r="O751" s="6"/>
      <c r="P751" s="10"/>
      <c r="Q751" s="6"/>
      <c r="R751" s="6"/>
      <c r="S751" s="6"/>
      <c r="T751" s="6"/>
      <c r="U751" s="9"/>
      <c r="AI751" s="6"/>
      <c r="AJ751" s="12"/>
      <c r="AL751" s="13"/>
    </row>
    <row r="752">
      <c r="A752" s="5"/>
      <c r="B752" s="5"/>
      <c r="C752" s="5"/>
      <c r="D752" s="17"/>
      <c r="E752" s="6"/>
      <c r="F752" s="6"/>
      <c r="G752" s="18"/>
      <c r="I752" s="16"/>
      <c r="J752" s="9"/>
      <c r="K752" s="10"/>
      <c r="L752" s="6"/>
      <c r="M752" s="11"/>
      <c r="N752" s="6"/>
      <c r="O752" s="6"/>
      <c r="P752" s="10"/>
      <c r="Q752" s="6"/>
      <c r="R752" s="6"/>
      <c r="S752" s="6"/>
      <c r="T752" s="6"/>
      <c r="U752" s="9"/>
      <c r="AI752" s="6"/>
      <c r="AJ752" s="12"/>
      <c r="AL752" s="13"/>
    </row>
    <row r="753">
      <c r="A753" s="5"/>
      <c r="B753" s="5"/>
      <c r="C753" s="5"/>
      <c r="D753" s="5"/>
      <c r="E753" s="6"/>
      <c r="F753" s="6"/>
      <c r="G753" s="18"/>
      <c r="I753" s="16"/>
      <c r="J753" s="9"/>
      <c r="K753" s="10"/>
      <c r="L753" s="6"/>
      <c r="M753" s="11"/>
      <c r="N753" s="6"/>
      <c r="O753" s="6"/>
      <c r="P753" s="10"/>
      <c r="Q753" s="6"/>
      <c r="R753" s="6"/>
      <c r="S753" s="6"/>
      <c r="T753" s="6"/>
      <c r="U753" s="9"/>
      <c r="AI753" s="6"/>
      <c r="AJ753" s="12"/>
      <c r="AL753" s="13"/>
    </row>
    <row r="754">
      <c r="A754" s="5"/>
      <c r="B754" s="5"/>
      <c r="C754" s="5"/>
      <c r="D754" s="5"/>
      <c r="E754" s="6"/>
      <c r="F754" s="6"/>
      <c r="G754" s="18"/>
      <c r="I754" s="16"/>
      <c r="J754" s="9"/>
      <c r="K754" s="10"/>
      <c r="L754" s="6"/>
      <c r="M754" s="11"/>
      <c r="N754" s="6"/>
      <c r="O754" s="6"/>
      <c r="P754" s="10"/>
      <c r="Q754" s="6"/>
      <c r="R754" s="6"/>
      <c r="S754" s="6"/>
      <c r="T754" s="6"/>
      <c r="U754" s="9"/>
      <c r="AI754" s="6"/>
      <c r="AJ754" s="12"/>
      <c r="AL754" s="13"/>
    </row>
    <row r="755">
      <c r="A755" s="5"/>
      <c r="B755" s="5"/>
      <c r="C755" s="5"/>
      <c r="D755" s="5"/>
      <c r="E755" s="6"/>
      <c r="F755" s="6"/>
      <c r="G755" s="18"/>
      <c r="I755" s="16"/>
      <c r="J755" s="9"/>
      <c r="K755" s="10"/>
      <c r="L755" s="6"/>
      <c r="M755" s="11"/>
      <c r="N755" s="6"/>
      <c r="O755" s="6"/>
      <c r="P755" s="10"/>
      <c r="Q755" s="6"/>
      <c r="R755" s="6"/>
      <c r="S755" s="6"/>
      <c r="T755" s="6"/>
      <c r="U755" s="9"/>
      <c r="AI755" s="6"/>
      <c r="AJ755" s="12"/>
      <c r="AL755" s="13"/>
    </row>
    <row r="756">
      <c r="A756" s="5"/>
      <c r="B756" s="5"/>
      <c r="C756" s="5"/>
      <c r="D756" s="5"/>
      <c r="E756" s="6"/>
      <c r="F756" s="6"/>
      <c r="G756" s="18"/>
      <c r="I756" s="16"/>
      <c r="J756" s="9"/>
      <c r="K756" s="10"/>
      <c r="L756" s="6"/>
      <c r="M756" s="11"/>
      <c r="N756" s="6"/>
      <c r="O756" s="6"/>
      <c r="P756" s="10"/>
      <c r="Q756" s="6"/>
      <c r="R756" s="6"/>
      <c r="S756" s="6"/>
      <c r="T756" s="6"/>
      <c r="U756" s="9"/>
      <c r="AI756" s="6"/>
      <c r="AJ756" s="12"/>
      <c r="AL756" s="13"/>
    </row>
    <row r="757">
      <c r="A757" s="5"/>
      <c r="B757" s="5"/>
      <c r="C757" s="5"/>
      <c r="D757" s="5"/>
      <c r="E757" s="6"/>
      <c r="F757" s="6"/>
      <c r="G757" s="18"/>
      <c r="I757" s="16"/>
      <c r="J757" s="9"/>
      <c r="K757" s="10"/>
      <c r="L757" s="6"/>
      <c r="M757" s="11"/>
      <c r="N757" s="6"/>
      <c r="O757" s="6"/>
      <c r="P757" s="10"/>
      <c r="Q757" s="6"/>
      <c r="R757" s="6"/>
      <c r="S757" s="6"/>
      <c r="T757" s="6"/>
      <c r="U757" s="9"/>
      <c r="AI757" s="6"/>
      <c r="AJ757" s="12"/>
      <c r="AL757" s="13"/>
    </row>
    <row r="758">
      <c r="A758" s="5"/>
      <c r="B758" s="5"/>
      <c r="C758" s="5"/>
      <c r="D758" s="5"/>
      <c r="E758" s="6"/>
      <c r="F758" s="6"/>
      <c r="G758" s="18"/>
      <c r="I758" s="16"/>
      <c r="J758" s="9"/>
      <c r="K758" s="10"/>
      <c r="L758" s="6"/>
      <c r="M758" s="11"/>
      <c r="N758" s="6"/>
      <c r="O758" s="6"/>
      <c r="P758" s="10"/>
      <c r="Q758" s="6"/>
      <c r="R758" s="6"/>
      <c r="S758" s="6"/>
      <c r="T758" s="6"/>
      <c r="U758" s="9"/>
      <c r="AI758" s="6"/>
      <c r="AJ758" s="12"/>
      <c r="AL758" s="13"/>
    </row>
    <row r="759">
      <c r="A759" s="5"/>
      <c r="B759" s="5"/>
      <c r="C759" s="5"/>
      <c r="D759" s="5"/>
      <c r="E759" s="6"/>
      <c r="F759" s="6"/>
      <c r="G759" s="18"/>
      <c r="I759" s="16"/>
      <c r="J759" s="9"/>
      <c r="K759" s="10"/>
      <c r="L759" s="6"/>
      <c r="M759" s="11"/>
      <c r="N759" s="6"/>
      <c r="O759" s="6"/>
      <c r="P759" s="10"/>
      <c r="Q759" s="6"/>
      <c r="R759" s="6"/>
      <c r="S759" s="6"/>
      <c r="T759" s="6"/>
      <c r="U759" s="9"/>
      <c r="AI759" s="6"/>
      <c r="AJ759" s="12"/>
      <c r="AL759" s="13"/>
    </row>
    <row r="760">
      <c r="A760" s="5"/>
      <c r="B760" s="5"/>
      <c r="C760" s="5"/>
      <c r="D760" s="5"/>
      <c r="E760" s="6"/>
      <c r="F760" s="6"/>
      <c r="G760" s="18"/>
      <c r="I760" s="16"/>
      <c r="J760" s="9"/>
      <c r="K760" s="10"/>
      <c r="L760" s="6"/>
      <c r="M760" s="11"/>
      <c r="N760" s="6"/>
      <c r="O760" s="6"/>
      <c r="P760" s="10"/>
      <c r="Q760" s="6"/>
      <c r="R760" s="6"/>
      <c r="S760" s="6"/>
      <c r="T760" s="6"/>
      <c r="U760" s="9"/>
      <c r="AI760" s="6"/>
      <c r="AJ760" s="12"/>
      <c r="AL760" s="13"/>
    </row>
    <row r="761">
      <c r="A761" s="5"/>
      <c r="B761" s="5"/>
      <c r="C761" s="5"/>
      <c r="D761" s="5"/>
      <c r="E761" s="6"/>
      <c r="F761" s="6"/>
      <c r="G761" s="18"/>
      <c r="I761" s="16"/>
      <c r="J761" s="9"/>
      <c r="K761" s="10"/>
      <c r="L761" s="6"/>
      <c r="M761" s="11"/>
      <c r="N761" s="6"/>
      <c r="O761" s="6"/>
      <c r="P761" s="10"/>
      <c r="Q761" s="6"/>
      <c r="R761" s="6"/>
      <c r="S761" s="6"/>
      <c r="T761" s="6"/>
      <c r="U761" s="9"/>
      <c r="AI761" s="6"/>
      <c r="AJ761" s="12"/>
      <c r="AL761" s="13"/>
    </row>
    <row r="762">
      <c r="A762" s="5"/>
      <c r="B762" s="5"/>
      <c r="C762" s="5"/>
      <c r="D762" s="5"/>
      <c r="E762" s="6"/>
      <c r="F762" s="6"/>
      <c r="G762" s="18"/>
      <c r="I762" s="16"/>
      <c r="J762" s="9"/>
      <c r="K762" s="10"/>
      <c r="L762" s="6"/>
      <c r="M762" s="11"/>
      <c r="N762" s="6"/>
      <c r="O762" s="6"/>
      <c r="P762" s="10"/>
      <c r="Q762" s="6"/>
      <c r="R762" s="6"/>
      <c r="S762" s="6"/>
      <c r="T762" s="6"/>
      <c r="U762" s="9"/>
      <c r="AI762" s="6"/>
      <c r="AJ762" s="12"/>
      <c r="AL762" s="13"/>
    </row>
    <row r="763">
      <c r="A763" s="5"/>
      <c r="B763" s="5"/>
      <c r="C763" s="5"/>
      <c r="D763" s="17"/>
      <c r="E763" s="6"/>
      <c r="F763" s="6"/>
      <c r="G763" s="18"/>
      <c r="I763" s="16"/>
      <c r="J763" s="9"/>
      <c r="K763" s="10"/>
      <c r="L763" s="6"/>
      <c r="M763" s="11"/>
      <c r="N763" s="6"/>
      <c r="O763" s="6"/>
      <c r="P763" s="10"/>
      <c r="Q763" s="6"/>
      <c r="R763" s="6"/>
      <c r="S763" s="6"/>
      <c r="T763" s="6"/>
      <c r="U763" s="9"/>
      <c r="AI763" s="6"/>
      <c r="AJ763" s="12"/>
      <c r="AL763" s="13"/>
    </row>
    <row r="764">
      <c r="A764" s="5"/>
      <c r="B764" s="5"/>
      <c r="C764" s="5"/>
      <c r="D764" s="17"/>
      <c r="E764" s="6"/>
      <c r="F764" s="6"/>
      <c r="G764" s="18"/>
      <c r="I764" s="16"/>
      <c r="J764" s="9"/>
      <c r="K764" s="10"/>
      <c r="L764" s="6"/>
      <c r="M764" s="11"/>
      <c r="N764" s="6"/>
      <c r="O764" s="6"/>
      <c r="P764" s="10"/>
      <c r="Q764" s="6"/>
      <c r="R764" s="6"/>
      <c r="S764" s="6"/>
      <c r="T764" s="6"/>
      <c r="U764" s="9"/>
      <c r="AI764" s="6"/>
      <c r="AJ764" s="12"/>
      <c r="AL764" s="13"/>
    </row>
    <row r="765">
      <c r="A765" s="5"/>
      <c r="B765" s="5"/>
      <c r="C765" s="5"/>
      <c r="D765" s="5"/>
      <c r="E765" s="6"/>
      <c r="F765" s="6"/>
      <c r="G765" s="18"/>
      <c r="I765" s="16"/>
      <c r="J765" s="9"/>
      <c r="K765" s="10"/>
      <c r="L765" s="6"/>
      <c r="M765" s="11"/>
      <c r="N765" s="6"/>
      <c r="O765" s="6"/>
      <c r="P765" s="10"/>
      <c r="Q765" s="6"/>
      <c r="R765" s="6"/>
      <c r="S765" s="6"/>
      <c r="T765" s="6"/>
      <c r="U765" s="9"/>
      <c r="AI765" s="6"/>
      <c r="AJ765" s="12"/>
      <c r="AL765" s="13"/>
    </row>
    <row r="766">
      <c r="A766" s="5"/>
      <c r="B766" s="5"/>
      <c r="C766" s="5"/>
      <c r="D766" s="5"/>
      <c r="E766" s="6"/>
      <c r="F766" s="6"/>
      <c r="G766" s="18"/>
      <c r="I766" s="16"/>
      <c r="J766" s="9"/>
      <c r="K766" s="10"/>
      <c r="L766" s="6"/>
      <c r="M766" s="11"/>
      <c r="N766" s="6"/>
      <c r="O766" s="6"/>
      <c r="P766" s="10"/>
      <c r="Q766" s="6"/>
      <c r="R766" s="6"/>
      <c r="S766" s="6"/>
      <c r="T766" s="6"/>
      <c r="U766" s="9"/>
      <c r="AI766" s="6"/>
      <c r="AJ766" s="12"/>
      <c r="AL766" s="13"/>
    </row>
    <row r="767">
      <c r="A767" s="5"/>
      <c r="B767" s="5"/>
      <c r="C767" s="5"/>
      <c r="D767" s="5"/>
      <c r="E767" s="6"/>
      <c r="F767" s="6"/>
      <c r="G767" s="18"/>
      <c r="I767" s="16"/>
      <c r="J767" s="9"/>
      <c r="K767" s="10"/>
      <c r="L767" s="6"/>
      <c r="M767" s="11"/>
      <c r="N767" s="6"/>
      <c r="O767" s="6"/>
      <c r="P767" s="10"/>
      <c r="Q767" s="6"/>
      <c r="R767" s="6"/>
      <c r="S767" s="6"/>
      <c r="T767" s="6"/>
      <c r="U767" s="9"/>
      <c r="AI767" s="6"/>
      <c r="AJ767" s="12"/>
      <c r="AL767" s="13"/>
    </row>
    <row r="768">
      <c r="A768" s="5"/>
      <c r="B768" s="5"/>
      <c r="C768" s="5"/>
      <c r="D768" s="5"/>
      <c r="E768" s="6"/>
      <c r="F768" s="6"/>
      <c r="G768" s="18"/>
      <c r="I768" s="16"/>
      <c r="J768" s="9"/>
      <c r="K768" s="10"/>
      <c r="L768" s="6"/>
      <c r="M768" s="11"/>
      <c r="N768" s="6"/>
      <c r="O768" s="6"/>
      <c r="P768" s="10"/>
      <c r="Q768" s="6"/>
      <c r="R768" s="6"/>
      <c r="S768" s="6"/>
      <c r="T768" s="6"/>
      <c r="U768" s="9"/>
      <c r="AI768" s="6"/>
      <c r="AJ768" s="12"/>
      <c r="AL768" s="13"/>
    </row>
    <row r="769">
      <c r="A769" s="5"/>
      <c r="B769" s="5"/>
      <c r="C769" s="5"/>
      <c r="D769" s="5"/>
      <c r="E769" s="6"/>
      <c r="F769" s="6"/>
      <c r="G769" s="18"/>
      <c r="I769" s="16"/>
      <c r="J769" s="9"/>
      <c r="K769" s="10"/>
      <c r="L769" s="6"/>
      <c r="M769" s="11"/>
      <c r="N769" s="6"/>
      <c r="O769" s="6"/>
      <c r="P769" s="10"/>
      <c r="Q769" s="6"/>
      <c r="R769" s="6"/>
      <c r="S769" s="6"/>
      <c r="T769" s="6"/>
      <c r="U769" s="9"/>
      <c r="AI769" s="6"/>
      <c r="AJ769" s="12"/>
      <c r="AL769" s="13"/>
    </row>
    <row r="770">
      <c r="A770" s="5"/>
      <c r="B770" s="5"/>
      <c r="C770" s="5"/>
      <c r="D770" s="5"/>
      <c r="E770" s="6"/>
      <c r="F770" s="6"/>
      <c r="G770" s="18"/>
      <c r="I770" s="16"/>
      <c r="J770" s="9"/>
      <c r="K770" s="10"/>
      <c r="L770" s="6"/>
      <c r="M770" s="11"/>
      <c r="N770" s="6"/>
      <c r="O770" s="6"/>
      <c r="P770" s="10"/>
      <c r="Q770" s="6"/>
      <c r="R770" s="6"/>
      <c r="S770" s="6"/>
      <c r="T770" s="6"/>
      <c r="U770" s="9"/>
      <c r="AI770" s="6"/>
      <c r="AJ770" s="12"/>
      <c r="AL770" s="13"/>
    </row>
    <row r="771">
      <c r="A771" s="5"/>
      <c r="B771" s="5"/>
      <c r="C771" s="5"/>
      <c r="D771" s="5"/>
      <c r="E771" s="6"/>
      <c r="F771" s="6"/>
      <c r="G771" s="18"/>
      <c r="I771" s="16"/>
      <c r="J771" s="9"/>
      <c r="K771" s="10"/>
      <c r="L771" s="6"/>
      <c r="M771" s="11"/>
      <c r="N771" s="6"/>
      <c r="O771" s="6"/>
      <c r="P771" s="10"/>
      <c r="Q771" s="6"/>
      <c r="R771" s="6"/>
      <c r="S771" s="6"/>
      <c r="T771" s="6"/>
      <c r="U771" s="9"/>
      <c r="AI771" s="6"/>
      <c r="AJ771" s="12"/>
      <c r="AL771" s="13"/>
    </row>
    <row r="772">
      <c r="A772" s="5"/>
      <c r="B772" s="5"/>
      <c r="C772" s="5"/>
      <c r="D772" s="5"/>
      <c r="E772" s="6"/>
      <c r="F772" s="6"/>
      <c r="G772" s="18"/>
      <c r="I772" s="16"/>
      <c r="J772" s="9"/>
      <c r="K772" s="10"/>
      <c r="L772" s="6"/>
      <c r="M772" s="11"/>
      <c r="N772" s="6"/>
      <c r="O772" s="6"/>
      <c r="P772" s="10"/>
      <c r="Q772" s="6"/>
      <c r="R772" s="6"/>
      <c r="S772" s="6"/>
      <c r="T772" s="6"/>
      <c r="U772" s="9"/>
      <c r="AI772" s="6"/>
      <c r="AJ772" s="12"/>
      <c r="AL772" s="13"/>
    </row>
    <row r="773">
      <c r="A773" s="5"/>
      <c r="B773" s="5"/>
      <c r="C773" s="5"/>
      <c r="D773" s="5"/>
      <c r="E773" s="6"/>
      <c r="F773" s="6"/>
      <c r="G773" s="18"/>
      <c r="I773" s="16"/>
      <c r="J773" s="9"/>
      <c r="K773" s="10"/>
      <c r="L773" s="6"/>
      <c r="M773" s="11"/>
      <c r="N773" s="6"/>
      <c r="O773" s="6"/>
      <c r="P773" s="10"/>
      <c r="Q773" s="6"/>
      <c r="R773" s="6"/>
      <c r="S773" s="6"/>
      <c r="T773" s="6"/>
      <c r="U773" s="9"/>
      <c r="AI773" s="6"/>
      <c r="AJ773" s="12"/>
      <c r="AL773" s="13"/>
    </row>
    <row r="774">
      <c r="A774" s="5"/>
      <c r="B774" s="5"/>
      <c r="C774" s="5"/>
      <c r="D774" s="5"/>
      <c r="E774" s="6"/>
      <c r="F774" s="6"/>
      <c r="G774" s="18"/>
      <c r="I774" s="16"/>
      <c r="J774" s="9"/>
      <c r="K774" s="10"/>
      <c r="L774" s="6"/>
      <c r="M774" s="11"/>
      <c r="N774" s="6"/>
      <c r="O774" s="6"/>
      <c r="P774" s="10"/>
      <c r="Q774" s="6"/>
      <c r="R774" s="6"/>
      <c r="S774" s="6"/>
      <c r="T774" s="6"/>
      <c r="U774" s="9"/>
      <c r="AI774" s="6"/>
      <c r="AJ774" s="12"/>
      <c r="AL774" s="13"/>
    </row>
    <row r="775">
      <c r="A775" s="5"/>
      <c r="B775" s="5"/>
      <c r="C775" s="5"/>
      <c r="D775" s="5"/>
      <c r="E775" s="6"/>
      <c r="F775" s="6"/>
      <c r="G775" s="18"/>
      <c r="I775" s="16"/>
      <c r="J775" s="9"/>
      <c r="K775" s="10"/>
      <c r="L775" s="6"/>
      <c r="M775" s="11"/>
      <c r="N775" s="6"/>
      <c r="O775" s="6"/>
      <c r="P775" s="10"/>
      <c r="Q775" s="6"/>
      <c r="R775" s="6"/>
      <c r="S775" s="6"/>
      <c r="T775" s="6"/>
      <c r="U775" s="9"/>
      <c r="AI775" s="6"/>
      <c r="AJ775" s="12"/>
      <c r="AL775" s="13"/>
    </row>
    <row r="776">
      <c r="A776" s="5"/>
      <c r="B776" s="5"/>
      <c r="C776" s="5"/>
      <c r="D776" s="5"/>
      <c r="E776" s="6"/>
      <c r="F776" s="6"/>
      <c r="G776" s="18"/>
      <c r="I776" s="16"/>
      <c r="J776" s="9"/>
      <c r="K776" s="10"/>
      <c r="L776" s="6"/>
      <c r="M776" s="11"/>
      <c r="N776" s="6"/>
      <c r="O776" s="6"/>
      <c r="P776" s="10"/>
      <c r="Q776" s="6"/>
      <c r="R776" s="6"/>
      <c r="S776" s="6"/>
      <c r="T776" s="6"/>
      <c r="U776" s="9"/>
      <c r="AI776" s="6"/>
      <c r="AJ776" s="12"/>
      <c r="AL776" s="13"/>
    </row>
    <row r="777">
      <c r="A777" s="5"/>
      <c r="B777" s="5"/>
      <c r="C777" s="5"/>
      <c r="D777" s="5"/>
      <c r="E777" s="6"/>
      <c r="F777" s="6"/>
      <c r="G777" s="18"/>
      <c r="I777" s="16"/>
      <c r="J777" s="9"/>
      <c r="K777" s="10"/>
      <c r="L777" s="6"/>
      <c r="M777" s="11"/>
      <c r="N777" s="6"/>
      <c r="O777" s="6"/>
      <c r="P777" s="10"/>
      <c r="Q777" s="6"/>
      <c r="R777" s="6"/>
      <c r="S777" s="6"/>
      <c r="T777" s="6"/>
      <c r="U777" s="9"/>
      <c r="AI777" s="6"/>
      <c r="AJ777" s="12"/>
      <c r="AL777" s="13"/>
    </row>
    <row r="778">
      <c r="A778" s="5"/>
      <c r="B778" s="5"/>
      <c r="C778" s="5"/>
      <c r="D778" s="5"/>
      <c r="E778" s="6"/>
      <c r="F778" s="6"/>
      <c r="G778" s="18"/>
      <c r="I778" s="16"/>
      <c r="J778" s="9"/>
      <c r="K778" s="10"/>
      <c r="L778" s="6"/>
      <c r="M778" s="11"/>
      <c r="N778" s="6"/>
      <c r="O778" s="6"/>
      <c r="P778" s="10"/>
      <c r="Q778" s="6"/>
      <c r="R778" s="6"/>
      <c r="S778" s="6"/>
      <c r="T778" s="6"/>
      <c r="U778" s="9"/>
      <c r="AI778" s="6"/>
      <c r="AJ778" s="12"/>
      <c r="AL778" s="13"/>
    </row>
    <row r="779">
      <c r="A779" s="5"/>
      <c r="B779" s="5"/>
      <c r="C779" s="5"/>
      <c r="D779" s="17"/>
      <c r="E779" s="6"/>
      <c r="F779" s="6"/>
      <c r="G779" s="18"/>
      <c r="I779" s="16"/>
      <c r="J779" s="9"/>
      <c r="K779" s="10"/>
      <c r="L779" s="6"/>
      <c r="M779" s="11"/>
      <c r="N779" s="6"/>
      <c r="O779" s="6"/>
      <c r="P779" s="10"/>
      <c r="Q779" s="6"/>
      <c r="R779" s="6"/>
      <c r="S779" s="6"/>
      <c r="T779" s="6"/>
      <c r="U779" s="9"/>
      <c r="AI779" s="6"/>
      <c r="AJ779" s="12"/>
      <c r="AL779" s="13"/>
    </row>
    <row r="780">
      <c r="A780" s="5"/>
      <c r="B780" s="5"/>
      <c r="C780" s="5"/>
      <c r="D780" s="17"/>
      <c r="E780" s="6"/>
      <c r="F780" s="6"/>
      <c r="G780" s="18"/>
      <c r="I780" s="16"/>
      <c r="J780" s="9"/>
      <c r="K780" s="10"/>
      <c r="L780" s="6"/>
      <c r="M780" s="11"/>
      <c r="N780" s="6"/>
      <c r="O780" s="6"/>
      <c r="P780" s="10"/>
      <c r="Q780" s="6"/>
      <c r="R780" s="6"/>
      <c r="S780" s="6"/>
      <c r="T780" s="6"/>
      <c r="U780" s="9"/>
      <c r="AI780" s="6"/>
      <c r="AJ780" s="12"/>
      <c r="AL780" s="13"/>
    </row>
    <row r="781">
      <c r="A781" s="5"/>
      <c r="B781" s="5"/>
      <c r="C781" s="5"/>
      <c r="D781" s="5"/>
      <c r="E781" s="6"/>
      <c r="F781" s="6"/>
      <c r="G781" s="18"/>
      <c r="I781" s="16"/>
      <c r="J781" s="9"/>
      <c r="K781" s="10"/>
      <c r="L781" s="6"/>
      <c r="M781" s="11"/>
      <c r="N781" s="6"/>
      <c r="O781" s="6"/>
      <c r="P781" s="10"/>
      <c r="Q781" s="6"/>
      <c r="R781" s="6"/>
      <c r="S781" s="6"/>
      <c r="T781" s="6"/>
      <c r="U781" s="9"/>
      <c r="AI781" s="6"/>
      <c r="AJ781" s="12"/>
      <c r="AL781" s="13"/>
    </row>
    <row r="782">
      <c r="A782" s="5"/>
      <c r="B782" s="5"/>
      <c r="C782" s="5"/>
      <c r="D782" s="5"/>
      <c r="E782" s="6"/>
      <c r="F782" s="6"/>
      <c r="G782" s="18"/>
      <c r="I782" s="16"/>
      <c r="J782" s="9"/>
      <c r="K782" s="10"/>
      <c r="L782" s="6"/>
      <c r="M782" s="11"/>
      <c r="N782" s="6"/>
      <c r="O782" s="6"/>
      <c r="P782" s="10"/>
      <c r="Q782" s="6"/>
      <c r="R782" s="6"/>
      <c r="S782" s="6"/>
      <c r="T782" s="6"/>
      <c r="U782" s="9"/>
      <c r="AI782" s="6"/>
      <c r="AJ782" s="12"/>
      <c r="AL782" s="13"/>
    </row>
    <row r="783">
      <c r="A783" s="5"/>
      <c r="B783" s="5"/>
      <c r="C783" s="5"/>
      <c r="D783" s="5"/>
      <c r="E783" s="6"/>
      <c r="F783" s="6"/>
      <c r="G783" s="18"/>
      <c r="I783" s="16"/>
      <c r="J783" s="9"/>
      <c r="K783" s="10"/>
      <c r="L783" s="6"/>
      <c r="M783" s="11"/>
      <c r="N783" s="6"/>
      <c r="O783" s="6"/>
      <c r="P783" s="10"/>
      <c r="Q783" s="6"/>
      <c r="R783" s="6"/>
      <c r="S783" s="6"/>
      <c r="T783" s="6"/>
      <c r="U783" s="9"/>
      <c r="AI783" s="6"/>
      <c r="AJ783" s="12"/>
      <c r="AL783" s="13"/>
    </row>
    <row r="784">
      <c r="A784" s="5"/>
      <c r="B784" s="5"/>
      <c r="C784" s="5"/>
      <c r="D784" s="5"/>
      <c r="E784" s="6"/>
      <c r="F784" s="6"/>
      <c r="G784" s="18"/>
      <c r="I784" s="16"/>
      <c r="J784" s="9"/>
      <c r="K784" s="10"/>
      <c r="L784" s="6"/>
      <c r="M784" s="11"/>
      <c r="N784" s="6"/>
      <c r="O784" s="6"/>
      <c r="P784" s="10"/>
      <c r="Q784" s="6"/>
      <c r="R784" s="6"/>
      <c r="S784" s="6"/>
      <c r="T784" s="6"/>
      <c r="U784" s="9"/>
      <c r="AI784" s="6"/>
      <c r="AJ784" s="12"/>
      <c r="AL784" s="13"/>
    </row>
    <row r="785">
      <c r="A785" s="5"/>
      <c r="B785" s="5"/>
      <c r="C785" s="5"/>
      <c r="D785" s="5"/>
      <c r="E785" s="6"/>
      <c r="F785" s="6"/>
      <c r="G785" s="18"/>
      <c r="I785" s="16"/>
      <c r="J785" s="9"/>
      <c r="K785" s="10"/>
      <c r="L785" s="6"/>
      <c r="M785" s="11"/>
      <c r="N785" s="6"/>
      <c r="O785" s="6"/>
      <c r="P785" s="10"/>
      <c r="Q785" s="6"/>
      <c r="R785" s="6"/>
      <c r="S785" s="6"/>
      <c r="T785" s="6"/>
      <c r="U785" s="9"/>
      <c r="AI785" s="6"/>
      <c r="AJ785" s="12"/>
      <c r="AL785" s="13"/>
    </row>
    <row r="786">
      <c r="A786" s="5"/>
      <c r="B786" s="5"/>
      <c r="C786" s="5"/>
      <c r="D786" s="5"/>
      <c r="E786" s="6"/>
      <c r="F786" s="6"/>
      <c r="G786" s="18"/>
      <c r="I786" s="16"/>
      <c r="J786" s="9"/>
      <c r="K786" s="10"/>
      <c r="L786" s="6"/>
      <c r="M786" s="11"/>
      <c r="N786" s="6"/>
      <c r="O786" s="6"/>
      <c r="P786" s="10"/>
      <c r="Q786" s="6"/>
      <c r="R786" s="6"/>
      <c r="S786" s="6"/>
      <c r="T786" s="6"/>
      <c r="U786" s="9"/>
      <c r="AI786" s="6"/>
      <c r="AJ786" s="12"/>
      <c r="AL786" s="13"/>
    </row>
    <row r="787">
      <c r="A787" s="5"/>
      <c r="B787" s="5"/>
      <c r="C787" s="5"/>
      <c r="D787" s="5"/>
      <c r="E787" s="6"/>
      <c r="F787" s="6"/>
      <c r="G787" s="18"/>
      <c r="I787" s="16"/>
      <c r="J787" s="9"/>
      <c r="K787" s="10"/>
      <c r="L787" s="6"/>
      <c r="M787" s="11"/>
      <c r="N787" s="6"/>
      <c r="O787" s="6"/>
      <c r="P787" s="10"/>
      <c r="Q787" s="6"/>
      <c r="R787" s="6"/>
      <c r="S787" s="6"/>
      <c r="T787" s="6"/>
      <c r="U787" s="9"/>
      <c r="AI787" s="6"/>
      <c r="AJ787" s="12"/>
      <c r="AL787" s="13"/>
    </row>
    <row r="788">
      <c r="A788" s="5"/>
      <c r="B788" s="5"/>
      <c r="C788" s="5"/>
      <c r="D788" s="5"/>
      <c r="E788" s="6"/>
      <c r="F788" s="6"/>
      <c r="G788" s="18"/>
      <c r="I788" s="16"/>
      <c r="J788" s="9"/>
      <c r="K788" s="10"/>
      <c r="L788" s="6"/>
      <c r="M788" s="11"/>
      <c r="N788" s="6"/>
      <c r="O788" s="6"/>
      <c r="P788" s="10"/>
      <c r="Q788" s="6"/>
      <c r="R788" s="6"/>
      <c r="S788" s="6"/>
      <c r="T788" s="6"/>
      <c r="U788" s="9"/>
      <c r="AI788" s="6"/>
      <c r="AJ788" s="12"/>
      <c r="AL788" s="13"/>
    </row>
    <row r="789">
      <c r="A789" s="5"/>
      <c r="B789" s="5"/>
      <c r="C789" s="5"/>
      <c r="D789" s="5"/>
      <c r="E789" s="6"/>
      <c r="F789" s="6"/>
      <c r="G789" s="18"/>
      <c r="I789" s="16"/>
      <c r="J789" s="9"/>
      <c r="K789" s="10"/>
      <c r="L789" s="6"/>
      <c r="M789" s="11"/>
      <c r="N789" s="6"/>
      <c r="O789" s="6"/>
      <c r="P789" s="10"/>
      <c r="Q789" s="6"/>
      <c r="R789" s="6"/>
      <c r="S789" s="6"/>
      <c r="T789" s="6"/>
      <c r="U789" s="9"/>
      <c r="AI789" s="6"/>
      <c r="AJ789" s="12"/>
      <c r="AL789" s="13"/>
    </row>
    <row r="790">
      <c r="A790" s="5"/>
      <c r="B790" s="5"/>
      <c r="C790" s="5"/>
      <c r="D790" s="5"/>
      <c r="E790" s="6"/>
      <c r="F790" s="6"/>
      <c r="G790" s="18"/>
      <c r="I790" s="16"/>
      <c r="J790" s="9"/>
      <c r="K790" s="10"/>
      <c r="L790" s="6"/>
      <c r="M790" s="11"/>
      <c r="N790" s="6"/>
      <c r="O790" s="6"/>
      <c r="P790" s="10"/>
      <c r="Q790" s="6"/>
      <c r="R790" s="6"/>
      <c r="S790" s="6"/>
      <c r="T790" s="6"/>
      <c r="U790" s="9"/>
      <c r="AI790" s="6"/>
      <c r="AJ790" s="12"/>
      <c r="AL790" s="13"/>
    </row>
    <row r="791">
      <c r="A791" s="5"/>
      <c r="B791" s="5"/>
      <c r="C791" s="5"/>
      <c r="D791" s="5"/>
      <c r="E791" s="6"/>
      <c r="F791" s="6"/>
      <c r="G791" s="18"/>
      <c r="I791" s="16"/>
      <c r="J791" s="9"/>
      <c r="K791" s="10"/>
      <c r="L791" s="6"/>
      <c r="M791" s="11"/>
      <c r="N791" s="6"/>
      <c r="O791" s="6"/>
      <c r="P791" s="10"/>
      <c r="Q791" s="6"/>
      <c r="R791" s="6"/>
      <c r="S791" s="6"/>
      <c r="T791" s="6"/>
      <c r="U791" s="9"/>
      <c r="AI791" s="6"/>
      <c r="AJ791" s="12"/>
      <c r="AL791" s="13"/>
    </row>
    <row r="792">
      <c r="A792" s="5"/>
      <c r="B792" s="5"/>
      <c r="C792" s="5"/>
      <c r="D792" s="5"/>
      <c r="E792" s="6"/>
      <c r="F792" s="6"/>
      <c r="G792" s="18"/>
      <c r="I792" s="16"/>
      <c r="J792" s="9"/>
      <c r="K792" s="10"/>
      <c r="L792" s="6"/>
      <c r="M792" s="11"/>
      <c r="N792" s="6"/>
      <c r="O792" s="6"/>
      <c r="P792" s="10"/>
      <c r="Q792" s="6"/>
      <c r="R792" s="6"/>
      <c r="S792" s="6"/>
      <c r="T792" s="6"/>
      <c r="U792" s="9"/>
      <c r="AI792" s="6"/>
      <c r="AJ792" s="12"/>
      <c r="AL792" s="13"/>
    </row>
    <row r="793">
      <c r="A793" s="5"/>
      <c r="B793" s="5"/>
      <c r="C793" s="5"/>
      <c r="D793" s="5"/>
      <c r="E793" s="6"/>
      <c r="F793" s="6"/>
      <c r="G793" s="18"/>
      <c r="I793" s="16"/>
      <c r="J793" s="9"/>
      <c r="K793" s="10"/>
      <c r="L793" s="6"/>
      <c r="M793" s="11"/>
      <c r="N793" s="6"/>
      <c r="O793" s="6"/>
      <c r="P793" s="10"/>
      <c r="Q793" s="6"/>
      <c r="R793" s="6"/>
      <c r="S793" s="6"/>
      <c r="T793" s="6"/>
      <c r="U793" s="9"/>
      <c r="AI793" s="6"/>
      <c r="AJ793" s="12"/>
      <c r="AL793" s="13"/>
    </row>
    <row r="794">
      <c r="A794" s="5"/>
      <c r="B794" s="5"/>
      <c r="C794" s="5"/>
      <c r="D794" s="5"/>
      <c r="E794" s="6"/>
      <c r="F794" s="6"/>
      <c r="G794" s="18"/>
      <c r="I794" s="16"/>
      <c r="J794" s="9"/>
      <c r="K794" s="10"/>
      <c r="L794" s="6"/>
      <c r="M794" s="11"/>
      <c r="N794" s="6"/>
      <c r="O794" s="6"/>
      <c r="P794" s="10"/>
      <c r="Q794" s="6"/>
      <c r="R794" s="6"/>
      <c r="S794" s="6"/>
      <c r="T794" s="6"/>
      <c r="U794" s="9"/>
      <c r="AI794" s="6"/>
      <c r="AJ794" s="12"/>
      <c r="AL794" s="13"/>
    </row>
    <row r="795">
      <c r="A795" s="5"/>
      <c r="B795" s="5"/>
      <c r="C795" s="5"/>
      <c r="D795" s="5"/>
      <c r="E795" s="6"/>
      <c r="F795" s="6"/>
      <c r="G795" s="18"/>
      <c r="I795" s="16"/>
      <c r="J795" s="9"/>
      <c r="K795" s="10"/>
      <c r="L795" s="6"/>
      <c r="M795" s="11"/>
      <c r="N795" s="6"/>
      <c r="O795" s="6"/>
      <c r="P795" s="10"/>
      <c r="Q795" s="6"/>
      <c r="R795" s="6"/>
      <c r="S795" s="6"/>
      <c r="T795" s="6"/>
      <c r="U795" s="9"/>
      <c r="AI795" s="6"/>
      <c r="AJ795" s="12"/>
      <c r="AL795" s="13"/>
    </row>
    <row r="796">
      <c r="A796" s="5"/>
      <c r="B796" s="5"/>
      <c r="C796" s="5"/>
      <c r="D796" s="17"/>
      <c r="E796" s="6"/>
      <c r="F796" s="6"/>
      <c r="G796" s="18"/>
      <c r="I796" s="16"/>
      <c r="J796" s="9"/>
      <c r="K796" s="10"/>
      <c r="L796" s="6"/>
      <c r="M796" s="11"/>
      <c r="N796" s="6"/>
      <c r="O796" s="6"/>
      <c r="P796" s="10"/>
      <c r="Q796" s="6"/>
      <c r="R796" s="6"/>
      <c r="S796" s="6"/>
      <c r="T796" s="6"/>
      <c r="U796" s="9"/>
      <c r="AI796" s="6"/>
      <c r="AJ796" s="12"/>
      <c r="AL796" s="13"/>
    </row>
    <row r="797">
      <c r="A797" s="5"/>
      <c r="B797" s="5"/>
      <c r="C797" s="5"/>
      <c r="D797" s="5"/>
      <c r="E797" s="6"/>
      <c r="F797" s="6"/>
      <c r="G797" s="18"/>
      <c r="I797" s="16"/>
      <c r="J797" s="9"/>
      <c r="K797" s="10"/>
      <c r="L797" s="6"/>
      <c r="M797" s="11"/>
      <c r="N797" s="6"/>
      <c r="O797" s="6"/>
      <c r="P797" s="10"/>
      <c r="Q797" s="6"/>
      <c r="R797" s="6"/>
      <c r="S797" s="6"/>
      <c r="T797" s="6"/>
      <c r="U797" s="9"/>
      <c r="AI797" s="6"/>
      <c r="AJ797" s="12"/>
      <c r="AL797" s="13"/>
    </row>
    <row r="798">
      <c r="A798" s="5"/>
      <c r="B798" s="5"/>
      <c r="C798" s="5"/>
      <c r="D798" s="5"/>
      <c r="E798" s="6"/>
      <c r="F798" s="6"/>
      <c r="G798" s="18"/>
      <c r="I798" s="16"/>
      <c r="J798" s="9"/>
      <c r="K798" s="10"/>
      <c r="L798" s="6"/>
      <c r="M798" s="11"/>
      <c r="N798" s="6"/>
      <c r="O798" s="6"/>
      <c r="P798" s="10"/>
      <c r="Q798" s="6"/>
      <c r="R798" s="6"/>
      <c r="S798" s="6"/>
      <c r="T798" s="6"/>
      <c r="U798" s="9"/>
      <c r="AI798" s="6"/>
      <c r="AJ798" s="12"/>
      <c r="AL798" s="13"/>
    </row>
    <row r="799">
      <c r="A799" s="5"/>
      <c r="B799" s="5"/>
      <c r="C799" s="5"/>
      <c r="D799" s="5"/>
      <c r="E799" s="6"/>
      <c r="F799" s="6"/>
      <c r="G799" s="18"/>
      <c r="I799" s="16"/>
      <c r="J799" s="9"/>
      <c r="K799" s="10"/>
      <c r="L799" s="6"/>
      <c r="M799" s="11"/>
      <c r="N799" s="6"/>
      <c r="O799" s="6"/>
      <c r="P799" s="10"/>
      <c r="Q799" s="6"/>
      <c r="R799" s="6"/>
      <c r="S799" s="6"/>
      <c r="T799" s="6"/>
      <c r="U799" s="9"/>
      <c r="AI799" s="6"/>
      <c r="AJ799" s="12"/>
      <c r="AL799" s="13"/>
    </row>
    <row r="800">
      <c r="A800" s="5"/>
      <c r="B800" s="5"/>
      <c r="C800" s="5"/>
      <c r="D800" s="5"/>
      <c r="E800" s="6"/>
      <c r="F800" s="6"/>
      <c r="G800" s="18"/>
      <c r="I800" s="16"/>
      <c r="J800" s="9"/>
      <c r="K800" s="10"/>
      <c r="L800" s="6"/>
      <c r="M800" s="11"/>
      <c r="N800" s="6"/>
      <c r="O800" s="6"/>
      <c r="P800" s="10"/>
      <c r="Q800" s="6"/>
      <c r="R800" s="6"/>
      <c r="S800" s="6"/>
      <c r="T800" s="6"/>
      <c r="U800" s="9"/>
      <c r="AI800" s="6"/>
      <c r="AJ800" s="12"/>
      <c r="AL800" s="13"/>
    </row>
    <row r="801">
      <c r="A801" s="5"/>
      <c r="B801" s="5"/>
      <c r="C801" s="5"/>
      <c r="D801" s="5"/>
      <c r="E801" s="6"/>
      <c r="F801" s="6"/>
      <c r="G801" s="18"/>
      <c r="I801" s="16"/>
      <c r="J801" s="9"/>
      <c r="K801" s="10"/>
      <c r="L801" s="6"/>
      <c r="M801" s="11"/>
      <c r="N801" s="6"/>
      <c r="O801" s="6"/>
      <c r="P801" s="10"/>
      <c r="Q801" s="6"/>
      <c r="R801" s="6"/>
      <c r="S801" s="6"/>
      <c r="T801" s="6"/>
      <c r="U801" s="9"/>
      <c r="AI801" s="6"/>
      <c r="AJ801" s="12"/>
      <c r="AL801" s="13"/>
    </row>
    <row r="802">
      <c r="A802" s="5"/>
      <c r="B802" s="5"/>
      <c r="C802" s="5"/>
      <c r="D802" s="5"/>
      <c r="E802" s="6"/>
      <c r="F802" s="6"/>
      <c r="G802" s="18"/>
      <c r="I802" s="16"/>
      <c r="J802" s="9"/>
      <c r="K802" s="10"/>
      <c r="L802" s="6"/>
      <c r="M802" s="11"/>
      <c r="N802" s="6"/>
      <c r="O802" s="6"/>
      <c r="P802" s="10"/>
      <c r="Q802" s="6"/>
      <c r="R802" s="6"/>
      <c r="S802" s="6"/>
      <c r="T802" s="6"/>
      <c r="U802" s="9"/>
      <c r="AI802" s="6"/>
      <c r="AJ802" s="12"/>
      <c r="AL802" s="13"/>
    </row>
    <row r="803">
      <c r="A803" s="5"/>
      <c r="B803" s="5"/>
      <c r="C803" s="5"/>
      <c r="D803" s="5"/>
      <c r="E803" s="6"/>
      <c r="F803" s="6"/>
      <c r="G803" s="18"/>
      <c r="I803" s="16"/>
      <c r="J803" s="9"/>
      <c r="K803" s="10"/>
      <c r="L803" s="6"/>
      <c r="M803" s="11"/>
      <c r="N803" s="6"/>
      <c r="O803" s="6"/>
      <c r="P803" s="10"/>
      <c r="Q803" s="6"/>
      <c r="R803" s="6"/>
      <c r="S803" s="6"/>
      <c r="T803" s="6"/>
      <c r="U803" s="9"/>
      <c r="AI803" s="6"/>
      <c r="AJ803" s="12"/>
      <c r="AL803" s="13"/>
    </row>
    <row r="804">
      <c r="A804" s="5"/>
      <c r="B804" s="5"/>
      <c r="C804" s="5"/>
      <c r="D804" s="17"/>
      <c r="E804" s="6"/>
      <c r="F804" s="6"/>
      <c r="G804" s="18"/>
      <c r="I804" s="16"/>
      <c r="J804" s="9"/>
      <c r="K804" s="10"/>
      <c r="L804" s="6"/>
      <c r="M804" s="11"/>
      <c r="N804" s="6"/>
      <c r="O804" s="6"/>
      <c r="P804" s="10"/>
      <c r="Q804" s="6"/>
      <c r="R804" s="6"/>
      <c r="S804" s="6"/>
      <c r="T804" s="6"/>
      <c r="U804" s="9"/>
      <c r="AI804" s="6"/>
      <c r="AJ804" s="12"/>
      <c r="AL804" s="13"/>
    </row>
    <row r="805">
      <c r="A805" s="5"/>
      <c r="B805" s="5"/>
      <c r="C805" s="5"/>
      <c r="D805" s="5"/>
      <c r="E805" s="6"/>
      <c r="F805" s="6"/>
      <c r="G805" s="18"/>
      <c r="I805" s="16"/>
      <c r="J805" s="9"/>
      <c r="K805" s="10"/>
      <c r="L805" s="6"/>
      <c r="M805" s="11"/>
      <c r="N805" s="6"/>
      <c r="O805" s="6"/>
      <c r="P805" s="10"/>
      <c r="Q805" s="6"/>
      <c r="R805" s="6"/>
      <c r="S805" s="6"/>
      <c r="T805" s="6"/>
      <c r="U805" s="9"/>
      <c r="AI805" s="6"/>
      <c r="AJ805" s="12"/>
      <c r="AL805" s="13"/>
    </row>
    <row r="806">
      <c r="A806" s="5"/>
      <c r="B806" s="5"/>
      <c r="C806" s="5"/>
      <c r="D806" s="17"/>
      <c r="E806" s="6"/>
      <c r="F806" s="6"/>
      <c r="G806" s="18"/>
      <c r="I806" s="16"/>
      <c r="J806" s="9"/>
      <c r="K806" s="10"/>
      <c r="L806" s="6"/>
      <c r="M806" s="11"/>
      <c r="N806" s="6"/>
      <c r="O806" s="6"/>
      <c r="P806" s="10"/>
      <c r="Q806" s="6"/>
      <c r="R806" s="6"/>
      <c r="S806" s="6"/>
      <c r="T806" s="6"/>
      <c r="U806" s="9"/>
      <c r="AI806" s="6"/>
      <c r="AJ806" s="12"/>
      <c r="AL806" s="13"/>
    </row>
    <row r="807">
      <c r="A807" s="5"/>
      <c r="B807" s="5"/>
      <c r="C807" s="5"/>
      <c r="D807" s="17"/>
      <c r="E807" s="6"/>
      <c r="F807" s="6"/>
      <c r="G807" s="18"/>
      <c r="I807" s="16"/>
      <c r="J807" s="9"/>
      <c r="K807" s="10"/>
      <c r="L807" s="6"/>
      <c r="M807" s="11"/>
      <c r="N807" s="6"/>
      <c r="O807" s="6"/>
      <c r="P807" s="10"/>
      <c r="Q807" s="6"/>
      <c r="R807" s="6"/>
      <c r="S807" s="6"/>
      <c r="T807" s="6"/>
      <c r="U807" s="9"/>
      <c r="AI807" s="6"/>
      <c r="AJ807" s="12"/>
      <c r="AL807" s="13"/>
    </row>
    <row r="808">
      <c r="A808" s="5"/>
      <c r="B808" s="5"/>
      <c r="C808" s="5"/>
      <c r="D808" s="17"/>
      <c r="E808" s="6"/>
      <c r="F808" s="6"/>
      <c r="G808" s="18"/>
      <c r="I808" s="16"/>
      <c r="J808" s="9"/>
      <c r="K808" s="10"/>
      <c r="L808" s="6"/>
      <c r="M808" s="11"/>
      <c r="N808" s="6"/>
      <c r="O808" s="6"/>
      <c r="P808" s="10"/>
      <c r="Q808" s="6"/>
      <c r="R808" s="6"/>
      <c r="S808" s="6"/>
      <c r="T808" s="6"/>
      <c r="U808" s="9"/>
      <c r="AI808" s="6"/>
      <c r="AJ808" s="12"/>
      <c r="AL808" s="13"/>
    </row>
    <row r="809">
      <c r="A809" s="5"/>
      <c r="B809" s="5"/>
      <c r="C809" s="5"/>
      <c r="D809" s="5"/>
      <c r="E809" s="6"/>
      <c r="F809" s="6"/>
      <c r="G809" s="18"/>
      <c r="I809" s="16"/>
      <c r="J809" s="9"/>
      <c r="K809" s="10"/>
      <c r="L809" s="6"/>
      <c r="M809" s="11"/>
      <c r="N809" s="6"/>
      <c r="O809" s="6"/>
      <c r="P809" s="10"/>
      <c r="Q809" s="6"/>
      <c r="R809" s="6"/>
      <c r="S809" s="6"/>
      <c r="T809" s="6"/>
      <c r="U809" s="9"/>
      <c r="AI809" s="6"/>
      <c r="AJ809" s="12"/>
      <c r="AL809" s="13"/>
    </row>
    <row r="810">
      <c r="A810" s="5"/>
      <c r="B810" s="5"/>
      <c r="C810" s="5"/>
      <c r="D810" s="5"/>
      <c r="E810" s="6"/>
      <c r="F810" s="6"/>
      <c r="G810" s="18"/>
      <c r="I810" s="16"/>
      <c r="J810" s="9"/>
      <c r="K810" s="10"/>
      <c r="L810" s="6"/>
      <c r="M810" s="11"/>
      <c r="N810" s="6"/>
      <c r="O810" s="6"/>
      <c r="P810" s="10"/>
      <c r="Q810" s="6"/>
      <c r="R810" s="6"/>
      <c r="S810" s="6"/>
      <c r="T810" s="6"/>
      <c r="U810" s="9"/>
      <c r="AI810" s="6"/>
      <c r="AJ810" s="12"/>
      <c r="AL810" s="13"/>
    </row>
    <row r="811">
      <c r="A811" s="5"/>
      <c r="B811" s="5"/>
      <c r="C811" s="5"/>
      <c r="D811" s="5"/>
      <c r="E811" s="6"/>
      <c r="F811" s="6"/>
      <c r="G811" s="18"/>
      <c r="I811" s="16"/>
      <c r="J811" s="9"/>
      <c r="K811" s="10"/>
      <c r="L811" s="6"/>
      <c r="M811" s="11"/>
      <c r="N811" s="6"/>
      <c r="O811" s="6"/>
      <c r="P811" s="10"/>
      <c r="Q811" s="6"/>
      <c r="R811" s="6"/>
      <c r="S811" s="6"/>
      <c r="T811" s="6"/>
      <c r="U811" s="9"/>
      <c r="AI811" s="6"/>
      <c r="AJ811" s="12"/>
      <c r="AL811" s="13"/>
    </row>
    <row r="812">
      <c r="A812" s="5"/>
      <c r="B812" s="5"/>
      <c r="C812" s="5"/>
      <c r="D812" s="5"/>
      <c r="E812" s="6"/>
      <c r="F812" s="6"/>
      <c r="G812" s="18"/>
      <c r="I812" s="16"/>
      <c r="J812" s="9"/>
      <c r="K812" s="10"/>
      <c r="L812" s="6"/>
      <c r="M812" s="11"/>
      <c r="N812" s="6"/>
      <c r="O812" s="6"/>
      <c r="P812" s="10"/>
      <c r="Q812" s="6"/>
      <c r="R812" s="6"/>
      <c r="S812" s="6"/>
      <c r="T812" s="6"/>
      <c r="U812" s="9"/>
      <c r="AI812" s="6"/>
      <c r="AJ812" s="12"/>
      <c r="AL812" s="13"/>
    </row>
    <row r="813">
      <c r="A813" s="5"/>
      <c r="B813" s="5"/>
      <c r="C813" s="5"/>
      <c r="D813" s="5"/>
      <c r="E813" s="6"/>
      <c r="F813" s="6"/>
      <c r="G813" s="18"/>
      <c r="I813" s="16"/>
      <c r="J813" s="9"/>
      <c r="K813" s="10"/>
      <c r="L813" s="6"/>
      <c r="M813" s="11"/>
      <c r="N813" s="6"/>
      <c r="O813" s="6"/>
      <c r="P813" s="10"/>
      <c r="Q813" s="6"/>
      <c r="R813" s="6"/>
      <c r="S813" s="6"/>
      <c r="T813" s="6"/>
      <c r="U813" s="9"/>
      <c r="AI813" s="6"/>
      <c r="AJ813" s="12"/>
      <c r="AL813" s="13"/>
    </row>
    <row r="814">
      <c r="A814" s="5"/>
      <c r="B814" s="5"/>
      <c r="C814" s="5"/>
      <c r="D814" s="5"/>
      <c r="E814" s="6"/>
      <c r="F814" s="6"/>
      <c r="G814" s="18"/>
      <c r="I814" s="16"/>
      <c r="J814" s="9"/>
      <c r="K814" s="10"/>
      <c r="L814" s="6"/>
      <c r="M814" s="11"/>
      <c r="N814" s="6"/>
      <c r="O814" s="6"/>
      <c r="P814" s="10"/>
      <c r="Q814" s="6"/>
      <c r="R814" s="6"/>
      <c r="S814" s="6"/>
      <c r="T814" s="6"/>
      <c r="U814" s="9"/>
      <c r="AI814" s="6"/>
      <c r="AJ814" s="12"/>
      <c r="AL814" s="13"/>
    </row>
    <row r="815">
      <c r="A815" s="5"/>
      <c r="B815" s="5"/>
      <c r="C815" s="5"/>
      <c r="D815" s="5"/>
      <c r="E815" s="6"/>
      <c r="F815" s="6"/>
      <c r="G815" s="18"/>
      <c r="I815" s="16"/>
      <c r="J815" s="9"/>
      <c r="K815" s="10"/>
      <c r="L815" s="6"/>
      <c r="M815" s="11"/>
      <c r="N815" s="6"/>
      <c r="O815" s="6"/>
      <c r="P815" s="10"/>
      <c r="Q815" s="6"/>
      <c r="R815" s="6"/>
      <c r="S815" s="6"/>
      <c r="T815" s="6"/>
      <c r="U815" s="9"/>
      <c r="AI815" s="6"/>
      <c r="AJ815" s="12"/>
      <c r="AL815" s="13"/>
    </row>
    <row r="816">
      <c r="A816" s="5"/>
      <c r="B816" s="5"/>
      <c r="C816" s="5"/>
      <c r="D816" s="5"/>
      <c r="E816" s="6"/>
      <c r="F816" s="6"/>
      <c r="G816" s="18"/>
      <c r="I816" s="16"/>
      <c r="J816" s="9"/>
      <c r="K816" s="10"/>
      <c r="L816" s="6"/>
      <c r="M816" s="11"/>
      <c r="N816" s="6"/>
      <c r="O816" s="6"/>
      <c r="P816" s="10"/>
      <c r="Q816" s="6"/>
      <c r="R816" s="6"/>
      <c r="S816" s="6"/>
      <c r="T816" s="6"/>
      <c r="U816" s="9"/>
      <c r="AI816" s="6"/>
      <c r="AJ816" s="12"/>
      <c r="AL816" s="13"/>
    </row>
    <row r="817">
      <c r="A817" s="5"/>
      <c r="B817" s="5"/>
      <c r="C817" s="5"/>
      <c r="D817" s="5"/>
      <c r="E817" s="6"/>
      <c r="F817" s="6"/>
      <c r="G817" s="18"/>
      <c r="I817" s="16"/>
      <c r="J817" s="9"/>
      <c r="K817" s="10"/>
      <c r="L817" s="6"/>
      <c r="M817" s="11"/>
      <c r="N817" s="6"/>
      <c r="O817" s="6"/>
      <c r="P817" s="10"/>
      <c r="Q817" s="6"/>
      <c r="R817" s="6"/>
      <c r="S817" s="6"/>
      <c r="T817" s="6"/>
      <c r="U817" s="9"/>
      <c r="AI817" s="6"/>
      <c r="AJ817" s="12"/>
      <c r="AL817" s="13"/>
    </row>
    <row r="818">
      <c r="A818" s="5"/>
      <c r="B818" s="5"/>
      <c r="C818" s="5"/>
      <c r="D818" s="5"/>
      <c r="E818" s="6"/>
      <c r="F818" s="6"/>
      <c r="G818" s="18"/>
      <c r="I818" s="16"/>
      <c r="J818" s="9"/>
      <c r="K818" s="10"/>
      <c r="L818" s="6"/>
      <c r="M818" s="11"/>
      <c r="N818" s="6"/>
      <c r="O818" s="6"/>
      <c r="P818" s="10"/>
      <c r="Q818" s="6"/>
      <c r="R818" s="6"/>
      <c r="S818" s="6"/>
      <c r="T818" s="6"/>
      <c r="U818" s="9"/>
      <c r="AI818" s="6"/>
      <c r="AJ818" s="12"/>
      <c r="AL818" s="13"/>
    </row>
    <row r="819">
      <c r="A819" s="5"/>
      <c r="B819" s="5"/>
      <c r="C819" s="5"/>
      <c r="D819" s="5"/>
      <c r="E819" s="6"/>
      <c r="F819" s="6"/>
      <c r="G819" s="18"/>
      <c r="I819" s="16"/>
      <c r="J819" s="9"/>
      <c r="K819" s="10"/>
      <c r="L819" s="6"/>
      <c r="M819" s="11"/>
      <c r="N819" s="6"/>
      <c r="O819" s="6"/>
      <c r="P819" s="10"/>
      <c r="Q819" s="6"/>
      <c r="R819" s="6"/>
      <c r="S819" s="6"/>
      <c r="T819" s="6"/>
      <c r="U819" s="9"/>
      <c r="AI819" s="6"/>
      <c r="AJ819" s="12"/>
      <c r="AL819" s="13"/>
    </row>
    <row r="820">
      <c r="A820" s="5"/>
      <c r="B820" s="5"/>
      <c r="C820" s="5"/>
      <c r="D820" s="17"/>
      <c r="E820" s="6"/>
      <c r="F820" s="6"/>
      <c r="G820" s="18"/>
      <c r="I820" s="16"/>
      <c r="J820" s="9"/>
      <c r="K820" s="10"/>
      <c r="L820" s="6"/>
      <c r="M820" s="11"/>
      <c r="N820" s="6"/>
      <c r="O820" s="6"/>
      <c r="P820" s="10"/>
      <c r="Q820" s="6"/>
      <c r="R820" s="6"/>
      <c r="S820" s="6"/>
      <c r="T820" s="6"/>
      <c r="U820" s="9"/>
      <c r="AI820" s="6"/>
      <c r="AJ820" s="12"/>
      <c r="AL820" s="13"/>
    </row>
    <row r="821">
      <c r="A821" s="5"/>
      <c r="B821" s="5"/>
      <c r="C821" s="5"/>
      <c r="D821" s="5"/>
      <c r="E821" s="6"/>
      <c r="F821" s="6"/>
      <c r="G821" s="18"/>
      <c r="I821" s="16"/>
      <c r="J821" s="9"/>
      <c r="K821" s="10"/>
      <c r="L821" s="6"/>
      <c r="M821" s="11"/>
      <c r="N821" s="6"/>
      <c r="O821" s="6"/>
      <c r="P821" s="10"/>
      <c r="Q821" s="6"/>
      <c r="R821" s="6"/>
      <c r="S821" s="6"/>
      <c r="T821" s="6"/>
      <c r="U821" s="9"/>
      <c r="AI821" s="6"/>
      <c r="AJ821" s="12"/>
      <c r="AL821" s="13"/>
    </row>
    <row r="822">
      <c r="A822" s="5"/>
      <c r="B822" s="5"/>
      <c r="C822" s="5"/>
      <c r="D822" s="5"/>
      <c r="E822" s="6"/>
      <c r="F822" s="6"/>
      <c r="G822" s="18"/>
      <c r="I822" s="16"/>
      <c r="J822" s="9"/>
      <c r="K822" s="10"/>
      <c r="L822" s="6"/>
      <c r="M822" s="11"/>
      <c r="N822" s="6"/>
      <c r="O822" s="6"/>
      <c r="P822" s="10"/>
      <c r="Q822" s="6"/>
      <c r="R822" s="6"/>
      <c r="S822" s="6"/>
      <c r="T822" s="6"/>
      <c r="U822" s="9"/>
      <c r="AI822" s="6"/>
      <c r="AJ822" s="12"/>
      <c r="AL822" s="13"/>
    </row>
    <row r="823">
      <c r="A823" s="5"/>
      <c r="B823" s="5"/>
      <c r="C823" s="5"/>
      <c r="D823" s="5"/>
      <c r="E823" s="6"/>
      <c r="F823" s="6"/>
      <c r="G823" s="18"/>
      <c r="I823" s="16"/>
      <c r="J823" s="9"/>
      <c r="K823" s="10"/>
      <c r="L823" s="6"/>
      <c r="M823" s="11"/>
      <c r="N823" s="6"/>
      <c r="O823" s="6"/>
      <c r="P823" s="10"/>
      <c r="Q823" s="6"/>
      <c r="R823" s="6"/>
      <c r="S823" s="6"/>
      <c r="T823" s="6"/>
      <c r="U823" s="9"/>
      <c r="AI823" s="6"/>
      <c r="AJ823" s="12"/>
      <c r="AL823" s="13"/>
    </row>
    <row r="824">
      <c r="A824" s="5"/>
      <c r="B824" s="5"/>
      <c r="C824" s="5"/>
      <c r="D824" s="17"/>
      <c r="E824" s="6"/>
      <c r="F824" s="6"/>
      <c r="G824" s="18"/>
      <c r="I824" s="16"/>
      <c r="J824" s="9"/>
      <c r="K824" s="10"/>
      <c r="L824" s="6"/>
      <c r="M824" s="11"/>
      <c r="N824" s="6"/>
      <c r="O824" s="6"/>
      <c r="P824" s="10"/>
      <c r="Q824" s="6"/>
      <c r="R824" s="6"/>
      <c r="S824" s="6"/>
      <c r="T824" s="6"/>
      <c r="U824" s="9"/>
      <c r="AI824" s="6"/>
      <c r="AJ824" s="12"/>
      <c r="AL824" s="13"/>
    </row>
    <row r="825">
      <c r="A825" s="5"/>
      <c r="B825" s="5"/>
      <c r="C825" s="5"/>
      <c r="D825" s="17"/>
      <c r="E825" s="6"/>
      <c r="F825" s="6"/>
      <c r="G825" s="18"/>
      <c r="I825" s="16"/>
      <c r="J825" s="9"/>
      <c r="K825" s="10"/>
      <c r="L825" s="6"/>
      <c r="M825" s="11"/>
      <c r="N825" s="6"/>
      <c r="O825" s="6"/>
      <c r="P825" s="10"/>
      <c r="Q825" s="6"/>
      <c r="R825" s="6"/>
      <c r="S825" s="6"/>
      <c r="T825" s="6"/>
      <c r="U825" s="9"/>
      <c r="AI825" s="6"/>
      <c r="AJ825" s="12"/>
      <c r="AL825" s="13"/>
    </row>
    <row r="826">
      <c r="A826" s="5"/>
      <c r="B826" s="5"/>
      <c r="C826" s="5"/>
      <c r="D826" s="17"/>
      <c r="E826" s="6"/>
      <c r="F826" s="6"/>
      <c r="G826" s="18"/>
      <c r="I826" s="16"/>
      <c r="J826" s="9"/>
      <c r="K826" s="10"/>
      <c r="L826" s="6"/>
      <c r="M826" s="11"/>
      <c r="N826" s="6"/>
      <c r="O826" s="6"/>
      <c r="P826" s="10"/>
      <c r="Q826" s="6"/>
      <c r="R826" s="6"/>
      <c r="S826" s="6"/>
      <c r="T826" s="6"/>
      <c r="U826" s="9"/>
      <c r="AI826" s="6"/>
      <c r="AJ826" s="12"/>
      <c r="AL826" s="13"/>
    </row>
    <row r="827">
      <c r="A827" s="5"/>
      <c r="B827" s="5"/>
      <c r="C827" s="5"/>
      <c r="D827" s="5"/>
      <c r="E827" s="6"/>
      <c r="F827" s="6"/>
      <c r="G827" s="18"/>
      <c r="I827" s="16"/>
      <c r="J827" s="9"/>
      <c r="K827" s="10"/>
      <c r="L827" s="6"/>
      <c r="M827" s="11"/>
      <c r="N827" s="6"/>
      <c r="O827" s="6"/>
      <c r="P827" s="10"/>
      <c r="Q827" s="6"/>
      <c r="R827" s="6"/>
      <c r="S827" s="6"/>
      <c r="T827" s="6"/>
      <c r="U827" s="9"/>
      <c r="AI827" s="6"/>
      <c r="AJ827" s="12"/>
      <c r="AL827" s="13"/>
    </row>
    <row r="828">
      <c r="A828" s="5"/>
      <c r="B828" s="5"/>
      <c r="C828" s="5"/>
      <c r="D828" s="5"/>
      <c r="E828" s="6"/>
      <c r="F828" s="6"/>
      <c r="G828" s="18"/>
      <c r="I828" s="16"/>
      <c r="J828" s="9"/>
      <c r="K828" s="10"/>
      <c r="L828" s="6"/>
      <c r="M828" s="11"/>
      <c r="N828" s="6"/>
      <c r="O828" s="6"/>
      <c r="P828" s="10"/>
      <c r="Q828" s="6"/>
      <c r="R828" s="6"/>
      <c r="S828" s="6"/>
      <c r="T828" s="6"/>
      <c r="U828" s="9"/>
      <c r="AI828" s="6"/>
      <c r="AJ828" s="12"/>
      <c r="AL828" s="13"/>
    </row>
    <row r="829">
      <c r="A829" s="5"/>
      <c r="B829" s="5"/>
      <c r="C829" s="5"/>
      <c r="D829" s="5"/>
      <c r="E829" s="6"/>
      <c r="F829" s="6"/>
      <c r="G829" s="18"/>
      <c r="I829" s="16"/>
      <c r="J829" s="9"/>
      <c r="K829" s="10"/>
      <c r="L829" s="6"/>
      <c r="M829" s="11"/>
      <c r="N829" s="6"/>
      <c r="O829" s="6"/>
      <c r="P829" s="10"/>
      <c r="Q829" s="6"/>
      <c r="R829" s="6"/>
      <c r="S829" s="6"/>
      <c r="T829" s="6"/>
      <c r="U829" s="9"/>
      <c r="AI829" s="6"/>
      <c r="AJ829" s="12"/>
      <c r="AL829" s="13"/>
    </row>
    <row r="830">
      <c r="A830" s="5"/>
      <c r="B830" s="5"/>
      <c r="C830" s="5"/>
      <c r="D830" s="5"/>
      <c r="E830" s="6"/>
      <c r="F830" s="6"/>
      <c r="G830" s="18"/>
      <c r="I830" s="16"/>
      <c r="J830" s="9"/>
      <c r="K830" s="10"/>
      <c r="L830" s="6"/>
      <c r="M830" s="11"/>
      <c r="N830" s="6"/>
      <c r="O830" s="6"/>
      <c r="P830" s="10"/>
      <c r="Q830" s="6"/>
      <c r="R830" s="6"/>
      <c r="S830" s="6"/>
      <c r="T830" s="6"/>
      <c r="U830" s="9"/>
      <c r="AI830" s="6"/>
      <c r="AJ830" s="12"/>
      <c r="AL830" s="13"/>
    </row>
    <row r="831">
      <c r="A831" s="5"/>
      <c r="B831" s="5"/>
      <c r="C831" s="5"/>
      <c r="D831" s="5"/>
      <c r="E831" s="6"/>
      <c r="F831" s="6"/>
      <c r="G831" s="18"/>
      <c r="I831" s="16"/>
      <c r="J831" s="9"/>
      <c r="K831" s="10"/>
      <c r="L831" s="6"/>
      <c r="M831" s="11"/>
      <c r="N831" s="6"/>
      <c r="O831" s="6"/>
      <c r="P831" s="10"/>
      <c r="Q831" s="6"/>
      <c r="R831" s="6"/>
      <c r="S831" s="6"/>
      <c r="T831" s="6"/>
      <c r="U831" s="9"/>
      <c r="AI831" s="6"/>
      <c r="AJ831" s="12"/>
      <c r="AL831" s="13"/>
    </row>
    <row r="832">
      <c r="A832" s="5"/>
      <c r="B832" s="5"/>
      <c r="C832" s="5"/>
      <c r="D832" s="5"/>
      <c r="E832" s="6"/>
      <c r="F832" s="6"/>
      <c r="G832" s="18"/>
      <c r="I832" s="16"/>
      <c r="J832" s="9"/>
      <c r="K832" s="10"/>
      <c r="L832" s="6"/>
      <c r="M832" s="11"/>
      <c r="N832" s="6"/>
      <c r="O832" s="6"/>
      <c r="P832" s="10"/>
      <c r="Q832" s="6"/>
      <c r="R832" s="6"/>
      <c r="S832" s="6"/>
      <c r="T832" s="6"/>
      <c r="U832" s="9"/>
      <c r="AI832" s="6"/>
      <c r="AJ832" s="12"/>
      <c r="AL832" s="13"/>
    </row>
    <row r="833">
      <c r="A833" s="5"/>
      <c r="B833" s="5"/>
      <c r="C833" s="5"/>
      <c r="D833" s="5"/>
      <c r="E833" s="6"/>
      <c r="F833" s="6"/>
      <c r="G833" s="18"/>
      <c r="I833" s="16"/>
      <c r="J833" s="9"/>
      <c r="K833" s="10"/>
      <c r="L833" s="6"/>
      <c r="M833" s="11"/>
      <c r="N833" s="6"/>
      <c r="O833" s="6"/>
      <c r="P833" s="10"/>
      <c r="Q833" s="6"/>
      <c r="R833" s="6"/>
      <c r="S833" s="6"/>
      <c r="T833" s="6"/>
      <c r="U833" s="9"/>
      <c r="AI833" s="6"/>
      <c r="AJ833" s="12"/>
      <c r="AL833" s="13"/>
    </row>
    <row r="834">
      <c r="A834" s="5"/>
      <c r="B834" s="5"/>
      <c r="C834" s="5"/>
      <c r="D834" s="5"/>
      <c r="E834" s="6"/>
      <c r="F834" s="6"/>
      <c r="G834" s="18"/>
      <c r="I834" s="16"/>
      <c r="J834" s="9"/>
      <c r="K834" s="10"/>
      <c r="L834" s="6"/>
      <c r="M834" s="11"/>
      <c r="N834" s="6"/>
      <c r="O834" s="6"/>
      <c r="P834" s="10"/>
      <c r="Q834" s="6"/>
      <c r="R834" s="6"/>
      <c r="S834" s="6"/>
      <c r="T834" s="6"/>
      <c r="U834" s="9"/>
      <c r="AI834" s="6"/>
      <c r="AJ834" s="12"/>
      <c r="AL834" s="13"/>
    </row>
    <row r="835">
      <c r="A835" s="5"/>
      <c r="B835" s="5"/>
      <c r="C835" s="5"/>
      <c r="D835" s="5"/>
      <c r="E835" s="6"/>
      <c r="F835" s="6"/>
      <c r="G835" s="18"/>
      <c r="I835" s="16"/>
      <c r="J835" s="9"/>
      <c r="K835" s="10"/>
      <c r="L835" s="6"/>
      <c r="M835" s="11"/>
      <c r="N835" s="6"/>
      <c r="O835" s="6"/>
      <c r="P835" s="10"/>
      <c r="Q835" s="6"/>
      <c r="R835" s="6"/>
      <c r="S835" s="6"/>
      <c r="T835" s="6"/>
      <c r="U835" s="9"/>
      <c r="AI835" s="6"/>
      <c r="AJ835" s="12"/>
      <c r="AL835" s="13"/>
    </row>
    <row r="836">
      <c r="A836" s="5"/>
      <c r="B836" s="5"/>
      <c r="C836" s="5"/>
      <c r="D836" s="5"/>
      <c r="E836" s="6"/>
      <c r="F836" s="6"/>
      <c r="G836" s="18"/>
      <c r="I836" s="16"/>
      <c r="J836" s="9"/>
      <c r="K836" s="10"/>
      <c r="L836" s="6"/>
      <c r="M836" s="11"/>
      <c r="N836" s="6"/>
      <c r="O836" s="6"/>
      <c r="P836" s="10"/>
      <c r="Q836" s="6"/>
      <c r="R836" s="6"/>
      <c r="S836" s="6"/>
      <c r="T836" s="6"/>
      <c r="U836" s="9"/>
      <c r="AI836" s="6"/>
      <c r="AJ836" s="12"/>
      <c r="AL836" s="13"/>
    </row>
    <row r="837">
      <c r="A837" s="5"/>
      <c r="B837" s="5"/>
      <c r="C837" s="5"/>
      <c r="D837" s="5"/>
      <c r="E837" s="6"/>
      <c r="F837" s="6"/>
      <c r="G837" s="18"/>
      <c r="I837" s="16"/>
      <c r="J837" s="9"/>
      <c r="K837" s="10"/>
      <c r="L837" s="6"/>
      <c r="M837" s="11"/>
      <c r="N837" s="6"/>
      <c r="O837" s="6"/>
      <c r="P837" s="10"/>
      <c r="Q837" s="6"/>
      <c r="R837" s="6"/>
      <c r="S837" s="6"/>
      <c r="T837" s="6"/>
      <c r="U837" s="9"/>
      <c r="AI837" s="6"/>
      <c r="AJ837" s="12"/>
      <c r="AL837" s="13"/>
    </row>
    <row r="838">
      <c r="A838" s="5"/>
      <c r="B838" s="5"/>
      <c r="C838" s="5"/>
      <c r="D838" s="17"/>
      <c r="E838" s="6"/>
      <c r="F838" s="6"/>
      <c r="G838" s="18"/>
      <c r="I838" s="16"/>
      <c r="J838" s="9"/>
      <c r="K838" s="10"/>
      <c r="L838" s="6"/>
      <c r="M838" s="11"/>
      <c r="N838" s="6"/>
      <c r="O838" s="6"/>
      <c r="P838" s="10"/>
      <c r="Q838" s="6"/>
      <c r="R838" s="6"/>
      <c r="S838" s="6"/>
      <c r="T838" s="6"/>
      <c r="U838" s="9"/>
      <c r="AI838" s="6"/>
      <c r="AJ838" s="12"/>
      <c r="AL838" s="13"/>
    </row>
    <row r="839">
      <c r="A839" s="5"/>
      <c r="B839" s="5"/>
      <c r="C839" s="5"/>
      <c r="D839" s="17"/>
      <c r="E839" s="6"/>
      <c r="F839" s="6"/>
      <c r="G839" s="18"/>
      <c r="I839" s="16"/>
      <c r="J839" s="9"/>
      <c r="K839" s="10"/>
      <c r="L839" s="6"/>
      <c r="M839" s="11"/>
      <c r="N839" s="6"/>
      <c r="O839" s="6"/>
      <c r="P839" s="10"/>
      <c r="Q839" s="6"/>
      <c r="R839" s="6"/>
      <c r="S839" s="6"/>
      <c r="T839" s="6"/>
      <c r="U839" s="9"/>
      <c r="AI839" s="6"/>
      <c r="AJ839" s="12"/>
      <c r="AL839" s="13"/>
    </row>
    <row r="840">
      <c r="A840" s="5"/>
      <c r="B840" s="5"/>
      <c r="C840" s="5"/>
      <c r="D840" s="17"/>
      <c r="E840" s="6"/>
      <c r="F840" s="6"/>
      <c r="G840" s="18"/>
      <c r="I840" s="16"/>
      <c r="J840" s="9"/>
      <c r="K840" s="10"/>
      <c r="L840" s="6"/>
      <c r="M840" s="11"/>
      <c r="N840" s="6"/>
      <c r="O840" s="6"/>
      <c r="P840" s="10"/>
      <c r="Q840" s="6"/>
      <c r="R840" s="6"/>
      <c r="S840" s="6"/>
      <c r="T840" s="6"/>
      <c r="U840" s="9"/>
      <c r="AI840" s="6"/>
      <c r="AJ840" s="12"/>
      <c r="AL840" s="13"/>
    </row>
    <row r="841">
      <c r="A841" s="5"/>
      <c r="B841" s="5"/>
      <c r="C841" s="5"/>
      <c r="D841" s="17"/>
      <c r="E841" s="6"/>
      <c r="F841" s="6"/>
      <c r="G841" s="18"/>
      <c r="I841" s="16"/>
      <c r="J841" s="9"/>
      <c r="K841" s="10"/>
      <c r="L841" s="6"/>
      <c r="M841" s="11"/>
      <c r="N841" s="6"/>
      <c r="O841" s="6"/>
      <c r="P841" s="10"/>
      <c r="Q841" s="6"/>
      <c r="R841" s="6"/>
      <c r="S841" s="6"/>
      <c r="T841" s="6"/>
      <c r="U841" s="9"/>
      <c r="AI841" s="6"/>
      <c r="AJ841" s="12"/>
      <c r="AL841" s="13"/>
    </row>
    <row r="842">
      <c r="A842" s="5"/>
      <c r="B842" s="5"/>
      <c r="C842" s="5"/>
      <c r="D842" s="5"/>
      <c r="E842" s="6"/>
      <c r="F842" s="6"/>
      <c r="G842" s="18"/>
      <c r="I842" s="16"/>
      <c r="J842" s="9"/>
      <c r="K842" s="10"/>
      <c r="L842" s="6"/>
      <c r="M842" s="11"/>
      <c r="N842" s="6"/>
      <c r="O842" s="6"/>
      <c r="P842" s="10"/>
      <c r="Q842" s="6"/>
      <c r="R842" s="6"/>
      <c r="S842" s="6"/>
      <c r="T842" s="6"/>
      <c r="U842" s="9"/>
      <c r="AI842" s="6"/>
      <c r="AJ842" s="12"/>
      <c r="AL842" s="13"/>
    </row>
    <row r="843">
      <c r="A843" s="5"/>
      <c r="B843" s="5"/>
      <c r="C843" s="5"/>
      <c r="D843" s="5"/>
      <c r="E843" s="6"/>
      <c r="F843" s="6"/>
      <c r="G843" s="18"/>
      <c r="I843" s="16"/>
      <c r="J843" s="9"/>
      <c r="K843" s="10"/>
      <c r="L843" s="6"/>
      <c r="M843" s="11"/>
      <c r="N843" s="6"/>
      <c r="O843" s="6"/>
      <c r="P843" s="10"/>
      <c r="Q843" s="6"/>
      <c r="R843" s="6"/>
      <c r="S843" s="6"/>
      <c r="T843" s="6"/>
      <c r="U843" s="9"/>
      <c r="AI843" s="6"/>
      <c r="AJ843" s="12"/>
      <c r="AL843" s="13"/>
    </row>
    <row r="844">
      <c r="A844" s="5"/>
      <c r="B844" s="5"/>
      <c r="C844" s="5"/>
      <c r="D844" s="5"/>
      <c r="E844" s="6"/>
      <c r="F844" s="6"/>
      <c r="G844" s="18"/>
      <c r="I844" s="16"/>
      <c r="J844" s="9"/>
      <c r="K844" s="10"/>
      <c r="L844" s="6"/>
      <c r="M844" s="11"/>
      <c r="N844" s="6"/>
      <c r="O844" s="6"/>
      <c r="P844" s="10"/>
      <c r="Q844" s="6"/>
      <c r="R844" s="6"/>
      <c r="S844" s="6"/>
      <c r="T844" s="6"/>
      <c r="U844" s="9"/>
      <c r="AI844" s="6"/>
      <c r="AJ844" s="12"/>
      <c r="AL844" s="13"/>
    </row>
    <row r="845">
      <c r="A845" s="5"/>
      <c r="B845" s="5"/>
      <c r="C845" s="5"/>
      <c r="D845" s="5"/>
      <c r="E845" s="6"/>
      <c r="F845" s="6"/>
      <c r="G845" s="18"/>
      <c r="I845" s="16"/>
      <c r="J845" s="9"/>
      <c r="K845" s="10"/>
      <c r="L845" s="6"/>
      <c r="M845" s="11"/>
      <c r="N845" s="6"/>
      <c r="O845" s="6"/>
      <c r="P845" s="10"/>
      <c r="Q845" s="6"/>
      <c r="R845" s="6"/>
      <c r="S845" s="6"/>
      <c r="T845" s="6"/>
      <c r="U845" s="9"/>
      <c r="AI845" s="6"/>
      <c r="AJ845" s="12"/>
      <c r="AL845" s="13"/>
    </row>
    <row r="846">
      <c r="A846" s="5"/>
      <c r="B846" s="5"/>
      <c r="C846" s="5"/>
      <c r="D846" s="5"/>
      <c r="E846" s="6"/>
      <c r="F846" s="6"/>
      <c r="G846" s="18"/>
      <c r="I846" s="16"/>
      <c r="J846" s="9"/>
      <c r="K846" s="10"/>
      <c r="L846" s="6"/>
      <c r="M846" s="11"/>
      <c r="N846" s="6"/>
      <c r="O846" s="6"/>
      <c r="P846" s="10"/>
      <c r="Q846" s="6"/>
      <c r="R846" s="6"/>
      <c r="S846" s="6"/>
      <c r="T846" s="6"/>
      <c r="U846" s="9"/>
      <c r="AI846" s="6"/>
      <c r="AJ846" s="12"/>
      <c r="AL846" s="13"/>
    </row>
    <row r="847">
      <c r="A847" s="5"/>
      <c r="B847" s="5"/>
      <c r="C847" s="5"/>
      <c r="D847" s="5"/>
      <c r="E847" s="6"/>
      <c r="F847" s="6"/>
      <c r="G847" s="18"/>
      <c r="I847" s="16"/>
      <c r="J847" s="9"/>
      <c r="K847" s="10"/>
      <c r="L847" s="6"/>
      <c r="M847" s="11"/>
      <c r="N847" s="6"/>
      <c r="O847" s="6"/>
      <c r="P847" s="10"/>
      <c r="Q847" s="6"/>
      <c r="R847" s="6"/>
      <c r="S847" s="6"/>
      <c r="T847" s="6"/>
      <c r="U847" s="9"/>
      <c r="AI847" s="6"/>
      <c r="AJ847" s="12"/>
      <c r="AL847" s="13"/>
    </row>
    <row r="848">
      <c r="A848" s="5"/>
      <c r="B848" s="5"/>
      <c r="C848" s="5"/>
      <c r="D848" s="5"/>
      <c r="E848" s="6"/>
      <c r="F848" s="6"/>
      <c r="G848" s="18"/>
      <c r="I848" s="16"/>
      <c r="J848" s="9"/>
      <c r="K848" s="10"/>
      <c r="L848" s="6"/>
      <c r="M848" s="11"/>
      <c r="N848" s="6"/>
      <c r="O848" s="6"/>
      <c r="P848" s="10"/>
      <c r="Q848" s="6"/>
      <c r="R848" s="6"/>
      <c r="S848" s="6"/>
      <c r="T848" s="6"/>
      <c r="U848" s="9"/>
      <c r="AI848" s="6"/>
      <c r="AJ848" s="12"/>
      <c r="AL848" s="13"/>
    </row>
    <row r="849">
      <c r="A849" s="5"/>
      <c r="B849" s="5"/>
      <c r="C849" s="5"/>
      <c r="D849" s="5"/>
      <c r="E849" s="6"/>
      <c r="F849" s="6"/>
      <c r="G849" s="18"/>
      <c r="I849" s="16"/>
      <c r="J849" s="9"/>
      <c r="K849" s="10"/>
      <c r="L849" s="6"/>
      <c r="M849" s="11"/>
      <c r="N849" s="6"/>
      <c r="O849" s="6"/>
      <c r="P849" s="10"/>
      <c r="Q849" s="6"/>
      <c r="R849" s="6"/>
      <c r="S849" s="6"/>
      <c r="T849" s="6"/>
      <c r="U849" s="9"/>
      <c r="AI849" s="6"/>
      <c r="AJ849" s="12"/>
      <c r="AL849" s="13"/>
    </row>
    <row r="850">
      <c r="A850" s="5"/>
      <c r="B850" s="5"/>
      <c r="C850" s="5"/>
      <c r="D850" s="5"/>
      <c r="E850" s="6"/>
      <c r="F850" s="6"/>
      <c r="G850" s="18"/>
      <c r="I850" s="16"/>
      <c r="J850" s="9"/>
      <c r="K850" s="10"/>
      <c r="L850" s="6"/>
      <c r="M850" s="11"/>
      <c r="N850" s="6"/>
      <c r="O850" s="6"/>
      <c r="P850" s="10"/>
      <c r="Q850" s="6"/>
      <c r="R850" s="6"/>
      <c r="S850" s="6"/>
      <c r="T850" s="6"/>
      <c r="U850" s="9"/>
      <c r="AI850" s="6"/>
      <c r="AJ850" s="12"/>
      <c r="AL850" s="13"/>
    </row>
    <row r="851">
      <c r="A851" s="5"/>
      <c r="B851" s="5"/>
      <c r="C851" s="5"/>
      <c r="D851" s="5"/>
      <c r="E851" s="6"/>
      <c r="F851" s="6"/>
      <c r="G851" s="18"/>
      <c r="I851" s="16"/>
      <c r="J851" s="9"/>
      <c r="K851" s="10"/>
      <c r="L851" s="6"/>
      <c r="M851" s="11"/>
      <c r="N851" s="6"/>
      <c r="O851" s="6"/>
      <c r="P851" s="10"/>
      <c r="Q851" s="6"/>
      <c r="R851" s="6"/>
      <c r="S851" s="6"/>
      <c r="T851" s="6"/>
      <c r="U851" s="9"/>
      <c r="AI851" s="6"/>
      <c r="AJ851" s="12"/>
      <c r="AL851" s="13"/>
    </row>
    <row r="852">
      <c r="A852" s="5"/>
      <c r="B852" s="5"/>
      <c r="C852" s="5"/>
      <c r="D852" s="5"/>
      <c r="E852" s="6"/>
      <c r="F852" s="6"/>
      <c r="G852" s="18"/>
      <c r="I852" s="16"/>
      <c r="J852" s="9"/>
      <c r="K852" s="10"/>
      <c r="L852" s="6"/>
      <c r="M852" s="11"/>
      <c r="N852" s="6"/>
      <c r="O852" s="6"/>
      <c r="P852" s="10"/>
      <c r="Q852" s="6"/>
      <c r="R852" s="6"/>
      <c r="S852" s="6"/>
      <c r="T852" s="6"/>
      <c r="U852" s="9"/>
      <c r="AI852" s="6"/>
      <c r="AJ852" s="12"/>
      <c r="AL852" s="13"/>
    </row>
    <row r="853">
      <c r="A853" s="5"/>
      <c r="B853" s="5"/>
      <c r="C853" s="5"/>
      <c r="D853" s="5"/>
      <c r="E853" s="6"/>
      <c r="F853" s="6"/>
      <c r="G853" s="18"/>
      <c r="I853" s="16"/>
      <c r="J853" s="9"/>
      <c r="K853" s="10"/>
      <c r="L853" s="6"/>
      <c r="M853" s="11"/>
      <c r="N853" s="6"/>
      <c r="O853" s="6"/>
      <c r="P853" s="10"/>
      <c r="Q853" s="6"/>
      <c r="R853" s="6"/>
      <c r="S853" s="6"/>
      <c r="T853" s="6"/>
      <c r="U853" s="9"/>
      <c r="AI853" s="6"/>
      <c r="AJ853" s="12"/>
      <c r="AL853" s="13"/>
    </row>
    <row r="854">
      <c r="A854" s="5"/>
      <c r="B854" s="5"/>
      <c r="C854" s="5"/>
      <c r="D854" s="5"/>
      <c r="E854" s="6"/>
      <c r="F854" s="6"/>
      <c r="G854" s="18"/>
      <c r="I854" s="16"/>
      <c r="J854" s="9"/>
      <c r="K854" s="10"/>
      <c r="L854" s="6"/>
      <c r="M854" s="11"/>
      <c r="N854" s="6"/>
      <c r="O854" s="6"/>
      <c r="P854" s="10"/>
      <c r="Q854" s="6"/>
      <c r="R854" s="6"/>
      <c r="S854" s="6"/>
      <c r="T854" s="6"/>
      <c r="U854" s="9"/>
      <c r="AI854" s="6"/>
      <c r="AJ854" s="12"/>
      <c r="AL854" s="13"/>
    </row>
    <row r="855">
      <c r="A855" s="5"/>
      <c r="B855" s="5"/>
      <c r="C855" s="5"/>
      <c r="D855" s="5"/>
      <c r="E855" s="6"/>
      <c r="F855" s="6"/>
      <c r="G855" s="18"/>
      <c r="I855" s="16"/>
      <c r="J855" s="9"/>
      <c r="K855" s="10"/>
      <c r="L855" s="6"/>
      <c r="M855" s="11"/>
      <c r="N855" s="6"/>
      <c r="O855" s="6"/>
      <c r="P855" s="10"/>
      <c r="Q855" s="6"/>
      <c r="R855" s="6"/>
      <c r="S855" s="6"/>
      <c r="T855" s="6"/>
      <c r="U855" s="9"/>
      <c r="AI855" s="6"/>
      <c r="AJ855" s="12"/>
      <c r="AL855" s="13"/>
    </row>
    <row r="856">
      <c r="A856" s="5"/>
      <c r="B856" s="5"/>
      <c r="C856" s="5"/>
      <c r="D856" s="5"/>
      <c r="E856" s="6"/>
      <c r="F856" s="6"/>
      <c r="G856" s="18"/>
      <c r="I856" s="16"/>
      <c r="J856" s="9"/>
      <c r="K856" s="10"/>
      <c r="L856" s="6"/>
      <c r="M856" s="11"/>
      <c r="N856" s="6"/>
      <c r="O856" s="6"/>
      <c r="P856" s="10"/>
      <c r="Q856" s="6"/>
      <c r="R856" s="6"/>
      <c r="S856" s="6"/>
      <c r="T856" s="6"/>
      <c r="U856" s="9"/>
      <c r="AI856" s="6"/>
      <c r="AJ856" s="12"/>
      <c r="AL856" s="13"/>
    </row>
    <row r="857">
      <c r="A857" s="5"/>
      <c r="B857" s="5"/>
      <c r="C857" s="5"/>
      <c r="D857" s="5"/>
      <c r="E857" s="6"/>
      <c r="F857" s="6"/>
      <c r="G857" s="18"/>
      <c r="I857" s="16"/>
      <c r="J857" s="9"/>
      <c r="K857" s="10"/>
      <c r="L857" s="6"/>
      <c r="M857" s="11"/>
      <c r="N857" s="6"/>
      <c r="O857" s="6"/>
      <c r="P857" s="10"/>
      <c r="Q857" s="6"/>
      <c r="R857" s="6"/>
      <c r="S857" s="6"/>
      <c r="T857" s="6"/>
      <c r="U857" s="9"/>
      <c r="AI857" s="6"/>
      <c r="AJ857" s="12"/>
      <c r="AL857" s="13"/>
    </row>
    <row r="858">
      <c r="A858" s="5"/>
      <c r="B858" s="5"/>
      <c r="C858" s="5"/>
      <c r="D858" s="17"/>
      <c r="E858" s="6"/>
      <c r="F858" s="6"/>
      <c r="G858" s="18"/>
      <c r="I858" s="16"/>
      <c r="J858" s="9"/>
      <c r="K858" s="10"/>
      <c r="L858" s="6"/>
      <c r="M858" s="11"/>
      <c r="N858" s="6"/>
      <c r="O858" s="6"/>
      <c r="P858" s="10"/>
      <c r="Q858" s="6"/>
      <c r="R858" s="6"/>
      <c r="S858" s="6"/>
      <c r="T858" s="6"/>
      <c r="U858" s="9"/>
      <c r="AI858" s="6"/>
      <c r="AJ858" s="12"/>
      <c r="AL858" s="13"/>
    </row>
    <row r="859">
      <c r="A859" s="5"/>
      <c r="B859" s="5"/>
      <c r="C859" s="5"/>
      <c r="D859" s="17"/>
      <c r="E859" s="6"/>
      <c r="F859" s="6"/>
      <c r="G859" s="18"/>
      <c r="I859" s="16"/>
      <c r="J859" s="9"/>
      <c r="K859" s="10"/>
      <c r="L859" s="6"/>
      <c r="M859" s="11"/>
      <c r="N859" s="6"/>
      <c r="O859" s="6"/>
      <c r="P859" s="10"/>
      <c r="Q859" s="6"/>
      <c r="R859" s="6"/>
      <c r="S859" s="6"/>
      <c r="T859" s="6"/>
      <c r="U859" s="9"/>
      <c r="AI859" s="6"/>
      <c r="AJ859" s="12"/>
      <c r="AL859" s="13"/>
    </row>
    <row r="860">
      <c r="A860" s="5"/>
      <c r="B860" s="5"/>
      <c r="C860" s="5"/>
      <c r="D860" s="17"/>
      <c r="E860" s="6"/>
      <c r="F860" s="6"/>
      <c r="G860" s="18"/>
      <c r="I860" s="16"/>
      <c r="J860" s="9"/>
      <c r="K860" s="10"/>
      <c r="L860" s="6"/>
      <c r="M860" s="11"/>
      <c r="N860" s="6"/>
      <c r="O860" s="6"/>
      <c r="P860" s="10"/>
      <c r="Q860" s="6"/>
      <c r="R860" s="6"/>
      <c r="S860" s="6"/>
      <c r="T860" s="6"/>
      <c r="U860" s="9"/>
      <c r="AI860" s="6"/>
      <c r="AJ860" s="12"/>
      <c r="AL860" s="13"/>
    </row>
    <row r="861">
      <c r="A861" s="5"/>
      <c r="B861" s="5"/>
      <c r="C861" s="5"/>
      <c r="D861" s="17"/>
      <c r="E861" s="6"/>
      <c r="F861" s="6"/>
      <c r="G861" s="18"/>
      <c r="I861" s="16"/>
      <c r="J861" s="9"/>
      <c r="K861" s="10"/>
      <c r="L861" s="6"/>
      <c r="M861" s="11"/>
      <c r="N861" s="6"/>
      <c r="O861" s="6"/>
      <c r="P861" s="10"/>
      <c r="Q861" s="6"/>
      <c r="R861" s="6"/>
      <c r="S861" s="6"/>
      <c r="T861" s="6"/>
      <c r="U861" s="9"/>
      <c r="AI861" s="6"/>
      <c r="AJ861" s="12"/>
      <c r="AL861" s="13"/>
    </row>
    <row r="862">
      <c r="A862" s="5"/>
      <c r="B862" s="5"/>
      <c r="C862" s="5"/>
      <c r="D862" s="5"/>
      <c r="E862" s="6"/>
      <c r="F862" s="6"/>
      <c r="G862" s="18"/>
      <c r="I862" s="16"/>
      <c r="J862" s="9"/>
      <c r="K862" s="10"/>
      <c r="L862" s="6"/>
      <c r="M862" s="11"/>
      <c r="N862" s="6"/>
      <c r="O862" s="6"/>
      <c r="P862" s="10"/>
      <c r="Q862" s="6"/>
      <c r="R862" s="6"/>
      <c r="S862" s="6"/>
      <c r="T862" s="6"/>
      <c r="U862" s="9"/>
      <c r="AI862" s="6"/>
      <c r="AJ862" s="12"/>
      <c r="AL862" s="13"/>
    </row>
    <row r="863">
      <c r="A863" s="5"/>
      <c r="B863" s="5"/>
      <c r="C863" s="5"/>
      <c r="D863" s="5"/>
      <c r="E863" s="6"/>
      <c r="F863" s="6"/>
      <c r="G863" s="18"/>
      <c r="I863" s="16"/>
      <c r="J863" s="9"/>
      <c r="K863" s="10"/>
      <c r="L863" s="6"/>
      <c r="M863" s="11"/>
      <c r="N863" s="6"/>
      <c r="O863" s="6"/>
      <c r="P863" s="10"/>
      <c r="Q863" s="6"/>
      <c r="R863" s="6"/>
      <c r="S863" s="6"/>
      <c r="T863" s="6"/>
      <c r="U863" s="9"/>
      <c r="AI863" s="6"/>
      <c r="AJ863" s="12"/>
      <c r="AL863" s="13"/>
    </row>
    <row r="864">
      <c r="A864" s="5"/>
      <c r="B864" s="5"/>
      <c r="C864" s="5"/>
      <c r="D864" s="5"/>
      <c r="E864" s="6"/>
      <c r="F864" s="6"/>
      <c r="G864" s="18"/>
      <c r="I864" s="16"/>
      <c r="J864" s="9"/>
      <c r="K864" s="10"/>
      <c r="L864" s="6"/>
      <c r="M864" s="11"/>
      <c r="N864" s="6"/>
      <c r="O864" s="6"/>
      <c r="P864" s="10"/>
      <c r="Q864" s="6"/>
      <c r="R864" s="6"/>
      <c r="S864" s="6"/>
      <c r="T864" s="6"/>
      <c r="U864" s="9"/>
      <c r="AI864" s="6"/>
      <c r="AJ864" s="12"/>
      <c r="AL864" s="13"/>
    </row>
    <row r="865">
      <c r="A865" s="5"/>
      <c r="B865" s="5"/>
      <c r="C865" s="5"/>
      <c r="D865" s="5"/>
      <c r="E865" s="6"/>
      <c r="F865" s="6"/>
      <c r="G865" s="18"/>
      <c r="I865" s="16"/>
      <c r="J865" s="9"/>
      <c r="K865" s="10"/>
      <c r="L865" s="6"/>
      <c r="M865" s="11"/>
      <c r="N865" s="6"/>
      <c r="O865" s="6"/>
      <c r="P865" s="10"/>
      <c r="Q865" s="6"/>
      <c r="R865" s="6"/>
      <c r="S865" s="6"/>
      <c r="T865" s="6"/>
      <c r="U865" s="9"/>
      <c r="AI865" s="6"/>
      <c r="AJ865" s="12"/>
      <c r="AL865" s="13"/>
    </row>
    <row r="866">
      <c r="A866" s="5"/>
      <c r="B866" s="5"/>
      <c r="C866" s="5"/>
      <c r="D866" s="5"/>
      <c r="E866" s="6"/>
      <c r="F866" s="6"/>
      <c r="G866" s="18"/>
      <c r="I866" s="16"/>
      <c r="J866" s="9"/>
      <c r="K866" s="10"/>
      <c r="L866" s="6"/>
      <c r="M866" s="11"/>
      <c r="N866" s="6"/>
      <c r="O866" s="6"/>
      <c r="P866" s="10"/>
      <c r="Q866" s="6"/>
      <c r="R866" s="6"/>
      <c r="S866" s="6"/>
      <c r="T866" s="6"/>
      <c r="U866" s="9"/>
      <c r="AI866" s="6"/>
      <c r="AJ866" s="12"/>
      <c r="AL866" s="13"/>
    </row>
    <row r="867">
      <c r="A867" s="5"/>
      <c r="B867" s="5"/>
      <c r="C867" s="5"/>
      <c r="D867" s="5"/>
      <c r="E867" s="6"/>
      <c r="F867" s="6"/>
      <c r="G867" s="18"/>
      <c r="I867" s="16"/>
      <c r="J867" s="9"/>
      <c r="K867" s="10"/>
      <c r="L867" s="6"/>
      <c r="M867" s="11"/>
      <c r="N867" s="6"/>
      <c r="O867" s="6"/>
      <c r="P867" s="10"/>
      <c r="Q867" s="6"/>
      <c r="R867" s="6"/>
      <c r="S867" s="6"/>
      <c r="T867" s="6"/>
      <c r="U867" s="9"/>
      <c r="AI867" s="6"/>
      <c r="AJ867" s="12"/>
      <c r="AL867" s="13"/>
    </row>
    <row r="868">
      <c r="A868" s="5"/>
      <c r="B868" s="5"/>
      <c r="C868" s="5"/>
      <c r="D868" s="17"/>
      <c r="E868" s="6"/>
      <c r="F868" s="6"/>
      <c r="G868" s="18"/>
      <c r="I868" s="16"/>
      <c r="J868" s="9"/>
      <c r="K868" s="10"/>
      <c r="L868" s="6"/>
      <c r="M868" s="11"/>
      <c r="N868" s="6"/>
      <c r="O868" s="6"/>
      <c r="P868" s="10"/>
      <c r="Q868" s="6"/>
      <c r="R868" s="6"/>
      <c r="S868" s="6"/>
      <c r="T868" s="6"/>
      <c r="U868" s="9"/>
      <c r="AI868" s="6"/>
      <c r="AJ868" s="12"/>
      <c r="AL868" s="13"/>
    </row>
    <row r="869">
      <c r="A869" s="5"/>
      <c r="B869" s="5"/>
      <c r="C869" s="5"/>
      <c r="D869" s="17"/>
      <c r="E869" s="6"/>
      <c r="F869" s="6"/>
      <c r="G869" s="18"/>
      <c r="I869" s="16"/>
      <c r="J869" s="9"/>
      <c r="K869" s="10"/>
      <c r="L869" s="6"/>
      <c r="M869" s="11"/>
      <c r="N869" s="6"/>
      <c r="O869" s="6"/>
      <c r="P869" s="10"/>
      <c r="Q869" s="6"/>
      <c r="R869" s="6"/>
      <c r="S869" s="6"/>
      <c r="T869" s="6"/>
      <c r="U869" s="9"/>
      <c r="AI869" s="6"/>
      <c r="AJ869" s="12"/>
      <c r="AL869" s="13"/>
    </row>
    <row r="870">
      <c r="A870" s="5"/>
      <c r="B870" s="5"/>
      <c r="C870" s="5"/>
      <c r="D870" s="17"/>
      <c r="E870" s="6"/>
      <c r="F870" s="6"/>
      <c r="G870" s="18"/>
      <c r="I870" s="16"/>
      <c r="J870" s="9"/>
      <c r="K870" s="10"/>
      <c r="L870" s="6"/>
      <c r="M870" s="11"/>
      <c r="N870" s="6"/>
      <c r="O870" s="6"/>
      <c r="P870" s="10"/>
      <c r="Q870" s="6"/>
      <c r="R870" s="6"/>
      <c r="S870" s="6"/>
      <c r="T870" s="6"/>
      <c r="U870" s="9"/>
      <c r="AI870" s="6"/>
      <c r="AJ870" s="12"/>
      <c r="AL870" s="13"/>
    </row>
    <row r="871">
      <c r="A871" s="5"/>
      <c r="B871" s="5"/>
      <c r="C871" s="5"/>
      <c r="D871" s="17"/>
      <c r="E871" s="6"/>
      <c r="F871" s="6"/>
      <c r="G871" s="18"/>
      <c r="I871" s="16"/>
      <c r="J871" s="9"/>
      <c r="K871" s="10"/>
      <c r="L871" s="6"/>
      <c r="M871" s="11"/>
      <c r="N871" s="6"/>
      <c r="O871" s="6"/>
      <c r="P871" s="10"/>
      <c r="Q871" s="6"/>
      <c r="R871" s="6"/>
      <c r="S871" s="6"/>
      <c r="T871" s="6"/>
      <c r="U871" s="9"/>
      <c r="AI871" s="6"/>
      <c r="AJ871" s="12"/>
      <c r="AL871" s="13"/>
    </row>
    <row r="872">
      <c r="A872" s="5"/>
      <c r="B872" s="5"/>
      <c r="C872" s="5"/>
      <c r="D872" s="5"/>
      <c r="E872" s="6"/>
      <c r="F872" s="6"/>
      <c r="G872" s="18"/>
      <c r="I872" s="16"/>
      <c r="J872" s="9"/>
      <c r="K872" s="10"/>
      <c r="L872" s="6"/>
      <c r="M872" s="11"/>
      <c r="N872" s="6"/>
      <c r="O872" s="6"/>
      <c r="P872" s="10"/>
      <c r="Q872" s="6"/>
      <c r="R872" s="6"/>
      <c r="S872" s="6"/>
      <c r="T872" s="6"/>
      <c r="U872" s="9"/>
      <c r="AI872" s="6"/>
      <c r="AJ872" s="12"/>
      <c r="AL872" s="13"/>
    </row>
    <row r="873">
      <c r="A873" s="5"/>
      <c r="B873" s="5"/>
      <c r="C873" s="5"/>
      <c r="D873" s="17"/>
      <c r="E873" s="6"/>
      <c r="F873" s="6"/>
      <c r="G873" s="18"/>
      <c r="I873" s="16"/>
      <c r="J873" s="9"/>
      <c r="K873" s="10"/>
      <c r="L873" s="6"/>
      <c r="M873" s="11"/>
      <c r="N873" s="6"/>
      <c r="O873" s="6"/>
      <c r="P873" s="10"/>
      <c r="Q873" s="6"/>
      <c r="R873" s="6"/>
      <c r="S873" s="6"/>
      <c r="T873" s="6"/>
      <c r="U873" s="9"/>
      <c r="AI873" s="6"/>
      <c r="AJ873" s="12"/>
      <c r="AL873" s="13"/>
    </row>
    <row r="874">
      <c r="A874" s="5"/>
      <c r="B874" s="5"/>
      <c r="C874" s="5"/>
      <c r="D874" s="17"/>
      <c r="E874" s="6"/>
      <c r="F874" s="6"/>
      <c r="G874" s="18"/>
      <c r="I874" s="16"/>
      <c r="J874" s="9"/>
      <c r="K874" s="10"/>
      <c r="L874" s="6"/>
      <c r="M874" s="11"/>
      <c r="N874" s="6"/>
      <c r="O874" s="6"/>
      <c r="P874" s="10"/>
      <c r="Q874" s="6"/>
      <c r="R874" s="6"/>
      <c r="S874" s="6"/>
      <c r="T874" s="6"/>
      <c r="U874" s="9"/>
      <c r="AI874" s="6"/>
      <c r="AJ874" s="12"/>
      <c r="AL874" s="13"/>
    </row>
    <row r="875">
      <c r="A875" s="5"/>
      <c r="B875" s="5"/>
      <c r="C875" s="5"/>
      <c r="D875" s="17"/>
      <c r="E875" s="6"/>
      <c r="F875" s="6"/>
      <c r="G875" s="18"/>
      <c r="I875" s="16"/>
      <c r="J875" s="9"/>
      <c r="K875" s="10"/>
      <c r="L875" s="6"/>
      <c r="M875" s="11"/>
      <c r="N875" s="6"/>
      <c r="O875" s="6"/>
      <c r="P875" s="10"/>
      <c r="Q875" s="6"/>
      <c r="R875" s="6"/>
      <c r="S875" s="6"/>
      <c r="T875" s="6"/>
      <c r="U875" s="9"/>
      <c r="AI875" s="6"/>
      <c r="AJ875" s="12"/>
      <c r="AL875" s="13"/>
    </row>
    <row r="876">
      <c r="A876" s="5"/>
      <c r="B876" s="5"/>
      <c r="C876" s="5"/>
      <c r="D876" s="17"/>
      <c r="E876" s="6"/>
      <c r="F876" s="6"/>
      <c r="G876" s="18"/>
      <c r="I876" s="16"/>
      <c r="J876" s="9"/>
      <c r="K876" s="10"/>
      <c r="L876" s="6"/>
      <c r="M876" s="11"/>
      <c r="N876" s="6"/>
      <c r="O876" s="6"/>
      <c r="P876" s="10"/>
      <c r="Q876" s="6"/>
      <c r="R876" s="6"/>
      <c r="S876" s="6"/>
      <c r="T876" s="6"/>
      <c r="U876" s="9"/>
      <c r="AI876" s="6"/>
      <c r="AJ876" s="12"/>
      <c r="AL876" s="13"/>
    </row>
    <row r="877">
      <c r="A877" s="5"/>
      <c r="B877" s="5"/>
      <c r="C877" s="5"/>
      <c r="D877" s="17"/>
      <c r="E877" s="6"/>
      <c r="F877" s="6"/>
      <c r="G877" s="18"/>
      <c r="I877" s="16"/>
      <c r="J877" s="9"/>
      <c r="K877" s="10"/>
      <c r="L877" s="6"/>
      <c r="M877" s="11"/>
      <c r="N877" s="6"/>
      <c r="O877" s="6"/>
      <c r="P877" s="10"/>
      <c r="Q877" s="6"/>
      <c r="R877" s="6"/>
      <c r="S877" s="6"/>
      <c r="T877" s="6"/>
      <c r="U877" s="9"/>
      <c r="AI877" s="6"/>
      <c r="AJ877" s="12"/>
      <c r="AL877" s="13"/>
    </row>
    <row r="878">
      <c r="A878" s="5"/>
      <c r="B878" s="5"/>
      <c r="C878" s="5"/>
      <c r="D878" s="5"/>
      <c r="E878" s="6"/>
      <c r="F878" s="6"/>
      <c r="G878" s="18"/>
      <c r="I878" s="16"/>
      <c r="J878" s="9"/>
      <c r="K878" s="10"/>
      <c r="L878" s="6"/>
      <c r="M878" s="11"/>
      <c r="N878" s="6"/>
      <c r="O878" s="6"/>
      <c r="P878" s="10"/>
      <c r="Q878" s="6"/>
      <c r="R878" s="6"/>
      <c r="S878" s="6"/>
      <c r="T878" s="6"/>
      <c r="U878" s="9"/>
      <c r="AI878" s="6"/>
      <c r="AJ878" s="12"/>
      <c r="AL878" s="13"/>
    </row>
    <row r="879">
      <c r="A879" s="5"/>
      <c r="B879" s="5"/>
      <c r="C879" s="5"/>
      <c r="D879" s="5"/>
      <c r="E879" s="6"/>
      <c r="F879" s="6"/>
      <c r="G879" s="18"/>
      <c r="I879" s="16"/>
      <c r="J879" s="9"/>
      <c r="K879" s="10"/>
      <c r="L879" s="6"/>
      <c r="M879" s="11"/>
      <c r="N879" s="6"/>
      <c r="O879" s="6"/>
      <c r="P879" s="10"/>
      <c r="Q879" s="6"/>
      <c r="R879" s="6"/>
      <c r="S879" s="6"/>
      <c r="T879" s="6"/>
      <c r="U879" s="9"/>
      <c r="AI879" s="6"/>
      <c r="AJ879" s="12"/>
      <c r="AL879" s="13"/>
    </row>
    <row r="880">
      <c r="A880" s="5"/>
      <c r="B880" s="5"/>
      <c r="C880" s="5"/>
      <c r="D880" s="17"/>
      <c r="E880" s="6"/>
      <c r="F880" s="6"/>
      <c r="G880" s="18"/>
      <c r="I880" s="16"/>
      <c r="J880" s="9"/>
      <c r="K880" s="10"/>
      <c r="L880" s="6"/>
      <c r="M880" s="11"/>
      <c r="N880" s="6"/>
      <c r="O880" s="6"/>
      <c r="P880" s="10"/>
      <c r="Q880" s="6"/>
      <c r="R880" s="6"/>
      <c r="S880" s="6"/>
      <c r="T880" s="6"/>
      <c r="U880" s="9"/>
      <c r="AI880" s="6"/>
      <c r="AJ880" s="12"/>
      <c r="AL880" s="13"/>
    </row>
    <row r="881">
      <c r="A881" s="5"/>
      <c r="B881" s="5"/>
      <c r="C881" s="5"/>
      <c r="D881" s="17"/>
      <c r="E881" s="6"/>
      <c r="F881" s="6"/>
      <c r="G881" s="18"/>
      <c r="I881" s="16"/>
      <c r="J881" s="9"/>
      <c r="K881" s="10"/>
      <c r="L881" s="6"/>
      <c r="M881" s="11"/>
      <c r="N881" s="6"/>
      <c r="O881" s="6"/>
      <c r="P881" s="10"/>
      <c r="Q881" s="6"/>
      <c r="R881" s="6"/>
      <c r="S881" s="6"/>
      <c r="T881" s="6"/>
      <c r="U881" s="9"/>
      <c r="AI881" s="6"/>
      <c r="AJ881" s="12"/>
      <c r="AL881" s="13"/>
    </row>
    <row r="882">
      <c r="A882" s="5"/>
      <c r="B882" s="5"/>
      <c r="C882" s="5"/>
      <c r="D882" s="5"/>
      <c r="E882" s="6"/>
      <c r="F882" s="6"/>
      <c r="G882" s="18"/>
      <c r="I882" s="16"/>
      <c r="J882" s="9"/>
      <c r="K882" s="10"/>
      <c r="L882" s="6"/>
      <c r="M882" s="11"/>
      <c r="N882" s="6"/>
      <c r="O882" s="6"/>
      <c r="P882" s="10"/>
      <c r="Q882" s="6"/>
      <c r="R882" s="6"/>
      <c r="S882" s="6"/>
      <c r="T882" s="6"/>
      <c r="U882" s="9"/>
      <c r="AI882" s="6"/>
      <c r="AJ882" s="12"/>
      <c r="AL882" s="13"/>
    </row>
    <row r="883">
      <c r="A883" s="5"/>
      <c r="B883" s="5"/>
      <c r="C883" s="5"/>
      <c r="D883" s="5"/>
      <c r="E883" s="6"/>
      <c r="F883" s="6"/>
      <c r="G883" s="18"/>
      <c r="I883" s="16"/>
      <c r="J883" s="9"/>
      <c r="K883" s="10"/>
      <c r="L883" s="6"/>
      <c r="M883" s="11"/>
      <c r="N883" s="6"/>
      <c r="O883" s="6"/>
      <c r="P883" s="10"/>
      <c r="Q883" s="6"/>
      <c r="R883" s="6"/>
      <c r="S883" s="6"/>
      <c r="T883" s="6"/>
      <c r="U883" s="9"/>
      <c r="AI883" s="6"/>
      <c r="AJ883" s="12"/>
      <c r="AL883" s="13"/>
    </row>
    <row r="884">
      <c r="A884" s="5"/>
      <c r="B884" s="5"/>
      <c r="C884" s="5"/>
      <c r="D884" s="5"/>
      <c r="E884" s="6"/>
      <c r="F884" s="6"/>
      <c r="G884" s="18"/>
      <c r="I884" s="16"/>
      <c r="J884" s="9"/>
      <c r="K884" s="10"/>
      <c r="L884" s="6"/>
      <c r="M884" s="11"/>
      <c r="N884" s="6"/>
      <c r="O884" s="6"/>
      <c r="P884" s="10"/>
      <c r="Q884" s="6"/>
      <c r="R884" s="6"/>
      <c r="S884" s="6"/>
      <c r="T884" s="6"/>
      <c r="U884" s="9"/>
      <c r="AI884" s="6"/>
      <c r="AJ884" s="12"/>
      <c r="AL884" s="13"/>
    </row>
    <row r="885">
      <c r="A885" s="5"/>
      <c r="B885" s="5"/>
      <c r="C885" s="5"/>
      <c r="D885" s="17"/>
      <c r="E885" s="6"/>
      <c r="F885" s="6"/>
      <c r="G885" s="18"/>
      <c r="I885" s="16"/>
      <c r="J885" s="9"/>
      <c r="K885" s="10"/>
      <c r="L885" s="6"/>
      <c r="M885" s="11"/>
      <c r="N885" s="6"/>
      <c r="O885" s="6"/>
      <c r="P885" s="10"/>
      <c r="Q885" s="6"/>
      <c r="R885" s="6"/>
      <c r="S885" s="6"/>
      <c r="T885" s="6"/>
      <c r="U885" s="9"/>
      <c r="AI885" s="6"/>
      <c r="AJ885" s="12"/>
      <c r="AL885" s="13"/>
    </row>
    <row r="886">
      <c r="A886" s="5"/>
      <c r="B886" s="5"/>
      <c r="C886" s="5"/>
      <c r="D886" s="5"/>
      <c r="E886" s="6"/>
      <c r="F886" s="6"/>
      <c r="G886" s="18"/>
      <c r="I886" s="16"/>
      <c r="J886" s="9"/>
      <c r="K886" s="10"/>
      <c r="L886" s="6"/>
      <c r="M886" s="11"/>
      <c r="N886" s="6"/>
      <c r="O886" s="6"/>
      <c r="P886" s="10"/>
      <c r="Q886" s="6"/>
      <c r="R886" s="6"/>
      <c r="S886" s="6"/>
      <c r="T886" s="6"/>
      <c r="U886" s="9"/>
      <c r="AI886" s="6"/>
      <c r="AJ886" s="12"/>
      <c r="AL886" s="13"/>
    </row>
    <row r="887">
      <c r="A887" s="5"/>
      <c r="B887" s="5"/>
      <c r="C887" s="5"/>
      <c r="D887" s="5"/>
      <c r="E887" s="6"/>
      <c r="F887" s="6"/>
      <c r="G887" s="18"/>
      <c r="I887" s="16"/>
      <c r="J887" s="9"/>
      <c r="K887" s="10"/>
      <c r="L887" s="6"/>
      <c r="M887" s="11"/>
      <c r="N887" s="6"/>
      <c r="O887" s="6"/>
      <c r="P887" s="10"/>
      <c r="Q887" s="6"/>
      <c r="R887" s="6"/>
      <c r="S887" s="6"/>
      <c r="T887" s="6"/>
      <c r="U887" s="9"/>
      <c r="AI887" s="6"/>
      <c r="AJ887" s="12"/>
      <c r="AL887" s="13"/>
    </row>
    <row r="888">
      <c r="A888" s="5"/>
      <c r="B888" s="5"/>
      <c r="C888" s="5"/>
      <c r="D888" s="5"/>
      <c r="E888" s="6"/>
      <c r="F888" s="6"/>
      <c r="G888" s="18"/>
      <c r="I888" s="16"/>
      <c r="J888" s="9"/>
      <c r="K888" s="10"/>
      <c r="L888" s="6"/>
      <c r="M888" s="11"/>
      <c r="N888" s="6"/>
      <c r="O888" s="6"/>
      <c r="P888" s="10"/>
      <c r="Q888" s="6"/>
      <c r="R888" s="6"/>
      <c r="S888" s="6"/>
      <c r="T888" s="6"/>
      <c r="U888" s="9"/>
      <c r="AI888" s="6"/>
      <c r="AJ888" s="12"/>
      <c r="AL888" s="13"/>
    </row>
    <row r="889">
      <c r="A889" s="5"/>
      <c r="B889" s="5"/>
      <c r="C889" s="5"/>
      <c r="D889" s="17"/>
      <c r="E889" s="6"/>
      <c r="F889" s="6"/>
      <c r="G889" s="18"/>
      <c r="I889" s="16"/>
      <c r="J889" s="9"/>
      <c r="K889" s="10"/>
      <c r="L889" s="6"/>
      <c r="M889" s="11"/>
      <c r="N889" s="6"/>
      <c r="O889" s="6"/>
      <c r="P889" s="10"/>
      <c r="Q889" s="6"/>
      <c r="R889" s="6"/>
      <c r="S889" s="6"/>
      <c r="T889" s="6"/>
      <c r="U889" s="9"/>
      <c r="AI889" s="6"/>
      <c r="AJ889" s="12"/>
      <c r="AL889" s="13"/>
    </row>
    <row r="890">
      <c r="A890" s="5"/>
      <c r="B890" s="5"/>
      <c r="C890" s="5"/>
      <c r="D890" s="17"/>
      <c r="E890" s="6"/>
      <c r="F890" s="6"/>
      <c r="G890" s="18"/>
      <c r="I890" s="16"/>
      <c r="J890" s="9"/>
      <c r="K890" s="10"/>
      <c r="L890" s="6"/>
      <c r="M890" s="11"/>
      <c r="N890" s="6"/>
      <c r="O890" s="6"/>
      <c r="P890" s="10"/>
      <c r="Q890" s="6"/>
      <c r="R890" s="6"/>
      <c r="S890" s="6"/>
      <c r="T890" s="6"/>
      <c r="U890" s="9"/>
      <c r="AI890" s="6"/>
      <c r="AJ890" s="12"/>
      <c r="AL890" s="13"/>
    </row>
    <row r="891">
      <c r="A891" s="5"/>
      <c r="B891" s="5"/>
      <c r="C891" s="5"/>
      <c r="D891" s="5"/>
      <c r="E891" s="6"/>
      <c r="F891" s="6"/>
      <c r="G891" s="18"/>
      <c r="I891" s="16"/>
      <c r="J891" s="9"/>
      <c r="K891" s="10"/>
      <c r="L891" s="6"/>
      <c r="M891" s="11"/>
      <c r="N891" s="6"/>
      <c r="O891" s="6"/>
      <c r="P891" s="10"/>
      <c r="Q891" s="6"/>
      <c r="R891" s="6"/>
      <c r="S891" s="6"/>
      <c r="T891" s="6"/>
      <c r="U891" s="9"/>
      <c r="AI891" s="6"/>
      <c r="AJ891" s="12"/>
      <c r="AL891" s="13"/>
    </row>
    <row r="892">
      <c r="A892" s="5"/>
      <c r="B892" s="5"/>
      <c r="C892" s="5"/>
      <c r="D892" s="5"/>
      <c r="E892" s="6"/>
      <c r="F892" s="6"/>
      <c r="G892" s="18"/>
      <c r="I892" s="16"/>
      <c r="J892" s="9"/>
      <c r="K892" s="10"/>
      <c r="L892" s="6"/>
      <c r="M892" s="11"/>
      <c r="N892" s="6"/>
      <c r="O892" s="6"/>
      <c r="P892" s="10"/>
      <c r="Q892" s="6"/>
      <c r="R892" s="6"/>
      <c r="S892" s="6"/>
      <c r="T892" s="6"/>
      <c r="U892" s="9"/>
      <c r="AI892" s="6"/>
      <c r="AJ892" s="12"/>
      <c r="AL892" s="13"/>
    </row>
    <row r="893">
      <c r="A893" s="5"/>
      <c r="B893" s="5"/>
      <c r="C893" s="5"/>
      <c r="D893" s="5"/>
      <c r="E893" s="6"/>
      <c r="F893" s="6"/>
      <c r="G893" s="18"/>
      <c r="I893" s="16"/>
      <c r="J893" s="9"/>
      <c r="K893" s="10"/>
      <c r="L893" s="6"/>
      <c r="M893" s="11"/>
      <c r="N893" s="6"/>
      <c r="O893" s="6"/>
      <c r="P893" s="10"/>
      <c r="Q893" s="6"/>
      <c r="R893" s="6"/>
      <c r="S893" s="6"/>
      <c r="T893" s="6"/>
      <c r="U893" s="9"/>
      <c r="AI893" s="6"/>
      <c r="AJ893" s="12"/>
      <c r="AL893" s="13"/>
    </row>
    <row r="894">
      <c r="A894" s="5"/>
      <c r="B894" s="5"/>
      <c r="C894" s="5"/>
      <c r="D894" s="17"/>
      <c r="E894" s="6"/>
      <c r="F894" s="6"/>
      <c r="G894" s="18"/>
      <c r="I894" s="16"/>
      <c r="J894" s="9"/>
      <c r="K894" s="10"/>
      <c r="L894" s="6"/>
      <c r="M894" s="11"/>
      <c r="N894" s="6"/>
      <c r="O894" s="6"/>
      <c r="P894" s="10"/>
      <c r="Q894" s="6"/>
      <c r="R894" s="6"/>
      <c r="S894" s="6"/>
      <c r="T894" s="6"/>
      <c r="U894" s="9"/>
      <c r="AI894" s="6"/>
      <c r="AJ894" s="12"/>
      <c r="AL894" s="13"/>
    </row>
    <row r="895">
      <c r="A895" s="5"/>
      <c r="B895" s="5"/>
      <c r="C895" s="5"/>
      <c r="D895" s="5"/>
      <c r="E895" s="6"/>
      <c r="F895" s="6"/>
      <c r="G895" s="18"/>
      <c r="I895" s="16"/>
      <c r="J895" s="9"/>
      <c r="K895" s="10"/>
      <c r="L895" s="6"/>
      <c r="M895" s="11"/>
      <c r="N895" s="6"/>
      <c r="O895" s="6"/>
      <c r="P895" s="10"/>
      <c r="Q895" s="6"/>
      <c r="R895" s="6"/>
      <c r="S895" s="6"/>
      <c r="T895" s="6"/>
      <c r="U895" s="9"/>
      <c r="AI895" s="6"/>
      <c r="AJ895" s="12"/>
      <c r="AL895" s="13"/>
    </row>
    <row r="896">
      <c r="A896" s="5"/>
      <c r="B896" s="5"/>
      <c r="C896" s="5"/>
      <c r="D896" s="17"/>
      <c r="E896" s="6"/>
      <c r="F896" s="6"/>
      <c r="G896" s="18"/>
      <c r="I896" s="16"/>
      <c r="J896" s="9"/>
      <c r="K896" s="10"/>
      <c r="L896" s="6"/>
      <c r="M896" s="11"/>
      <c r="N896" s="6"/>
      <c r="O896" s="6"/>
      <c r="P896" s="10"/>
      <c r="Q896" s="6"/>
      <c r="R896" s="6"/>
      <c r="S896" s="6"/>
      <c r="T896" s="6"/>
      <c r="U896" s="9"/>
      <c r="AI896" s="6"/>
      <c r="AJ896" s="12"/>
      <c r="AL896" s="13"/>
    </row>
    <row r="897">
      <c r="A897" s="5"/>
      <c r="B897" s="5"/>
      <c r="C897" s="5"/>
      <c r="D897" s="5"/>
      <c r="E897" s="6"/>
      <c r="F897" s="6"/>
      <c r="G897" s="18"/>
      <c r="I897" s="16"/>
      <c r="J897" s="9"/>
      <c r="K897" s="10"/>
      <c r="L897" s="6"/>
      <c r="M897" s="11"/>
      <c r="N897" s="6"/>
      <c r="O897" s="6"/>
      <c r="P897" s="10"/>
      <c r="Q897" s="6"/>
      <c r="R897" s="6"/>
      <c r="S897" s="6"/>
      <c r="T897" s="6"/>
      <c r="U897" s="9"/>
      <c r="AI897" s="6"/>
      <c r="AJ897" s="12"/>
      <c r="AL897" s="13"/>
    </row>
    <row r="898">
      <c r="A898" s="5"/>
      <c r="B898" s="5"/>
      <c r="C898" s="5"/>
      <c r="D898" s="5"/>
      <c r="E898" s="6"/>
      <c r="F898" s="6"/>
      <c r="G898" s="18"/>
      <c r="I898" s="16"/>
      <c r="J898" s="9"/>
      <c r="K898" s="10"/>
      <c r="L898" s="6"/>
      <c r="M898" s="11"/>
      <c r="N898" s="6"/>
      <c r="O898" s="6"/>
      <c r="P898" s="10"/>
      <c r="Q898" s="6"/>
      <c r="R898" s="6"/>
      <c r="S898" s="6"/>
      <c r="T898" s="6"/>
      <c r="U898" s="9"/>
      <c r="AI898" s="6"/>
      <c r="AJ898" s="12"/>
      <c r="AL898" s="13"/>
    </row>
    <row r="899">
      <c r="A899" s="5"/>
      <c r="B899" s="5"/>
      <c r="C899" s="5"/>
      <c r="D899" s="5"/>
      <c r="E899" s="6"/>
      <c r="F899" s="6"/>
      <c r="G899" s="18"/>
      <c r="I899" s="16"/>
      <c r="J899" s="9"/>
      <c r="K899" s="10"/>
      <c r="L899" s="6"/>
      <c r="M899" s="11"/>
      <c r="N899" s="6"/>
      <c r="O899" s="6"/>
      <c r="P899" s="10"/>
      <c r="Q899" s="6"/>
      <c r="R899" s="6"/>
      <c r="S899" s="6"/>
      <c r="T899" s="6"/>
      <c r="U899" s="9"/>
      <c r="AI899" s="6"/>
      <c r="AJ899" s="12"/>
      <c r="AL899" s="13"/>
    </row>
    <row r="900">
      <c r="A900" s="5"/>
      <c r="B900" s="5"/>
      <c r="C900" s="5"/>
      <c r="D900" s="5"/>
      <c r="E900" s="6"/>
      <c r="F900" s="6"/>
      <c r="G900" s="18"/>
      <c r="I900" s="16"/>
      <c r="J900" s="9"/>
      <c r="K900" s="10"/>
      <c r="L900" s="6"/>
      <c r="M900" s="11"/>
      <c r="N900" s="6"/>
      <c r="O900" s="6"/>
      <c r="P900" s="10"/>
      <c r="Q900" s="6"/>
      <c r="R900" s="6"/>
      <c r="S900" s="6"/>
      <c r="T900" s="6"/>
      <c r="U900" s="9"/>
      <c r="AI900" s="6"/>
      <c r="AJ900" s="12"/>
      <c r="AL900" s="13"/>
    </row>
    <row r="901">
      <c r="A901" s="5"/>
      <c r="B901" s="5"/>
      <c r="C901" s="5"/>
      <c r="D901" s="5"/>
      <c r="E901" s="6"/>
      <c r="F901" s="6"/>
      <c r="G901" s="18"/>
      <c r="I901" s="16"/>
      <c r="J901" s="9"/>
      <c r="K901" s="10"/>
      <c r="L901" s="6"/>
      <c r="M901" s="11"/>
      <c r="N901" s="6"/>
      <c r="O901" s="6"/>
      <c r="P901" s="10"/>
      <c r="Q901" s="6"/>
      <c r="R901" s="6"/>
      <c r="S901" s="6"/>
      <c r="T901" s="6"/>
      <c r="U901" s="9"/>
      <c r="AI901" s="6"/>
      <c r="AJ901" s="12"/>
      <c r="AL901" s="13"/>
    </row>
    <row r="902">
      <c r="A902" s="5"/>
      <c r="B902" s="5"/>
      <c r="C902" s="5"/>
      <c r="D902" s="5"/>
      <c r="E902" s="6"/>
      <c r="F902" s="6"/>
      <c r="G902" s="18"/>
      <c r="I902" s="16"/>
      <c r="J902" s="9"/>
      <c r="K902" s="10"/>
      <c r="L902" s="6"/>
      <c r="M902" s="11"/>
      <c r="N902" s="6"/>
      <c r="O902" s="6"/>
      <c r="P902" s="10"/>
      <c r="Q902" s="6"/>
      <c r="R902" s="6"/>
      <c r="S902" s="6"/>
      <c r="T902" s="6"/>
      <c r="U902" s="9"/>
      <c r="AI902" s="6"/>
      <c r="AJ902" s="12"/>
      <c r="AL902" s="13"/>
    </row>
    <row r="903">
      <c r="A903" s="5"/>
      <c r="B903" s="5"/>
      <c r="C903" s="5"/>
      <c r="D903" s="17"/>
      <c r="E903" s="6"/>
      <c r="F903" s="6"/>
      <c r="G903" s="18"/>
      <c r="I903" s="16"/>
      <c r="J903" s="9"/>
      <c r="K903" s="10"/>
      <c r="L903" s="6"/>
      <c r="M903" s="11"/>
      <c r="N903" s="6"/>
      <c r="O903" s="6"/>
      <c r="P903" s="10"/>
      <c r="Q903" s="6"/>
      <c r="R903" s="6"/>
      <c r="S903" s="6"/>
      <c r="T903" s="6"/>
      <c r="U903" s="9"/>
      <c r="AI903" s="6"/>
      <c r="AJ903" s="12"/>
      <c r="AL903" s="13"/>
    </row>
    <row r="904">
      <c r="A904" s="5"/>
      <c r="B904" s="5"/>
      <c r="C904" s="5"/>
      <c r="D904" s="17"/>
      <c r="E904" s="6"/>
      <c r="F904" s="6"/>
      <c r="G904" s="18"/>
      <c r="I904" s="16"/>
      <c r="J904" s="9"/>
      <c r="K904" s="10"/>
      <c r="L904" s="6"/>
      <c r="M904" s="11"/>
      <c r="N904" s="6"/>
      <c r="O904" s="6"/>
      <c r="P904" s="10"/>
      <c r="Q904" s="6"/>
      <c r="R904" s="6"/>
      <c r="S904" s="6"/>
      <c r="T904" s="6"/>
      <c r="U904" s="9"/>
      <c r="AI904" s="6"/>
      <c r="AJ904" s="12"/>
      <c r="AL904" s="13"/>
    </row>
    <row r="905">
      <c r="A905" s="5"/>
      <c r="B905" s="5"/>
      <c r="C905" s="5"/>
      <c r="D905" s="5"/>
      <c r="E905" s="6"/>
      <c r="F905" s="6"/>
      <c r="G905" s="18"/>
      <c r="I905" s="16"/>
      <c r="J905" s="9"/>
      <c r="K905" s="10"/>
      <c r="L905" s="6"/>
      <c r="M905" s="11"/>
      <c r="N905" s="6"/>
      <c r="O905" s="6"/>
      <c r="P905" s="10"/>
      <c r="Q905" s="6"/>
      <c r="R905" s="6"/>
      <c r="S905" s="6"/>
      <c r="T905" s="6"/>
      <c r="U905" s="9"/>
      <c r="AI905" s="6"/>
      <c r="AJ905" s="12"/>
      <c r="AL905" s="13"/>
    </row>
    <row r="906">
      <c r="A906" s="5"/>
      <c r="B906" s="5"/>
      <c r="C906" s="5"/>
      <c r="D906" s="5"/>
      <c r="E906" s="6"/>
      <c r="F906" s="6"/>
      <c r="G906" s="18"/>
      <c r="I906" s="16"/>
      <c r="J906" s="9"/>
      <c r="K906" s="10"/>
      <c r="L906" s="6"/>
      <c r="M906" s="11"/>
      <c r="N906" s="6"/>
      <c r="O906" s="6"/>
      <c r="P906" s="10"/>
      <c r="Q906" s="6"/>
      <c r="R906" s="6"/>
      <c r="S906" s="6"/>
      <c r="T906" s="6"/>
      <c r="U906" s="9"/>
      <c r="AI906" s="6"/>
      <c r="AJ906" s="12"/>
      <c r="AL906" s="13"/>
    </row>
    <row r="907">
      <c r="A907" s="5"/>
      <c r="B907" s="5"/>
      <c r="C907" s="5"/>
      <c r="D907" s="5"/>
      <c r="E907" s="6"/>
      <c r="F907" s="6"/>
      <c r="G907" s="18"/>
      <c r="I907" s="16"/>
      <c r="J907" s="9"/>
      <c r="K907" s="10"/>
      <c r="L907" s="6"/>
      <c r="M907" s="11"/>
      <c r="N907" s="6"/>
      <c r="O907" s="6"/>
      <c r="P907" s="10"/>
      <c r="Q907" s="6"/>
      <c r="R907" s="6"/>
      <c r="S907" s="6"/>
      <c r="T907" s="6"/>
      <c r="U907" s="9"/>
      <c r="AI907" s="6"/>
      <c r="AJ907" s="12"/>
      <c r="AL907" s="13"/>
    </row>
    <row r="908">
      <c r="A908" s="5"/>
      <c r="B908" s="5"/>
      <c r="C908" s="5"/>
      <c r="D908" s="5"/>
      <c r="E908" s="6"/>
      <c r="F908" s="6"/>
      <c r="G908" s="18"/>
      <c r="I908" s="16"/>
      <c r="J908" s="9"/>
      <c r="K908" s="10"/>
      <c r="L908" s="6"/>
      <c r="M908" s="11"/>
      <c r="N908" s="6"/>
      <c r="O908" s="6"/>
      <c r="P908" s="10"/>
      <c r="Q908" s="6"/>
      <c r="R908" s="6"/>
      <c r="S908" s="6"/>
      <c r="T908" s="6"/>
      <c r="U908" s="9"/>
      <c r="AI908" s="6"/>
      <c r="AJ908" s="12"/>
      <c r="AL908" s="13"/>
    </row>
    <row r="909">
      <c r="A909" s="5"/>
      <c r="B909" s="5"/>
      <c r="C909" s="5"/>
      <c r="D909" s="5"/>
      <c r="E909" s="6"/>
      <c r="F909" s="6"/>
      <c r="G909" s="18"/>
      <c r="I909" s="16"/>
      <c r="J909" s="9"/>
      <c r="K909" s="10"/>
      <c r="L909" s="6"/>
      <c r="M909" s="11"/>
      <c r="N909" s="6"/>
      <c r="O909" s="6"/>
      <c r="P909" s="10"/>
      <c r="Q909" s="6"/>
      <c r="R909" s="6"/>
      <c r="S909" s="6"/>
      <c r="T909" s="6"/>
      <c r="U909" s="9"/>
      <c r="AI909" s="6"/>
      <c r="AJ909" s="12"/>
      <c r="AL909" s="13"/>
    </row>
    <row r="910">
      <c r="A910" s="5"/>
      <c r="B910" s="5"/>
      <c r="C910" s="5"/>
      <c r="D910" s="5"/>
      <c r="E910" s="6"/>
      <c r="F910" s="6"/>
      <c r="G910" s="18"/>
      <c r="I910" s="16"/>
      <c r="J910" s="9"/>
      <c r="K910" s="10"/>
      <c r="L910" s="6"/>
      <c r="M910" s="11"/>
      <c r="N910" s="6"/>
      <c r="O910" s="6"/>
      <c r="P910" s="10"/>
      <c r="Q910" s="6"/>
      <c r="R910" s="6"/>
      <c r="S910" s="6"/>
      <c r="T910" s="6"/>
      <c r="U910" s="9"/>
      <c r="AI910" s="6"/>
      <c r="AJ910" s="12"/>
      <c r="AL910" s="13"/>
    </row>
    <row r="911">
      <c r="A911" s="5"/>
      <c r="B911" s="5"/>
      <c r="C911" s="5"/>
      <c r="D911" s="5"/>
      <c r="E911" s="6"/>
      <c r="F911" s="6"/>
      <c r="G911" s="18"/>
      <c r="I911" s="16"/>
      <c r="J911" s="9"/>
      <c r="K911" s="10"/>
      <c r="L911" s="6"/>
      <c r="M911" s="11"/>
      <c r="N911" s="6"/>
      <c r="O911" s="6"/>
      <c r="P911" s="10"/>
      <c r="Q911" s="6"/>
      <c r="R911" s="6"/>
      <c r="S911" s="6"/>
      <c r="T911" s="6"/>
      <c r="U911" s="9"/>
      <c r="AI911" s="6"/>
      <c r="AJ911" s="12"/>
      <c r="AL911" s="13"/>
    </row>
    <row r="912">
      <c r="A912" s="5"/>
      <c r="B912" s="5"/>
      <c r="C912" s="5"/>
      <c r="D912" s="5"/>
      <c r="E912" s="6"/>
      <c r="F912" s="6"/>
      <c r="G912" s="18"/>
      <c r="I912" s="16"/>
      <c r="J912" s="9"/>
      <c r="K912" s="10"/>
      <c r="L912" s="6"/>
      <c r="M912" s="11"/>
      <c r="N912" s="6"/>
      <c r="O912" s="6"/>
      <c r="P912" s="10"/>
      <c r="Q912" s="6"/>
      <c r="R912" s="6"/>
      <c r="S912" s="6"/>
      <c r="T912" s="6"/>
      <c r="U912" s="9"/>
      <c r="AI912" s="6"/>
      <c r="AJ912" s="12"/>
      <c r="AL912" s="13"/>
    </row>
    <row r="913">
      <c r="A913" s="5"/>
      <c r="B913" s="5"/>
      <c r="C913" s="5"/>
      <c r="D913" s="5"/>
      <c r="E913" s="6"/>
      <c r="F913" s="6"/>
      <c r="G913" s="18"/>
      <c r="I913" s="16"/>
      <c r="J913" s="9"/>
      <c r="K913" s="10"/>
      <c r="L913" s="6"/>
      <c r="M913" s="11"/>
      <c r="N913" s="6"/>
      <c r="O913" s="6"/>
      <c r="P913" s="10"/>
      <c r="Q913" s="6"/>
      <c r="R913" s="6"/>
      <c r="S913" s="6"/>
      <c r="T913" s="6"/>
      <c r="U913" s="9"/>
      <c r="AI913" s="6"/>
      <c r="AJ913" s="12"/>
      <c r="AL913" s="13"/>
    </row>
    <row r="914">
      <c r="A914" s="5"/>
      <c r="B914" s="5"/>
      <c r="C914" s="5"/>
      <c r="D914" s="17"/>
      <c r="E914" s="6"/>
      <c r="F914" s="6"/>
      <c r="G914" s="18"/>
      <c r="I914" s="16"/>
      <c r="J914" s="9"/>
      <c r="K914" s="10"/>
      <c r="L914" s="6"/>
      <c r="M914" s="11"/>
      <c r="N914" s="6"/>
      <c r="O914" s="6"/>
      <c r="P914" s="10"/>
      <c r="Q914" s="6"/>
      <c r="R914" s="6"/>
      <c r="S914" s="6"/>
      <c r="T914" s="6"/>
      <c r="U914" s="9"/>
      <c r="AI914" s="6"/>
      <c r="AJ914" s="12"/>
      <c r="AL914" s="13"/>
    </row>
    <row r="915">
      <c r="A915" s="5"/>
      <c r="B915" s="5"/>
      <c r="C915" s="5"/>
      <c r="D915" s="5"/>
      <c r="E915" s="6"/>
      <c r="F915" s="6"/>
      <c r="G915" s="18"/>
      <c r="I915" s="16"/>
      <c r="J915" s="9"/>
      <c r="K915" s="10"/>
      <c r="L915" s="6"/>
      <c r="M915" s="11"/>
      <c r="N915" s="6"/>
      <c r="O915" s="6"/>
      <c r="P915" s="10"/>
      <c r="Q915" s="6"/>
      <c r="R915" s="6"/>
      <c r="S915" s="6"/>
      <c r="T915" s="6"/>
      <c r="U915" s="9"/>
      <c r="AI915" s="6"/>
      <c r="AJ915" s="12"/>
      <c r="AL915" s="13"/>
    </row>
    <row r="916">
      <c r="A916" s="5"/>
      <c r="B916" s="5"/>
      <c r="C916" s="5"/>
      <c r="D916" s="5"/>
      <c r="E916" s="6"/>
      <c r="F916" s="6"/>
      <c r="G916" s="18"/>
      <c r="I916" s="16"/>
      <c r="J916" s="9"/>
      <c r="K916" s="10"/>
      <c r="L916" s="6"/>
      <c r="M916" s="11"/>
      <c r="N916" s="6"/>
      <c r="O916" s="6"/>
      <c r="P916" s="10"/>
      <c r="Q916" s="6"/>
      <c r="R916" s="6"/>
      <c r="S916" s="6"/>
      <c r="T916" s="6"/>
      <c r="U916" s="9"/>
      <c r="AI916" s="6"/>
      <c r="AJ916" s="12"/>
      <c r="AL916" s="13"/>
    </row>
    <row r="917">
      <c r="A917" s="5"/>
      <c r="B917" s="5"/>
      <c r="C917" s="5"/>
      <c r="D917" s="5"/>
      <c r="E917" s="6"/>
      <c r="F917" s="6"/>
      <c r="G917" s="18"/>
      <c r="I917" s="16"/>
      <c r="J917" s="9"/>
      <c r="K917" s="10"/>
      <c r="L917" s="6"/>
      <c r="M917" s="11"/>
      <c r="N917" s="6"/>
      <c r="O917" s="6"/>
      <c r="P917" s="10"/>
      <c r="Q917" s="6"/>
      <c r="R917" s="6"/>
      <c r="S917" s="6"/>
      <c r="T917" s="6"/>
      <c r="U917" s="9"/>
      <c r="AI917" s="6"/>
      <c r="AJ917" s="12"/>
      <c r="AL917" s="13"/>
    </row>
    <row r="918">
      <c r="A918" s="5"/>
      <c r="B918" s="5"/>
      <c r="C918" s="5"/>
      <c r="D918" s="5"/>
      <c r="E918" s="6"/>
      <c r="F918" s="6"/>
      <c r="G918" s="18"/>
      <c r="I918" s="16"/>
      <c r="J918" s="9"/>
      <c r="K918" s="10"/>
      <c r="L918" s="6"/>
      <c r="M918" s="11"/>
      <c r="N918" s="6"/>
      <c r="O918" s="6"/>
      <c r="P918" s="10"/>
      <c r="Q918" s="6"/>
      <c r="R918" s="6"/>
      <c r="S918" s="6"/>
      <c r="T918" s="6"/>
      <c r="U918" s="9"/>
      <c r="AI918" s="6"/>
      <c r="AJ918" s="12"/>
      <c r="AL918" s="13"/>
    </row>
    <row r="919">
      <c r="A919" s="5"/>
      <c r="B919" s="5"/>
      <c r="C919" s="5"/>
      <c r="D919" s="5"/>
      <c r="E919" s="6"/>
      <c r="F919" s="6"/>
      <c r="G919" s="18"/>
      <c r="I919" s="16"/>
      <c r="J919" s="9"/>
      <c r="K919" s="10"/>
      <c r="L919" s="6"/>
      <c r="M919" s="11"/>
      <c r="N919" s="6"/>
      <c r="O919" s="6"/>
      <c r="P919" s="10"/>
      <c r="Q919" s="6"/>
      <c r="R919" s="6"/>
      <c r="S919" s="6"/>
      <c r="T919" s="6"/>
      <c r="U919" s="9"/>
      <c r="AI919" s="6"/>
      <c r="AJ919" s="12"/>
      <c r="AL919" s="13"/>
    </row>
    <row r="920">
      <c r="A920" s="5"/>
      <c r="B920" s="5"/>
      <c r="C920" s="5"/>
      <c r="D920" s="5"/>
      <c r="E920" s="6"/>
      <c r="F920" s="6"/>
      <c r="G920" s="18"/>
      <c r="I920" s="16"/>
      <c r="J920" s="9"/>
      <c r="K920" s="10"/>
      <c r="L920" s="6"/>
      <c r="M920" s="11"/>
      <c r="N920" s="6"/>
      <c r="O920" s="6"/>
      <c r="P920" s="10"/>
      <c r="Q920" s="6"/>
      <c r="R920" s="6"/>
      <c r="S920" s="6"/>
      <c r="T920" s="6"/>
      <c r="U920" s="9"/>
      <c r="AI920" s="6"/>
      <c r="AJ920" s="12"/>
      <c r="AL920" s="13"/>
    </row>
    <row r="921">
      <c r="A921" s="5"/>
      <c r="B921" s="5"/>
      <c r="C921" s="5"/>
      <c r="D921" s="17"/>
      <c r="E921" s="6"/>
      <c r="F921" s="6"/>
      <c r="G921" s="18"/>
      <c r="I921" s="16"/>
      <c r="J921" s="9"/>
      <c r="K921" s="10"/>
      <c r="L921" s="6"/>
      <c r="M921" s="11"/>
      <c r="N921" s="6"/>
      <c r="O921" s="6"/>
      <c r="P921" s="10"/>
      <c r="Q921" s="6"/>
      <c r="R921" s="6"/>
      <c r="S921" s="6"/>
      <c r="T921" s="6"/>
      <c r="U921" s="9"/>
      <c r="AI921" s="6"/>
      <c r="AJ921" s="12"/>
      <c r="AL921" s="13"/>
    </row>
    <row r="922">
      <c r="A922" s="5"/>
      <c r="B922" s="5"/>
      <c r="C922" s="5"/>
      <c r="D922" s="17"/>
      <c r="E922" s="6"/>
      <c r="F922" s="6"/>
      <c r="G922" s="18"/>
      <c r="I922" s="16"/>
      <c r="J922" s="9"/>
      <c r="K922" s="10"/>
      <c r="L922" s="6"/>
      <c r="M922" s="11"/>
      <c r="N922" s="6"/>
      <c r="O922" s="6"/>
      <c r="P922" s="10"/>
      <c r="Q922" s="6"/>
      <c r="R922" s="6"/>
      <c r="S922" s="6"/>
      <c r="T922" s="6"/>
      <c r="U922" s="9"/>
      <c r="AI922" s="6"/>
      <c r="AJ922" s="12"/>
      <c r="AL922" s="13"/>
    </row>
    <row r="923">
      <c r="A923" s="5"/>
      <c r="B923" s="5"/>
      <c r="C923" s="5"/>
      <c r="D923" s="5"/>
      <c r="E923" s="6"/>
      <c r="F923" s="6"/>
      <c r="G923" s="18"/>
      <c r="I923" s="16"/>
      <c r="J923" s="9"/>
      <c r="K923" s="10"/>
      <c r="L923" s="6"/>
      <c r="M923" s="11"/>
      <c r="N923" s="6"/>
      <c r="O923" s="6"/>
      <c r="P923" s="10"/>
      <c r="Q923" s="6"/>
      <c r="R923" s="6"/>
      <c r="S923" s="6"/>
      <c r="T923" s="6"/>
      <c r="U923" s="9"/>
      <c r="AI923" s="6"/>
      <c r="AJ923" s="12"/>
      <c r="AL923" s="13"/>
    </row>
    <row r="924">
      <c r="A924" s="5"/>
      <c r="B924" s="5"/>
      <c r="C924" s="5"/>
      <c r="D924" s="5"/>
      <c r="E924" s="6"/>
      <c r="F924" s="6"/>
      <c r="G924" s="18"/>
      <c r="I924" s="16"/>
      <c r="J924" s="9"/>
      <c r="K924" s="10"/>
      <c r="L924" s="6"/>
      <c r="M924" s="11"/>
      <c r="N924" s="6"/>
      <c r="O924" s="6"/>
      <c r="P924" s="10"/>
      <c r="Q924" s="6"/>
      <c r="R924" s="6"/>
      <c r="S924" s="6"/>
      <c r="T924" s="6"/>
      <c r="U924" s="9"/>
      <c r="AI924" s="6"/>
      <c r="AJ924" s="12"/>
      <c r="AL924" s="13"/>
    </row>
    <row r="925">
      <c r="A925" s="5"/>
      <c r="B925" s="5"/>
      <c r="C925" s="5"/>
      <c r="D925" s="5"/>
      <c r="E925" s="6"/>
      <c r="F925" s="6"/>
      <c r="G925" s="18"/>
      <c r="I925" s="16"/>
      <c r="J925" s="9"/>
      <c r="K925" s="10"/>
      <c r="L925" s="6"/>
      <c r="M925" s="11"/>
      <c r="N925" s="6"/>
      <c r="O925" s="6"/>
      <c r="P925" s="10"/>
      <c r="Q925" s="6"/>
      <c r="R925" s="6"/>
      <c r="S925" s="6"/>
      <c r="T925" s="6"/>
      <c r="U925" s="9"/>
      <c r="AI925" s="6"/>
      <c r="AJ925" s="12"/>
      <c r="AL925" s="13"/>
    </row>
    <row r="926">
      <c r="A926" s="5"/>
      <c r="B926" s="5"/>
      <c r="C926" s="5"/>
      <c r="D926" s="5"/>
      <c r="E926" s="6"/>
      <c r="F926" s="6"/>
      <c r="G926" s="18"/>
      <c r="I926" s="16"/>
      <c r="J926" s="9"/>
      <c r="K926" s="10"/>
      <c r="L926" s="6"/>
      <c r="M926" s="11"/>
      <c r="N926" s="6"/>
      <c r="O926" s="6"/>
      <c r="P926" s="10"/>
      <c r="Q926" s="6"/>
      <c r="R926" s="6"/>
      <c r="S926" s="6"/>
      <c r="T926" s="6"/>
      <c r="U926" s="9"/>
      <c r="AI926" s="6"/>
      <c r="AJ926" s="12"/>
      <c r="AL926" s="13"/>
    </row>
    <row r="927">
      <c r="A927" s="5"/>
      <c r="B927" s="5"/>
      <c r="C927" s="5"/>
      <c r="D927" s="5"/>
      <c r="E927" s="6"/>
      <c r="F927" s="6"/>
      <c r="G927" s="18"/>
      <c r="I927" s="16"/>
      <c r="J927" s="9"/>
      <c r="K927" s="10"/>
      <c r="L927" s="6"/>
      <c r="M927" s="11"/>
      <c r="N927" s="6"/>
      <c r="O927" s="6"/>
      <c r="P927" s="10"/>
      <c r="Q927" s="6"/>
      <c r="R927" s="6"/>
      <c r="S927" s="6"/>
      <c r="T927" s="6"/>
      <c r="U927" s="9"/>
      <c r="AI927" s="6"/>
      <c r="AJ927" s="12"/>
      <c r="AL927" s="13"/>
    </row>
    <row r="928">
      <c r="A928" s="5"/>
      <c r="B928" s="5"/>
      <c r="C928" s="5"/>
      <c r="D928" s="5"/>
      <c r="E928" s="6"/>
      <c r="F928" s="6"/>
      <c r="G928" s="18"/>
      <c r="I928" s="16"/>
      <c r="J928" s="9"/>
      <c r="K928" s="10"/>
      <c r="L928" s="6"/>
      <c r="M928" s="11"/>
      <c r="N928" s="6"/>
      <c r="O928" s="6"/>
      <c r="P928" s="10"/>
      <c r="Q928" s="6"/>
      <c r="R928" s="6"/>
      <c r="S928" s="6"/>
      <c r="T928" s="6"/>
      <c r="U928" s="9"/>
      <c r="AI928" s="6"/>
      <c r="AJ928" s="12"/>
      <c r="AL928" s="13"/>
    </row>
    <row r="929">
      <c r="A929" s="5"/>
      <c r="B929" s="5"/>
      <c r="C929" s="5"/>
      <c r="D929" s="17"/>
      <c r="E929" s="6"/>
      <c r="F929" s="6"/>
      <c r="G929" s="18"/>
      <c r="I929" s="16"/>
      <c r="J929" s="9"/>
      <c r="K929" s="10"/>
      <c r="L929" s="6"/>
      <c r="M929" s="11"/>
      <c r="N929" s="6"/>
      <c r="O929" s="6"/>
      <c r="P929" s="10"/>
      <c r="Q929" s="6"/>
      <c r="R929" s="6"/>
      <c r="S929" s="6"/>
      <c r="T929" s="6"/>
      <c r="U929" s="9"/>
      <c r="AI929" s="6"/>
      <c r="AJ929" s="12"/>
      <c r="AL929" s="13"/>
    </row>
    <row r="930">
      <c r="A930" s="5"/>
      <c r="B930" s="5"/>
      <c r="C930" s="5"/>
      <c r="D930" s="17"/>
      <c r="E930" s="6"/>
      <c r="F930" s="6"/>
      <c r="G930" s="18"/>
      <c r="I930" s="16"/>
      <c r="J930" s="9"/>
      <c r="K930" s="10"/>
      <c r="L930" s="6"/>
      <c r="M930" s="11"/>
      <c r="N930" s="6"/>
      <c r="O930" s="6"/>
      <c r="P930" s="10"/>
      <c r="Q930" s="6"/>
      <c r="R930" s="6"/>
      <c r="S930" s="6"/>
      <c r="T930" s="6"/>
      <c r="U930" s="9"/>
      <c r="AI930" s="6"/>
      <c r="AJ930" s="12"/>
      <c r="AL930" s="13"/>
    </row>
    <row r="931">
      <c r="A931" s="5"/>
      <c r="B931" s="5"/>
      <c r="C931" s="5"/>
      <c r="D931" s="5"/>
      <c r="E931" s="6"/>
      <c r="F931" s="6"/>
      <c r="G931" s="18"/>
      <c r="I931" s="16"/>
      <c r="J931" s="9"/>
      <c r="K931" s="10"/>
      <c r="L931" s="6"/>
      <c r="M931" s="11"/>
      <c r="N931" s="6"/>
      <c r="O931" s="6"/>
      <c r="P931" s="10"/>
      <c r="Q931" s="6"/>
      <c r="R931" s="6"/>
      <c r="S931" s="6"/>
      <c r="T931" s="6"/>
      <c r="U931" s="9"/>
      <c r="AI931" s="6"/>
      <c r="AJ931" s="12"/>
      <c r="AL931" s="13"/>
    </row>
    <row r="932">
      <c r="A932" s="5"/>
      <c r="B932" s="5"/>
      <c r="C932" s="5"/>
      <c r="D932" s="5"/>
      <c r="E932" s="6"/>
      <c r="F932" s="6"/>
      <c r="G932" s="18"/>
      <c r="I932" s="16"/>
      <c r="J932" s="9"/>
      <c r="K932" s="10"/>
      <c r="L932" s="6"/>
      <c r="M932" s="11"/>
      <c r="N932" s="6"/>
      <c r="O932" s="6"/>
      <c r="P932" s="10"/>
      <c r="Q932" s="6"/>
      <c r="R932" s="6"/>
      <c r="S932" s="6"/>
      <c r="T932" s="6"/>
      <c r="U932" s="9"/>
      <c r="AI932" s="6"/>
      <c r="AJ932" s="12"/>
      <c r="AL932" s="13"/>
    </row>
    <row r="933">
      <c r="A933" s="5"/>
      <c r="B933" s="5"/>
      <c r="C933" s="5"/>
      <c r="D933" s="5"/>
      <c r="E933" s="6"/>
      <c r="F933" s="6"/>
      <c r="G933" s="18"/>
      <c r="I933" s="16"/>
      <c r="J933" s="9"/>
      <c r="K933" s="10"/>
      <c r="L933" s="6"/>
      <c r="M933" s="11"/>
      <c r="N933" s="6"/>
      <c r="O933" s="6"/>
      <c r="P933" s="10"/>
      <c r="Q933" s="6"/>
      <c r="R933" s="6"/>
      <c r="S933" s="6"/>
      <c r="T933" s="6"/>
      <c r="U933" s="9"/>
      <c r="AI933" s="6"/>
      <c r="AJ933" s="12"/>
      <c r="AL933" s="13"/>
    </row>
    <row r="934">
      <c r="A934" s="5"/>
      <c r="B934" s="5"/>
      <c r="C934" s="5"/>
      <c r="D934" s="5"/>
      <c r="E934" s="6"/>
      <c r="F934" s="6"/>
      <c r="G934" s="18"/>
      <c r="I934" s="16"/>
      <c r="J934" s="9"/>
      <c r="K934" s="10"/>
      <c r="L934" s="6"/>
      <c r="M934" s="11"/>
      <c r="N934" s="6"/>
      <c r="O934" s="6"/>
      <c r="P934" s="10"/>
      <c r="Q934" s="6"/>
      <c r="R934" s="6"/>
      <c r="S934" s="6"/>
      <c r="T934" s="6"/>
      <c r="U934" s="9"/>
      <c r="AI934" s="6"/>
      <c r="AJ934" s="12"/>
      <c r="AL934" s="13"/>
    </row>
    <row r="935">
      <c r="A935" s="5"/>
      <c r="B935" s="5"/>
      <c r="C935" s="5"/>
      <c r="D935" s="5"/>
      <c r="E935" s="6"/>
      <c r="F935" s="6"/>
      <c r="G935" s="18"/>
      <c r="I935" s="16"/>
      <c r="J935" s="9"/>
      <c r="K935" s="10"/>
      <c r="L935" s="6"/>
      <c r="M935" s="11"/>
      <c r="N935" s="6"/>
      <c r="O935" s="6"/>
      <c r="P935" s="10"/>
      <c r="Q935" s="6"/>
      <c r="R935" s="6"/>
      <c r="S935" s="6"/>
      <c r="T935" s="6"/>
      <c r="U935" s="9"/>
      <c r="AI935" s="6"/>
      <c r="AJ935" s="12"/>
      <c r="AL935" s="13"/>
    </row>
    <row r="936">
      <c r="A936" s="5"/>
      <c r="B936" s="5"/>
      <c r="C936" s="5"/>
      <c r="D936" s="17"/>
      <c r="E936" s="6"/>
      <c r="F936" s="6"/>
      <c r="G936" s="18"/>
      <c r="I936" s="16"/>
      <c r="J936" s="9"/>
      <c r="K936" s="10"/>
      <c r="L936" s="6"/>
      <c r="M936" s="11"/>
      <c r="N936" s="6"/>
      <c r="O936" s="6"/>
      <c r="P936" s="10"/>
      <c r="Q936" s="6"/>
      <c r="R936" s="6"/>
      <c r="S936" s="6"/>
      <c r="T936" s="6"/>
      <c r="U936" s="9"/>
      <c r="AI936" s="6"/>
      <c r="AJ936" s="12"/>
      <c r="AL936" s="13"/>
    </row>
    <row r="937">
      <c r="A937" s="5"/>
      <c r="B937" s="5"/>
      <c r="C937" s="5"/>
      <c r="D937" s="5"/>
      <c r="E937" s="6"/>
      <c r="F937" s="6"/>
      <c r="G937" s="18"/>
      <c r="I937" s="16"/>
      <c r="J937" s="9"/>
      <c r="K937" s="10"/>
      <c r="L937" s="6"/>
      <c r="M937" s="11"/>
      <c r="N937" s="6"/>
      <c r="O937" s="6"/>
      <c r="P937" s="10"/>
      <c r="Q937" s="6"/>
      <c r="R937" s="6"/>
      <c r="S937" s="6"/>
      <c r="T937" s="6"/>
      <c r="U937" s="9"/>
      <c r="AI937" s="6"/>
      <c r="AJ937" s="12"/>
      <c r="AL937" s="13"/>
    </row>
    <row r="938">
      <c r="A938" s="5"/>
      <c r="B938" s="5"/>
      <c r="C938" s="5"/>
      <c r="D938" s="5"/>
      <c r="E938" s="6"/>
      <c r="F938" s="6"/>
      <c r="G938" s="18"/>
      <c r="I938" s="16"/>
      <c r="J938" s="9"/>
      <c r="K938" s="10"/>
      <c r="L938" s="6"/>
      <c r="M938" s="11"/>
      <c r="N938" s="6"/>
      <c r="O938" s="6"/>
      <c r="P938" s="10"/>
      <c r="Q938" s="6"/>
      <c r="R938" s="6"/>
      <c r="S938" s="6"/>
      <c r="T938" s="6"/>
      <c r="U938" s="9"/>
      <c r="AI938" s="6"/>
      <c r="AJ938" s="12"/>
      <c r="AL938" s="13"/>
    </row>
    <row r="939">
      <c r="A939" s="5"/>
      <c r="B939" s="5"/>
      <c r="C939" s="5"/>
      <c r="D939" s="5"/>
      <c r="E939" s="6"/>
      <c r="F939" s="6"/>
      <c r="G939" s="18"/>
      <c r="I939" s="16"/>
      <c r="J939" s="9"/>
      <c r="K939" s="10"/>
      <c r="L939" s="6"/>
      <c r="M939" s="11"/>
      <c r="N939" s="6"/>
      <c r="O939" s="6"/>
      <c r="P939" s="10"/>
      <c r="Q939" s="6"/>
      <c r="R939" s="6"/>
      <c r="S939" s="6"/>
      <c r="T939" s="6"/>
      <c r="U939" s="9"/>
      <c r="AI939" s="6"/>
      <c r="AJ939" s="12"/>
      <c r="AL939" s="13"/>
    </row>
    <row r="940">
      <c r="A940" s="5"/>
      <c r="B940" s="5"/>
      <c r="C940" s="5"/>
      <c r="D940" s="5"/>
      <c r="E940" s="6"/>
      <c r="F940" s="6"/>
      <c r="G940" s="18"/>
      <c r="I940" s="16"/>
      <c r="J940" s="9"/>
      <c r="K940" s="10"/>
      <c r="L940" s="6"/>
      <c r="M940" s="11"/>
      <c r="N940" s="6"/>
      <c r="O940" s="6"/>
      <c r="P940" s="10"/>
      <c r="Q940" s="6"/>
      <c r="R940" s="6"/>
      <c r="S940" s="6"/>
      <c r="T940" s="6"/>
      <c r="U940" s="9"/>
      <c r="AI940" s="6"/>
      <c r="AJ940" s="12"/>
      <c r="AL940" s="13"/>
    </row>
    <row r="941">
      <c r="A941" s="5"/>
      <c r="B941" s="5"/>
      <c r="C941" s="5"/>
      <c r="D941" s="17"/>
      <c r="E941" s="6"/>
      <c r="F941" s="6"/>
      <c r="G941" s="18"/>
      <c r="I941" s="16"/>
      <c r="J941" s="9"/>
      <c r="K941" s="10"/>
      <c r="L941" s="6"/>
      <c r="M941" s="11"/>
      <c r="N941" s="6"/>
      <c r="O941" s="6"/>
      <c r="P941" s="10"/>
      <c r="Q941" s="6"/>
      <c r="R941" s="6"/>
      <c r="S941" s="6"/>
      <c r="T941" s="6"/>
      <c r="U941" s="9"/>
      <c r="AI941" s="6"/>
      <c r="AJ941" s="12"/>
      <c r="AL941" s="13"/>
    </row>
    <row r="942">
      <c r="A942" s="5"/>
      <c r="B942" s="5"/>
      <c r="C942" s="5"/>
      <c r="D942" s="17"/>
      <c r="E942" s="6"/>
      <c r="F942" s="6"/>
      <c r="G942" s="18"/>
      <c r="I942" s="16"/>
      <c r="J942" s="9"/>
      <c r="K942" s="10"/>
      <c r="L942" s="6"/>
      <c r="M942" s="11"/>
      <c r="N942" s="6"/>
      <c r="O942" s="6"/>
      <c r="P942" s="10"/>
      <c r="Q942" s="6"/>
      <c r="R942" s="6"/>
      <c r="S942" s="6"/>
      <c r="T942" s="6"/>
      <c r="U942" s="9"/>
      <c r="AI942" s="6"/>
      <c r="AJ942" s="12"/>
      <c r="AL942" s="13"/>
    </row>
    <row r="943">
      <c r="A943" s="5"/>
      <c r="B943" s="5"/>
      <c r="C943" s="5"/>
      <c r="D943" s="5"/>
      <c r="E943" s="6"/>
      <c r="F943" s="6"/>
      <c r="G943" s="18"/>
      <c r="I943" s="16"/>
      <c r="J943" s="9"/>
      <c r="K943" s="10"/>
      <c r="L943" s="6"/>
      <c r="M943" s="11"/>
      <c r="N943" s="6"/>
      <c r="O943" s="6"/>
      <c r="P943" s="10"/>
      <c r="Q943" s="6"/>
      <c r="R943" s="6"/>
      <c r="S943" s="6"/>
      <c r="T943" s="6"/>
      <c r="U943" s="9"/>
      <c r="AI943" s="6"/>
      <c r="AJ943" s="12"/>
      <c r="AL943" s="13"/>
    </row>
    <row r="944">
      <c r="A944" s="5"/>
      <c r="B944" s="5"/>
      <c r="C944" s="5"/>
      <c r="D944" s="5"/>
      <c r="E944" s="6"/>
      <c r="F944" s="6"/>
      <c r="G944" s="18"/>
      <c r="I944" s="16"/>
      <c r="J944" s="9"/>
      <c r="K944" s="10"/>
      <c r="L944" s="6"/>
      <c r="M944" s="11"/>
      <c r="N944" s="6"/>
      <c r="O944" s="6"/>
      <c r="P944" s="10"/>
      <c r="Q944" s="6"/>
      <c r="R944" s="6"/>
      <c r="S944" s="6"/>
      <c r="T944" s="6"/>
      <c r="U944" s="9"/>
      <c r="AI944" s="6"/>
      <c r="AJ944" s="12"/>
      <c r="AL944" s="13"/>
    </row>
    <row r="945">
      <c r="A945" s="5"/>
      <c r="B945" s="5"/>
      <c r="C945" s="5"/>
      <c r="D945" s="17"/>
      <c r="E945" s="6"/>
      <c r="F945" s="6"/>
      <c r="G945" s="18"/>
      <c r="I945" s="16"/>
      <c r="J945" s="9"/>
      <c r="K945" s="10"/>
      <c r="L945" s="6"/>
      <c r="M945" s="11"/>
      <c r="N945" s="6"/>
      <c r="O945" s="6"/>
      <c r="P945" s="10"/>
      <c r="Q945" s="6"/>
      <c r="R945" s="6"/>
      <c r="S945" s="6"/>
      <c r="T945" s="6"/>
      <c r="U945" s="9"/>
      <c r="AI945" s="6"/>
      <c r="AJ945" s="12"/>
      <c r="AL945" s="13"/>
    </row>
    <row r="946">
      <c r="A946" s="5"/>
      <c r="B946" s="5"/>
      <c r="C946" s="5"/>
      <c r="D946" s="17"/>
      <c r="E946" s="6"/>
      <c r="F946" s="6"/>
      <c r="G946" s="18"/>
      <c r="I946" s="16"/>
      <c r="J946" s="9"/>
      <c r="K946" s="10"/>
      <c r="L946" s="6"/>
      <c r="M946" s="11"/>
      <c r="N946" s="6"/>
      <c r="O946" s="6"/>
      <c r="P946" s="10"/>
      <c r="Q946" s="6"/>
      <c r="R946" s="6"/>
      <c r="S946" s="6"/>
      <c r="T946" s="6"/>
      <c r="U946" s="9"/>
      <c r="AI946" s="6"/>
      <c r="AJ946" s="12"/>
      <c r="AL946" s="13"/>
    </row>
    <row r="947">
      <c r="A947" s="5"/>
      <c r="B947" s="5"/>
      <c r="C947" s="5"/>
      <c r="D947" s="17"/>
      <c r="E947" s="6"/>
      <c r="F947" s="6"/>
      <c r="G947" s="18"/>
      <c r="I947" s="16"/>
      <c r="J947" s="9"/>
      <c r="K947" s="10"/>
      <c r="L947" s="6"/>
      <c r="M947" s="11"/>
      <c r="N947" s="6"/>
      <c r="O947" s="6"/>
      <c r="P947" s="10"/>
      <c r="Q947" s="6"/>
      <c r="R947" s="6"/>
      <c r="S947" s="6"/>
      <c r="T947" s="6"/>
      <c r="U947" s="9"/>
      <c r="AI947" s="6"/>
      <c r="AJ947" s="12"/>
      <c r="AL947" s="13"/>
    </row>
    <row r="948">
      <c r="A948" s="5"/>
      <c r="B948" s="5"/>
      <c r="C948" s="5"/>
      <c r="D948" s="17"/>
      <c r="E948" s="6"/>
      <c r="F948" s="6"/>
      <c r="G948" s="18"/>
      <c r="I948" s="16"/>
      <c r="J948" s="9"/>
      <c r="K948" s="10"/>
      <c r="L948" s="6"/>
      <c r="M948" s="11"/>
      <c r="N948" s="6"/>
      <c r="O948" s="6"/>
      <c r="P948" s="10"/>
      <c r="Q948" s="6"/>
      <c r="R948" s="6"/>
      <c r="S948" s="6"/>
      <c r="T948" s="6"/>
      <c r="U948" s="9"/>
      <c r="AI948" s="6"/>
      <c r="AJ948" s="12"/>
      <c r="AL948" s="13"/>
    </row>
    <row r="949">
      <c r="A949" s="5"/>
      <c r="B949" s="5"/>
      <c r="C949" s="5"/>
      <c r="D949" s="5"/>
      <c r="E949" s="6"/>
      <c r="F949" s="6"/>
      <c r="G949" s="18"/>
      <c r="I949" s="16"/>
      <c r="J949" s="9"/>
      <c r="K949" s="10"/>
      <c r="L949" s="6"/>
      <c r="M949" s="11"/>
      <c r="N949" s="6"/>
      <c r="O949" s="6"/>
      <c r="P949" s="10"/>
      <c r="Q949" s="6"/>
      <c r="R949" s="6"/>
      <c r="S949" s="6"/>
      <c r="T949" s="6"/>
      <c r="U949" s="9"/>
      <c r="AI949" s="6"/>
      <c r="AJ949" s="12"/>
      <c r="AL949" s="13"/>
    </row>
    <row r="950">
      <c r="A950" s="5"/>
      <c r="B950" s="5"/>
      <c r="C950" s="5"/>
      <c r="D950" s="5"/>
      <c r="E950" s="6"/>
      <c r="F950" s="6"/>
      <c r="G950" s="18"/>
      <c r="I950" s="16"/>
      <c r="J950" s="9"/>
      <c r="K950" s="10"/>
      <c r="L950" s="6"/>
      <c r="M950" s="11"/>
      <c r="N950" s="6"/>
      <c r="O950" s="6"/>
      <c r="P950" s="10"/>
      <c r="Q950" s="6"/>
      <c r="R950" s="6"/>
      <c r="S950" s="6"/>
      <c r="T950" s="6"/>
      <c r="U950" s="9"/>
      <c r="AI950" s="6"/>
      <c r="AJ950" s="12"/>
      <c r="AL950" s="13"/>
    </row>
    <row r="951">
      <c r="A951" s="5"/>
      <c r="B951" s="5"/>
      <c r="C951" s="5"/>
      <c r="D951" s="5"/>
      <c r="E951" s="6"/>
      <c r="F951" s="6"/>
      <c r="G951" s="18"/>
      <c r="I951" s="16"/>
      <c r="J951" s="9"/>
      <c r="K951" s="10"/>
      <c r="L951" s="6"/>
      <c r="M951" s="11"/>
      <c r="N951" s="6"/>
      <c r="O951" s="6"/>
      <c r="P951" s="10"/>
      <c r="Q951" s="6"/>
      <c r="R951" s="6"/>
      <c r="S951" s="6"/>
      <c r="T951" s="6"/>
      <c r="U951" s="9"/>
      <c r="AI951" s="6"/>
      <c r="AJ951" s="12"/>
      <c r="AL951" s="13"/>
    </row>
    <row r="952">
      <c r="A952" s="5"/>
      <c r="B952" s="5"/>
      <c r="C952" s="5"/>
      <c r="D952" s="5"/>
      <c r="E952" s="6"/>
      <c r="F952" s="6"/>
      <c r="G952" s="18"/>
      <c r="I952" s="16"/>
      <c r="J952" s="9"/>
      <c r="K952" s="10"/>
      <c r="L952" s="6"/>
      <c r="M952" s="11"/>
      <c r="N952" s="6"/>
      <c r="O952" s="6"/>
      <c r="P952" s="10"/>
      <c r="Q952" s="6"/>
      <c r="R952" s="6"/>
      <c r="S952" s="6"/>
      <c r="T952" s="6"/>
      <c r="U952" s="9"/>
      <c r="AI952" s="6"/>
      <c r="AJ952" s="12"/>
      <c r="AL952" s="13"/>
    </row>
    <row r="953">
      <c r="A953" s="5"/>
      <c r="B953" s="5"/>
      <c r="C953" s="5"/>
      <c r="D953" s="5"/>
      <c r="E953" s="6"/>
      <c r="F953" s="6"/>
      <c r="G953" s="18"/>
      <c r="I953" s="16"/>
      <c r="J953" s="9"/>
      <c r="K953" s="10"/>
      <c r="L953" s="6"/>
      <c r="M953" s="11"/>
      <c r="N953" s="6"/>
      <c r="O953" s="6"/>
      <c r="P953" s="10"/>
      <c r="Q953" s="6"/>
      <c r="R953" s="6"/>
      <c r="S953" s="6"/>
      <c r="T953" s="6"/>
      <c r="U953" s="9"/>
      <c r="AI953" s="6"/>
      <c r="AJ953" s="12"/>
      <c r="AL953" s="13"/>
    </row>
    <row r="954">
      <c r="A954" s="5"/>
      <c r="B954" s="5"/>
      <c r="C954" s="5"/>
      <c r="D954" s="17"/>
      <c r="E954" s="6"/>
      <c r="F954" s="6"/>
      <c r="G954" s="18"/>
      <c r="I954" s="16"/>
      <c r="J954" s="9"/>
      <c r="K954" s="10"/>
      <c r="L954" s="6"/>
      <c r="M954" s="11"/>
      <c r="N954" s="6"/>
      <c r="O954" s="6"/>
      <c r="P954" s="10"/>
      <c r="Q954" s="6"/>
      <c r="R954" s="6"/>
      <c r="S954" s="6"/>
      <c r="T954" s="6"/>
      <c r="U954" s="9"/>
      <c r="AI954" s="6"/>
      <c r="AJ954" s="12"/>
      <c r="AL954" s="13"/>
    </row>
    <row r="955">
      <c r="A955" s="5"/>
      <c r="B955" s="5"/>
      <c r="C955" s="5"/>
      <c r="D955" s="5"/>
      <c r="E955" s="6"/>
      <c r="F955" s="6"/>
      <c r="G955" s="18"/>
      <c r="I955" s="16"/>
      <c r="J955" s="9"/>
      <c r="K955" s="10"/>
      <c r="L955" s="6"/>
      <c r="M955" s="11"/>
      <c r="N955" s="6"/>
      <c r="O955" s="6"/>
      <c r="P955" s="10"/>
      <c r="Q955" s="6"/>
      <c r="R955" s="6"/>
      <c r="S955" s="6"/>
      <c r="T955" s="6"/>
      <c r="U955" s="9"/>
      <c r="AI955" s="6"/>
      <c r="AJ955" s="12"/>
      <c r="AL955" s="13"/>
    </row>
    <row r="956">
      <c r="A956" s="5"/>
      <c r="B956" s="5"/>
      <c r="C956" s="5"/>
      <c r="D956" s="5"/>
      <c r="E956" s="6"/>
      <c r="F956" s="6"/>
      <c r="G956" s="18"/>
      <c r="I956" s="16"/>
      <c r="J956" s="9"/>
      <c r="K956" s="10"/>
      <c r="L956" s="6"/>
      <c r="M956" s="11"/>
      <c r="N956" s="6"/>
      <c r="O956" s="6"/>
      <c r="P956" s="10"/>
      <c r="Q956" s="6"/>
      <c r="R956" s="6"/>
      <c r="S956" s="6"/>
      <c r="T956" s="6"/>
      <c r="U956" s="9"/>
      <c r="AI956" s="6"/>
      <c r="AJ956" s="12"/>
      <c r="AL956" s="13"/>
    </row>
    <row r="957">
      <c r="A957" s="5"/>
      <c r="B957" s="5"/>
      <c r="C957" s="5"/>
      <c r="D957" s="17"/>
      <c r="E957" s="6"/>
      <c r="F957" s="6"/>
      <c r="G957" s="18"/>
      <c r="I957" s="16"/>
      <c r="J957" s="9"/>
      <c r="K957" s="10"/>
      <c r="L957" s="6"/>
      <c r="M957" s="11"/>
      <c r="N957" s="6"/>
      <c r="O957" s="6"/>
      <c r="P957" s="10"/>
      <c r="Q957" s="6"/>
      <c r="R957" s="6"/>
      <c r="S957" s="6"/>
      <c r="T957" s="6"/>
      <c r="U957" s="9"/>
      <c r="AI957" s="6"/>
      <c r="AJ957" s="12"/>
      <c r="AL957" s="13"/>
    </row>
    <row r="958">
      <c r="A958" s="5"/>
      <c r="B958" s="5"/>
      <c r="C958" s="5"/>
      <c r="D958" s="5"/>
      <c r="E958" s="6"/>
      <c r="F958" s="6"/>
      <c r="G958" s="18"/>
      <c r="I958" s="16"/>
      <c r="J958" s="9"/>
      <c r="K958" s="10"/>
      <c r="L958" s="6"/>
      <c r="M958" s="11"/>
      <c r="N958" s="6"/>
      <c r="O958" s="6"/>
      <c r="P958" s="10"/>
      <c r="Q958" s="6"/>
      <c r="R958" s="6"/>
      <c r="S958" s="6"/>
      <c r="T958" s="6"/>
      <c r="U958" s="9"/>
      <c r="AI958" s="6"/>
      <c r="AJ958" s="12"/>
      <c r="AL958" s="13"/>
    </row>
    <row r="959">
      <c r="A959" s="5"/>
      <c r="B959" s="5"/>
      <c r="C959" s="5"/>
      <c r="D959" s="5"/>
      <c r="E959" s="6"/>
      <c r="F959" s="6"/>
      <c r="G959" s="18"/>
      <c r="I959" s="16"/>
      <c r="J959" s="9"/>
      <c r="K959" s="10"/>
      <c r="L959" s="6"/>
      <c r="M959" s="11"/>
      <c r="N959" s="6"/>
      <c r="O959" s="6"/>
      <c r="P959" s="10"/>
      <c r="Q959" s="6"/>
      <c r="R959" s="6"/>
      <c r="S959" s="6"/>
      <c r="T959" s="6"/>
      <c r="U959" s="9"/>
      <c r="AI959" s="6"/>
      <c r="AJ959" s="12"/>
      <c r="AL959" s="13"/>
    </row>
    <row r="960">
      <c r="A960" s="5"/>
      <c r="B960" s="5"/>
      <c r="C960" s="5"/>
      <c r="D960" s="5"/>
      <c r="E960" s="6"/>
      <c r="F960" s="6"/>
      <c r="G960" s="18"/>
      <c r="I960" s="16"/>
      <c r="J960" s="9"/>
      <c r="K960" s="10"/>
      <c r="L960" s="6"/>
      <c r="M960" s="11"/>
      <c r="N960" s="6"/>
      <c r="O960" s="6"/>
      <c r="P960" s="10"/>
      <c r="Q960" s="6"/>
      <c r="R960" s="6"/>
      <c r="S960" s="6"/>
      <c r="T960" s="6"/>
      <c r="U960" s="9"/>
      <c r="AI960" s="6"/>
      <c r="AJ960" s="12"/>
      <c r="AL960" s="13"/>
    </row>
    <row r="961">
      <c r="A961" s="5"/>
      <c r="B961" s="5"/>
      <c r="C961" s="5"/>
      <c r="D961" s="5"/>
      <c r="E961" s="6"/>
      <c r="F961" s="6"/>
      <c r="G961" s="18"/>
      <c r="I961" s="16"/>
      <c r="J961" s="9"/>
      <c r="K961" s="10"/>
      <c r="L961" s="6"/>
      <c r="M961" s="11"/>
      <c r="N961" s="6"/>
      <c r="O961" s="6"/>
      <c r="P961" s="10"/>
      <c r="Q961" s="6"/>
      <c r="R961" s="6"/>
      <c r="S961" s="6"/>
      <c r="T961" s="6"/>
      <c r="U961" s="9"/>
      <c r="AI961" s="6"/>
      <c r="AJ961" s="12"/>
      <c r="AL961" s="13"/>
    </row>
    <row r="962">
      <c r="A962" s="5"/>
      <c r="B962" s="5"/>
      <c r="C962" s="5"/>
      <c r="D962" s="5"/>
      <c r="E962" s="6"/>
      <c r="F962" s="6"/>
      <c r="G962" s="18"/>
      <c r="I962" s="16"/>
      <c r="J962" s="9"/>
      <c r="K962" s="10"/>
      <c r="L962" s="6"/>
      <c r="M962" s="11"/>
      <c r="N962" s="6"/>
      <c r="O962" s="6"/>
      <c r="P962" s="10"/>
      <c r="Q962" s="6"/>
      <c r="R962" s="6"/>
      <c r="S962" s="6"/>
      <c r="T962" s="6"/>
      <c r="U962" s="9"/>
      <c r="AI962" s="6"/>
      <c r="AJ962" s="12"/>
      <c r="AL962" s="13"/>
    </row>
    <row r="963">
      <c r="A963" s="5"/>
      <c r="B963" s="5"/>
      <c r="C963" s="5"/>
      <c r="D963" s="5"/>
      <c r="E963" s="6"/>
      <c r="F963" s="6"/>
      <c r="G963" s="18"/>
      <c r="I963" s="16"/>
      <c r="J963" s="9"/>
      <c r="K963" s="10"/>
      <c r="L963" s="6"/>
      <c r="M963" s="11"/>
      <c r="N963" s="6"/>
      <c r="O963" s="6"/>
      <c r="P963" s="10"/>
      <c r="Q963" s="6"/>
      <c r="R963" s="6"/>
      <c r="S963" s="6"/>
      <c r="T963" s="6"/>
      <c r="U963" s="9"/>
      <c r="AI963" s="6"/>
      <c r="AJ963" s="12"/>
      <c r="AL963" s="13"/>
    </row>
    <row r="964">
      <c r="A964" s="5"/>
      <c r="B964" s="5"/>
      <c r="C964" s="5"/>
      <c r="D964" s="5"/>
      <c r="E964" s="6"/>
      <c r="F964" s="6"/>
      <c r="G964" s="18"/>
      <c r="I964" s="16"/>
      <c r="J964" s="9"/>
      <c r="K964" s="10"/>
      <c r="L964" s="6"/>
      <c r="M964" s="11"/>
      <c r="N964" s="6"/>
      <c r="O964" s="6"/>
      <c r="P964" s="10"/>
      <c r="Q964" s="6"/>
      <c r="R964" s="6"/>
      <c r="S964" s="6"/>
      <c r="T964" s="6"/>
      <c r="U964" s="9"/>
      <c r="AI964" s="6"/>
      <c r="AJ964" s="12"/>
      <c r="AL964" s="13"/>
    </row>
    <row r="965">
      <c r="A965" s="5"/>
      <c r="B965" s="5"/>
      <c r="C965" s="5"/>
      <c r="D965" s="5"/>
      <c r="E965" s="6"/>
      <c r="F965" s="6"/>
      <c r="G965" s="18"/>
      <c r="I965" s="16"/>
      <c r="J965" s="9"/>
      <c r="K965" s="10"/>
      <c r="L965" s="6"/>
      <c r="M965" s="11"/>
      <c r="N965" s="6"/>
      <c r="O965" s="6"/>
      <c r="P965" s="10"/>
      <c r="Q965" s="6"/>
      <c r="R965" s="6"/>
      <c r="S965" s="6"/>
      <c r="T965" s="6"/>
      <c r="U965" s="9"/>
      <c r="AI965" s="6"/>
      <c r="AJ965" s="12"/>
      <c r="AL965" s="13"/>
    </row>
    <row r="966">
      <c r="A966" s="5"/>
      <c r="B966" s="5"/>
      <c r="C966" s="5"/>
      <c r="D966" s="5"/>
      <c r="E966" s="6"/>
      <c r="F966" s="6"/>
      <c r="G966" s="18"/>
      <c r="I966" s="16"/>
      <c r="J966" s="9"/>
      <c r="K966" s="10"/>
      <c r="L966" s="6"/>
      <c r="M966" s="11"/>
      <c r="N966" s="6"/>
      <c r="O966" s="6"/>
      <c r="P966" s="10"/>
      <c r="Q966" s="6"/>
      <c r="R966" s="6"/>
      <c r="S966" s="6"/>
      <c r="T966" s="6"/>
      <c r="U966" s="9"/>
      <c r="AI966" s="6"/>
      <c r="AJ966" s="12"/>
      <c r="AL966" s="13"/>
    </row>
    <row r="967">
      <c r="A967" s="5"/>
      <c r="B967" s="5"/>
      <c r="C967" s="5"/>
      <c r="D967" s="5"/>
      <c r="E967" s="6"/>
      <c r="F967" s="6"/>
      <c r="G967" s="18"/>
      <c r="I967" s="16"/>
      <c r="J967" s="9"/>
      <c r="K967" s="10"/>
      <c r="L967" s="6"/>
      <c r="M967" s="11"/>
      <c r="N967" s="6"/>
      <c r="O967" s="6"/>
      <c r="P967" s="10"/>
      <c r="Q967" s="6"/>
      <c r="R967" s="6"/>
      <c r="S967" s="6"/>
      <c r="T967" s="6"/>
      <c r="U967" s="9"/>
      <c r="AI967" s="6"/>
      <c r="AJ967" s="12"/>
      <c r="AL967" s="13"/>
    </row>
    <row r="968">
      <c r="A968" s="5"/>
      <c r="B968" s="5"/>
      <c r="C968" s="5"/>
      <c r="D968" s="5"/>
      <c r="E968" s="6"/>
      <c r="F968" s="6"/>
      <c r="G968" s="18"/>
      <c r="I968" s="16"/>
      <c r="J968" s="9"/>
      <c r="K968" s="10"/>
      <c r="L968" s="6"/>
      <c r="M968" s="11"/>
      <c r="N968" s="6"/>
      <c r="O968" s="6"/>
      <c r="P968" s="10"/>
      <c r="Q968" s="6"/>
      <c r="R968" s="6"/>
      <c r="S968" s="6"/>
      <c r="T968" s="6"/>
      <c r="U968" s="9"/>
      <c r="AI968" s="6"/>
      <c r="AJ968" s="12"/>
      <c r="AL968" s="13"/>
    </row>
    <row r="969">
      <c r="A969" s="5"/>
      <c r="B969" s="5"/>
      <c r="C969" s="5"/>
      <c r="D969" s="17"/>
      <c r="E969" s="6"/>
      <c r="F969" s="6"/>
      <c r="G969" s="18"/>
      <c r="I969" s="16"/>
      <c r="J969" s="9"/>
      <c r="K969" s="10"/>
      <c r="L969" s="6"/>
      <c r="M969" s="11"/>
      <c r="N969" s="6"/>
      <c r="O969" s="6"/>
      <c r="P969" s="10"/>
      <c r="Q969" s="6"/>
      <c r="R969" s="6"/>
      <c r="S969" s="6"/>
      <c r="T969" s="6"/>
      <c r="U969" s="9"/>
      <c r="AI969" s="6"/>
      <c r="AJ969" s="12"/>
      <c r="AL969" s="13"/>
    </row>
    <row r="970">
      <c r="A970" s="5"/>
      <c r="B970" s="5"/>
      <c r="C970" s="5"/>
      <c r="D970" s="5"/>
      <c r="E970" s="6"/>
      <c r="F970" s="6"/>
      <c r="G970" s="18"/>
      <c r="I970" s="16"/>
      <c r="J970" s="9"/>
      <c r="K970" s="10"/>
      <c r="L970" s="6"/>
      <c r="M970" s="11"/>
      <c r="N970" s="6"/>
      <c r="O970" s="6"/>
      <c r="P970" s="10"/>
      <c r="Q970" s="6"/>
      <c r="R970" s="6"/>
      <c r="S970" s="6"/>
      <c r="T970" s="6"/>
      <c r="U970" s="9"/>
      <c r="AI970" s="6"/>
      <c r="AJ970" s="12"/>
      <c r="AL970" s="13"/>
    </row>
    <row r="971">
      <c r="A971" s="5"/>
      <c r="B971" s="5"/>
      <c r="C971" s="5"/>
      <c r="D971" s="5"/>
      <c r="E971" s="6"/>
      <c r="F971" s="6"/>
      <c r="G971" s="18"/>
      <c r="I971" s="16"/>
      <c r="J971" s="9"/>
      <c r="K971" s="10"/>
      <c r="L971" s="6"/>
      <c r="M971" s="11"/>
      <c r="N971" s="6"/>
      <c r="O971" s="6"/>
      <c r="P971" s="10"/>
      <c r="Q971" s="6"/>
      <c r="R971" s="6"/>
      <c r="S971" s="6"/>
      <c r="T971" s="6"/>
      <c r="U971" s="9"/>
      <c r="AI971" s="6"/>
      <c r="AJ971" s="12"/>
      <c r="AL971" s="13"/>
    </row>
    <row r="972">
      <c r="A972" s="5"/>
      <c r="B972" s="5"/>
      <c r="C972" s="5"/>
      <c r="D972" s="17"/>
      <c r="E972" s="6"/>
      <c r="F972" s="6"/>
      <c r="G972" s="18"/>
      <c r="I972" s="16"/>
      <c r="J972" s="9"/>
      <c r="K972" s="10"/>
      <c r="L972" s="6"/>
      <c r="M972" s="11"/>
      <c r="N972" s="6"/>
      <c r="O972" s="6"/>
      <c r="P972" s="10"/>
      <c r="Q972" s="6"/>
      <c r="R972" s="6"/>
      <c r="S972" s="6"/>
      <c r="T972" s="6"/>
      <c r="U972" s="9"/>
      <c r="AI972" s="6"/>
      <c r="AJ972" s="12"/>
      <c r="AL972" s="13"/>
    </row>
    <row r="973">
      <c r="A973" s="5"/>
      <c r="B973" s="5"/>
      <c r="C973" s="5"/>
      <c r="D973" s="17"/>
      <c r="E973" s="6"/>
      <c r="F973" s="6"/>
      <c r="G973" s="18"/>
      <c r="I973" s="16"/>
      <c r="J973" s="9"/>
      <c r="K973" s="10"/>
      <c r="L973" s="6"/>
      <c r="M973" s="11"/>
      <c r="N973" s="6"/>
      <c r="O973" s="6"/>
      <c r="P973" s="10"/>
      <c r="Q973" s="6"/>
      <c r="R973" s="6"/>
      <c r="S973" s="6"/>
      <c r="T973" s="6"/>
      <c r="U973" s="9"/>
      <c r="AI973" s="6"/>
      <c r="AJ973" s="12"/>
      <c r="AL973" s="13"/>
    </row>
    <row r="974">
      <c r="A974" s="5"/>
      <c r="B974" s="5"/>
      <c r="C974" s="5"/>
      <c r="D974" s="5"/>
      <c r="E974" s="6"/>
      <c r="F974" s="6"/>
      <c r="G974" s="18"/>
      <c r="I974" s="16"/>
      <c r="J974" s="9"/>
      <c r="K974" s="10"/>
      <c r="L974" s="6"/>
      <c r="M974" s="11"/>
      <c r="N974" s="6"/>
      <c r="O974" s="6"/>
      <c r="P974" s="10"/>
      <c r="Q974" s="6"/>
      <c r="R974" s="6"/>
      <c r="S974" s="6"/>
      <c r="T974" s="6"/>
      <c r="U974" s="9"/>
      <c r="AI974" s="6"/>
      <c r="AJ974" s="12"/>
      <c r="AL974" s="13"/>
    </row>
    <row r="975">
      <c r="A975" s="5"/>
      <c r="B975" s="5"/>
      <c r="C975" s="5"/>
      <c r="D975" s="5"/>
      <c r="E975" s="6"/>
      <c r="F975" s="6"/>
      <c r="G975" s="18"/>
      <c r="I975" s="16"/>
      <c r="J975" s="9"/>
      <c r="K975" s="10"/>
      <c r="L975" s="6"/>
      <c r="M975" s="11"/>
      <c r="N975" s="6"/>
      <c r="O975" s="6"/>
      <c r="P975" s="10"/>
      <c r="Q975" s="6"/>
      <c r="R975" s="6"/>
      <c r="S975" s="6"/>
      <c r="T975" s="6"/>
      <c r="U975" s="9"/>
      <c r="AI975" s="6"/>
      <c r="AJ975" s="12"/>
      <c r="AL975" s="13"/>
    </row>
    <row r="976">
      <c r="A976" s="5"/>
      <c r="B976" s="5"/>
      <c r="C976" s="5"/>
      <c r="D976" s="5"/>
      <c r="E976" s="6"/>
      <c r="F976" s="6"/>
      <c r="G976" s="18"/>
      <c r="I976" s="16"/>
      <c r="J976" s="9"/>
      <c r="K976" s="10"/>
      <c r="L976" s="6"/>
      <c r="M976" s="11"/>
      <c r="N976" s="6"/>
      <c r="O976" s="6"/>
      <c r="P976" s="10"/>
      <c r="Q976" s="6"/>
      <c r="R976" s="6"/>
      <c r="S976" s="6"/>
      <c r="T976" s="6"/>
      <c r="U976" s="9"/>
      <c r="AI976" s="6"/>
      <c r="AJ976" s="12"/>
      <c r="AL976" s="13"/>
    </row>
    <row r="977">
      <c r="A977" s="5"/>
      <c r="B977" s="5"/>
      <c r="C977" s="5"/>
      <c r="D977" s="5"/>
      <c r="E977" s="6"/>
      <c r="F977" s="6"/>
      <c r="G977" s="18"/>
      <c r="I977" s="16"/>
      <c r="J977" s="9"/>
      <c r="K977" s="10"/>
      <c r="L977" s="6"/>
      <c r="M977" s="11"/>
      <c r="N977" s="6"/>
      <c r="O977" s="6"/>
      <c r="P977" s="10"/>
      <c r="Q977" s="6"/>
      <c r="R977" s="6"/>
      <c r="S977" s="6"/>
      <c r="T977" s="6"/>
      <c r="U977" s="9"/>
      <c r="AI977" s="6"/>
      <c r="AJ977" s="12"/>
      <c r="AL977" s="13"/>
    </row>
    <row r="978">
      <c r="A978" s="5"/>
      <c r="B978" s="5"/>
      <c r="C978" s="5"/>
      <c r="D978" s="17"/>
      <c r="E978" s="6"/>
      <c r="F978" s="6"/>
      <c r="G978" s="18"/>
      <c r="I978" s="16"/>
      <c r="J978" s="9"/>
      <c r="K978" s="10"/>
      <c r="L978" s="6"/>
      <c r="M978" s="11"/>
      <c r="N978" s="6"/>
      <c r="O978" s="6"/>
      <c r="P978" s="10"/>
      <c r="Q978" s="6"/>
      <c r="R978" s="6"/>
      <c r="S978" s="6"/>
      <c r="T978" s="6"/>
      <c r="U978" s="9"/>
      <c r="AI978" s="6"/>
      <c r="AJ978" s="12"/>
      <c r="AL978" s="13"/>
    </row>
    <row r="979">
      <c r="A979" s="5"/>
      <c r="B979" s="5"/>
      <c r="C979" s="5"/>
      <c r="D979" s="5"/>
      <c r="E979" s="6"/>
      <c r="F979" s="6"/>
      <c r="G979" s="18"/>
      <c r="I979" s="16"/>
      <c r="J979" s="9"/>
      <c r="K979" s="10"/>
      <c r="L979" s="6"/>
      <c r="M979" s="11"/>
      <c r="N979" s="6"/>
      <c r="O979" s="6"/>
      <c r="P979" s="10"/>
      <c r="Q979" s="6"/>
      <c r="R979" s="6"/>
      <c r="S979" s="6"/>
      <c r="T979" s="6"/>
      <c r="U979" s="9"/>
      <c r="AI979" s="6"/>
      <c r="AJ979" s="12"/>
      <c r="AL979" s="13"/>
    </row>
    <row r="980">
      <c r="A980" s="5"/>
      <c r="B980" s="5"/>
      <c r="C980" s="5"/>
      <c r="D980" s="5"/>
      <c r="E980" s="6"/>
      <c r="F980" s="6"/>
      <c r="G980" s="18"/>
      <c r="I980" s="16"/>
      <c r="J980" s="9"/>
      <c r="K980" s="10"/>
      <c r="L980" s="6"/>
      <c r="M980" s="11"/>
      <c r="N980" s="6"/>
      <c r="O980" s="6"/>
      <c r="P980" s="10"/>
      <c r="Q980" s="6"/>
      <c r="R980" s="6"/>
      <c r="S980" s="6"/>
      <c r="T980" s="6"/>
      <c r="U980" s="9"/>
      <c r="AI980" s="6"/>
      <c r="AJ980" s="12"/>
      <c r="AL980" s="13"/>
    </row>
    <row r="981">
      <c r="A981" s="5"/>
      <c r="B981" s="5"/>
      <c r="C981" s="5"/>
      <c r="D981" s="5"/>
      <c r="E981" s="6"/>
      <c r="F981" s="6"/>
      <c r="G981" s="18"/>
      <c r="I981" s="16"/>
      <c r="J981" s="9"/>
      <c r="K981" s="10"/>
      <c r="L981" s="6"/>
      <c r="M981" s="11"/>
      <c r="N981" s="6"/>
      <c r="O981" s="6"/>
      <c r="P981" s="10"/>
      <c r="Q981" s="6"/>
      <c r="R981" s="6"/>
      <c r="S981" s="6"/>
      <c r="T981" s="6"/>
      <c r="U981" s="9"/>
      <c r="AI981" s="6"/>
      <c r="AJ981" s="12"/>
      <c r="AL981" s="13"/>
    </row>
    <row r="982">
      <c r="A982" s="5"/>
      <c r="B982" s="5"/>
      <c r="C982" s="5"/>
      <c r="D982" s="5"/>
      <c r="E982" s="6"/>
      <c r="F982" s="6"/>
      <c r="G982" s="18"/>
      <c r="I982" s="16"/>
      <c r="J982" s="9"/>
      <c r="K982" s="10"/>
      <c r="L982" s="6"/>
      <c r="M982" s="11"/>
      <c r="N982" s="6"/>
      <c r="O982" s="6"/>
      <c r="P982" s="10"/>
      <c r="Q982" s="6"/>
      <c r="R982" s="6"/>
      <c r="S982" s="6"/>
      <c r="T982" s="6"/>
      <c r="U982" s="9"/>
      <c r="AI982" s="6"/>
      <c r="AJ982" s="12"/>
      <c r="AL982" s="13"/>
    </row>
    <row r="983">
      <c r="A983" s="5"/>
      <c r="B983" s="5"/>
      <c r="C983" s="5"/>
      <c r="D983" s="5"/>
      <c r="E983" s="6"/>
      <c r="F983" s="6"/>
      <c r="G983" s="18"/>
      <c r="I983" s="16"/>
      <c r="J983" s="9"/>
      <c r="K983" s="10"/>
      <c r="L983" s="6"/>
      <c r="M983" s="11"/>
      <c r="N983" s="6"/>
      <c r="O983" s="6"/>
      <c r="P983" s="10"/>
      <c r="Q983" s="6"/>
      <c r="R983" s="6"/>
      <c r="S983" s="6"/>
      <c r="T983" s="6"/>
      <c r="U983" s="9"/>
      <c r="AI983" s="6"/>
      <c r="AJ983" s="12"/>
      <c r="AL983" s="13"/>
    </row>
    <row r="984">
      <c r="A984" s="5"/>
      <c r="B984" s="5"/>
      <c r="C984" s="5"/>
      <c r="D984" s="5"/>
      <c r="E984" s="6"/>
      <c r="F984" s="6"/>
      <c r="G984" s="18"/>
      <c r="I984" s="16"/>
      <c r="J984" s="9"/>
      <c r="K984" s="10"/>
      <c r="L984" s="6"/>
      <c r="M984" s="11"/>
      <c r="N984" s="6"/>
      <c r="O984" s="6"/>
      <c r="P984" s="10"/>
      <c r="Q984" s="6"/>
      <c r="R984" s="6"/>
      <c r="S984" s="6"/>
      <c r="T984" s="6"/>
      <c r="U984" s="9"/>
      <c r="AI984" s="6"/>
      <c r="AJ984" s="12"/>
      <c r="AL984" s="13"/>
    </row>
    <row r="985">
      <c r="A985" s="5"/>
      <c r="B985" s="5"/>
      <c r="C985" s="5"/>
      <c r="D985" s="5"/>
      <c r="E985" s="6"/>
      <c r="F985" s="6"/>
      <c r="G985" s="18"/>
      <c r="I985" s="16"/>
      <c r="J985" s="9"/>
      <c r="K985" s="10"/>
      <c r="L985" s="6"/>
      <c r="M985" s="11"/>
      <c r="N985" s="6"/>
      <c r="O985" s="6"/>
      <c r="P985" s="10"/>
      <c r="Q985" s="6"/>
      <c r="R985" s="6"/>
      <c r="S985" s="6"/>
      <c r="T985" s="6"/>
      <c r="U985" s="9"/>
      <c r="AI985" s="6"/>
      <c r="AJ985" s="12"/>
      <c r="AL985" s="13"/>
    </row>
    <row r="986">
      <c r="A986" s="5"/>
      <c r="B986" s="5"/>
      <c r="C986" s="5"/>
      <c r="D986" s="5"/>
      <c r="E986" s="6"/>
      <c r="F986" s="6"/>
      <c r="G986" s="18"/>
      <c r="I986" s="16"/>
      <c r="J986" s="9"/>
      <c r="K986" s="10"/>
      <c r="L986" s="6"/>
      <c r="M986" s="11"/>
      <c r="N986" s="6"/>
      <c r="O986" s="6"/>
      <c r="P986" s="10"/>
      <c r="Q986" s="6"/>
      <c r="R986" s="6"/>
      <c r="S986" s="6"/>
      <c r="T986" s="6"/>
      <c r="U986" s="9"/>
      <c r="AI986" s="6"/>
      <c r="AJ986" s="12"/>
      <c r="AL986" s="13"/>
    </row>
    <row r="987">
      <c r="A987" s="5"/>
      <c r="B987" s="5"/>
      <c r="C987" s="5"/>
      <c r="D987" s="5"/>
      <c r="E987" s="6"/>
      <c r="F987" s="6"/>
      <c r="G987" s="18"/>
      <c r="I987" s="16"/>
      <c r="J987" s="9"/>
      <c r="K987" s="10"/>
      <c r="L987" s="6"/>
      <c r="M987" s="11"/>
      <c r="N987" s="6"/>
      <c r="O987" s="6"/>
      <c r="P987" s="10"/>
      <c r="Q987" s="6"/>
      <c r="R987" s="6"/>
      <c r="S987" s="6"/>
      <c r="T987" s="6"/>
      <c r="U987" s="9"/>
      <c r="AI987" s="6"/>
      <c r="AJ987" s="12"/>
      <c r="AL987" s="13"/>
    </row>
    <row r="988">
      <c r="A988" s="5"/>
      <c r="B988" s="5"/>
      <c r="C988" s="5"/>
      <c r="D988" s="5"/>
      <c r="E988" s="6"/>
      <c r="F988" s="6"/>
      <c r="G988" s="18"/>
      <c r="I988" s="16"/>
      <c r="J988" s="9"/>
      <c r="K988" s="10"/>
      <c r="L988" s="6"/>
      <c r="M988" s="11"/>
      <c r="N988" s="6"/>
      <c r="O988" s="6"/>
      <c r="P988" s="10"/>
      <c r="Q988" s="6"/>
      <c r="R988" s="6"/>
      <c r="S988" s="6"/>
      <c r="T988" s="6"/>
      <c r="U988" s="9"/>
      <c r="AI988" s="6"/>
      <c r="AJ988" s="12"/>
      <c r="AL988" s="13"/>
    </row>
    <row r="989">
      <c r="A989" s="5"/>
      <c r="B989" s="5"/>
      <c r="C989" s="5"/>
      <c r="D989" s="17"/>
      <c r="E989" s="6"/>
      <c r="F989" s="6"/>
      <c r="G989" s="18"/>
      <c r="I989" s="16"/>
      <c r="J989" s="9"/>
      <c r="K989" s="10"/>
      <c r="L989" s="6"/>
      <c r="M989" s="11"/>
      <c r="N989" s="6"/>
      <c r="O989" s="6"/>
      <c r="P989" s="10"/>
      <c r="Q989" s="6"/>
      <c r="R989" s="6"/>
      <c r="S989" s="6"/>
      <c r="T989" s="6"/>
      <c r="U989" s="9"/>
      <c r="AI989" s="6"/>
      <c r="AJ989" s="12"/>
      <c r="AL989" s="13"/>
    </row>
    <row r="990">
      <c r="A990" s="5"/>
      <c r="B990" s="5"/>
      <c r="C990" s="5"/>
      <c r="D990" s="5"/>
      <c r="E990" s="6"/>
      <c r="F990" s="6"/>
      <c r="G990" s="18"/>
      <c r="I990" s="16"/>
      <c r="J990" s="9"/>
      <c r="K990" s="10"/>
      <c r="L990" s="6"/>
      <c r="M990" s="11"/>
      <c r="N990" s="6"/>
      <c r="O990" s="6"/>
      <c r="P990" s="10"/>
      <c r="Q990" s="6"/>
      <c r="R990" s="6"/>
      <c r="S990" s="6"/>
      <c r="T990" s="6"/>
      <c r="U990" s="9"/>
      <c r="AI990" s="6"/>
      <c r="AJ990" s="12"/>
      <c r="AL990" s="13"/>
    </row>
    <row r="991">
      <c r="A991" s="5"/>
      <c r="B991" s="5"/>
      <c r="C991" s="5"/>
      <c r="D991" s="5"/>
      <c r="E991" s="6"/>
      <c r="F991" s="6"/>
      <c r="G991" s="18"/>
      <c r="I991" s="16"/>
      <c r="J991" s="9"/>
      <c r="K991" s="10"/>
      <c r="L991" s="6"/>
      <c r="M991" s="11"/>
      <c r="N991" s="6"/>
      <c r="O991" s="6"/>
      <c r="P991" s="10"/>
      <c r="Q991" s="6"/>
      <c r="R991" s="6"/>
      <c r="S991" s="6"/>
      <c r="T991" s="6"/>
      <c r="U991" s="9"/>
      <c r="AI991" s="6"/>
      <c r="AJ991" s="12"/>
      <c r="AL991" s="13"/>
    </row>
    <row r="992">
      <c r="A992" s="5"/>
      <c r="B992" s="5"/>
      <c r="C992" s="5"/>
      <c r="D992" s="5"/>
      <c r="E992" s="6"/>
      <c r="F992" s="6"/>
      <c r="G992" s="18"/>
      <c r="I992" s="16"/>
      <c r="J992" s="9"/>
      <c r="K992" s="10"/>
      <c r="L992" s="6"/>
      <c r="M992" s="11"/>
      <c r="N992" s="6"/>
      <c r="O992" s="6"/>
      <c r="P992" s="10"/>
      <c r="Q992" s="6"/>
      <c r="R992" s="6"/>
      <c r="S992" s="6"/>
      <c r="T992" s="6"/>
      <c r="U992" s="9"/>
      <c r="AI992" s="6"/>
      <c r="AJ992" s="12"/>
      <c r="AL992" s="13"/>
    </row>
    <row r="993">
      <c r="A993" s="5"/>
      <c r="B993" s="5"/>
      <c r="C993" s="5"/>
      <c r="D993" s="5"/>
      <c r="E993" s="6"/>
      <c r="F993" s="6"/>
      <c r="G993" s="18"/>
      <c r="I993" s="16"/>
      <c r="J993" s="9"/>
      <c r="K993" s="10"/>
      <c r="L993" s="6"/>
      <c r="M993" s="11"/>
      <c r="N993" s="6"/>
      <c r="O993" s="6"/>
      <c r="P993" s="10"/>
      <c r="Q993" s="6"/>
      <c r="R993" s="6"/>
      <c r="S993" s="6"/>
      <c r="T993" s="6"/>
      <c r="U993" s="9"/>
      <c r="AI993" s="6"/>
      <c r="AJ993" s="12"/>
      <c r="AL993" s="13"/>
    </row>
    <row r="994">
      <c r="A994" s="5"/>
      <c r="B994" s="5"/>
      <c r="C994" s="5"/>
      <c r="D994" s="5"/>
      <c r="E994" s="6"/>
      <c r="F994" s="6"/>
      <c r="G994" s="18"/>
      <c r="I994" s="16"/>
      <c r="J994" s="9"/>
      <c r="K994" s="10"/>
      <c r="L994" s="6"/>
      <c r="M994" s="11"/>
      <c r="N994" s="6"/>
      <c r="O994" s="6"/>
      <c r="P994" s="10"/>
      <c r="Q994" s="6"/>
      <c r="R994" s="6"/>
      <c r="S994" s="6"/>
      <c r="T994" s="6"/>
      <c r="U994" s="9"/>
      <c r="AI994" s="6"/>
      <c r="AJ994" s="12"/>
      <c r="AL994" s="13"/>
    </row>
    <row r="995">
      <c r="A995" s="5"/>
      <c r="B995" s="5"/>
      <c r="C995" s="5"/>
      <c r="D995" s="5"/>
      <c r="E995" s="6"/>
      <c r="F995" s="6"/>
      <c r="G995" s="18"/>
      <c r="I995" s="16"/>
      <c r="J995" s="9"/>
      <c r="K995" s="10"/>
      <c r="L995" s="6"/>
      <c r="M995" s="11"/>
      <c r="N995" s="6"/>
      <c r="O995" s="6"/>
      <c r="P995" s="10"/>
      <c r="Q995" s="6"/>
      <c r="R995" s="6"/>
      <c r="S995" s="6"/>
      <c r="T995" s="6"/>
      <c r="U995" s="9"/>
      <c r="AI995" s="6"/>
      <c r="AJ995" s="12"/>
      <c r="AL995" s="13"/>
    </row>
    <row r="996">
      <c r="A996" s="5"/>
      <c r="B996" s="5"/>
      <c r="C996" s="5"/>
      <c r="D996" s="5"/>
      <c r="E996" s="6"/>
      <c r="F996" s="6"/>
      <c r="G996" s="18"/>
      <c r="I996" s="16"/>
      <c r="J996" s="9"/>
      <c r="K996" s="10"/>
      <c r="L996" s="6"/>
      <c r="M996" s="11"/>
      <c r="N996" s="6"/>
      <c r="O996" s="6"/>
      <c r="P996" s="10"/>
      <c r="Q996" s="6"/>
      <c r="R996" s="6"/>
      <c r="S996" s="6"/>
      <c r="T996" s="6"/>
      <c r="U996" s="9"/>
      <c r="AI996" s="6"/>
      <c r="AJ996" s="12"/>
      <c r="AL996" s="13"/>
    </row>
    <row r="997">
      <c r="A997" s="5"/>
      <c r="B997" s="5"/>
      <c r="C997" s="5"/>
      <c r="D997" s="17"/>
      <c r="E997" s="6"/>
      <c r="F997" s="6"/>
      <c r="G997" s="18"/>
      <c r="I997" s="16"/>
      <c r="J997" s="9"/>
      <c r="K997" s="10"/>
      <c r="L997" s="6"/>
      <c r="M997" s="11"/>
      <c r="N997" s="6"/>
      <c r="O997" s="6"/>
      <c r="P997" s="10"/>
      <c r="Q997" s="6"/>
      <c r="R997" s="6"/>
      <c r="S997" s="6"/>
      <c r="T997" s="6"/>
      <c r="U997" s="9"/>
      <c r="AI997" s="6"/>
      <c r="AJ997" s="12"/>
      <c r="AL997" s="13"/>
    </row>
    <row r="998">
      <c r="A998" s="5"/>
      <c r="B998" s="5"/>
      <c r="C998" s="5"/>
      <c r="D998" s="5"/>
      <c r="E998" s="6"/>
      <c r="F998" s="6"/>
      <c r="G998" s="18"/>
      <c r="I998" s="16"/>
      <c r="J998" s="9"/>
      <c r="K998" s="10"/>
      <c r="L998" s="6"/>
      <c r="M998" s="11"/>
      <c r="N998" s="6"/>
      <c r="O998" s="6"/>
      <c r="P998" s="10"/>
      <c r="Q998" s="6"/>
      <c r="R998" s="6"/>
      <c r="S998" s="6"/>
      <c r="T998" s="6"/>
      <c r="U998" s="9"/>
      <c r="AI998" s="6"/>
      <c r="AJ998" s="12"/>
      <c r="AL998" s="13"/>
    </row>
    <row r="999">
      <c r="A999" s="5"/>
      <c r="B999" s="5"/>
      <c r="C999" s="5"/>
      <c r="D999" s="5"/>
      <c r="E999" s="6"/>
      <c r="F999" s="6"/>
      <c r="G999" s="18"/>
      <c r="I999" s="16"/>
      <c r="J999" s="9"/>
      <c r="K999" s="10"/>
      <c r="L999" s="6"/>
      <c r="M999" s="11"/>
      <c r="N999" s="6"/>
      <c r="O999" s="6"/>
      <c r="P999" s="10"/>
      <c r="Q999" s="6"/>
      <c r="R999" s="6"/>
      <c r="S999" s="6"/>
      <c r="T999" s="6"/>
      <c r="U999" s="9"/>
      <c r="AI999" s="6"/>
      <c r="AJ999" s="12"/>
      <c r="AL999" s="13"/>
    </row>
    <row r="1000">
      <c r="A1000" s="5"/>
      <c r="B1000" s="5"/>
      <c r="C1000" s="5"/>
      <c r="D1000" s="5"/>
      <c r="E1000" s="6"/>
      <c r="F1000" s="6"/>
      <c r="G1000" s="18"/>
      <c r="I1000" s="16"/>
      <c r="J1000" s="9"/>
      <c r="K1000" s="10"/>
      <c r="L1000" s="6"/>
      <c r="M1000" s="11"/>
      <c r="N1000" s="6"/>
      <c r="O1000" s="6"/>
      <c r="P1000" s="10"/>
      <c r="Q1000" s="6"/>
      <c r="R1000" s="6"/>
      <c r="S1000" s="6"/>
      <c r="T1000" s="6"/>
      <c r="U1000" s="9"/>
      <c r="AI1000" s="6"/>
      <c r="AJ1000" s="12"/>
      <c r="AL1000" s="13"/>
    </row>
    <row r="1001">
      <c r="A1001" s="5"/>
      <c r="B1001" s="5"/>
      <c r="C1001" s="5"/>
      <c r="D1001" s="5"/>
      <c r="E1001" s="6"/>
      <c r="F1001" s="6"/>
      <c r="G1001" s="18"/>
      <c r="I1001" s="16"/>
      <c r="J1001" s="9"/>
      <c r="K1001" s="10"/>
      <c r="L1001" s="6"/>
      <c r="M1001" s="11"/>
      <c r="N1001" s="6"/>
      <c r="O1001" s="6"/>
      <c r="P1001" s="10"/>
      <c r="Q1001" s="6"/>
      <c r="R1001" s="6"/>
      <c r="S1001" s="6"/>
      <c r="T1001" s="6"/>
      <c r="U1001" s="9"/>
      <c r="AI1001" s="6"/>
      <c r="AJ1001" s="12"/>
      <c r="AL1001" s="13"/>
    </row>
    <row r="1002">
      <c r="A1002" s="5"/>
      <c r="B1002" s="5"/>
      <c r="C1002" s="5"/>
      <c r="D1002" s="5"/>
      <c r="E1002" s="6"/>
      <c r="F1002" s="6"/>
      <c r="G1002" s="18"/>
      <c r="I1002" s="16"/>
      <c r="J1002" s="9"/>
      <c r="K1002" s="10"/>
      <c r="L1002" s="6"/>
      <c r="M1002" s="11"/>
      <c r="N1002" s="6"/>
      <c r="O1002" s="6"/>
      <c r="P1002" s="10"/>
      <c r="Q1002" s="6"/>
      <c r="R1002" s="6"/>
      <c r="S1002" s="6"/>
      <c r="T1002" s="6"/>
      <c r="U1002" s="9"/>
      <c r="AI1002" s="6"/>
      <c r="AJ1002" s="12"/>
      <c r="AL1002" s="13"/>
    </row>
    <row r="1003">
      <c r="A1003" s="5"/>
      <c r="B1003" s="5"/>
      <c r="C1003" s="5"/>
      <c r="D1003" s="5"/>
      <c r="E1003" s="6"/>
      <c r="F1003" s="6"/>
      <c r="G1003" s="18"/>
      <c r="I1003" s="16"/>
      <c r="J1003" s="9"/>
      <c r="K1003" s="10"/>
      <c r="L1003" s="6"/>
      <c r="M1003" s="11"/>
      <c r="N1003" s="6"/>
      <c r="O1003" s="6"/>
      <c r="P1003" s="10"/>
      <c r="Q1003" s="6"/>
      <c r="R1003" s="6"/>
      <c r="S1003" s="6"/>
      <c r="T1003" s="6"/>
      <c r="U1003" s="9"/>
      <c r="AI1003" s="6"/>
      <c r="AJ1003" s="12"/>
      <c r="AL1003" s="13"/>
    </row>
    <row r="1004">
      <c r="A1004" s="5"/>
      <c r="B1004" s="5"/>
      <c r="C1004" s="5"/>
      <c r="D1004" s="5"/>
      <c r="E1004" s="6"/>
      <c r="F1004" s="6"/>
      <c r="G1004" s="18"/>
      <c r="I1004" s="16"/>
      <c r="J1004" s="9"/>
      <c r="K1004" s="10"/>
      <c r="L1004" s="6"/>
      <c r="M1004" s="11"/>
      <c r="N1004" s="6"/>
      <c r="O1004" s="6"/>
      <c r="P1004" s="10"/>
      <c r="Q1004" s="6"/>
      <c r="R1004" s="6"/>
      <c r="S1004" s="6"/>
      <c r="T1004" s="6"/>
      <c r="U1004" s="9"/>
      <c r="AI1004" s="6"/>
      <c r="AJ1004" s="12"/>
      <c r="AL1004" s="13"/>
    </row>
    <row r="1005">
      <c r="A1005" s="5"/>
      <c r="B1005" s="5"/>
      <c r="C1005" s="5"/>
      <c r="D1005" s="5"/>
      <c r="E1005" s="6"/>
      <c r="F1005" s="6"/>
      <c r="G1005" s="18"/>
      <c r="I1005" s="16"/>
      <c r="J1005" s="9"/>
      <c r="K1005" s="10"/>
      <c r="L1005" s="6"/>
      <c r="M1005" s="11"/>
      <c r="N1005" s="6"/>
      <c r="O1005" s="6"/>
      <c r="P1005" s="10"/>
      <c r="Q1005" s="6"/>
      <c r="R1005" s="6"/>
      <c r="S1005" s="6"/>
      <c r="T1005" s="6"/>
      <c r="U1005" s="9"/>
      <c r="AI1005" s="6"/>
      <c r="AJ1005" s="12"/>
      <c r="AL1005" s="13"/>
    </row>
    <row r="1006">
      <c r="A1006" s="5"/>
      <c r="B1006" s="5"/>
      <c r="C1006" s="5"/>
      <c r="D1006" s="17"/>
      <c r="E1006" s="6"/>
      <c r="F1006" s="6"/>
      <c r="G1006" s="18"/>
      <c r="I1006" s="16"/>
      <c r="J1006" s="9"/>
      <c r="K1006" s="10"/>
      <c r="L1006" s="6"/>
      <c r="M1006" s="11"/>
      <c r="N1006" s="6"/>
      <c r="O1006" s="6"/>
      <c r="P1006" s="10"/>
      <c r="Q1006" s="6"/>
      <c r="R1006" s="6"/>
      <c r="S1006" s="6"/>
      <c r="T1006" s="6"/>
      <c r="U1006" s="9"/>
      <c r="AI1006" s="6"/>
      <c r="AJ1006" s="12"/>
      <c r="AL1006" s="13"/>
    </row>
    <row r="1007">
      <c r="A1007" s="5"/>
      <c r="B1007" s="5"/>
      <c r="C1007" s="5"/>
      <c r="D1007" s="17"/>
      <c r="E1007" s="6"/>
      <c r="F1007" s="6"/>
      <c r="G1007" s="18"/>
      <c r="I1007" s="16"/>
      <c r="J1007" s="9"/>
      <c r="K1007" s="10"/>
      <c r="L1007" s="6"/>
      <c r="M1007" s="11"/>
      <c r="N1007" s="6"/>
      <c r="O1007" s="6"/>
      <c r="P1007" s="10"/>
      <c r="Q1007" s="6"/>
      <c r="R1007" s="6"/>
      <c r="S1007" s="6"/>
      <c r="T1007" s="6"/>
      <c r="U1007" s="9"/>
      <c r="AI1007" s="6"/>
      <c r="AJ1007" s="12"/>
      <c r="AL1007" s="13"/>
    </row>
    <row r="1008">
      <c r="A1008" s="5"/>
      <c r="B1008" s="5"/>
      <c r="C1008" s="5"/>
      <c r="D1008" s="17"/>
      <c r="E1008" s="6"/>
      <c r="F1008" s="6"/>
      <c r="G1008" s="18"/>
      <c r="I1008" s="16"/>
      <c r="J1008" s="9"/>
      <c r="K1008" s="10"/>
      <c r="L1008" s="6"/>
      <c r="M1008" s="11"/>
      <c r="N1008" s="6"/>
      <c r="O1008" s="6"/>
      <c r="P1008" s="10"/>
      <c r="Q1008" s="6"/>
      <c r="R1008" s="6"/>
      <c r="S1008" s="6"/>
      <c r="T1008" s="6"/>
      <c r="U1008" s="9"/>
      <c r="AI1008" s="6"/>
      <c r="AJ1008" s="12"/>
      <c r="AL1008" s="13"/>
    </row>
    <row r="1009">
      <c r="A1009" s="5"/>
      <c r="B1009" s="5"/>
      <c r="C1009" s="5"/>
      <c r="D1009" s="17"/>
      <c r="E1009" s="6"/>
      <c r="F1009" s="6"/>
      <c r="G1009" s="18"/>
      <c r="I1009" s="16"/>
      <c r="J1009" s="9"/>
      <c r="K1009" s="10"/>
      <c r="L1009" s="6"/>
      <c r="M1009" s="11"/>
      <c r="N1009" s="6"/>
      <c r="O1009" s="6"/>
      <c r="P1009" s="10"/>
      <c r="Q1009" s="6"/>
      <c r="R1009" s="6"/>
      <c r="S1009" s="6"/>
      <c r="T1009" s="6"/>
      <c r="U1009" s="9"/>
      <c r="AI1009" s="6"/>
      <c r="AJ1009" s="12"/>
      <c r="AL1009" s="13"/>
    </row>
    <row r="1010">
      <c r="A1010" s="5"/>
      <c r="B1010" s="5"/>
      <c r="C1010" s="5"/>
      <c r="D1010" s="17"/>
      <c r="E1010" s="6"/>
      <c r="F1010" s="6"/>
      <c r="G1010" s="18"/>
      <c r="I1010" s="16"/>
      <c r="J1010" s="9"/>
      <c r="K1010" s="10"/>
      <c r="L1010" s="6"/>
      <c r="M1010" s="11"/>
      <c r="N1010" s="6"/>
      <c r="O1010" s="6"/>
      <c r="P1010" s="10"/>
      <c r="Q1010" s="6"/>
      <c r="R1010" s="6"/>
      <c r="S1010" s="6"/>
      <c r="T1010" s="6"/>
      <c r="U1010" s="9"/>
      <c r="AI1010" s="6"/>
      <c r="AJ1010" s="12"/>
      <c r="AL1010" s="13"/>
    </row>
    <row r="1011">
      <c r="A1011" s="5"/>
      <c r="B1011" s="5"/>
      <c r="C1011" s="5"/>
      <c r="D1011" s="17"/>
      <c r="E1011" s="6"/>
      <c r="F1011" s="6"/>
      <c r="G1011" s="18"/>
      <c r="I1011" s="16"/>
      <c r="J1011" s="9"/>
      <c r="K1011" s="10"/>
      <c r="L1011" s="6"/>
      <c r="M1011" s="11"/>
      <c r="N1011" s="6"/>
      <c r="O1011" s="6"/>
      <c r="P1011" s="10"/>
      <c r="Q1011" s="6"/>
      <c r="R1011" s="6"/>
      <c r="S1011" s="6"/>
      <c r="T1011" s="6"/>
      <c r="U1011" s="9"/>
      <c r="AI1011" s="6"/>
      <c r="AJ1011" s="12"/>
      <c r="AL1011" s="13"/>
    </row>
    <row r="1012">
      <c r="A1012" s="5"/>
      <c r="B1012" s="5"/>
      <c r="C1012" s="5"/>
      <c r="D1012" s="17"/>
      <c r="E1012" s="6"/>
      <c r="F1012" s="6"/>
      <c r="G1012" s="18"/>
      <c r="I1012" s="16"/>
      <c r="J1012" s="9"/>
      <c r="K1012" s="10"/>
      <c r="L1012" s="6"/>
      <c r="M1012" s="11"/>
      <c r="N1012" s="6"/>
      <c r="O1012" s="6"/>
      <c r="P1012" s="10"/>
      <c r="Q1012" s="6"/>
      <c r="R1012" s="6"/>
      <c r="S1012" s="6"/>
      <c r="T1012" s="6"/>
      <c r="U1012" s="9"/>
      <c r="AI1012" s="6"/>
      <c r="AJ1012" s="12"/>
      <c r="AL1012" s="13"/>
    </row>
    <row r="1013">
      <c r="A1013" s="5"/>
      <c r="B1013" s="5"/>
      <c r="C1013" s="5"/>
      <c r="D1013" s="17"/>
      <c r="E1013" s="6"/>
      <c r="F1013" s="6"/>
      <c r="G1013" s="18"/>
      <c r="I1013" s="16"/>
      <c r="J1013" s="9"/>
      <c r="K1013" s="10"/>
      <c r="L1013" s="6"/>
      <c r="M1013" s="11"/>
      <c r="N1013" s="6"/>
      <c r="O1013" s="6"/>
      <c r="P1013" s="10"/>
      <c r="Q1013" s="6"/>
      <c r="R1013" s="6"/>
      <c r="S1013" s="6"/>
      <c r="T1013" s="6"/>
      <c r="U1013" s="9"/>
      <c r="AI1013" s="6"/>
      <c r="AJ1013" s="12"/>
      <c r="AL1013" s="13"/>
    </row>
    <row r="1014">
      <c r="A1014" s="5"/>
      <c r="B1014" s="5"/>
      <c r="C1014" s="5"/>
      <c r="D1014" s="5"/>
      <c r="E1014" s="6"/>
      <c r="F1014" s="6"/>
      <c r="G1014" s="18"/>
      <c r="I1014" s="16"/>
      <c r="J1014" s="9"/>
      <c r="K1014" s="10"/>
      <c r="L1014" s="6"/>
      <c r="M1014" s="11"/>
      <c r="N1014" s="6"/>
      <c r="O1014" s="6"/>
      <c r="P1014" s="10"/>
      <c r="Q1014" s="6"/>
      <c r="R1014" s="6"/>
      <c r="S1014" s="6"/>
      <c r="T1014" s="6"/>
      <c r="U1014" s="9"/>
      <c r="AI1014" s="6"/>
      <c r="AJ1014" s="12"/>
      <c r="AL1014" s="13"/>
    </row>
    <row r="1015">
      <c r="A1015" s="5"/>
      <c r="B1015" s="5"/>
      <c r="C1015" s="5"/>
      <c r="D1015" s="5"/>
      <c r="E1015" s="6"/>
      <c r="F1015" s="6"/>
      <c r="G1015" s="18"/>
      <c r="I1015" s="16"/>
      <c r="J1015" s="9"/>
      <c r="K1015" s="10"/>
      <c r="L1015" s="6"/>
      <c r="M1015" s="11"/>
      <c r="N1015" s="6"/>
      <c r="O1015" s="6"/>
      <c r="P1015" s="10"/>
      <c r="Q1015" s="6"/>
      <c r="R1015" s="6"/>
      <c r="S1015" s="6"/>
      <c r="T1015" s="6"/>
      <c r="U1015" s="9"/>
      <c r="AI1015" s="6"/>
      <c r="AJ1015" s="12"/>
      <c r="AL1015" s="13"/>
    </row>
    <row r="1016">
      <c r="A1016" s="5"/>
      <c r="B1016" s="5"/>
      <c r="C1016" s="5"/>
      <c r="D1016" s="5"/>
      <c r="E1016" s="6"/>
      <c r="F1016" s="6"/>
      <c r="G1016" s="18"/>
      <c r="I1016" s="16"/>
      <c r="J1016" s="9"/>
      <c r="K1016" s="10"/>
      <c r="L1016" s="6"/>
      <c r="M1016" s="11"/>
      <c r="N1016" s="6"/>
      <c r="O1016" s="6"/>
      <c r="P1016" s="10"/>
      <c r="Q1016" s="6"/>
      <c r="R1016" s="6"/>
      <c r="S1016" s="6"/>
      <c r="T1016" s="6"/>
      <c r="U1016" s="9"/>
      <c r="AI1016" s="6"/>
      <c r="AJ1016" s="12"/>
      <c r="AL1016" s="13"/>
    </row>
    <row r="1017">
      <c r="A1017" s="5"/>
      <c r="B1017" s="5"/>
      <c r="C1017" s="5"/>
      <c r="D1017" s="5"/>
      <c r="E1017" s="6"/>
      <c r="F1017" s="6"/>
      <c r="G1017" s="18"/>
      <c r="I1017" s="16"/>
      <c r="J1017" s="9"/>
      <c r="K1017" s="10"/>
      <c r="L1017" s="6"/>
      <c r="M1017" s="11"/>
      <c r="N1017" s="6"/>
      <c r="O1017" s="6"/>
      <c r="P1017" s="10"/>
      <c r="Q1017" s="6"/>
      <c r="R1017" s="6"/>
      <c r="S1017" s="6"/>
      <c r="T1017" s="6"/>
      <c r="U1017" s="9"/>
      <c r="AI1017" s="6"/>
      <c r="AJ1017" s="12"/>
      <c r="AL1017" s="13"/>
    </row>
    <row r="1018">
      <c r="A1018" s="5"/>
      <c r="B1018" s="5"/>
      <c r="C1018" s="5"/>
      <c r="D1018" s="5"/>
      <c r="E1018" s="6"/>
      <c r="F1018" s="6"/>
      <c r="G1018" s="18"/>
      <c r="I1018" s="16"/>
      <c r="J1018" s="9"/>
      <c r="K1018" s="10"/>
      <c r="L1018" s="6"/>
      <c r="M1018" s="11"/>
      <c r="N1018" s="6"/>
      <c r="O1018" s="6"/>
      <c r="P1018" s="10"/>
      <c r="Q1018" s="6"/>
      <c r="R1018" s="6"/>
      <c r="S1018" s="6"/>
      <c r="T1018" s="6"/>
      <c r="U1018" s="9"/>
      <c r="AI1018" s="6"/>
      <c r="AJ1018" s="12"/>
      <c r="AL1018" s="13"/>
    </row>
    <row r="1019">
      <c r="A1019" s="5"/>
      <c r="B1019" s="5"/>
      <c r="C1019" s="5"/>
      <c r="D1019" s="5"/>
      <c r="E1019" s="6"/>
      <c r="F1019" s="6"/>
      <c r="G1019" s="18"/>
      <c r="I1019" s="16"/>
      <c r="J1019" s="9"/>
      <c r="K1019" s="10"/>
      <c r="L1019" s="6"/>
      <c r="M1019" s="11"/>
      <c r="N1019" s="6"/>
      <c r="O1019" s="6"/>
      <c r="P1019" s="10"/>
      <c r="Q1019" s="6"/>
      <c r="R1019" s="6"/>
      <c r="S1019" s="6"/>
      <c r="T1019" s="6"/>
      <c r="U1019" s="9"/>
      <c r="AI1019" s="6"/>
      <c r="AJ1019" s="12"/>
      <c r="AL1019" s="13"/>
    </row>
    <row r="1020">
      <c r="A1020" s="5"/>
      <c r="B1020" s="5"/>
      <c r="C1020" s="5"/>
      <c r="D1020" s="5"/>
      <c r="E1020" s="6"/>
      <c r="F1020" s="6"/>
      <c r="G1020" s="18"/>
      <c r="I1020" s="16"/>
      <c r="J1020" s="9"/>
      <c r="K1020" s="10"/>
      <c r="L1020" s="6"/>
      <c r="M1020" s="11"/>
      <c r="N1020" s="6"/>
      <c r="O1020" s="6"/>
      <c r="P1020" s="10"/>
      <c r="Q1020" s="6"/>
      <c r="R1020" s="6"/>
      <c r="S1020" s="6"/>
      <c r="T1020" s="6"/>
      <c r="U1020" s="9"/>
      <c r="AI1020" s="6"/>
      <c r="AJ1020" s="12"/>
      <c r="AL1020" s="13"/>
    </row>
    <row r="1021">
      <c r="A1021" s="5"/>
      <c r="B1021" s="5"/>
      <c r="C1021" s="5"/>
      <c r="D1021" s="5"/>
      <c r="E1021" s="6"/>
      <c r="F1021" s="6"/>
      <c r="G1021" s="18"/>
      <c r="I1021" s="16"/>
      <c r="J1021" s="9"/>
      <c r="K1021" s="10"/>
      <c r="L1021" s="6"/>
      <c r="M1021" s="11"/>
      <c r="N1021" s="6"/>
      <c r="O1021" s="6"/>
      <c r="P1021" s="10"/>
      <c r="Q1021" s="6"/>
      <c r="R1021" s="6"/>
      <c r="S1021" s="6"/>
      <c r="T1021" s="6"/>
      <c r="U1021" s="9"/>
      <c r="AI1021" s="6"/>
      <c r="AJ1021" s="12"/>
      <c r="AL1021" s="13"/>
    </row>
    <row r="1022">
      <c r="A1022" s="5"/>
      <c r="B1022" s="5"/>
      <c r="C1022" s="5"/>
      <c r="D1022" s="5"/>
      <c r="E1022" s="6"/>
      <c r="F1022" s="6"/>
      <c r="G1022" s="18"/>
      <c r="I1022" s="16"/>
      <c r="J1022" s="9"/>
      <c r="K1022" s="10"/>
      <c r="L1022" s="6"/>
      <c r="M1022" s="11"/>
      <c r="N1022" s="6"/>
      <c r="O1022" s="6"/>
      <c r="P1022" s="10"/>
      <c r="Q1022" s="6"/>
      <c r="R1022" s="6"/>
      <c r="S1022" s="6"/>
      <c r="T1022" s="6"/>
      <c r="U1022" s="9"/>
      <c r="AI1022" s="6"/>
      <c r="AJ1022" s="12"/>
      <c r="AL1022" s="13"/>
    </row>
    <row r="1023">
      <c r="A1023" s="5"/>
      <c r="B1023" s="5"/>
      <c r="C1023" s="5"/>
      <c r="D1023" s="5"/>
      <c r="E1023" s="6"/>
      <c r="F1023" s="6"/>
      <c r="G1023" s="18"/>
      <c r="I1023" s="16"/>
      <c r="J1023" s="9"/>
      <c r="K1023" s="10"/>
      <c r="L1023" s="6"/>
      <c r="M1023" s="11"/>
      <c r="N1023" s="6"/>
      <c r="O1023" s="6"/>
      <c r="P1023" s="10"/>
      <c r="Q1023" s="6"/>
      <c r="R1023" s="6"/>
      <c r="S1023" s="6"/>
      <c r="T1023" s="6"/>
      <c r="U1023" s="9"/>
      <c r="AI1023" s="6"/>
      <c r="AJ1023" s="12"/>
      <c r="AL1023" s="13"/>
    </row>
    <row r="1024">
      <c r="A1024" s="5"/>
      <c r="B1024" s="5"/>
      <c r="C1024" s="5"/>
      <c r="D1024" s="5"/>
      <c r="E1024" s="6"/>
      <c r="F1024" s="6"/>
      <c r="G1024" s="18"/>
      <c r="I1024" s="16"/>
      <c r="J1024" s="9"/>
      <c r="K1024" s="10"/>
      <c r="L1024" s="6"/>
      <c r="M1024" s="11"/>
      <c r="N1024" s="6"/>
      <c r="O1024" s="6"/>
      <c r="P1024" s="10"/>
      <c r="Q1024" s="6"/>
      <c r="R1024" s="6"/>
      <c r="S1024" s="6"/>
      <c r="T1024" s="6"/>
      <c r="U1024" s="9"/>
      <c r="AI1024" s="6"/>
      <c r="AJ1024" s="12"/>
      <c r="AL1024" s="13"/>
    </row>
    <row r="1025">
      <c r="A1025" s="5"/>
      <c r="B1025" s="5"/>
      <c r="C1025" s="5"/>
      <c r="D1025" s="5"/>
      <c r="E1025" s="6"/>
      <c r="F1025" s="6"/>
      <c r="G1025" s="18"/>
      <c r="I1025" s="16"/>
      <c r="J1025" s="9"/>
      <c r="K1025" s="10"/>
      <c r="L1025" s="6"/>
      <c r="M1025" s="11"/>
      <c r="N1025" s="6"/>
      <c r="O1025" s="6"/>
      <c r="P1025" s="10"/>
      <c r="Q1025" s="6"/>
      <c r="R1025" s="6"/>
      <c r="S1025" s="6"/>
      <c r="T1025" s="6"/>
      <c r="U1025" s="9"/>
      <c r="AI1025" s="6"/>
      <c r="AJ1025" s="12"/>
      <c r="AL1025" s="13"/>
    </row>
    <row r="1026">
      <c r="A1026" s="5"/>
      <c r="B1026" s="5"/>
      <c r="C1026" s="5"/>
      <c r="D1026" s="5"/>
      <c r="E1026" s="6"/>
      <c r="F1026" s="6"/>
      <c r="G1026" s="18"/>
      <c r="I1026" s="16"/>
      <c r="J1026" s="9"/>
      <c r="K1026" s="10"/>
      <c r="L1026" s="6"/>
      <c r="M1026" s="11"/>
      <c r="N1026" s="6"/>
      <c r="O1026" s="6"/>
      <c r="P1026" s="10"/>
      <c r="Q1026" s="6"/>
      <c r="R1026" s="6"/>
      <c r="S1026" s="6"/>
      <c r="T1026" s="6"/>
      <c r="U1026" s="9"/>
      <c r="AI1026" s="6"/>
      <c r="AJ1026" s="12"/>
      <c r="AL1026" s="13"/>
    </row>
    <row r="1027">
      <c r="A1027" s="5"/>
      <c r="B1027" s="5"/>
      <c r="C1027" s="5"/>
      <c r="D1027" s="5"/>
      <c r="E1027" s="6"/>
      <c r="F1027" s="6"/>
      <c r="G1027" s="18"/>
      <c r="I1027" s="16"/>
      <c r="J1027" s="9"/>
      <c r="K1027" s="10"/>
      <c r="L1027" s="6"/>
      <c r="M1027" s="11"/>
      <c r="N1027" s="6"/>
      <c r="O1027" s="6"/>
      <c r="P1027" s="10"/>
      <c r="Q1027" s="6"/>
      <c r="R1027" s="6"/>
      <c r="S1027" s="6"/>
      <c r="T1027" s="6"/>
      <c r="U1027" s="9"/>
      <c r="AI1027" s="6"/>
      <c r="AJ1027" s="12"/>
      <c r="AL1027" s="13"/>
    </row>
    <row r="1028">
      <c r="A1028" s="5"/>
      <c r="B1028" s="5"/>
      <c r="C1028" s="5"/>
      <c r="D1028" s="5"/>
      <c r="E1028" s="6"/>
      <c r="F1028" s="6"/>
      <c r="G1028" s="18"/>
      <c r="I1028" s="16"/>
      <c r="J1028" s="9"/>
      <c r="K1028" s="10"/>
      <c r="L1028" s="6"/>
      <c r="M1028" s="11"/>
      <c r="N1028" s="6"/>
      <c r="O1028" s="6"/>
      <c r="P1028" s="10"/>
      <c r="Q1028" s="6"/>
      <c r="R1028" s="6"/>
      <c r="S1028" s="6"/>
      <c r="T1028" s="6"/>
      <c r="U1028" s="9"/>
      <c r="AI1028" s="6"/>
      <c r="AJ1028" s="12"/>
      <c r="AL1028" s="13"/>
    </row>
    <row r="1029">
      <c r="A1029" s="5"/>
      <c r="B1029" s="5"/>
      <c r="C1029" s="5"/>
      <c r="D1029" s="5"/>
      <c r="E1029" s="6"/>
      <c r="F1029" s="6"/>
      <c r="G1029" s="18"/>
      <c r="I1029" s="16"/>
      <c r="J1029" s="9"/>
      <c r="K1029" s="10"/>
      <c r="L1029" s="6"/>
      <c r="M1029" s="11"/>
      <c r="N1029" s="6"/>
      <c r="O1029" s="6"/>
      <c r="P1029" s="10"/>
      <c r="Q1029" s="6"/>
      <c r="R1029" s="6"/>
      <c r="S1029" s="6"/>
      <c r="T1029" s="6"/>
      <c r="U1029" s="9"/>
      <c r="AI1029" s="6"/>
      <c r="AJ1029" s="12"/>
      <c r="AL1029" s="13"/>
    </row>
    <row r="1030">
      <c r="A1030" s="5"/>
      <c r="B1030" s="5"/>
      <c r="C1030" s="5"/>
      <c r="D1030" s="5"/>
      <c r="E1030" s="6"/>
      <c r="F1030" s="6"/>
      <c r="G1030" s="18"/>
      <c r="I1030" s="16"/>
      <c r="J1030" s="9"/>
      <c r="K1030" s="10"/>
      <c r="L1030" s="6"/>
      <c r="M1030" s="11"/>
      <c r="N1030" s="6"/>
      <c r="O1030" s="6"/>
      <c r="P1030" s="10"/>
      <c r="Q1030" s="6"/>
      <c r="R1030" s="6"/>
      <c r="S1030" s="6"/>
      <c r="T1030" s="6"/>
      <c r="U1030" s="9"/>
      <c r="AI1030" s="6"/>
      <c r="AJ1030" s="12"/>
      <c r="AL1030" s="13"/>
    </row>
    <row r="1031">
      <c r="A1031" s="5"/>
      <c r="B1031" s="5"/>
      <c r="C1031" s="5"/>
      <c r="D1031" s="5"/>
      <c r="E1031" s="6"/>
      <c r="F1031" s="6"/>
      <c r="G1031" s="18"/>
      <c r="I1031" s="16"/>
      <c r="J1031" s="9"/>
      <c r="K1031" s="10"/>
      <c r="L1031" s="6"/>
      <c r="M1031" s="11"/>
      <c r="N1031" s="6"/>
      <c r="O1031" s="6"/>
      <c r="P1031" s="10"/>
      <c r="Q1031" s="6"/>
      <c r="R1031" s="6"/>
      <c r="S1031" s="6"/>
      <c r="T1031" s="6"/>
      <c r="U1031" s="9"/>
      <c r="AI1031" s="6"/>
      <c r="AJ1031" s="12"/>
      <c r="AL1031" s="13"/>
    </row>
    <row r="1032">
      <c r="A1032" s="5"/>
      <c r="B1032" s="5"/>
      <c r="C1032" s="5"/>
      <c r="D1032" s="5"/>
      <c r="E1032" s="6"/>
      <c r="F1032" s="6"/>
      <c r="G1032" s="18"/>
      <c r="I1032" s="16"/>
      <c r="J1032" s="9"/>
      <c r="K1032" s="10"/>
      <c r="L1032" s="6"/>
      <c r="M1032" s="11"/>
      <c r="N1032" s="6"/>
      <c r="O1032" s="6"/>
      <c r="P1032" s="10"/>
      <c r="Q1032" s="6"/>
      <c r="R1032" s="6"/>
      <c r="S1032" s="6"/>
      <c r="T1032" s="6"/>
      <c r="U1032" s="9"/>
      <c r="AI1032" s="6"/>
      <c r="AJ1032" s="12"/>
      <c r="AL1032" s="13"/>
    </row>
    <row r="1033">
      <c r="A1033" s="5"/>
      <c r="B1033" s="5"/>
      <c r="C1033" s="5"/>
      <c r="D1033" s="5"/>
      <c r="E1033" s="6"/>
      <c r="F1033" s="6"/>
      <c r="G1033" s="18"/>
      <c r="I1033" s="16"/>
      <c r="J1033" s="9"/>
      <c r="K1033" s="10"/>
      <c r="L1033" s="6"/>
      <c r="M1033" s="11"/>
      <c r="N1033" s="6"/>
      <c r="O1033" s="6"/>
      <c r="P1033" s="10"/>
      <c r="Q1033" s="6"/>
      <c r="R1033" s="6"/>
      <c r="S1033" s="6"/>
      <c r="T1033" s="6"/>
      <c r="U1033" s="9"/>
      <c r="AI1033" s="6"/>
      <c r="AJ1033" s="12"/>
      <c r="AL1033" s="13"/>
    </row>
    <row r="1034">
      <c r="A1034" s="5"/>
      <c r="B1034" s="5"/>
      <c r="C1034" s="5"/>
      <c r="D1034" s="5"/>
      <c r="E1034" s="6"/>
      <c r="F1034" s="6"/>
      <c r="G1034" s="18"/>
      <c r="I1034" s="16"/>
      <c r="J1034" s="9"/>
      <c r="K1034" s="10"/>
      <c r="L1034" s="6"/>
      <c r="M1034" s="11"/>
      <c r="N1034" s="6"/>
      <c r="O1034" s="6"/>
      <c r="P1034" s="10"/>
      <c r="Q1034" s="6"/>
      <c r="R1034" s="6"/>
      <c r="S1034" s="6"/>
      <c r="T1034" s="6"/>
      <c r="U1034" s="9"/>
      <c r="AI1034" s="6"/>
      <c r="AJ1034" s="12"/>
      <c r="AL1034" s="13"/>
    </row>
    <row r="1035">
      <c r="A1035" s="5"/>
      <c r="B1035" s="5"/>
      <c r="C1035" s="5"/>
      <c r="D1035" s="5"/>
      <c r="E1035" s="6"/>
      <c r="F1035" s="6"/>
      <c r="G1035" s="18"/>
      <c r="I1035" s="16"/>
      <c r="J1035" s="9"/>
      <c r="K1035" s="10"/>
      <c r="L1035" s="6"/>
      <c r="M1035" s="11"/>
      <c r="N1035" s="6"/>
      <c r="O1035" s="6"/>
      <c r="P1035" s="10"/>
      <c r="Q1035" s="6"/>
      <c r="R1035" s="6"/>
      <c r="S1035" s="6"/>
      <c r="T1035" s="6"/>
      <c r="U1035" s="9"/>
      <c r="AI1035" s="6"/>
      <c r="AJ1035" s="12"/>
      <c r="AL1035" s="13"/>
    </row>
    <row r="1036">
      <c r="A1036" s="5"/>
      <c r="B1036" s="5"/>
      <c r="C1036" s="5"/>
      <c r="D1036" s="5"/>
      <c r="E1036" s="6"/>
      <c r="F1036" s="6"/>
      <c r="G1036" s="18"/>
      <c r="I1036" s="16"/>
      <c r="J1036" s="9"/>
      <c r="K1036" s="10"/>
      <c r="L1036" s="6"/>
      <c r="M1036" s="11"/>
      <c r="N1036" s="6"/>
      <c r="O1036" s="6"/>
      <c r="P1036" s="10"/>
      <c r="Q1036" s="6"/>
      <c r="R1036" s="6"/>
      <c r="S1036" s="6"/>
      <c r="T1036" s="6"/>
      <c r="U1036" s="9"/>
      <c r="AI1036" s="6"/>
      <c r="AJ1036" s="12"/>
      <c r="AL1036" s="13"/>
    </row>
    <row r="1037">
      <c r="A1037" s="5"/>
      <c r="B1037" s="5"/>
      <c r="C1037" s="5"/>
      <c r="D1037" s="5"/>
      <c r="E1037" s="6"/>
      <c r="F1037" s="6"/>
      <c r="G1037" s="18"/>
      <c r="I1037" s="16"/>
      <c r="J1037" s="9"/>
      <c r="K1037" s="10"/>
      <c r="L1037" s="6"/>
      <c r="M1037" s="11"/>
      <c r="N1037" s="6"/>
      <c r="O1037" s="6"/>
      <c r="P1037" s="10"/>
      <c r="Q1037" s="6"/>
      <c r="R1037" s="6"/>
      <c r="S1037" s="6"/>
      <c r="T1037" s="6"/>
      <c r="U1037" s="9"/>
      <c r="AI1037" s="6"/>
      <c r="AJ1037" s="12"/>
      <c r="AL1037" s="13"/>
    </row>
    <row r="1038">
      <c r="A1038" s="5"/>
      <c r="B1038" s="5"/>
      <c r="C1038" s="5"/>
      <c r="D1038" s="5"/>
      <c r="E1038" s="6"/>
      <c r="F1038" s="6"/>
      <c r="G1038" s="18"/>
      <c r="I1038" s="16"/>
      <c r="J1038" s="9"/>
      <c r="K1038" s="10"/>
      <c r="L1038" s="6"/>
      <c r="M1038" s="11"/>
      <c r="N1038" s="6"/>
      <c r="O1038" s="6"/>
      <c r="P1038" s="10"/>
      <c r="Q1038" s="6"/>
      <c r="R1038" s="6"/>
      <c r="S1038" s="6"/>
      <c r="T1038" s="6"/>
      <c r="U1038" s="9"/>
      <c r="AI1038" s="6"/>
      <c r="AJ1038" s="12"/>
      <c r="AL1038" s="13"/>
    </row>
    <row r="1039">
      <c r="A1039" s="5"/>
      <c r="B1039" s="5"/>
      <c r="C1039" s="5"/>
      <c r="D1039" s="5"/>
      <c r="E1039" s="6"/>
      <c r="F1039" s="6"/>
      <c r="G1039" s="18"/>
      <c r="I1039" s="16"/>
      <c r="J1039" s="9"/>
      <c r="K1039" s="10"/>
      <c r="L1039" s="6"/>
      <c r="M1039" s="11"/>
      <c r="N1039" s="6"/>
      <c r="O1039" s="6"/>
      <c r="P1039" s="10"/>
      <c r="Q1039" s="6"/>
      <c r="R1039" s="6"/>
      <c r="S1039" s="6"/>
      <c r="T1039" s="6"/>
      <c r="U1039" s="9"/>
      <c r="AI1039" s="6"/>
      <c r="AJ1039" s="12"/>
      <c r="AL1039" s="13"/>
    </row>
    <row r="1040">
      <c r="A1040" s="5"/>
      <c r="B1040" s="5"/>
      <c r="C1040" s="5"/>
      <c r="D1040" s="5"/>
      <c r="E1040" s="6"/>
      <c r="F1040" s="6"/>
      <c r="G1040" s="18"/>
      <c r="I1040" s="16"/>
      <c r="J1040" s="9"/>
      <c r="K1040" s="10"/>
      <c r="L1040" s="6"/>
      <c r="M1040" s="11"/>
      <c r="N1040" s="6"/>
      <c r="O1040" s="6"/>
      <c r="P1040" s="10"/>
      <c r="Q1040" s="6"/>
      <c r="R1040" s="6"/>
      <c r="S1040" s="6"/>
      <c r="T1040" s="6"/>
      <c r="U1040" s="9"/>
      <c r="AI1040" s="6"/>
      <c r="AJ1040" s="12"/>
      <c r="AL1040" s="13"/>
    </row>
    <row r="1041">
      <c r="A1041" s="5"/>
      <c r="B1041" s="5"/>
      <c r="C1041" s="5"/>
      <c r="D1041" s="5"/>
      <c r="E1041" s="6"/>
      <c r="F1041" s="6"/>
      <c r="G1041" s="18"/>
      <c r="I1041" s="16"/>
      <c r="J1041" s="9"/>
      <c r="K1041" s="10"/>
      <c r="L1041" s="6"/>
      <c r="M1041" s="11"/>
      <c r="N1041" s="6"/>
      <c r="O1041" s="6"/>
      <c r="P1041" s="10"/>
      <c r="Q1041" s="6"/>
      <c r="R1041" s="6"/>
      <c r="S1041" s="6"/>
      <c r="T1041" s="6"/>
      <c r="U1041" s="9"/>
      <c r="AI1041" s="6"/>
      <c r="AJ1041" s="12"/>
      <c r="AL1041" s="13"/>
    </row>
    <row r="1042">
      <c r="A1042" s="5"/>
      <c r="B1042" s="5"/>
      <c r="C1042" s="5"/>
      <c r="D1042" s="5"/>
      <c r="E1042" s="6"/>
      <c r="F1042" s="6"/>
      <c r="G1042" s="18"/>
      <c r="I1042" s="16"/>
      <c r="J1042" s="9"/>
      <c r="K1042" s="10"/>
      <c r="L1042" s="6"/>
      <c r="M1042" s="11"/>
      <c r="N1042" s="6"/>
      <c r="O1042" s="6"/>
      <c r="P1042" s="10"/>
      <c r="Q1042" s="6"/>
      <c r="R1042" s="6"/>
      <c r="S1042" s="6"/>
      <c r="T1042" s="6"/>
      <c r="U1042" s="9"/>
      <c r="AI1042" s="6"/>
      <c r="AJ1042" s="12"/>
      <c r="AL1042" s="13"/>
    </row>
    <row r="1043">
      <c r="A1043" s="5"/>
      <c r="B1043" s="5"/>
      <c r="C1043" s="5"/>
      <c r="D1043" s="5"/>
      <c r="E1043" s="6"/>
      <c r="F1043" s="6"/>
      <c r="G1043" s="18"/>
      <c r="I1043" s="16"/>
      <c r="J1043" s="9"/>
      <c r="K1043" s="10"/>
      <c r="L1043" s="6"/>
      <c r="M1043" s="11"/>
      <c r="N1043" s="6"/>
      <c r="O1043" s="6"/>
      <c r="P1043" s="10"/>
      <c r="Q1043" s="6"/>
      <c r="R1043" s="6"/>
      <c r="S1043" s="6"/>
      <c r="T1043" s="6"/>
      <c r="U1043" s="9"/>
      <c r="AI1043" s="6"/>
      <c r="AJ1043" s="12"/>
      <c r="AL1043" s="13"/>
    </row>
    <row r="1044">
      <c r="A1044" s="5"/>
      <c r="B1044" s="5"/>
      <c r="C1044" s="5"/>
      <c r="D1044" s="5"/>
      <c r="E1044" s="6"/>
      <c r="F1044" s="6"/>
      <c r="G1044" s="18"/>
      <c r="I1044" s="16"/>
      <c r="J1044" s="9"/>
      <c r="K1044" s="10"/>
      <c r="L1044" s="6"/>
      <c r="M1044" s="11"/>
      <c r="N1044" s="6"/>
      <c r="O1044" s="6"/>
      <c r="P1044" s="10"/>
      <c r="Q1044" s="6"/>
      <c r="R1044" s="6"/>
      <c r="S1044" s="6"/>
      <c r="T1044" s="6"/>
      <c r="U1044" s="9"/>
      <c r="AI1044" s="6"/>
      <c r="AJ1044" s="12"/>
      <c r="AL1044" s="13"/>
    </row>
    <row r="1045">
      <c r="A1045" s="5"/>
      <c r="B1045" s="5"/>
      <c r="C1045" s="5"/>
      <c r="D1045" s="5"/>
      <c r="E1045" s="6"/>
      <c r="F1045" s="6"/>
      <c r="G1045" s="18"/>
      <c r="I1045" s="16"/>
      <c r="J1045" s="9"/>
      <c r="K1045" s="10"/>
      <c r="L1045" s="6"/>
      <c r="M1045" s="11"/>
      <c r="N1045" s="6"/>
      <c r="O1045" s="6"/>
      <c r="P1045" s="10"/>
      <c r="Q1045" s="6"/>
      <c r="R1045" s="6"/>
      <c r="S1045" s="6"/>
      <c r="T1045" s="6"/>
      <c r="U1045" s="9"/>
      <c r="AI1045" s="6"/>
      <c r="AJ1045" s="12"/>
      <c r="AL1045" s="13"/>
    </row>
    <row r="1046">
      <c r="A1046" s="5"/>
      <c r="B1046" s="5"/>
      <c r="C1046" s="5"/>
      <c r="D1046" s="5"/>
      <c r="E1046" s="6"/>
      <c r="F1046" s="6"/>
      <c r="G1046" s="18"/>
      <c r="I1046" s="16"/>
      <c r="J1046" s="9"/>
      <c r="K1046" s="10"/>
      <c r="L1046" s="6"/>
      <c r="M1046" s="11"/>
      <c r="N1046" s="6"/>
      <c r="O1046" s="6"/>
      <c r="P1046" s="10"/>
      <c r="Q1046" s="6"/>
      <c r="R1046" s="6"/>
      <c r="S1046" s="6"/>
      <c r="T1046" s="6"/>
      <c r="U1046" s="9"/>
      <c r="AI1046" s="6"/>
      <c r="AJ1046" s="12"/>
      <c r="AL1046" s="13"/>
    </row>
    <row r="1047">
      <c r="A1047" s="5"/>
      <c r="B1047" s="5"/>
      <c r="C1047" s="5"/>
      <c r="D1047" s="5"/>
      <c r="E1047" s="6"/>
      <c r="F1047" s="6"/>
      <c r="G1047" s="18"/>
      <c r="I1047" s="16"/>
      <c r="J1047" s="9"/>
      <c r="K1047" s="10"/>
      <c r="L1047" s="6"/>
      <c r="M1047" s="11"/>
      <c r="N1047" s="6"/>
      <c r="O1047" s="6"/>
      <c r="P1047" s="10"/>
      <c r="Q1047" s="6"/>
      <c r="R1047" s="6"/>
      <c r="S1047" s="6"/>
      <c r="T1047" s="6"/>
      <c r="U1047" s="9"/>
      <c r="AI1047" s="6"/>
      <c r="AJ1047" s="12"/>
      <c r="AL1047" s="13"/>
    </row>
    <row r="1048">
      <c r="A1048" s="5"/>
      <c r="B1048" s="5"/>
      <c r="C1048" s="5"/>
      <c r="D1048" s="5"/>
      <c r="E1048" s="6"/>
      <c r="F1048" s="6"/>
      <c r="G1048" s="18"/>
      <c r="I1048" s="16"/>
      <c r="J1048" s="9"/>
      <c r="K1048" s="10"/>
      <c r="L1048" s="6"/>
      <c r="M1048" s="11"/>
      <c r="N1048" s="6"/>
      <c r="O1048" s="6"/>
      <c r="P1048" s="10"/>
      <c r="Q1048" s="6"/>
      <c r="R1048" s="6"/>
      <c r="S1048" s="6"/>
      <c r="T1048" s="6"/>
      <c r="U1048" s="9"/>
      <c r="AI1048" s="6"/>
      <c r="AJ1048" s="12"/>
      <c r="AL1048" s="13"/>
    </row>
    <row r="1049">
      <c r="A1049" s="5"/>
      <c r="B1049" s="5"/>
      <c r="C1049" s="5"/>
      <c r="D1049" s="5"/>
      <c r="E1049" s="6"/>
      <c r="F1049" s="6"/>
      <c r="G1049" s="18"/>
      <c r="I1049" s="16"/>
      <c r="J1049" s="9"/>
      <c r="K1049" s="10"/>
      <c r="L1049" s="6"/>
      <c r="M1049" s="11"/>
      <c r="N1049" s="6"/>
      <c r="O1049" s="6"/>
      <c r="P1049" s="10"/>
      <c r="Q1049" s="6"/>
      <c r="R1049" s="6"/>
      <c r="S1049" s="6"/>
      <c r="T1049" s="6"/>
      <c r="U1049" s="9"/>
      <c r="AI1049" s="6"/>
      <c r="AJ1049" s="12"/>
      <c r="AL1049" s="13"/>
    </row>
    <row r="1050">
      <c r="A1050" s="5"/>
      <c r="B1050" s="5"/>
      <c r="C1050" s="5"/>
      <c r="D1050" s="5"/>
      <c r="E1050" s="6"/>
      <c r="F1050" s="6"/>
      <c r="G1050" s="18"/>
      <c r="I1050" s="16"/>
      <c r="J1050" s="9"/>
      <c r="K1050" s="10"/>
      <c r="L1050" s="6"/>
      <c r="M1050" s="11"/>
      <c r="N1050" s="6"/>
      <c r="O1050" s="6"/>
      <c r="P1050" s="10"/>
      <c r="Q1050" s="6"/>
      <c r="R1050" s="6"/>
      <c r="S1050" s="6"/>
      <c r="T1050" s="6"/>
      <c r="U1050" s="9"/>
      <c r="AI1050" s="6"/>
      <c r="AJ1050" s="12"/>
      <c r="AL1050" s="13"/>
    </row>
    <row r="1051">
      <c r="A1051" s="5"/>
      <c r="B1051" s="5"/>
      <c r="C1051" s="5"/>
      <c r="D1051" s="5"/>
      <c r="E1051" s="6"/>
      <c r="F1051" s="6"/>
      <c r="G1051" s="18"/>
      <c r="I1051" s="16"/>
      <c r="J1051" s="9"/>
      <c r="K1051" s="10"/>
      <c r="L1051" s="6"/>
      <c r="M1051" s="11"/>
      <c r="N1051" s="6"/>
      <c r="O1051" s="6"/>
      <c r="P1051" s="10"/>
      <c r="Q1051" s="6"/>
      <c r="R1051" s="6"/>
      <c r="S1051" s="6"/>
      <c r="T1051" s="6"/>
      <c r="U1051" s="9"/>
      <c r="AI1051" s="6"/>
      <c r="AJ1051" s="12"/>
      <c r="AL1051" s="13"/>
    </row>
    <row r="1052">
      <c r="A1052" s="5"/>
      <c r="B1052" s="5"/>
      <c r="C1052" s="5"/>
      <c r="D1052" s="5"/>
      <c r="E1052" s="6"/>
      <c r="F1052" s="6"/>
      <c r="G1052" s="18"/>
      <c r="I1052" s="16"/>
      <c r="J1052" s="9"/>
      <c r="K1052" s="10"/>
      <c r="L1052" s="6"/>
      <c r="M1052" s="11"/>
      <c r="N1052" s="6"/>
      <c r="O1052" s="6"/>
      <c r="P1052" s="10"/>
      <c r="Q1052" s="6"/>
      <c r="R1052" s="6"/>
      <c r="S1052" s="6"/>
      <c r="T1052" s="6"/>
      <c r="U1052" s="9"/>
      <c r="AI1052" s="6"/>
      <c r="AJ1052" s="12"/>
      <c r="AL1052" s="13"/>
    </row>
    <row r="1053">
      <c r="A1053" s="5"/>
      <c r="B1053" s="5"/>
      <c r="C1053" s="5"/>
      <c r="D1053" s="5"/>
      <c r="E1053" s="6"/>
      <c r="F1053" s="6"/>
      <c r="G1053" s="18"/>
      <c r="I1053" s="16"/>
      <c r="J1053" s="9"/>
      <c r="K1053" s="10"/>
      <c r="L1053" s="6"/>
      <c r="M1053" s="11"/>
      <c r="N1053" s="6"/>
      <c r="O1053" s="6"/>
      <c r="P1053" s="10"/>
      <c r="Q1053" s="6"/>
      <c r="R1053" s="6"/>
      <c r="S1053" s="6"/>
      <c r="T1053" s="6"/>
      <c r="U1053" s="9"/>
      <c r="AI1053" s="6"/>
      <c r="AJ1053" s="12"/>
      <c r="AL1053" s="13"/>
    </row>
    <row r="1054">
      <c r="A1054" s="5"/>
      <c r="B1054" s="5"/>
      <c r="C1054" s="5"/>
      <c r="D1054" s="5"/>
      <c r="E1054" s="6"/>
      <c r="F1054" s="6"/>
      <c r="G1054" s="18"/>
      <c r="I1054" s="16"/>
      <c r="J1054" s="9"/>
      <c r="K1054" s="10"/>
      <c r="L1054" s="6"/>
      <c r="M1054" s="11"/>
      <c r="N1054" s="6"/>
      <c r="O1054" s="6"/>
      <c r="P1054" s="10"/>
      <c r="Q1054" s="6"/>
      <c r="R1054" s="6"/>
      <c r="S1054" s="6"/>
      <c r="T1054" s="6"/>
      <c r="U1054" s="9"/>
      <c r="AI1054" s="6"/>
      <c r="AJ1054" s="12"/>
      <c r="AL1054" s="13"/>
    </row>
    <row r="1055">
      <c r="A1055" s="5"/>
      <c r="B1055" s="5"/>
      <c r="C1055" s="5"/>
      <c r="D1055" s="5"/>
      <c r="E1055" s="6"/>
      <c r="F1055" s="6"/>
      <c r="G1055" s="18"/>
      <c r="I1055" s="16"/>
      <c r="J1055" s="9"/>
      <c r="K1055" s="10"/>
      <c r="L1055" s="6"/>
      <c r="M1055" s="11"/>
      <c r="N1055" s="6"/>
      <c r="O1055" s="6"/>
      <c r="P1055" s="10"/>
      <c r="Q1055" s="6"/>
      <c r="R1055" s="6"/>
      <c r="S1055" s="6"/>
      <c r="T1055" s="6"/>
      <c r="U1055" s="9"/>
      <c r="AI1055" s="6"/>
      <c r="AJ1055" s="12"/>
      <c r="AL1055" s="13"/>
    </row>
    <row r="1056">
      <c r="A1056" s="5"/>
      <c r="B1056" s="5"/>
      <c r="C1056" s="5"/>
      <c r="D1056" s="5"/>
      <c r="E1056" s="6"/>
      <c r="F1056" s="6"/>
      <c r="G1056" s="18"/>
      <c r="I1056" s="16"/>
      <c r="J1056" s="9"/>
      <c r="K1056" s="10"/>
      <c r="L1056" s="6"/>
      <c r="M1056" s="11"/>
      <c r="N1056" s="6"/>
      <c r="O1056" s="6"/>
      <c r="P1056" s="10"/>
      <c r="Q1056" s="6"/>
      <c r="R1056" s="6"/>
      <c r="S1056" s="6"/>
      <c r="T1056" s="6"/>
      <c r="U1056" s="9"/>
      <c r="AI1056" s="6"/>
      <c r="AJ1056" s="12"/>
      <c r="AL1056" s="13"/>
    </row>
    <row r="1057">
      <c r="A1057" s="5"/>
      <c r="B1057" s="5"/>
      <c r="C1057" s="5"/>
      <c r="D1057" s="5"/>
      <c r="E1057" s="6"/>
      <c r="F1057" s="6"/>
      <c r="G1057" s="18"/>
      <c r="I1057" s="16"/>
      <c r="J1057" s="9"/>
      <c r="K1057" s="10"/>
      <c r="L1057" s="6"/>
      <c r="M1057" s="11"/>
      <c r="N1057" s="6"/>
      <c r="O1057" s="6"/>
      <c r="P1057" s="10"/>
      <c r="Q1057" s="6"/>
      <c r="R1057" s="6"/>
      <c r="S1057" s="6"/>
      <c r="T1057" s="6"/>
      <c r="U1057" s="9"/>
      <c r="AI1057" s="6"/>
      <c r="AJ1057" s="12"/>
      <c r="AL1057" s="13"/>
    </row>
    <row r="1058">
      <c r="A1058" s="5"/>
      <c r="B1058" s="5"/>
      <c r="C1058" s="5"/>
      <c r="D1058" s="5"/>
      <c r="E1058" s="6"/>
      <c r="F1058" s="6"/>
      <c r="G1058" s="18"/>
      <c r="I1058" s="16"/>
      <c r="J1058" s="9"/>
      <c r="K1058" s="10"/>
      <c r="L1058" s="6"/>
      <c r="M1058" s="11"/>
      <c r="N1058" s="6"/>
      <c r="O1058" s="6"/>
      <c r="P1058" s="10"/>
      <c r="Q1058" s="6"/>
      <c r="R1058" s="6"/>
      <c r="S1058" s="6"/>
      <c r="T1058" s="6"/>
      <c r="U1058" s="9"/>
      <c r="AI1058" s="6"/>
      <c r="AJ1058" s="12"/>
      <c r="AL1058" s="13"/>
    </row>
    <row r="1059">
      <c r="A1059" s="5"/>
      <c r="B1059" s="5"/>
      <c r="C1059" s="5"/>
      <c r="D1059" s="5"/>
      <c r="E1059" s="6"/>
      <c r="F1059" s="6"/>
      <c r="G1059" s="18"/>
      <c r="I1059" s="16"/>
      <c r="J1059" s="9"/>
      <c r="K1059" s="10"/>
      <c r="L1059" s="6"/>
      <c r="M1059" s="11"/>
      <c r="N1059" s="6"/>
      <c r="O1059" s="6"/>
      <c r="P1059" s="10"/>
      <c r="Q1059" s="6"/>
      <c r="R1059" s="6"/>
      <c r="S1059" s="6"/>
      <c r="T1059" s="6"/>
      <c r="U1059" s="9"/>
      <c r="AI1059" s="6"/>
      <c r="AJ1059" s="12"/>
      <c r="AL1059" s="13"/>
    </row>
    <row r="1060">
      <c r="A1060" s="5"/>
      <c r="B1060" s="5"/>
      <c r="C1060" s="5"/>
      <c r="D1060" s="5"/>
      <c r="E1060" s="6"/>
      <c r="F1060" s="6"/>
      <c r="G1060" s="18"/>
      <c r="I1060" s="16"/>
      <c r="J1060" s="9"/>
      <c r="K1060" s="10"/>
      <c r="L1060" s="6"/>
      <c r="M1060" s="11"/>
      <c r="N1060" s="6"/>
      <c r="O1060" s="6"/>
      <c r="P1060" s="10"/>
      <c r="Q1060" s="6"/>
      <c r="R1060" s="6"/>
      <c r="S1060" s="6"/>
      <c r="T1060" s="6"/>
      <c r="U1060" s="9"/>
      <c r="AI1060" s="6"/>
      <c r="AJ1060" s="12"/>
      <c r="AL1060" s="13"/>
    </row>
    <row r="1061">
      <c r="A1061" s="5"/>
      <c r="B1061" s="5"/>
      <c r="C1061" s="5"/>
      <c r="D1061" s="5"/>
      <c r="E1061" s="6"/>
      <c r="F1061" s="6"/>
      <c r="G1061" s="18"/>
      <c r="I1061" s="16"/>
      <c r="J1061" s="9"/>
      <c r="K1061" s="10"/>
      <c r="L1061" s="6"/>
      <c r="M1061" s="11"/>
      <c r="N1061" s="6"/>
      <c r="O1061" s="6"/>
      <c r="P1061" s="10"/>
      <c r="Q1061" s="6"/>
      <c r="R1061" s="6"/>
      <c r="S1061" s="6"/>
      <c r="T1061" s="6"/>
      <c r="U1061" s="9"/>
      <c r="AI1061" s="6"/>
      <c r="AJ1061" s="12"/>
      <c r="AL1061" s="13"/>
    </row>
    <row r="1062">
      <c r="A1062" s="5"/>
      <c r="B1062" s="5"/>
      <c r="C1062" s="5"/>
      <c r="D1062" s="5"/>
      <c r="E1062" s="6"/>
      <c r="F1062" s="6"/>
      <c r="G1062" s="18"/>
      <c r="I1062" s="16"/>
      <c r="J1062" s="9"/>
      <c r="K1062" s="10"/>
      <c r="L1062" s="6"/>
      <c r="M1062" s="11"/>
      <c r="N1062" s="6"/>
      <c r="O1062" s="6"/>
      <c r="P1062" s="10"/>
      <c r="Q1062" s="6"/>
      <c r="R1062" s="6"/>
      <c r="S1062" s="6"/>
      <c r="T1062" s="6"/>
      <c r="U1062" s="9"/>
      <c r="AI1062" s="6"/>
      <c r="AJ1062" s="12"/>
      <c r="AL1062" s="13"/>
    </row>
    <row r="1063">
      <c r="A1063" s="5"/>
      <c r="B1063" s="5"/>
      <c r="C1063" s="5"/>
      <c r="D1063" s="5"/>
      <c r="E1063" s="6"/>
      <c r="F1063" s="6"/>
      <c r="G1063" s="18"/>
      <c r="I1063" s="16"/>
      <c r="J1063" s="9"/>
      <c r="K1063" s="10"/>
      <c r="L1063" s="6"/>
      <c r="M1063" s="11"/>
      <c r="N1063" s="6"/>
      <c r="O1063" s="6"/>
      <c r="P1063" s="10"/>
      <c r="Q1063" s="6"/>
      <c r="R1063" s="6"/>
      <c r="S1063" s="6"/>
      <c r="T1063" s="6"/>
      <c r="U1063" s="9"/>
      <c r="AI1063" s="6"/>
      <c r="AJ1063" s="12"/>
      <c r="AL1063" s="13"/>
    </row>
    <row r="1064">
      <c r="A1064" s="5"/>
      <c r="B1064" s="5"/>
      <c r="C1064" s="5"/>
      <c r="D1064" s="5"/>
      <c r="E1064" s="6"/>
      <c r="F1064" s="6"/>
      <c r="G1064" s="18"/>
      <c r="I1064" s="16"/>
      <c r="J1064" s="9"/>
      <c r="K1064" s="10"/>
      <c r="L1064" s="6"/>
      <c r="M1064" s="11"/>
      <c r="N1064" s="6"/>
      <c r="O1064" s="6"/>
      <c r="P1064" s="10"/>
      <c r="Q1064" s="6"/>
      <c r="R1064" s="6"/>
      <c r="S1064" s="6"/>
      <c r="T1064" s="6"/>
      <c r="U1064" s="9"/>
      <c r="AI1064" s="6"/>
      <c r="AJ1064" s="12"/>
      <c r="AL1064" s="13"/>
    </row>
    <row r="1065">
      <c r="A1065" s="5"/>
      <c r="B1065" s="5"/>
      <c r="C1065" s="5"/>
      <c r="D1065" s="5"/>
      <c r="E1065" s="6"/>
      <c r="F1065" s="6"/>
      <c r="G1065" s="18"/>
      <c r="I1065" s="16"/>
      <c r="J1065" s="9"/>
      <c r="K1065" s="10"/>
      <c r="L1065" s="6"/>
      <c r="M1065" s="11"/>
      <c r="N1065" s="6"/>
      <c r="O1065" s="6"/>
      <c r="P1065" s="10"/>
      <c r="Q1065" s="6"/>
      <c r="R1065" s="6"/>
      <c r="S1065" s="6"/>
      <c r="T1065" s="6"/>
      <c r="U1065" s="9"/>
      <c r="AI1065" s="6"/>
      <c r="AJ1065" s="12"/>
      <c r="AL1065" s="13"/>
    </row>
    <row r="1066">
      <c r="A1066" s="5"/>
      <c r="B1066" s="5"/>
      <c r="C1066" s="5"/>
      <c r="D1066" s="5"/>
      <c r="E1066" s="6"/>
      <c r="F1066" s="6"/>
      <c r="G1066" s="18"/>
      <c r="I1066" s="16"/>
      <c r="J1066" s="9"/>
      <c r="K1066" s="10"/>
      <c r="L1066" s="6"/>
      <c r="M1066" s="11"/>
      <c r="N1066" s="6"/>
      <c r="O1066" s="6"/>
      <c r="P1066" s="10"/>
      <c r="Q1066" s="6"/>
      <c r="R1066" s="6"/>
      <c r="S1066" s="6"/>
      <c r="T1066" s="6"/>
      <c r="U1066" s="9"/>
      <c r="AI1066" s="6"/>
      <c r="AJ1066" s="12"/>
      <c r="AL1066" s="13"/>
    </row>
    <row r="1067">
      <c r="A1067" s="5"/>
      <c r="B1067" s="5"/>
      <c r="C1067" s="5"/>
      <c r="D1067" s="5"/>
      <c r="E1067" s="6"/>
      <c r="F1067" s="6"/>
      <c r="G1067" s="18"/>
      <c r="I1067" s="16"/>
      <c r="J1067" s="9"/>
      <c r="K1067" s="10"/>
      <c r="L1067" s="6"/>
      <c r="M1067" s="11"/>
      <c r="N1067" s="6"/>
      <c r="O1067" s="6"/>
      <c r="P1067" s="10"/>
      <c r="Q1067" s="6"/>
      <c r="R1067" s="6"/>
      <c r="S1067" s="6"/>
      <c r="T1067" s="6"/>
      <c r="U1067" s="9"/>
      <c r="AI1067" s="6"/>
      <c r="AJ1067" s="12"/>
      <c r="AL1067" s="13"/>
    </row>
    <row r="1068">
      <c r="A1068" s="5"/>
      <c r="B1068" s="5"/>
      <c r="C1068" s="5"/>
      <c r="D1068" s="5"/>
      <c r="E1068" s="6"/>
      <c r="F1068" s="6"/>
      <c r="G1068" s="18"/>
      <c r="I1068" s="16"/>
      <c r="J1068" s="9"/>
      <c r="K1068" s="10"/>
      <c r="L1068" s="6"/>
      <c r="M1068" s="11"/>
      <c r="N1068" s="6"/>
      <c r="O1068" s="6"/>
      <c r="P1068" s="10"/>
      <c r="Q1068" s="6"/>
      <c r="R1068" s="6"/>
      <c r="S1068" s="6"/>
      <c r="T1068" s="6"/>
      <c r="U1068" s="9"/>
      <c r="AI1068" s="6"/>
      <c r="AJ1068" s="12"/>
      <c r="AL1068" s="13"/>
    </row>
    <row r="1069">
      <c r="A1069" s="5"/>
      <c r="B1069" s="5"/>
      <c r="C1069" s="5"/>
      <c r="D1069" s="5"/>
      <c r="E1069" s="6"/>
      <c r="F1069" s="6"/>
      <c r="G1069" s="18"/>
      <c r="I1069" s="16"/>
      <c r="J1069" s="9"/>
      <c r="K1069" s="10"/>
      <c r="L1069" s="6"/>
      <c r="M1069" s="11"/>
      <c r="N1069" s="6"/>
      <c r="O1069" s="6"/>
      <c r="P1069" s="10"/>
      <c r="Q1069" s="6"/>
      <c r="R1069" s="6"/>
      <c r="S1069" s="6"/>
      <c r="T1069" s="6"/>
      <c r="U1069" s="9"/>
      <c r="AI1069" s="6"/>
      <c r="AJ1069" s="12"/>
      <c r="AL1069" s="13"/>
    </row>
    <row r="1070">
      <c r="A1070" s="5"/>
      <c r="B1070" s="5"/>
      <c r="C1070" s="5"/>
      <c r="D1070" s="5"/>
      <c r="E1070" s="6"/>
      <c r="F1070" s="6"/>
      <c r="G1070" s="18"/>
      <c r="I1070" s="16"/>
      <c r="J1070" s="9"/>
      <c r="K1070" s="10"/>
      <c r="L1070" s="6"/>
      <c r="M1070" s="11"/>
      <c r="N1070" s="6"/>
      <c r="O1070" s="6"/>
      <c r="P1070" s="10"/>
      <c r="Q1070" s="6"/>
      <c r="R1070" s="6"/>
      <c r="S1070" s="6"/>
      <c r="T1070" s="6"/>
      <c r="U1070" s="9"/>
      <c r="AI1070" s="6"/>
      <c r="AJ1070" s="12"/>
      <c r="AL1070" s="13"/>
    </row>
    <row r="1071">
      <c r="A1071" s="5"/>
      <c r="B1071" s="5"/>
      <c r="C1071" s="5"/>
      <c r="D1071" s="5"/>
      <c r="E1071" s="6"/>
      <c r="F1071" s="6"/>
      <c r="G1071" s="18"/>
      <c r="I1071" s="16"/>
      <c r="J1071" s="9"/>
      <c r="K1071" s="10"/>
      <c r="L1071" s="6"/>
      <c r="M1071" s="11"/>
      <c r="N1071" s="6"/>
      <c r="O1071" s="6"/>
      <c r="P1071" s="10"/>
      <c r="Q1071" s="6"/>
      <c r="R1071" s="6"/>
      <c r="S1071" s="6"/>
      <c r="T1071" s="6"/>
      <c r="U1071" s="9"/>
      <c r="AI1071" s="6"/>
      <c r="AJ1071" s="12"/>
      <c r="AL1071" s="13"/>
    </row>
    <row r="1072">
      <c r="A1072" s="5"/>
      <c r="B1072" s="5"/>
      <c r="C1072" s="5"/>
      <c r="D1072" s="5"/>
      <c r="E1072" s="6"/>
      <c r="F1072" s="6"/>
      <c r="G1072" s="18"/>
      <c r="I1072" s="16"/>
      <c r="J1072" s="9"/>
      <c r="K1072" s="10"/>
      <c r="L1072" s="6"/>
      <c r="M1072" s="11"/>
      <c r="N1072" s="6"/>
      <c r="O1072" s="6"/>
      <c r="P1072" s="10"/>
      <c r="Q1072" s="6"/>
      <c r="R1072" s="6"/>
      <c r="S1072" s="6"/>
      <c r="T1072" s="6"/>
      <c r="U1072" s="9"/>
      <c r="AI1072" s="6"/>
      <c r="AJ1072" s="12"/>
      <c r="AL1072" s="13"/>
    </row>
    <row r="1073">
      <c r="A1073" s="5"/>
      <c r="B1073" s="5"/>
      <c r="C1073" s="5"/>
      <c r="D1073" s="5"/>
      <c r="E1073" s="6"/>
      <c r="F1073" s="6"/>
      <c r="G1073" s="18"/>
      <c r="I1073" s="16"/>
      <c r="J1073" s="9"/>
      <c r="K1073" s="10"/>
      <c r="L1073" s="6"/>
      <c r="M1073" s="11"/>
      <c r="N1073" s="6"/>
      <c r="O1073" s="6"/>
      <c r="P1073" s="10"/>
      <c r="Q1073" s="6"/>
      <c r="R1073" s="6"/>
      <c r="S1073" s="6"/>
      <c r="T1073" s="6"/>
      <c r="U1073" s="9"/>
      <c r="AI1073" s="6"/>
      <c r="AJ1073" s="12"/>
      <c r="AL1073" s="13"/>
    </row>
    <row r="1074">
      <c r="A1074" s="5"/>
      <c r="B1074" s="5"/>
      <c r="C1074" s="5"/>
      <c r="D1074" s="5"/>
      <c r="E1074" s="6"/>
      <c r="F1074" s="6"/>
      <c r="G1074" s="18"/>
      <c r="I1074" s="16"/>
      <c r="J1074" s="9"/>
      <c r="K1074" s="10"/>
      <c r="L1074" s="6"/>
      <c r="M1074" s="11"/>
      <c r="N1074" s="6"/>
      <c r="O1074" s="6"/>
      <c r="P1074" s="10"/>
      <c r="Q1074" s="6"/>
      <c r="R1074" s="6"/>
      <c r="S1074" s="6"/>
      <c r="T1074" s="6"/>
      <c r="U1074" s="9"/>
      <c r="AI1074" s="6"/>
      <c r="AJ1074" s="12"/>
      <c r="AL1074" s="13"/>
    </row>
    <row r="1075">
      <c r="A1075" s="5"/>
      <c r="B1075" s="5"/>
      <c r="C1075" s="5"/>
      <c r="D1075" s="5"/>
      <c r="E1075" s="6"/>
      <c r="F1075" s="6"/>
      <c r="G1075" s="18"/>
      <c r="I1075" s="16"/>
      <c r="J1075" s="9"/>
      <c r="K1075" s="10"/>
      <c r="L1075" s="6"/>
      <c r="M1075" s="11"/>
      <c r="N1075" s="6"/>
      <c r="O1075" s="6"/>
      <c r="P1075" s="10"/>
      <c r="Q1075" s="6"/>
      <c r="R1075" s="6"/>
      <c r="S1075" s="6"/>
      <c r="T1075" s="6"/>
      <c r="U1075" s="9"/>
      <c r="AI1075" s="6"/>
      <c r="AJ1075" s="12"/>
      <c r="AL1075" s="13"/>
    </row>
    <row r="1076">
      <c r="A1076" s="5"/>
      <c r="B1076" s="5"/>
      <c r="C1076" s="5"/>
      <c r="D1076" s="5"/>
      <c r="E1076" s="6"/>
      <c r="F1076" s="6"/>
      <c r="G1076" s="18"/>
      <c r="I1076" s="16"/>
      <c r="J1076" s="9"/>
      <c r="K1076" s="10"/>
      <c r="L1076" s="6"/>
      <c r="M1076" s="11"/>
      <c r="N1076" s="6"/>
      <c r="O1076" s="6"/>
      <c r="P1076" s="10"/>
      <c r="Q1076" s="6"/>
      <c r="R1076" s="6"/>
      <c r="S1076" s="6"/>
      <c r="T1076" s="6"/>
      <c r="U1076" s="9"/>
      <c r="AI1076" s="6"/>
      <c r="AJ1076" s="12"/>
      <c r="AL1076" s="13"/>
    </row>
    <row r="1077">
      <c r="A1077" s="5"/>
      <c r="B1077" s="5"/>
      <c r="C1077" s="5"/>
      <c r="D1077" s="5"/>
      <c r="E1077" s="6"/>
      <c r="F1077" s="6"/>
      <c r="G1077" s="18"/>
      <c r="I1077" s="16"/>
      <c r="J1077" s="9"/>
      <c r="K1077" s="10"/>
      <c r="L1077" s="6"/>
      <c r="M1077" s="11"/>
      <c r="N1077" s="6"/>
      <c r="O1077" s="6"/>
      <c r="P1077" s="10"/>
      <c r="Q1077" s="6"/>
      <c r="R1077" s="6"/>
      <c r="S1077" s="6"/>
      <c r="T1077" s="6"/>
      <c r="U1077" s="9"/>
      <c r="AI1077" s="6"/>
      <c r="AJ1077" s="12"/>
      <c r="AL1077" s="13"/>
    </row>
    <row r="1078">
      <c r="A1078" s="5"/>
      <c r="B1078" s="5"/>
      <c r="C1078" s="5"/>
      <c r="D1078" s="5"/>
      <c r="E1078" s="6"/>
      <c r="F1078" s="6"/>
      <c r="G1078" s="18"/>
      <c r="I1078" s="16"/>
      <c r="J1078" s="9"/>
      <c r="K1078" s="10"/>
      <c r="L1078" s="6"/>
      <c r="M1078" s="11"/>
      <c r="N1078" s="6"/>
      <c r="O1078" s="6"/>
      <c r="P1078" s="10"/>
      <c r="Q1078" s="6"/>
      <c r="R1078" s="6"/>
      <c r="S1078" s="6"/>
      <c r="T1078" s="6"/>
      <c r="U1078" s="9"/>
      <c r="AI1078" s="6"/>
      <c r="AJ1078" s="12"/>
      <c r="AL1078" s="13"/>
    </row>
    <row r="1079">
      <c r="A1079" s="5"/>
      <c r="B1079" s="5"/>
      <c r="C1079" s="5"/>
      <c r="D1079" s="5"/>
      <c r="E1079" s="6"/>
      <c r="F1079" s="6"/>
      <c r="G1079" s="18"/>
      <c r="I1079" s="16"/>
      <c r="J1079" s="9"/>
      <c r="K1079" s="10"/>
      <c r="L1079" s="6"/>
      <c r="M1079" s="11"/>
      <c r="N1079" s="6"/>
      <c r="O1079" s="6"/>
      <c r="P1079" s="10"/>
      <c r="Q1079" s="6"/>
      <c r="R1079" s="6"/>
      <c r="S1079" s="6"/>
      <c r="T1079" s="6"/>
      <c r="U1079" s="9"/>
      <c r="AI1079" s="6"/>
      <c r="AJ1079" s="12"/>
      <c r="AL1079" s="13"/>
    </row>
    <row r="1080">
      <c r="A1080" s="5"/>
      <c r="B1080" s="5"/>
      <c r="C1080" s="5"/>
      <c r="D1080" s="5"/>
      <c r="E1080" s="6"/>
      <c r="F1080" s="6"/>
      <c r="G1080" s="18"/>
      <c r="I1080" s="16"/>
      <c r="J1080" s="9"/>
      <c r="K1080" s="10"/>
      <c r="L1080" s="6"/>
      <c r="M1080" s="11"/>
      <c r="N1080" s="6"/>
      <c r="O1080" s="6"/>
      <c r="P1080" s="10"/>
      <c r="Q1080" s="6"/>
      <c r="R1080" s="6"/>
      <c r="S1080" s="6"/>
      <c r="T1080" s="6"/>
      <c r="U1080" s="9"/>
      <c r="AI1080" s="6"/>
      <c r="AJ1080" s="12"/>
      <c r="AL1080" s="13"/>
    </row>
    <row r="1081">
      <c r="A1081" s="5"/>
      <c r="B1081" s="5"/>
      <c r="C1081" s="5"/>
      <c r="D1081" s="5"/>
      <c r="E1081" s="6"/>
      <c r="F1081" s="6"/>
      <c r="G1081" s="18"/>
      <c r="I1081" s="16"/>
      <c r="J1081" s="9"/>
      <c r="K1081" s="10"/>
      <c r="L1081" s="6"/>
      <c r="M1081" s="11"/>
      <c r="N1081" s="6"/>
      <c r="O1081" s="6"/>
      <c r="P1081" s="10"/>
      <c r="Q1081" s="6"/>
      <c r="R1081" s="6"/>
      <c r="S1081" s="6"/>
      <c r="T1081" s="6"/>
      <c r="U1081" s="9"/>
      <c r="AI1081" s="6"/>
      <c r="AJ1081" s="12"/>
      <c r="AL1081" s="13"/>
    </row>
    <row r="1082">
      <c r="A1082" s="5"/>
      <c r="B1082" s="5"/>
      <c r="C1082" s="5"/>
      <c r="D1082" s="5"/>
      <c r="E1082" s="6"/>
      <c r="F1082" s="6"/>
      <c r="G1082" s="18"/>
      <c r="I1082" s="16"/>
      <c r="J1082" s="9"/>
      <c r="K1082" s="10"/>
      <c r="L1082" s="6"/>
      <c r="M1082" s="11"/>
      <c r="N1082" s="6"/>
      <c r="O1082" s="6"/>
      <c r="P1082" s="10"/>
      <c r="Q1082" s="6"/>
      <c r="R1082" s="6"/>
      <c r="S1082" s="6"/>
      <c r="T1082" s="6"/>
      <c r="U1082" s="9"/>
      <c r="AI1082" s="6"/>
      <c r="AJ1082" s="12"/>
      <c r="AL1082" s="13"/>
    </row>
    <row r="1083">
      <c r="A1083" s="5"/>
      <c r="B1083" s="5"/>
      <c r="C1083" s="5"/>
      <c r="D1083" s="5"/>
      <c r="E1083" s="6"/>
      <c r="F1083" s="6"/>
      <c r="G1083" s="18"/>
      <c r="I1083" s="16"/>
      <c r="J1083" s="9"/>
      <c r="K1083" s="10"/>
      <c r="L1083" s="6"/>
      <c r="M1083" s="11"/>
      <c r="N1083" s="6"/>
      <c r="O1083" s="6"/>
      <c r="P1083" s="10"/>
      <c r="Q1083" s="6"/>
      <c r="R1083" s="6"/>
      <c r="S1083" s="6"/>
      <c r="T1083" s="6"/>
      <c r="U1083" s="9"/>
      <c r="AI1083" s="6"/>
      <c r="AJ1083" s="12"/>
      <c r="AL1083" s="13"/>
    </row>
    <row r="1084">
      <c r="A1084" s="5"/>
      <c r="B1084" s="5"/>
      <c r="C1084" s="5"/>
      <c r="D1084" s="5"/>
      <c r="E1084" s="6"/>
      <c r="F1084" s="6"/>
      <c r="G1084" s="18"/>
      <c r="I1084" s="16"/>
      <c r="J1084" s="9"/>
      <c r="K1084" s="10"/>
      <c r="L1084" s="6"/>
      <c r="M1084" s="11"/>
      <c r="N1084" s="6"/>
      <c r="O1084" s="6"/>
      <c r="P1084" s="10"/>
      <c r="Q1084" s="6"/>
      <c r="R1084" s="6"/>
      <c r="S1084" s="6"/>
      <c r="T1084" s="6"/>
      <c r="U1084" s="9"/>
      <c r="AI1084" s="6"/>
      <c r="AJ1084" s="12"/>
      <c r="AL1084" s="13"/>
    </row>
    <row r="1085">
      <c r="A1085" s="5"/>
      <c r="B1085" s="5"/>
      <c r="C1085" s="5"/>
      <c r="D1085" s="5"/>
      <c r="E1085" s="6"/>
      <c r="F1085" s="6"/>
      <c r="G1085" s="18"/>
      <c r="I1085" s="16"/>
      <c r="J1085" s="9"/>
      <c r="K1085" s="10"/>
      <c r="L1085" s="6"/>
      <c r="M1085" s="11"/>
      <c r="N1085" s="6"/>
      <c r="O1085" s="6"/>
      <c r="P1085" s="10"/>
      <c r="Q1085" s="6"/>
      <c r="R1085" s="6"/>
      <c r="S1085" s="6"/>
      <c r="T1085" s="6"/>
      <c r="U1085" s="9"/>
      <c r="AI1085" s="6"/>
      <c r="AJ1085" s="12"/>
      <c r="AL1085" s="13"/>
    </row>
    <row r="1086">
      <c r="A1086" s="5"/>
      <c r="B1086" s="5"/>
      <c r="C1086" s="5"/>
      <c r="D1086" s="5"/>
      <c r="E1086" s="6"/>
      <c r="F1086" s="6"/>
      <c r="G1086" s="18"/>
      <c r="I1086" s="16"/>
      <c r="J1086" s="9"/>
      <c r="K1086" s="10"/>
      <c r="L1086" s="6"/>
      <c r="M1086" s="11"/>
      <c r="N1086" s="6"/>
      <c r="O1086" s="6"/>
      <c r="P1086" s="10"/>
      <c r="Q1086" s="6"/>
      <c r="R1086" s="6"/>
      <c r="S1086" s="6"/>
      <c r="T1086" s="6"/>
      <c r="U1086" s="9"/>
      <c r="AI1086" s="6"/>
      <c r="AJ1086" s="12"/>
      <c r="AL1086" s="13"/>
    </row>
    <row r="1087">
      <c r="A1087" s="5"/>
      <c r="B1087" s="5"/>
      <c r="C1087" s="5"/>
      <c r="D1087" s="5"/>
      <c r="E1087" s="6"/>
      <c r="F1087" s="6"/>
      <c r="G1087" s="18"/>
      <c r="I1087" s="16"/>
      <c r="J1087" s="9"/>
      <c r="K1087" s="10"/>
      <c r="L1087" s="6"/>
      <c r="M1087" s="11"/>
      <c r="N1087" s="6"/>
      <c r="O1087" s="6"/>
      <c r="P1087" s="10"/>
      <c r="Q1087" s="6"/>
      <c r="R1087" s="6"/>
      <c r="S1087" s="6"/>
      <c r="T1087" s="6"/>
      <c r="U1087" s="9"/>
      <c r="AI1087" s="6"/>
      <c r="AJ1087" s="12"/>
      <c r="AL1087" s="13"/>
    </row>
    <row r="1088">
      <c r="A1088" s="5"/>
      <c r="B1088" s="5"/>
      <c r="C1088" s="5"/>
      <c r="D1088" s="5"/>
      <c r="E1088" s="6"/>
      <c r="F1088" s="6"/>
      <c r="G1088" s="18"/>
      <c r="I1088" s="16"/>
      <c r="J1088" s="9"/>
      <c r="K1088" s="10"/>
      <c r="L1088" s="6"/>
      <c r="M1088" s="11"/>
      <c r="N1088" s="6"/>
      <c r="O1088" s="6"/>
      <c r="P1088" s="10"/>
      <c r="Q1088" s="6"/>
      <c r="R1088" s="6"/>
      <c r="S1088" s="6"/>
      <c r="T1088" s="6"/>
      <c r="U1088" s="9"/>
      <c r="AI1088" s="6"/>
      <c r="AJ1088" s="12"/>
      <c r="AL1088" s="13"/>
    </row>
    <row r="1089">
      <c r="A1089" s="5"/>
      <c r="B1089" s="5"/>
      <c r="C1089" s="5"/>
      <c r="D1089" s="5"/>
      <c r="E1089" s="6"/>
      <c r="F1089" s="6"/>
      <c r="G1089" s="18"/>
      <c r="I1089" s="16"/>
      <c r="J1089" s="9"/>
      <c r="K1089" s="10"/>
      <c r="L1089" s="6"/>
      <c r="M1089" s="11"/>
      <c r="N1089" s="6"/>
      <c r="O1089" s="6"/>
      <c r="P1089" s="10"/>
      <c r="Q1089" s="6"/>
      <c r="R1089" s="6"/>
      <c r="S1089" s="6"/>
      <c r="T1089" s="6"/>
      <c r="U1089" s="9"/>
      <c r="AI1089" s="6"/>
      <c r="AJ1089" s="12"/>
      <c r="AL1089" s="13"/>
    </row>
    <row r="1090">
      <c r="A1090" s="5"/>
      <c r="B1090" s="5"/>
      <c r="C1090" s="5"/>
      <c r="D1090" s="5"/>
      <c r="E1090" s="6"/>
      <c r="F1090" s="6"/>
      <c r="G1090" s="18"/>
      <c r="I1090" s="16"/>
      <c r="J1090" s="9"/>
      <c r="K1090" s="10"/>
      <c r="L1090" s="6"/>
      <c r="M1090" s="11"/>
      <c r="N1090" s="6"/>
      <c r="O1090" s="6"/>
      <c r="P1090" s="10"/>
      <c r="Q1090" s="6"/>
      <c r="R1090" s="6"/>
      <c r="S1090" s="6"/>
      <c r="T1090" s="6"/>
      <c r="U1090" s="9"/>
      <c r="AI1090" s="6"/>
      <c r="AJ1090" s="12"/>
      <c r="AL1090" s="13"/>
    </row>
    <row r="1091">
      <c r="A1091" s="5"/>
      <c r="B1091" s="5"/>
      <c r="C1091" s="5"/>
      <c r="D1091" s="5"/>
      <c r="E1091" s="6"/>
      <c r="F1091" s="6"/>
      <c r="G1091" s="18"/>
      <c r="I1091" s="16"/>
      <c r="J1091" s="9"/>
      <c r="K1091" s="10"/>
      <c r="L1091" s="6"/>
      <c r="M1091" s="11"/>
      <c r="N1091" s="6"/>
      <c r="O1091" s="6"/>
      <c r="P1091" s="10"/>
      <c r="Q1091" s="6"/>
      <c r="R1091" s="6"/>
      <c r="S1091" s="6"/>
      <c r="T1091" s="6"/>
      <c r="U1091" s="9"/>
      <c r="AI1091" s="6"/>
      <c r="AJ1091" s="12"/>
      <c r="AL1091" s="13"/>
    </row>
    <row r="1092">
      <c r="A1092" s="5"/>
      <c r="B1092" s="5"/>
      <c r="C1092" s="5"/>
      <c r="D1092" s="5"/>
      <c r="E1092" s="6"/>
      <c r="F1092" s="6"/>
      <c r="G1092" s="18"/>
      <c r="I1092" s="16"/>
      <c r="J1092" s="9"/>
      <c r="K1092" s="10"/>
      <c r="L1092" s="6"/>
      <c r="M1092" s="11"/>
      <c r="N1092" s="6"/>
      <c r="O1092" s="6"/>
      <c r="P1092" s="10"/>
      <c r="Q1092" s="6"/>
      <c r="R1092" s="6"/>
      <c r="S1092" s="6"/>
      <c r="T1092" s="6"/>
      <c r="U1092" s="9"/>
      <c r="AI1092" s="6"/>
      <c r="AJ1092" s="12"/>
      <c r="AL1092" s="13"/>
    </row>
    <row r="1093">
      <c r="A1093" s="5"/>
      <c r="B1093" s="5"/>
      <c r="C1093" s="5"/>
      <c r="D1093" s="5"/>
      <c r="E1093" s="6"/>
      <c r="F1093" s="6"/>
      <c r="G1093" s="18"/>
      <c r="I1093" s="16"/>
      <c r="J1093" s="9"/>
      <c r="K1093" s="10"/>
      <c r="L1093" s="6"/>
      <c r="M1093" s="11"/>
      <c r="N1093" s="6"/>
      <c r="O1093" s="6"/>
      <c r="P1093" s="10"/>
      <c r="Q1093" s="6"/>
      <c r="R1093" s="6"/>
      <c r="S1093" s="6"/>
      <c r="T1093" s="6"/>
      <c r="U1093" s="9"/>
      <c r="AI1093" s="6"/>
      <c r="AJ1093" s="12"/>
      <c r="AL1093" s="13"/>
    </row>
    <row r="1094">
      <c r="A1094" s="5"/>
      <c r="B1094" s="5"/>
      <c r="C1094" s="5"/>
      <c r="D1094" s="5"/>
      <c r="E1094" s="6"/>
      <c r="F1094" s="6"/>
      <c r="G1094" s="18"/>
      <c r="I1094" s="16"/>
      <c r="J1094" s="9"/>
      <c r="K1094" s="10"/>
      <c r="L1094" s="6"/>
      <c r="M1094" s="11"/>
      <c r="N1094" s="6"/>
      <c r="O1094" s="6"/>
      <c r="P1094" s="10"/>
      <c r="Q1094" s="6"/>
      <c r="R1094" s="6"/>
      <c r="S1094" s="6"/>
      <c r="T1094" s="6"/>
      <c r="U1094" s="9"/>
      <c r="AI1094" s="6"/>
      <c r="AJ1094" s="12"/>
      <c r="AL1094" s="13"/>
    </row>
    <row r="1095">
      <c r="A1095" s="5"/>
      <c r="B1095" s="5"/>
      <c r="C1095" s="5"/>
      <c r="D1095" s="5"/>
      <c r="E1095" s="6"/>
      <c r="F1095" s="6"/>
      <c r="G1095" s="18"/>
      <c r="I1095" s="16"/>
      <c r="J1095" s="9"/>
      <c r="K1095" s="10"/>
      <c r="L1095" s="6"/>
      <c r="M1095" s="11"/>
      <c r="N1095" s="6"/>
      <c r="O1095" s="6"/>
      <c r="P1095" s="10"/>
      <c r="Q1095" s="6"/>
      <c r="R1095" s="6"/>
      <c r="S1095" s="6"/>
      <c r="T1095" s="6"/>
      <c r="U1095" s="9"/>
      <c r="AI1095" s="6"/>
      <c r="AJ1095" s="12"/>
      <c r="AL1095" s="13"/>
    </row>
    <row r="1096">
      <c r="A1096" s="5"/>
      <c r="B1096" s="5"/>
      <c r="C1096" s="5"/>
      <c r="D1096" s="5"/>
      <c r="E1096" s="6"/>
      <c r="F1096" s="6"/>
      <c r="G1096" s="18"/>
      <c r="I1096" s="16"/>
      <c r="J1096" s="9"/>
      <c r="K1096" s="10"/>
      <c r="L1096" s="6"/>
      <c r="M1096" s="11"/>
      <c r="N1096" s="6"/>
      <c r="O1096" s="6"/>
      <c r="P1096" s="10"/>
      <c r="Q1096" s="6"/>
      <c r="R1096" s="6"/>
      <c r="S1096" s="6"/>
      <c r="T1096" s="6"/>
      <c r="U1096" s="9"/>
      <c r="AI1096" s="6"/>
      <c r="AJ1096" s="12"/>
      <c r="AL1096" s="13"/>
    </row>
    <row r="1097">
      <c r="A1097" s="5"/>
      <c r="B1097" s="5"/>
      <c r="C1097" s="5"/>
      <c r="D1097" s="5"/>
      <c r="E1097" s="6"/>
      <c r="F1097" s="6"/>
      <c r="G1097" s="18"/>
      <c r="I1097" s="16"/>
      <c r="J1097" s="9"/>
      <c r="K1097" s="10"/>
      <c r="L1097" s="6"/>
      <c r="M1097" s="11"/>
      <c r="N1097" s="6"/>
      <c r="O1097" s="6"/>
      <c r="P1097" s="10"/>
      <c r="Q1097" s="6"/>
      <c r="R1097" s="6"/>
      <c r="S1097" s="6"/>
      <c r="T1097" s="6"/>
      <c r="U1097" s="9"/>
      <c r="AI1097" s="6"/>
      <c r="AJ1097" s="12"/>
      <c r="AL1097" s="13"/>
    </row>
    <row r="1098">
      <c r="A1098" s="5"/>
      <c r="B1098" s="5"/>
      <c r="C1098" s="5"/>
      <c r="D1098" s="5"/>
      <c r="E1098" s="6"/>
      <c r="F1098" s="6"/>
      <c r="G1098" s="18"/>
      <c r="I1098" s="16"/>
      <c r="J1098" s="9"/>
      <c r="K1098" s="10"/>
      <c r="L1098" s="6"/>
      <c r="M1098" s="11"/>
      <c r="N1098" s="6"/>
      <c r="O1098" s="6"/>
      <c r="P1098" s="10"/>
      <c r="Q1098" s="6"/>
      <c r="R1098" s="6"/>
      <c r="S1098" s="6"/>
      <c r="T1098" s="6"/>
      <c r="U1098" s="9"/>
      <c r="AI1098" s="6"/>
      <c r="AJ1098" s="12"/>
      <c r="AL1098" s="13"/>
    </row>
    <row r="1099">
      <c r="A1099" s="5"/>
      <c r="B1099" s="5"/>
      <c r="C1099" s="5"/>
      <c r="D1099" s="5"/>
      <c r="E1099" s="6"/>
      <c r="F1099" s="6"/>
      <c r="G1099" s="18"/>
      <c r="I1099" s="16"/>
      <c r="J1099" s="9"/>
      <c r="K1099" s="10"/>
      <c r="L1099" s="6"/>
      <c r="M1099" s="11"/>
      <c r="N1099" s="6"/>
      <c r="O1099" s="6"/>
      <c r="P1099" s="10"/>
      <c r="Q1099" s="6"/>
      <c r="R1099" s="6"/>
      <c r="S1099" s="6"/>
      <c r="T1099" s="6"/>
      <c r="U1099" s="9"/>
      <c r="AI1099" s="6"/>
      <c r="AJ1099" s="12"/>
      <c r="AL1099" s="13"/>
    </row>
    <row r="1100">
      <c r="A1100" s="5"/>
      <c r="B1100" s="5"/>
      <c r="C1100" s="5"/>
      <c r="D1100" s="5"/>
      <c r="E1100" s="6"/>
      <c r="F1100" s="6"/>
      <c r="G1100" s="18"/>
      <c r="I1100" s="16"/>
      <c r="J1100" s="9"/>
      <c r="K1100" s="10"/>
      <c r="L1100" s="6"/>
      <c r="M1100" s="11"/>
      <c r="N1100" s="6"/>
      <c r="O1100" s="6"/>
      <c r="P1100" s="10"/>
      <c r="Q1100" s="6"/>
      <c r="R1100" s="6"/>
      <c r="S1100" s="6"/>
      <c r="T1100" s="6"/>
      <c r="U1100" s="9"/>
      <c r="AI1100" s="6"/>
      <c r="AJ1100" s="12"/>
      <c r="AL1100" s="13"/>
    </row>
    <row r="1101">
      <c r="A1101" s="5"/>
      <c r="B1101" s="5"/>
      <c r="C1101" s="5"/>
      <c r="D1101" s="5"/>
      <c r="E1101" s="6"/>
      <c r="F1101" s="6"/>
      <c r="G1101" s="18"/>
      <c r="I1101" s="16"/>
      <c r="J1101" s="9"/>
      <c r="K1101" s="10"/>
      <c r="L1101" s="6"/>
      <c r="M1101" s="11"/>
      <c r="N1101" s="6"/>
      <c r="O1101" s="6"/>
      <c r="P1101" s="10"/>
      <c r="Q1101" s="6"/>
      <c r="R1101" s="6"/>
      <c r="S1101" s="6"/>
      <c r="T1101" s="6"/>
      <c r="U1101" s="9"/>
      <c r="AI1101" s="6"/>
      <c r="AJ1101" s="12"/>
      <c r="AL1101" s="13"/>
    </row>
    <row r="1102">
      <c r="A1102" s="5"/>
      <c r="B1102" s="5"/>
      <c r="C1102" s="5"/>
      <c r="D1102" s="5"/>
      <c r="E1102" s="6"/>
      <c r="F1102" s="6"/>
      <c r="G1102" s="18"/>
      <c r="I1102" s="16"/>
      <c r="J1102" s="9"/>
      <c r="K1102" s="10"/>
      <c r="L1102" s="6"/>
      <c r="M1102" s="11"/>
      <c r="N1102" s="6"/>
      <c r="O1102" s="6"/>
      <c r="P1102" s="10"/>
      <c r="Q1102" s="6"/>
      <c r="R1102" s="6"/>
      <c r="S1102" s="6"/>
      <c r="T1102" s="6"/>
      <c r="U1102" s="9"/>
      <c r="AI1102" s="6"/>
      <c r="AJ1102" s="12"/>
      <c r="AL1102" s="13"/>
    </row>
    <row r="1103">
      <c r="A1103" s="5"/>
      <c r="B1103" s="5"/>
      <c r="C1103" s="5"/>
      <c r="D1103" s="5"/>
      <c r="E1103" s="6"/>
      <c r="F1103" s="6"/>
      <c r="G1103" s="18"/>
      <c r="I1103" s="16"/>
      <c r="J1103" s="9"/>
      <c r="K1103" s="10"/>
      <c r="L1103" s="6"/>
      <c r="M1103" s="11"/>
      <c r="N1103" s="6"/>
      <c r="O1103" s="6"/>
      <c r="P1103" s="10"/>
      <c r="Q1103" s="6"/>
      <c r="R1103" s="6"/>
      <c r="S1103" s="6"/>
      <c r="T1103" s="6"/>
      <c r="U1103" s="9"/>
      <c r="AI1103" s="6"/>
      <c r="AJ1103" s="12"/>
      <c r="AL1103" s="13"/>
    </row>
    <row r="1104">
      <c r="A1104" s="5"/>
      <c r="B1104" s="5"/>
      <c r="C1104" s="5"/>
      <c r="D1104" s="5"/>
      <c r="E1104" s="6"/>
      <c r="F1104" s="6"/>
      <c r="G1104" s="18"/>
      <c r="I1104" s="16"/>
      <c r="J1104" s="9"/>
      <c r="K1104" s="10"/>
      <c r="L1104" s="6"/>
      <c r="M1104" s="11"/>
      <c r="N1104" s="6"/>
      <c r="O1104" s="6"/>
      <c r="P1104" s="10"/>
      <c r="Q1104" s="6"/>
      <c r="R1104" s="6"/>
      <c r="S1104" s="6"/>
      <c r="T1104" s="6"/>
      <c r="U1104" s="9"/>
      <c r="AI1104" s="6"/>
      <c r="AJ1104" s="12"/>
      <c r="AL1104" s="13"/>
    </row>
    <row r="1105">
      <c r="A1105" s="5"/>
      <c r="B1105" s="5"/>
      <c r="C1105" s="5"/>
      <c r="D1105" s="5"/>
      <c r="E1105" s="6"/>
      <c r="F1105" s="6"/>
      <c r="G1105" s="18"/>
      <c r="I1105" s="16"/>
      <c r="J1105" s="9"/>
      <c r="K1105" s="10"/>
      <c r="L1105" s="6"/>
      <c r="M1105" s="11"/>
      <c r="N1105" s="6"/>
      <c r="O1105" s="6"/>
      <c r="P1105" s="10"/>
      <c r="Q1105" s="6"/>
      <c r="R1105" s="6"/>
      <c r="S1105" s="6"/>
      <c r="T1105" s="6"/>
      <c r="U1105" s="9"/>
      <c r="AI1105" s="6"/>
      <c r="AJ1105" s="12"/>
      <c r="AL1105" s="13"/>
    </row>
    <row r="1106">
      <c r="A1106" s="5"/>
      <c r="B1106" s="5"/>
      <c r="C1106" s="5"/>
      <c r="D1106" s="5"/>
      <c r="E1106" s="6"/>
      <c r="F1106" s="6"/>
      <c r="G1106" s="18"/>
      <c r="I1106" s="16"/>
      <c r="J1106" s="9"/>
      <c r="K1106" s="10"/>
      <c r="L1106" s="6"/>
      <c r="M1106" s="11"/>
      <c r="N1106" s="6"/>
      <c r="O1106" s="6"/>
      <c r="P1106" s="10"/>
      <c r="Q1106" s="6"/>
      <c r="R1106" s="6"/>
      <c r="S1106" s="6"/>
      <c r="T1106" s="6"/>
      <c r="U1106" s="9"/>
      <c r="AI1106" s="6"/>
      <c r="AJ1106" s="12"/>
      <c r="AL1106" s="13"/>
    </row>
    <row r="1107">
      <c r="A1107" s="5"/>
      <c r="B1107" s="5"/>
      <c r="C1107" s="5"/>
      <c r="D1107" s="5"/>
      <c r="E1107" s="6"/>
      <c r="F1107" s="6"/>
      <c r="G1107" s="18"/>
      <c r="I1107" s="16"/>
      <c r="J1107" s="9"/>
      <c r="K1107" s="10"/>
      <c r="L1107" s="6"/>
      <c r="M1107" s="11"/>
      <c r="N1107" s="6"/>
      <c r="O1107" s="6"/>
      <c r="P1107" s="10"/>
      <c r="Q1107" s="6"/>
      <c r="R1107" s="6"/>
      <c r="S1107" s="6"/>
      <c r="T1107" s="6"/>
      <c r="U1107" s="9"/>
      <c r="AI1107" s="6"/>
      <c r="AJ1107" s="12"/>
      <c r="AL1107" s="13"/>
    </row>
    <row r="1108">
      <c r="A1108" s="5"/>
      <c r="B1108" s="5"/>
      <c r="C1108" s="5"/>
      <c r="D1108" s="5"/>
      <c r="E1108" s="6"/>
      <c r="F1108" s="6"/>
      <c r="G1108" s="18"/>
      <c r="I1108" s="16"/>
      <c r="J1108" s="9"/>
      <c r="K1108" s="10"/>
      <c r="L1108" s="6"/>
      <c r="M1108" s="11"/>
      <c r="N1108" s="6"/>
      <c r="O1108" s="6"/>
      <c r="P1108" s="10"/>
      <c r="Q1108" s="6"/>
      <c r="R1108" s="6"/>
      <c r="S1108" s="6"/>
      <c r="T1108" s="6"/>
      <c r="U1108" s="9"/>
      <c r="AI1108" s="6"/>
      <c r="AJ1108" s="12"/>
      <c r="AL1108" s="13"/>
    </row>
    <row r="1109">
      <c r="A1109" s="5"/>
      <c r="B1109" s="5"/>
      <c r="C1109" s="5"/>
      <c r="D1109" s="5"/>
      <c r="E1109" s="6"/>
      <c r="F1109" s="6"/>
      <c r="G1109" s="18"/>
      <c r="I1109" s="16"/>
      <c r="J1109" s="9"/>
      <c r="K1109" s="10"/>
      <c r="L1109" s="6"/>
      <c r="M1109" s="11"/>
      <c r="N1109" s="6"/>
      <c r="O1109" s="6"/>
      <c r="P1109" s="10"/>
      <c r="Q1109" s="6"/>
      <c r="R1109" s="6"/>
      <c r="S1109" s="6"/>
      <c r="T1109" s="6"/>
      <c r="U1109" s="9"/>
      <c r="AI1109" s="6"/>
      <c r="AJ1109" s="12"/>
      <c r="AL1109" s="13"/>
    </row>
    <row r="1110">
      <c r="A1110" s="5"/>
      <c r="B1110" s="5"/>
      <c r="C1110" s="5"/>
      <c r="D1110" s="5"/>
      <c r="E1110" s="6"/>
      <c r="F1110" s="6"/>
      <c r="G1110" s="18"/>
      <c r="I1110" s="16"/>
      <c r="J1110" s="9"/>
      <c r="K1110" s="10"/>
      <c r="L1110" s="6"/>
      <c r="M1110" s="11"/>
      <c r="N1110" s="6"/>
      <c r="O1110" s="6"/>
      <c r="P1110" s="10"/>
      <c r="Q1110" s="6"/>
      <c r="R1110" s="6"/>
      <c r="S1110" s="6"/>
      <c r="T1110" s="6"/>
      <c r="U1110" s="9"/>
      <c r="AI1110" s="6"/>
      <c r="AJ1110" s="12"/>
      <c r="AL1110" s="13"/>
    </row>
    <row r="1111">
      <c r="A1111" s="5"/>
      <c r="B1111" s="5"/>
      <c r="C1111" s="5"/>
      <c r="D1111" s="5"/>
      <c r="E1111" s="6"/>
      <c r="F1111" s="6"/>
      <c r="G1111" s="18"/>
      <c r="I1111" s="16"/>
      <c r="J1111" s="9"/>
      <c r="K1111" s="10"/>
      <c r="L1111" s="6"/>
      <c r="M1111" s="11"/>
      <c r="N1111" s="6"/>
      <c r="O1111" s="6"/>
      <c r="P1111" s="10"/>
      <c r="Q1111" s="6"/>
      <c r="R1111" s="6"/>
      <c r="S1111" s="6"/>
      <c r="T1111" s="6"/>
      <c r="U1111" s="9"/>
      <c r="AI1111" s="6"/>
      <c r="AJ1111" s="12"/>
      <c r="AL1111" s="13"/>
    </row>
    <row r="1112">
      <c r="A1112" s="5"/>
      <c r="B1112" s="5"/>
      <c r="C1112" s="5"/>
      <c r="D1112" s="5"/>
      <c r="E1112" s="6"/>
      <c r="F1112" s="6"/>
      <c r="G1112" s="18"/>
      <c r="I1112" s="16"/>
      <c r="J1112" s="9"/>
      <c r="K1112" s="10"/>
      <c r="L1112" s="6"/>
      <c r="M1112" s="11"/>
      <c r="N1112" s="6"/>
      <c r="O1112" s="6"/>
      <c r="P1112" s="10"/>
      <c r="Q1112" s="6"/>
      <c r="R1112" s="6"/>
      <c r="S1112" s="6"/>
      <c r="T1112" s="6"/>
      <c r="U1112" s="9"/>
      <c r="AI1112" s="6"/>
      <c r="AJ1112" s="12"/>
      <c r="AL1112" s="13"/>
    </row>
    <row r="1113">
      <c r="A1113" s="5"/>
      <c r="B1113" s="5"/>
      <c r="C1113" s="5"/>
      <c r="D1113" s="5"/>
      <c r="E1113" s="6"/>
      <c r="F1113" s="6"/>
      <c r="G1113" s="18"/>
      <c r="I1113" s="16"/>
      <c r="J1113" s="9"/>
      <c r="K1113" s="10"/>
      <c r="L1113" s="6"/>
      <c r="M1113" s="11"/>
      <c r="N1113" s="6"/>
      <c r="O1113" s="6"/>
      <c r="P1113" s="10"/>
      <c r="Q1113" s="6"/>
      <c r="R1113" s="6"/>
      <c r="S1113" s="6"/>
      <c r="T1113" s="6"/>
      <c r="U1113" s="9"/>
      <c r="AI1113" s="6"/>
      <c r="AJ1113" s="12"/>
      <c r="AL1113" s="13"/>
    </row>
    <row r="1114">
      <c r="A1114" s="5"/>
      <c r="B1114" s="5"/>
      <c r="C1114" s="5"/>
      <c r="D1114" s="5"/>
      <c r="E1114" s="6"/>
      <c r="F1114" s="6"/>
      <c r="G1114" s="18"/>
      <c r="I1114" s="16"/>
      <c r="J1114" s="9"/>
      <c r="K1114" s="10"/>
      <c r="L1114" s="6"/>
      <c r="M1114" s="11"/>
      <c r="N1114" s="6"/>
      <c r="O1114" s="6"/>
      <c r="P1114" s="10"/>
      <c r="Q1114" s="6"/>
      <c r="R1114" s="6"/>
      <c r="S1114" s="6"/>
      <c r="T1114" s="6"/>
      <c r="U1114" s="9"/>
      <c r="AI1114" s="6"/>
      <c r="AJ1114" s="12"/>
      <c r="AL1114" s="13"/>
    </row>
    <row r="1115">
      <c r="A1115" s="5"/>
      <c r="B1115" s="5"/>
      <c r="C1115" s="5"/>
      <c r="D1115" s="5"/>
      <c r="E1115" s="6"/>
      <c r="F1115" s="6"/>
      <c r="G1115" s="18"/>
      <c r="I1115" s="16"/>
      <c r="J1115" s="9"/>
      <c r="K1115" s="10"/>
      <c r="L1115" s="6"/>
      <c r="M1115" s="11"/>
      <c r="N1115" s="6"/>
      <c r="O1115" s="6"/>
      <c r="P1115" s="10"/>
      <c r="Q1115" s="6"/>
      <c r="R1115" s="6"/>
      <c r="S1115" s="6"/>
      <c r="T1115" s="6"/>
      <c r="U1115" s="9"/>
      <c r="AI1115" s="6"/>
      <c r="AJ1115" s="12"/>
      <c r="AL1115" s="13"/>
    </row>
    <row r="1116">
      <c r="A1116" s="5"/>
      <c r="B1116" s="5"/>
      <c r="C1116" s="5"/>
      <c r="D1116" s="5"/>
      <c r="E1116" s="6"/>
      <c r="F1116" s="6"/>
      <c r="G1116" s="18"/>
      <c r="I1116" s="16"/>
      <c r="J1116" s="9"/>
      <c r="K1116" s="10"/>
      <c r="L1116" s="6"/>
      <c r="M1116" s="11"/>
      <c r="N1116" s="6"/>
      <c r="O1116" s="6"/>
      <c r="P1116" s="10"/>
      <c r="Q1116" s="6"/>
      <c r="R1116" s="6"/>
      <c r="S1116" s="6"/>
      <c r="T1116" s="6"/>
      <c r="U1116" s="9"/>
      <c r="AI1116" s="6"/>
      <c r="AJ1116" s="12"/>
      <c r="AL1116" s="13"/>
    </row>
    <row r="1117">
      <c r="A1117" s="5"/>
      <c r="B1117" s="5"/>
      <c r="C1117" s="5"/>
      <c r="D1117" s="5"/>
      <c r="E1117" s="6"/>
      <c r="F1117" s="6"/>
      <c r="G1117" s="18"/>
      <c r="I1117" s="16"/>
      <c r="J1117" s="9"/>
      <c r="K1117" s="10"/>
      <c r="L1117" s="6"/>
      <c r="M1117" s="11"/>
      <c r="N1117" s="6"/>
      <c r="O1117" s="6"/>
      <c r="P1117" s="10"/>
      <c r="Q1117" s="6"/>
      <c r="R1117" s="6"/>
      <c r="S1117" s="6"/>
      <c r="T1117" s="6"/>
      <c r="U1117" s="9"/>
      <c r="AI1117" s="6"/>
      <c r="AJ1117" s="12"/>
      <c r="AL1117" s="13"/>
    </row>
    <row r="1118">
      <c r="A1118" s="5"/>
      <c r="B1118" s="5"/>
      <c r="C1118" s="5"/>
      <c r="D1118" s="5"/>
      <c r="E1118" s="6"/>
      <c r="F1118" s="6"/>
      <c r="G1118" s="18"/>
      <c r="I1118" s="16"/>
      <c r="J1118" s="9"/>
      <c r="K1118" s="10"/>
      <c r="L1118" s="6"/>
      <c r="M1118" s="11"/>
      <c r="N1118" s="6"/>
      <c r="O1118" s="6"/>
      <c r="P1118" s="10"/>
      <c r="Q1118" s="6"/>
      <c r="R1118" s="6"/>
      <c r="S1118" s="6"/>
      <c r="T1118" s="6"/>
      <c r="U1118" s="9"/>
      <c r="AI1118" s="6"/>
      <c r="AJ1118" s="12"/>
      <c r="AL1118" s="13"/>
    </row>
    <row r="1119">
      <c r="A1119" s="5"/>
      <c r="B1119" s="5"/>
      <c r="C1119" s="5"/>
      <c r="D1119" s="5"/>
      <c r="E1119" s="6"/>
      <c r="F1119" s="6"/>
      <c r="G1119" s="18"/>
      <c r="I1119" s="16"/>
      <c r="J1119" s="9"/>
      <c r="K1119" s="10"/>
      <c r="L1119" s="6"/>
      <c r="M1119" s="11"/>
      <c r="N1119" s="6"/>
      <c r="O1119" s="6"/>
      <c r="P1119" s="10"/>
      <c r="Q1119" s="6"/>
      <c r="R1119" s="6"/>
      <c r="S1119" s="6"/>
      <c r="T1119" s="6"/>
      <c r="U1119" s="9"/>
      <c r="AI1119" s="6"/>
      <c r="AJ1119" s="12"/>
      <c r="AL1119" s="13"/>
    </row>
    <row r="1120">
      <c r="A1120" s="5"/>
      <c r="B1120" s="5"/>
      <c r="C1120" s="5"/>
      <c r="D1120" s="5"/>
      <c r="E1120" s="6"/>
      <c r="F1120" s="6"/>
      <c r="G1120" s="18"/>
      <c r="I1120" s="16"/>
      <c r="J1120" s="9"/>
      <c r="K1120" s="10"/>
      <c r="L1120" s="6"/>
      <c r="M1120" s="11"/>
      <c r="N1120" s="6"/>
      <c r="O1120" s="6"/>
      <c r="P1120" s="10"/>
      <c r="Q1120" s="6"/>
      <c r="R1120" s="6"/>
      <c r="S1120" s="6"/>
      <c r="T1120" s="6"/>
      <c r="U1120" s="9"/>
      <c r="AI1120" s="6"/>
      <c r="AJ1120" s="12"/>
      <c r="AL1120" s="13"/>
    </row>
    <row r="1121">
      <c r="A1121" s="5"/>
      <c r="B1121" s="5"/>
      <c r="C1121" s="5"/>
      <c r="D1121" s="5"/>
      <c r="E1121" s="6"/>
      <c r="F1121" s="6"/>
      <c r="G1121" s="18"/>
      <c r="I1121" s="16"/>
      <c r="J1121" s="9"/>
      <c r="K1121" s="10"/>
      <c r="L1121" s="6"/>
      <c r="M1121" s="11"/>
      <c r="N1121" s="6"/>
      <c r="O1121" s="6"/>
      <c r="P1121" s="10"/>
      <c r="Q1121" s="6"/>
      <c r="R1121" s="6"/>
      <c r="S1121" s="6"/>
      <c r="T1121" s="6"/>
      <c r="U1121" s="9"/>
      <c r="AI1121" s="6"/>
      <c r="AJ1121" s="12"/>
      <c r="AL1121" s="13"/>
    </row>
    <row r="1122">
      <c r="A1122" s="5"/>
      <c r="B1122" s="5"/>
      <c r="C1122" s="5"/>
      <c r="D1122" s="5"/>
      <c r="E1122" s="6"/>
      <c r="F1122" s="6"/>
      <c r="G1122" s="18"/>
      <c r="I1122" s="16"/>
      <c r="J1122" s="9"/>
      <c r="K1122" s="10"/>
      <c r="L1122" s="6"/>
      <c r="M1122" s="11"/>
      <c r="N1122" s="6"/>
      <c r="O1122" s="6"/>
      <c r="P1122" s="10"/>
      <c r="Q1122" s="6"/>
      <c r="R1122" s="6"/>
      <c r="S1122" s="6"/>
      <c r="T1122" s="6"/>
      <c r="U1122" s="9"/>
      <c r="AI1122" s="6"/>
      <c r="AJ1122" s="12"/>
      <c r="AL1122" s="13"/>
    </row>
    <row r="1123">
      <c r="A1123" s="5"/>
      <c r="B1123" s="5"/>
      <c r="C1123" s="5"/>
      <c r="D1123" s="5"/>
      <c r="E1123" s="6"/>
      <c r="F1123" s="6"/>
      <c r="G1123" s="18"/>
      <c r="I1123" s="16"/>
      <c r="J1123" s="9"/>
      <c r="K1123" s="10"/>
      <c r="L1123" s="6"/>
      <c r="M1123" s="11"/>
      <c r="N1123" s="6"/>
      <c r="O1123" s="6"/>
      <c r="P1123" s="10"/>
      <c r="Q1123" s="6"/>
      <c r="R1123" s="6"/>
      <c r="S1123" s="6"/>
      <c r="T1123" s="6"/>
      <c r="U1123" s="9"/>
      <c r="AI1123" s="6"/>
      <c r="AJ1123" s="12"/>
      <c r="AL1123" s="13"/>
    </row>
    <row r="1124">
      <c r="A1124" s="5"/>
      <c r="B1124" s="5"/>
      <c r="C1124" s="5"/>
      <c r="D1124" s="5"/>
      <c r="E1124" s="6"/>
      <c r="F1124" s="6"/>
      <c r="G1124" s="18"/>
      <c r="I1124" s="16"/>
      <c r="J1124" s="9"/>
      <c r="K1124" s="10"/>
      <c r="L1124" s="6"/>
      <c r="M1124" s="11"/>
      <c r="N1124" s="6"/>
      <c r="O1124" s="6"/>
      <c r="P1124" s="10"/>
      <c r="Q1124" s="6"/>
      <c r="R1124" s="6"/>
      <c r="S1124" s="6"/>
      <c r="T1124" s="6"/>
      <c r="U1124" s="9"/>
      <c r="AI1124" s="6"/>
      <c r="AJ1124" s="12"/>
      <c r="AL1124" s="13"/>
    </row>
    <row r="1125">
      <c r="A1125" s="5"/>
      <c r="B1125" s="5"/>
      <c r="C1125" s="5"/>
      <c r="D1125" s="5"/>
      <c r="E1125" s="6"/>
      <c r="F1125" s="6"/>
      <c r="G1125" s="18"/>
      <c r="I1125" s="16"/>
      <c r="J1125" s="9"/>
      <c r="K1125" s="10"/>
      <c r="L1125" s="6"/>
      <c r="M1125" s="11"/>
      <c r="N1125" s="6"/>
      <c r="O1125" s="6"/>
      <c r="P1125" s="10"/>
      <c r="Q1125" s="6"/>
      <c r="R1125" s="6"/>
      <c r="S1125" s="6"/>
      <c r="T1125" s="6"/>
      <c r="U1125" s="9"/>
      <c r="AI1125" s="6"/>
      <c r="AJ1125" s="12"/>
      <c r="AL1125" s="13"/>
    </row>
    <row r="1126">
      <c r="A1126" s="5"/>
      <c r="B1126" s="5"/>
      <c r="C1126" s="5"/>
      <c r="D1126" s="5"/>
      <c r="E1126" s="6"/>
      <c r="F1126" s="6"/>
      <c r="G1126" s="18"/>
      <c r="I1126" s="16"/>
      <c r="J1126" s="9"/>
      <c r="K1126" s="10"/>
      <c r="L1126" s="6"/>
      <c r="M1126" s="11"/>
      <c r="N1126" s="6"/>
      <c r="O1126" s="6"/>
      <c r="P1126" s="10"/>
      <c r="Q1126" s="6"/>
      <c r="R1126" s="6"/>
      <c r="S1126" s="6"/>
      <c r="T1126" s="6"/>
      <c r="U1126" s="9"/>
      <c r="AI1126" s="6"/>
      <c r="AJ1126" s="12"/>
      <c r="AL1126" s="13"/>
    </row>
    <row r="1127">
      <c r="A1127" s="5"/>
      <c r="B1127" s="5"/>
      <c r="C1127" s="5"/>
      <c r="D1127" s="5"/>
      <c r="E1127" s="6"/>
      <c r="F1127" s="6"/>
      <c r="G1127" s="18"/>
      <c r="I1127" s="16"/>
      <c r="J1127" s="9"/>
      <c r="K1127" s="10"/>
      <c r="L1127" s="6"/>
      <c r="M1127" s="11"/>
      <c r="N1127" s="6"/>
      <c r="O1127" s="6"/>
      <c r="P1127" s="10"/>
      <c r="Q1127" s="6"/>
      <c r="R1127" s="6"/>
      <c r="S1127" s="6"/>
      <c r="T1127" s="6"/>
      <c r="U1127" s="9"/>
      <c r="AI1127" s="6"/>
      <c r="AJ1127" s="12"/>
      <c r="AL1127" s="13"/>
    </row>
    <row r="1128">
      <c r="A1128" s="5"/>
      <c r="B1128" s="5"/>
      <c r="C1128" s="5"/>
      <c r="D1128" s="5"/>
      <c r="E1128" s="6"/>
      <c r="F1128" s="6"/>
      <c r="G1128" s="18"/>
      <c r="I1128" s="16"/>
      <c r="J1128" s="9"/>
      <c r="K1128" s="10"/>
      <c r="L1128" s="6"/>
      <c r="M1128" s="11"/>
      <c r="N1128" s="6"/>
      <c r="O1128" s="6"/>
      <c r="P1128" s="10"/>
      <c r="Q1128" s="6"/>
      <c r="R1128" s="6"/>
      <c r="S1128" s="6"/>
      <c r="T1128" s="6"/>
      <c r="U1128" s="9"/>
      <c r="AI1128" s="6"/>
      <c r="AJ1128" s="12"/>
      <c r="AL1128" s="13"/>
    </row>
    <row r="1129">
      <c r="A1129" s="5"/>
      <c r="B1129" s="5"/>
      <c r="C1129" s="5"/>
      <c r="D1129" s="5"/>
      <c r="E1129" s="6"/>
      <c r="F1129" s="6"/>
      <c r="G1129" s="18"/>
      <c r="I1129" s="16"/>
      <c r="J1129" s="9"/>
      <c r="K1129" s="10"/>
      <c r="L1129" s="6"/>
      <c r="M1129" s="11"/>
      <c r="N1129" s="6"/>
      <c r="O1129" s="6"/>
      <c r="P1129" s="10"/>
      <c r="Q1129" s="6"/>
      <c r="R1129" s="6"/>
      <c r="S1129" s="6"/>
      <c r="T1129" s="6"/>
      <c r="U1129" s="9"/>
      <c r="AI1129" s="6"/>
      <c r="AJ1129" s="12"/>
      <c r="AL1129" s="13"/>
    </row>
    <row r="1130">
      <c r="A1130" s="5"/>
      <c r="B1130" s="5"/>
      <c r="C1130" s="5"/>
      <c r="D1130" s="5"/>
      <c r="E1130" s="6"/>
      <c r="F1130" s="6"/>
      <c r="G1130" s="18"/>
      <c r="I1130" s="16"/>
      <c r="J1130" s="9"/>
      <c r="K1130" s="10"/>
      <c r="L1130" s="6"/>
      <c r="M1130" s="11"/>
      <c r="N1130" s="6"/>
      <c r="O1130" s="6"/>
      <c r="P1130" s="10"/>
      <c r="Q1130" s="6"/>
      <c r="R1130" s="6"/>
      <c r="S1130" s="6"/>
      <c r="T1130" s="6"/>
      <c r="U1130" s="9"/>
      <c r="AI1130" s="6"/>
      <c r="AJ1130" s="12"/>
      <c r="AL1130" s="13"/>
    </row>
    <row r="1131">
      <c r="A1131" s="5"/>
      <c r="B1131" s="5"/>
      <c r="C1131" s="5"/>
      <c r="D1131" s="5"/>
      <c r="E1131" s="6"/>
      <c r="F1131" s="6"/>
      <c r="G1131" s="18"/>
      <c r="I1131" s="16"/>
      <c r="J1131" s="9"/>
      <c r="K1131" s="10"/>
      <c r="L1131" s="6"/>
      <c r="M1131" s="11"/>
      <c r="N1131" s="6"/>
      <c r="O1131" s="6"/>
      <c r="P1131" s="10"/>
      <c r="Q1131" s="6"/>
      <c r="R1131" s="6"/>
      <c r="S1131" s="6"/>
      <c r="T1131" s="6"/>
      <c r="U1131" s="9"/>
      <c r="AI1131" s="6"/>
      <c r="AJ1131" s="12"/>
      <c r="AL1131" s="13"/>
    </row>
    <row r="1132">
      <c r="A1132" s="5"/>
      <c r="B1132" s="5"/>
      <c r="C1132" s="5"/>
      <c r="D1132" s="5"/>
      <c r="E1132" s="6"/>
      <c r="F1132" s="6"/>
      <c r="G1132" s="18"/>
      <c r="I1132" s="16"/>
      <c r="J1132" s="9"/>
      <c r="K1132" s="10"/>
      <c r="L1132" s="6"/>
      <c r="M1132" s="11"/>
      <c r="N1132" s="6"/>
      <c r="O1132" s="6"/>
      <c r="P1132" s="10"/>
      <c r="Q1132" s="6"/>
      <c r="R1132" s="6"/>
      <c r="S1132" s="6"/>
      <c r="T1132" s="6"/>
      <c r="U1132" s="9"/>
      <c r="AI1132" s="6"/>
      <c r="AJ1132" s="12"/>
      <c r="AL1132" s="13"/>
    </row>
    <row r="1133">
      <c r="A1133" s="5"/>
      <c r="B1133" s="5"/>
      <c r="C1133" s="5"/>
      <c r="D1133" s="5"/>
      <c r="E1133" s="6"/>
      <c r="F1133" s="6"/>
      <c r="G1133" s="18"/>
      <c r="I1133" s="16"/>
      <c r="J1133" s="9"/>
      <c r="K1133" s="10"/>
      <c r="L1133" s="6"/>
      <c r="M1133" s="11"/>
      <c r="N1133" s="6"/>
      <c r="O1133" s="6"/>
      <c r="P1133" s="10"/>
      <c r="Q1133" s="6"/>
      <c r="R1133" s="6"/>
      <c r="S1133" s="6"/>
      <c r="T1133" s="6"/>
      <c r="U1133" s="9"/>
      <c r="AI1133" s="6"/>
      <c r="AJ1133" s="12"/>
      <c r="AL1133" s="13"/>
    </row>
    <row r="1134">
      <c r="A1134" s="5"/>
      <c r="B1134" s="5"/>
      <c r="C1134" s="5"/>
      <c r="D1134" s="5"/>
      <c r="E1134" s="6"/>
      <c r="F1134" s="6"/>
      <c r="G1134" s="18"/>
      <c r="I1134" s="16"/>
      <c r="J1134" s="9"/>
      <c r="K1134" s="10"/>
      <c r="L1134" s="6"/>
      <c r="M1134" s="11"/>
      <c r="N1134" s="6"/>
      <c r="O1134" s="6"/>
      <c r="P1134" s="10"/>
      <c r="Q1134" s="6"/>
      <c r="R1134" s="6"/>
      <c r="S1134" s="6"/>
      <c r="T1134" s="6"/>
      <c r="U1134" s="9"/>
      <c r="AI1134" s="6"/>
      <c r="AJ1134" s="12"/>
      <c r="AL1134" s="13"/>
    </row>
    <row r="1135">
      <c r="A1135" s="5"/>
      <c r="B1135" s="5"/>
      <c r="C1135" s="5"/>
      <c r="D1135" s="5"/>
      <c r="E1135" s="6"/>
      <c r="F1135" s="6"/>
      <c r="G1135" s="18"/>
      <c r="I1135" s="16"/>
      <c r="J1135" s="9"/>
      <c r="K1135" s="10"/>
      <c r="L1135" s="6"/>
      <c r="M1135" s="11"/>
      <c r="N1135" s="6"/>
      <c r="O1135" s="6"/>
      <c r="P1135" s="10"/>
      <c r="Q1135" s="6"/>
      <c r="R1135" s="6"/>
      <c r="S1135" s="6"/>
      <c r="T1135" s="6"/>
      <c r="U1135" s="9"/>
      <c r="AI1135" s="6"/>
      <c r="AJ1135" s="12"/>
      <c r="AL1135" s="13"/>
    </row>
    <row r="1136">
      <c r="A1136" s="5"/>
      <c r="B1136" s="5"/>
      <c r="C1136" s="5"/>
      <c r="D1136" s="5"/>
      <c r="E1136" s="6"/>
      <c r="F1136" s="6"/>
      <c r="G1136" s="18"/>
      <c r="I1136" s="16"/>
      <c r="J1136" s="9"/>
      <c r="K1136" s="10"/>
      <c r="L1136" s="6"/>
      <c r="M1136" s="11"/>
      <c r="N1136" s="6"/>
      <c r="O1136" s="6"/>
      <c r="P1136" s="10"/>
      <c r="Q1136" s="6"/>
      <c r="R1136" s="6"/>
      <c r="S1136" s="6"/>
      <c r="T1136" s="6"/>
      <c r="U1136" s="9"/>
      <c r="AI1136" s="6"/>
      <c r="AJ1136" s="12"/>
      <c r="AL1136" s="13"/>
    </row>
    <row r="1137">
      <c r="A1137" s="5"/>
      <c r="B1137" s="5"/>
      <c r="C1137" s="5"/>
      <c r="D1137" s="5"/>
      <c r="E1137" s="6"/>
      <c r="F1137" s="6"/>
      <c r="G1137" s="18"/>
      <c r="I1137" s="16"/>
      <c r="J1137" s="9"/>
      <c r="K1137" s="10"/>
      <c r="L1137" s="6"/>
      <c r="M1137" s="11"/>
      <c r="N1137" s="6"/>
      <c r="O1137" s="6"/>
      <c r="P1137" s="10"/>
      <c r="Q1137" s="6"/>
      <c r="R1137" s="6"/>
      <c r="S1137" s="6"/>
      <c r="T1137" s="6"/>
      <c r="U1137" s="9"/>
      <c r="AI1137" s="6"/>
      <c r="AJ1137" s="12"/>
      <c r="AL1137" s="13"/>
    </row>
    <row r="1138">
      <c r="A1138" s="5"/>
      <c r="B1138" s="5"/>
      <c r="C1138" s="5"/>
      <c r="D1138" s="5"/>
      <c r="E1138" s="6"/>
      <c r="F1138" s="6"/>
      <c r="G1138" s="18"/>
      <c r="I1138" s="16"/>
      <c r="J1138" s="9"/>
      <c r="K1138" s="10"/>
      <c r="L1138" s="6"/>
      <c r="M1138" s="11"/>
      <c r="N1138" s="6"/>
      <c r="O1138" s="6"/>
      <c r="P1138" s="10"/>
      <c r="Q1138" s="6"/>
      <c r="R1138" s="6"/>
      <c r="S1138" s="6"/>
      <c r="T1138" s="6"/>
      <c r="U1138" s="9"/>
      <c r="AI1138" s="6"/>
      <c r="AJ1138" s="12"/>
      <c r="AL1138" s="13"/>
    </row>
    <row r="1139">
      <c r="A1139" s="5"/>
      <c r="B1139" s="5"/>
      <c r="C1139" s="5"/>
      <c r="D1139" s="5"/>
      <c r="E1139" s="6"/>
      <c r="F1139" s="6"/>
      <c r="G1139" s="18"/>
      <c r="I1139" s="16"/>
      <c r="J1139" s="9"/>
      <c r="K1139" s="10"/>
      <c r="L1139" s="6"/>
      <c r="M1139" s="11"/>
      <c r="N1139" s="6"/>
      <c r="O1139" s="6"/>
      <c r="P1139" s="10"/>
      <c r="Q1139" s="6"/>
      <c r="R1139" s="6"/>
      <c r="S1139" s="6"/>
      <c r="T1139" s="6"/>
      <c r="U1139" s="9"/>
      <c r="AI1139" s="6"/>
      <c r="AJ1139" s="12"/>
      <c r="AL1139" s="13"/>
    </row>
    <row r="1140">
      <c r="A1140" s="5"/>
      <c r="B1140" s="5"/>
      <c r="C1140" s="5"/>
      <c r="D1140" s="5"/>
      <c r="E1140" s="6"/>
      <c r="F1140" s="6"/>
      <c r="G1140" s="18"/>
      <c r="I1140" s="16"/>
      <c r="J1140" s="9"/>
      <c r="K1140" s="10"/>
      <c r="L1140" s="6"/>
      <c r="M1140" s="11"/>
      <c r="N1140" s="6"/>
      <c r="O1140" s="6"/>
      <c r="P1140" s="10"/>
      <c r="Q1140" s="6"/>
      <c r="R1140" s="6"/>
      <c r="S1140" s="6"/>
      <c r="T1140" s="6"/>
      <c r="U1140" s="9"/>
      <c r="AI1140" s="6"/>
      <c r="AJ1140" s="12"/>
      <c r="AL1140" s="13"/>
    </row>
    <row r="1141">
      <c r="A1141" s="5"/>
      <c r="B1141" s="5"/>
      <c r="C1141" s="5"/>
      <c r="D1141" s="5"/>
      <c r="E1141" s="6"/>
      <c r="F1141" s="6"/>
      <c r="G1141" s="18"/>
      <c r="I1141" s="16"/>
      <c r="J1141" s="9"/>
      <c r="K1141" s="10"/>
      <c r="L1141" s="6"/>
      <c r="M1141" s="11"/>
      <c r="N1141" s="6"/>
      <c r="O1141" s="6"/>
      <c r="P1141" s="10"/>
      <c r="Q1141" s="6"/>
      <c r="R1141" s="6"/>
      <c r="S1141" s="6"/>
      <c r="T1141" s="6"/>
      <c r="U1141" s="9"/>
      <c r="AI1141" s="6"/>
      <c r="AJ1141" s="12"/>
      <c r="AL1141" s="13"/>
    </row>
    <row r="1142">
      <c r="A1142" s="5"/>
      <c r="B1142" s="5"/>
      <c r="C1142" s="5"/>
      <c r="D1142" s="5"/>
      <c r="E1142" s="6"/>
      <c r="F1142" s="6"/>
      <c r="G1142" s="18"/>
      <c r="I1142" s="16"/>
      <c r="J1142" s="9"/>
      <c r="K1142" s="10"/>
      <c r="L1142" s="6"/>
      <c r="M1142" s="11"/>
      <c r="N1142" s="6"/>
      <c r="O1142" s="6"/>
      <c r="P1142" s="10"/>
      <c r="Q1142" s="6"/>
      <c r="R1142" s="6"/>
      <c r="S1142" s="6"/>
      <c r="T1142" s="6"/>
      <c r="U1142" s="9"/>
      <c r="AI1142" s="6"/>
      <c r="AJ1142" s="12"/>
      <c r="AL1142" s="13"/>
    </row>
    <row r="1143">
      <c r="A1143" s="5"/>
      <c r="B1143" s="5"/>
      <c r="C1143" s="5"/>
      <c r="D1143" s="5"/>
      <c r="E1143" s="6"/>
      <c r="F1143" s="6"/>
      <c r="G1143" s="18"/>
      <c r="I1143" s="16"/>
      <c r="J1143" s="9"/>
      <c r="K1143" s="10"/>
      <c r="L1143" s="6"/>
      <c r="M1143" s="11"/>
      <c r="N1143" s="6"/>
      <c r="O1143" s="6"/>
      <c r="P1143" s="10"/>
      <c r="Q1143" s="6"/>
      <c r="R1143" s="6"/>
      <c r="S1143" s="6"/>
      <c r="T1143" s="6"/>
      <c r="U1143" s="9"/>
      <c r="AI1143" s="6"/>
      <c r="AJ1143" s="12"/>
      <c r="AL1143" s="13"/>
    </row>
    <row r="1144">
      <c r="A1144" s="5"/>
      <c r="B1144" s="5"/>
      <c r="C1144" s="5"/>
      <c r="D1144" s="5"/>
      <c r="E1144" s="6"/>
      <c r="F1144" s="6"/>
      <c r="G1144" s="18"/>
      <c r="I1144" s="16"/>
      <c r="J1144" s="9"/>
      <c r="K1144" s="10"/>
      <c r="L1144" s="6"/>
      <c r="M1144" s="11"/>
      <c r="N1144" s="6"/>
      <c r="O1144" s="6"/>
      <c r="P1144" s="10"/>
      <c r="Q1144" s="6"/>
      <c r="R1144" s="6"/>
      <c r="S1144" s="6"/>
      <c r="T1144" s="6"/>
      <c r="U1144" s="9"/>
      <c r="AI1144" s="6"/>
      <c r="AJ1144" s="12"/>
      <c r="AL1144" s="13"/>
    </row>
    <row r="1145">
      <c r="A1145" s="5"/>
      <c r="B1145" s="5"/>
      <c r="C1145" s="5"/>
      <c r="D1145" s="5"/>
      <c r="E1145" s="6"/>
      <c r="F1145" s="6"/>
      <c r="G1145" s="18"/>
      <c r="I1145" s="16"/>
      <c r="J1145" s="9"/>
      <c r="K1145" s="10"/>
      <c r="L1145" s="6"/>
      <c r="M1145" s="11"/>
      <c r="N1145" s="6"/>
      <c r="O1145" s="6"/>
      <c r="P1145" s="10"/>
      <c r="Q1145" s="6"/>
      <c r="R1145" s="6"/>
      <c r="S1145" s="6"/>
      <c r="T1145" s="6"/>
      <c r="U1145" s="9"/>
      <c r="AI1145" s="6"/>
      <c r="AJ1145" s="12"/>
      <c r="AL1145" s="13"/>
    </row>
    <row r="1146">
      <c r="A1146" s="5"/>
      <c r="B1146" s="5"/>
      <c r="C1146" s="5"/>
      <c r="D1146" s="5"/>
      <c r="E1146" s="6"/>
      <c r="F1146" s="6"/>
      <c r="G1146" s="18"/>
      <c r="I1146" s="16"/>
      <c r="J1146" s="9"/>
      <c r="K1146" s="10"/>
      <c r="L1146" s="6"/>
      <c r="M1146" s="11"/>
      <c r="N1146" s="6"/>
      <c r="O1146" s="6"/>
      <c r="P1146" s="10"/>
      <c r="Q1146" s="6"/>
      <c r="R1146" s="6"/>
      <c r="S1146" s="6"/>
      <c r="T1146" s="6"/>
      <c r="U1146" s="9"/>
      <c r="AI1146" s="6"/>
      <c r="AJ1146" s="12"/>
      <c r="AL1146" s="13"/>
    </row>
    <row r="1147">
      <c r="A1147" s="5"/>
      <c r="B1147" s="5"/>
      <c r="C1147" s="5"/>
      <c r="D1147" s="5"/>
      <c r="E1147" s="6"/>
      <c r="F1147" s="6"/>
      <c r="G1147" s="18"/>
      <c r="I1147" s="16"/>
      <c r="J1147" s="9"/>
      <c r="K1147" s="10"/>
      <c r="L1147" s="6"/>
      <c r="M1147" s="11"/>
      <c r="N1147" s="6"/>
      <c r="O1147" s="6"/>
      <c r="P1147" s="10"/>
      <c r="Q1147" s="6"/>
      <c r="R1147" s="6"/>
      <c r="S1147" s="6"/>
      <c r="T1147" s="6"/>
      <c r="U1147" s="9"/>
      <c r="AI1147" s="6"/>
      <c r="AJ1147" s="12"/>
      <c r="AL1147" s="13"/>
    </row>
    <row r="1148">
      <c r="A1148" s="5"/>
      <c r="B1148" s="5"/>
      <c r="C1148" s="5"/>
      <c r="D1148" s="5"/>
      <c r="E1148" s="6"/>
      <c r="F1148" s="6"/>
      <c r="G1148" s="18"/>
      <c r="I1148" s="16"/>
      <c r="J1148" s="9"/>
      <c r="K1148" s="10"/>
      <c r="L1148" s="6"/>
      <c r="M1148" s="11"/>
      <c r="N1148" s="6"/>
      <c r="O1148" s="6"/>
      <c r="P1148" s="10"/>
      <c r="Q1148" s="6"/>
      <c r="R1148" s="6"/>
      <c r="S1148" s="6"/>
      <c r="T1148" s="6"/>
      <c r="U1148" s="9"/>
      <c r="AI1148" s="6"/>
      <c r="AJ1148" s="12"/>
      <c r="AL1148" s="13"/>
    </row>
    <row r="1149">
      <c r="A1149" s="5"/>
      <c r="B1149" s="5"/>
      <c r="C1149" s="5"/>
      <c r="D1149" s="5"/>
      <c r="E1149" s="6"/>
      <c r="F1149" s="6"/>
      <c r="G1149" s="18"/>
      <c r="I1149" s="16"/>
      <c r="J1149" s="9"/>
      <c r="K1149" s="10"/>
      <c r="L1149" s="6"/>
      <c r="M1149" s="11"/>
      <c r="N1149" s="6"/>
      <c r="O1149" s="6"/>
      <c r="P1149" s="10"/>
      <c r="Q1149" s="6"/>
      <c r="R1149" s="6"/>
      <c r="S1149" s="6"/>
      <c r="T1149" s="6"/>
      <c r="U1149" s="9"/>
      <c r="AI1149" s="6"/>
      <c r="AJ1149" s="12"/>
      <c r="AL1149" s="13"/>
    </row>
    <row r="1150">
      <c r="A1150" s="5"/>
      <c r="B1150" s="5"/>
      <c r="C1150" s="5"/>
      <c r="D1150" s="5"/>
      <c r="E1150" s="6"/>
      <c r="F1150" s="6"/>
      <c r="G1150" s="18"/>
      <c r="I1150" s="16"/>
      <c r="J1150" s="9"/>
      <c r="K1150" s="10"/>
      <c r="L1150" s="6"/>
      <c r="M1150" s="11"/>
      <c r="N1150" s="6"/>
      <c r="O1150" s="6"/>
      <c r="P1150" s="10"/>
      <c r="Q1150" s="6"/>
      <c r="R1150" s="6"/>
      <c r="S1150" s="6"/>
      <c r="T1150" s="6"/>
      <c r="U1150" s="9"/>
      <c r="AI1150" s="6"/>
      <c r="AJ1150" s="12"/>
      <c r="AL1150" s="13"/>
    </row>
    <row r="1151">
      <c r="A1151" s="5"/>
      <c r="B1151" s="5"/>
      <c r="C1151" s="5"/>
      <c r="D1151" s="5"/>
      <c r="E1151" s="6"/>
      <c r="F1151" s="6"/>
      <c r="G1151" s="18"/>
      <c r="I1151" s="16"/>
      <c r="J1151" s="9"/>
      <c r="K1151" s="10"/>
      <c r="L1151" s="6"/>
      <c r="M1151" s="11"/>
      <c r="N1151" s="6"/>
      <c r="O1151" s="6"/>
      <c r="P1151" s="10"/>
      <c r="Q1151" s="6"/>
      <c r="R1151" s="6"/>
      <c r="S1151" s="6"/>
      <c r="T1151" s="6"/>
      <c r="U1151" s="9"/>
      <c r="AI1151" s="6"/>
      <c r="AJ1151" s="12"/>
      <c r="AL1151" s="13"/>
    </row>
    <row r="1152">
      <c r="A1152" s="5"/>
      <c r="B1152" s="5"/>
      <c r="C1152" s="5"/>
      <c r="D1152" s="5"/>
      <c r="E1152" s="6"/>
      <c r="F1152" s="6"/>
      <c r="G1152" s="18"/>
      <c r="I1152" s="16"/>
      <c r="J1152" s="9"/>
      <c r="K1152" s="10"/>
      <c r="L1152" s="6"/>
      <c r="M1152" s="11"/>
      <c r="N1152" s="6"/>
      <c r="O1152" s="6"/>
      <c r="P1152" s="10"/>
      <c r="Q1152" s="6"/>
      <c r="R1152" s="6"/>
      <c r="S1152" s="6"/>
      <c r="T1152" s="6"/>
      <c r="U1152" s="9"/>
      <c r="AI1152" s="6"/>
      <c r="AJ1152" s="12"/>
      <c r="AL1152" s="13"/>
    </row>
    <row r="1153">
      <c r="A1153" s="5"/>
      <c r="B1153" s="5"/>
      <c r="C1153" s="5"/>
      <c r="D1153" s="5"/>
      <c r="E1153" s="6"/>
      <c r="F1153" s="6"/>
      <c r="G1153" s="18"/>
      <c r="I1153" s="16"/>
      <c r="J1153" s="9"/>
      <c r="K1153" s="10"/>
      <c r="L1153" s="6"/>
      <c r="M1153" s="11"/>
      <c r="N1153" s="6"/>
      <c r="O1153" s="6"/>
      <c r="P1153" s="10"/>
      <c r="Q1153" s="6"/>
      <c r="R1153" s="6"/>
      <c r="S1153" s="6"/>
      <c r="T1153" s="6"/>
      <c r="U1153" s="9"/>
      <c r="AI1153" s="6"/>
      <c r="AJ1153" s="12"/>
      <c r="AL1153" s="13"/>
    </row>
    <row r="1154">
      <c r="A1154" s="5"/>
      <c r="B1154" s="5"/>
      <c r="C1154" s="5"/>
      <c r="D1154" s="5"/>
      <c r="E1154" s="6"/>
      <c r="F1154" s="6"/>
      <c r="G1154" s="18"/>
      <c r="I1154" s="16"/>
      <c r="J1154" s="9"/>
      <c r="K1154" s="10"/>
      <c r="L1154" s="6"/>
      <c r="M1154" s="11"/>
      <c r="N1154" s="6"/>
      <c r="O1154" s="6"/>
      <c r="P1154" s="10"/>
      <c r="Q1154" s="6"/>
      <c r="R1154" s="6"/>
      <c r="S1154" s="6"/>
      <c r="T1154" s="6"/>
      <c r="U1154" s="9"/>
      <c r="AI1154" s="6"/>
      <c r="AJ1154" s="12"/>
      <c r="AL1154" s="13"/>
    </row>
    <row r="1155">
      <c r="A1155" s="5"/>
      <c r="B1155" s="5"/>
      <c r="C1155" s="5"/>
      <c r="D1155" s="5"/>
      <c r="E1155" s="6"/>
      <c r="F1155" s="6"/>
      <c r="G1155" s="18"/>
      <c r="I1155" s="16"/>
      <c r="J1155" s="9"/>
      <c r="K1155" s="10"/>
      <c r="L1155" s="6"/>
      <c r="M1155" s="11"/>
      <c r="N1155" s="6"/>
      <c r="O1155" s="6"/>
      <c r="P1155" s="10"/>
      <c r="Q1155" s="6"/>
      <c r="R1155" s="6"/>
      <c r="S1155" s="6"/>
      <c r="T1155" s="6"/>
      <c r="U1155" s="9"/>
      <c r="AI1155" s="6"/>
      <c r="AJ1155" s="12"/>
      <c r="AL1155" s="13"/>
    </row>
    <row r="1156">
      <c r="A1156" s="5"/>
      <c r="B1156" s="5"/>
      <c r="C1156" s="5"/>
      <c r="D1156" s="5"/>
      <c r="E1156" s="6"/>
      <c r="F1156" s="6"/>
      <c r="G1156" s="18"/>
      <c r="I1156" s="16"/>
      <c r="J1156" s="9"/>
      <c r="K1156" s="10"/>
      <c r="L1156" s="6"/>
      <c r="M1156" s="11"/>
      <c r="N1156" s="6"/>
      <c r="O1156" s="6"/>
      <c r="P1156" s="10"/>
      <c r="Q1156" s="6"/>
      <c r="R1156" s="6"/>
      <c r="S1156" s="6"/>
      <c r="T1156" s="6"/>
      <c r="U1156" s="9"/>
      <c r="AI1156" s="6"/>
      <c r="AJ1156" s="12"/>
      <c r="AL1156" s="13"/>
    </row>
    <row r="1157">
      <c r="A1157" s="5"/>
      <c r="B1157" s="5"/>
      <c r="C1157" s="5"/>
      <c r="D1157" s="5"/>
      <c r="E1157" s="6"/>
      <c r="F1157" s="6"/>
      <c r="G1157" s="18"/>
      <c r="I1157" s="16"/>
      <c r="J1157" s="9"/>
      <c r="K1157" s="10"/>
      <c r="L1157" s="6"/>
      <c r="M1157" s="11"/>
      <c r="N1157" s="6"/>
      <c r="O1157" s="6"/>
      <c r="P1157" s="10"/>
      <c r="Q1157" s="6"/>
      <c r="R1157" s="6"/>
      <c r="S1157" s="6"/>
      <c r="T1157" s="6"/>
      <c r="U1157" s="9"/>
      <c r="AI1157" s="6"/>
      <c r="AJ1157" s="12"/>
      <c r="AL1157" s="13"/>
    </row>
    <row r="1158">
      <c r="A1158" s="5"/>
      <c r="B1158" s="5"/>
      <c r="C1158" s="5"/>
      <c r="D1158" s="17"/>
      <c r="E1158" s="6"/>
      <c r="F1158" s="6"/>
      <c r="G1158" s="18"/>
      <c r="I1158" s="16"/>
      <c r="J1158" s="9"/>
      <c r="K1158" s="10"/>
      <c r="L1158" s="6"/>
      <c r="M1158" s="11"/>
      <c r="N1158" s="6"/>
      <c r="O1158" s="6"/>
      <c r="P1158" s="10"/>
      <c r="Q1158" s="6"/>
      <c r="R1158" s="6"/>
      <c r="S1158" s="6"/>
      <c r="T1158" s="6"/>
      <c r="U1158" s="9"/>
      <c r="AI1158" s="6"/>
      <c r="AJ1158" s="12"/>
      <c r="AL1158" s="13"/>
    </row>
    <row r="1159">
      <c r="A1159" s="5"/>
      <c r="B1159" s="5"/>
      <c r="C1159" s="5"/>
      <c r="D1159" s="5"/>
      <c r="E1159" s="6"/>
      <c r="F1159" s="6"/>
      <c r="G1159" s="18"/>
      <c r="I1159" s="16"/>
      <c r="J1159" s="9"/>
      <c r="K1159" s="10"/>
      <c r="L1159" s="6"/>
      <c r="M1159" s="11"/>
      <c r="N1159" s="6"/>
      <c r="O1159" s="6"/>
      <c r="P1159" s="10"/>
      <c r="Q1159" s="6"/>
      <c r="R1159" s="6"/>
      <c r="S1159" s="6"/>
      <c r="T1159" s="6"/>
      <c r="U1159" s="9"/>
      <c r="AI1159" s="6"/>
      <c r="AJ1159" s="12"/>
      <c r="AL1159" s="13"/>
    </row>
    <row r="1160">
      <c r="A1160" s="5"/>
      <c r="B1160" s="5"/>
      <c r="C1160" s="5"/>
      <c r="D1160" s="5"/>
      <c r="E1160" s="6"/>
      <c r="F1160" s="6"/>
      <c r="G1160" s="18"/>
      <c r="I1160" s="16"/>
      <c r="J1160" s="9"/>
      <c r="K1160" s="10"/>
      <c r="L1160" s="6"/>
      <c r="M1160" s="11"/>
      <c r="N1160" s="6"/>
      <c r="O1160" s="6"/>
      <c r="P1160" s="10"/>
      <c r="Q1160" s="6"/>
      <c r="R1160" s="6"/>
      <c r="S1160" s="6"/>
      <c r="T1160" s="6"/>
      <c r="U1160" s="9"/>
      <c r="AI1160" s="6"/>
      <c r="AJ1160" s="12"/>
      <c r="AL1160" s="13"/>
    </row>
    <row r="1161">
      <c r="A1161" s="5"/>
      <c r="B1161" s="5"/>
      <c r="C1161" s="5"/>
      <c r="D1161" s="5"/>
      <c r="E1161" s="6"/>
      <c r="F1161" s="6"/>
      <c r="G1161" s="18"/>
      <c r="I1161" s="16"/>
      <c r="J1161" s="9"/>
      <c r="K1161" s="10"/>
      <c r="L1161" s="6"/>
      <c r="M1161" s="11"/>
      <c r="N1161" s="6"/>
      <c r="O1161" s="6"/>
      <c r="P1161" s="10"/>
      <c r="Q1161" s="6"/>
      <c r="R1161" s="6"/>
      <c r="S1161" s="6"/>
      <c r="T1161" s="6"/>
      <c r="U1161" s="9"/>
      <c r="AI1161" s="6"/>
      <c r="AJ1161" s="12"/>
      <c r="AL1161" s="13"/>
    </row>
    <row r="1162">
      <c r="A1162" s="5"/>
      <c r="B1162" s="5"/>
      <c r="C1162" s="5"/>
      <c r="D1162" s="5"/>
      <c r="E1162" s="6"/>
      <c r="F1162" s="6"/>
      <c r="G1162" s="18"/>
      <c r="I1162" s="16"/>
      <c r="J1162" s="9"/>
      <c r="K1162" s="10"/>
      <c r="L1162" s="6"/>
      <c r="M1162" s="11"/>
      <c r="N1162" s="6"/>
      <c r="O1162" s="6"/>
      <c r="P1162" s="10"/>
      <c r="Q1162" s="6"/>
      <c r="R1162" s="6"/>
      <c r="S1162" s="6"/>
      <c r="T1162" s="6"/>
      <c r="U1162" s="9"/>
      <c r="AI1162" s="6"/>
      <c r="AJ1162" s="12"/>
      <c r="AL1162" s="13"/>
    </row>
    <row r="1163">
      <c r="A1163" s="5"/>
      <c r="B1163" s="5"/>
      <c r="C1163" s="5"/>
      <c r="D1163" s="5"/>
      <c r="E1163" s="6"/>
      <c r="F1163" s="6"/>
      <c r="G1163" s="18"/>
      <c r="I1163" s="16"/>
      <c r="J1163" s="9"/>
      <c r="K1163" s="10"/>
      <c r="L1163" s="6"/>
      <c r="M1163" s="11"/>
      <c r="N1163" s="6"/>
      <c r="O1163" s="6"/>
      <c r="P1163" s="10"/>
      <c r="Q1163" s="6"/>
      <c r="R1163" s="6"/>
      <c r="S1163" s="6"/>
      <c r="T1163" s="6"/>
      <c r="U1163" s="9"/>
      <c r="AI1163" s="6"/>
      <c r="AJ1163" s="12"/>
      <c r="AL1163" s="13"/>
    </row>
    <row r="1164">
      <c r="A1164" s="5"/>
      <c r="B1164" s="5"/>
      <c r="C1164" s="5"/>
      <c r="D1164" s="5"/>
      <c r="E1164" s="6"/>
      <c r="F1164" s="6"/>
      <c r="G1164" s="18"/>
      <c r="I1164" s="16"/>
      <c r="J1164" s="9"/>
      <c r="K1164" s="10"/>
      <c r="L1164" s="6"/>
      <c r="M1164" s="11"/>
      <c r="N1164" s="6"/>
      <c r="O1164" s="6"/>
      <c r="P1164" s="10"/>
      <c r="Q1164" s="6"/>
      <c r="R1164" s="6"/>
      <c r="S1164" s="6"/>
      <c r="T1164" s="6"/>
      <c r="U1164" s="9"/>
      <c r="AI1164" s="6"/>
      <c r="AJ1164" s="12"/>
      <c r="AL1164" s="13"/>
    </row>
    <row r="1165">
      <c r="A1165" s="5"/>
      <c r="B1165" s="5"/>
      <c r="C1165" s="5"/>
      <c r="D1165" s="5"/>
      <c r="E1165" s="6"/>
      <c r="F1165" s="6"/>
      <c r="G1165" s="18"/>
      <c r="I1165" s="16"/>
      <c r="J1165" s="9"/>
      <c r="K1165" s="10"/>
      <c r="L1165" s="6"/>
      <c r="M1165" s="11"/>
      <c r="N1165" s="6"/>
      <c r="O1165" s="6"/>
      <c r="P1165" s="10"/>
      <c r="Q1165" s="6"/>
      <c r="R1165" s="6"/>
      <c r="S1165" s="6"/>
      <c r="T1165" s="6"/>
      <c r="U1165" s="9"/>
      <c r="AI1165" s="6"/>
      <c r="AJ1165" s="12"/>
      <c r="AL1165" s="13"/>
    </row>
    <row r="1166">
      <c r="A1166" s="5"/>
      <c r="B1166" s="5"/>
      <c r="C1166" s="5"/>
      <c r="D1166" s="5"/>
      <c r="E1166" s="6"/>
      <c r="F1166" s="6"/>
      <c r="G1166" s="18"/>
      <c r="I1166" s="16"/>
      <c r="J1166" s="9"/>
      <c r="K1166" s="10"/>
      <c r="L1166" s="6"/>
      <c r="M1166" s="11"/>
      <c r="N1166" s="6"/>
      <c r="O1166" s="6"/>
      <c r="P1166" s="10"/>
      <c r="Q1166" s="6"/>
      <c r="R1166" s="6"/>
      <c r="S1166" s="6"/>
      <c r="T1166" s="6"/>
      <c r="U1166" s="9"/>
      <c r="AI1166" s="6"/>
      <c r="AJ1166" s="12"/>
      <c r="AL1166" s="13"/>
    </row>
    <row r="1167">
      <c r="A1167" s="5"/>
      <c r="B1167" s="5"/>
      <c r="C1167" s="5"/>
      <c r="D1167" s="5"/>
      <c r="E1167" s="6"/>
      <c r="F1167" s="6"/>
      <c r="G1167" s="18"/>
      <c r="I1167" s="16"/>
      <c r="J1167" s="9"/>
      <c r="K1167" s="10"/>
      <c r="L1167" s="6"/>
      <c r="M1167" s="11"/>
      <c r="N1167" s="6"/>
      <c r="O1167" s="6"/>
      <c r="P1167" s="10"/>
      <c r="Q1167" s="6"/>
      <c r="R1167" s="6"/>
      <c r="S1167" s="6"/>
      <c r="T1167" s="6"/>
      <c r="U1167" s="9"/>
      <c r="AI1167" s="6"/>
      <c r="AJ1167" s="12"/>
      <c r="AL1167" s="13"/>
    </row>
    <row r="1168">
      <c r="A1168" s="5"/>
      <c r="B1168" s="5"/>
      <c r="C1168" s="5"/>
      <c r="D1168" s="5"/>
      <c r="E1168" s="6"/>
      <c r="F1168" s="6"/>
      <c r="G1168" s="18"/>
      <c r="I1168" s="16"/>
      <c r="J1168" s="9"/>
      <c r="K1168" s="10"/>
      <c r="L1168" s="6"/>
      <c r="M1168" s="11"/>
      <c r="N1168" s="6"/>
      <c r="O1168" s="6"/>
      <c r="P1168" s="10"/>
      <c r="Q1168" s="6"/>
      <c r="R1168" s="6"/>
      <c r="S1168" s="6"/>
      <c r="T1168" s="6"/>
      <c r="U1168" s="9"/>
      <c r="AI1168" s="6"/>
      <c r="AJ1168" s="12"/>
      <c r="AL1168" s="13"/>
    </row>
    <row r="1169">
      <c r="A1169" s="5"/>
      <c r="B1169" s="5"/>
      <c r="C1169" s="5"/>
      <c r="D1169" s="5"/>
      <c r="E1169" s="6"/>
      <c r="F1169" s="6"/>
      <c r="G1169" s="18"/>
      <c r="I1169" s="16"/>
      <c r="J1169" s="9"/>
      <c r="K1169" s="10"/>
      <c r="L1169" s="6"/>
      <c r="M1169" s="11"/>
      <c r="N1169" s="6"/>
      <c r="O1169" s="6"/>
      <c r="P1169" s="10"/>
      <c r="Q1169" s="6"/>
      <c r="R1169" s="6"/>
      <c r="S1169" s="6"/>
      <c r="T1169" s="6"/>
      <c r="U1169" s="9"/>
      <c r="AI1169" s="6"/>
      <c r="AJ1169" s="12"/>
      <c r="AL1169" s="13"/>
    </row>
    <row r="1170">
      <c r="A1170" s="5"/>
      <c r="B1170" s="5"/>
      <c r="C1170" s="5"/>
      <c r="D1170" s="5"/>
      <c r="E1170" s="6"/>
      <c r="F1170" s="6"/>
      <c r="G1170" s="18"/>
      <c r="I1170" s="16"/>
      <c r="J1170" s="9"/>
      <c r="K1170" s="10"/>
      <c r="L1170" s="6"/>
      <c r="M1170" s="11"/>
      <c r="N1170" s="6"/>
      <c r="O1170" s="6"/>
      <c r="P1170" s="10"/>
      <c r="Q1170" s="6"/>
      <c r="R1170" s="6"/>
      <c r="S1170" s="6"/>
      <c r="T1170" s="6"/>
      <c r="U1170" s="9"/>
      <c r="AI1170" s="6"/>
      <c r="AJ1170" s="12"/>
      <c r="AL1170" s="13"/>
    </row>
    <row r="1171">
      <c r="A1171" s="5"/>
      <c r="B1171" s="5"/>
      <c r="C1171" s="5"/>
      <c r="D1171" s="5"/>
      <c r="E1171" s="6"/>
      <c r="F1171" s="6"/>
      <c r="G1171" s="18"/>
      <c r="I1171" s="16"/>
      <c r="J1171" s="9"/>
      <c r="K1171" s="10"/>
      <c r="L1171" s="6"/>
      <c r="M1171" s="11"/>
      <c r="N1171" s="6"/>
      <c r="O1171" s="6"/>
      <c r="P1171" s="10"/>
      <c r="Q1171" s="6"/>
      <c r="R1171" s="6"/>
      <c r="S1171" s="6"/>
      <c r="T1171" s="6"/>
      <c r="U1171" s="9"/>
      <c r="AI1171" s="6"/>
      <c r="AJ1171" s="12"/>
      <c r="AL1171" s="13"/>
    </row>
    <row r="1172">
      <c r="A1172" s="5"/>
      <c r="B1172" s="5"/>
      <c r="C1172" s="5"/>
      <c r="D1172" s="5"/>
      <c r="E1172" s="6"/>
      <c r="F1172" s="6"/>
      <c r="G1172" s="18"/>
      <c r="I1172" s="16"/>
      <c r="J1172" s="9"/>
      <c r="K1172" s="10"/>
      <c r="L1172" s="6"/>
      <c r="M1172" s="11"/>
      <c r="N1172" s="6"/>
      <c r="O1172" s="6"/>
      <c r="P1172" s="10"/>
      <c r="Q1172" s="6"/>
      <c r="R1172" s="6"/>
      <c r="S1172" s="6"/>
      <c r="T1172" s="6"/>
      <c r="U1172" s="9"/>
      <c r="AI1172" s="6"/>
      <c r="AJ1172" s="12"/>
      <c r="AL1172" s="13"/>
    </row>
    <row r="1173">
      <c r="A1173" s="5"/>
      <c r="B1173" s="5"/>
      <c r="C1173" s="5"/>
      <c r="D1173" s="5"/>
      <c r="E1173" s="6"/>
      <c r="F1173" s="6"/>
      <c r="G1173" s="18"/>
      <c r="I1173" s="16"/>
      <c r="J1173" s="9"/>
      <c r="K1173" s="10"/>
      <c r="L1173" s="6"/>
      <c r="M1173" s="11"/>
      <c r="N1173" s="6"/>
      <c r="O1173" s="6"/>
      <c r="P1173" s="10"/>
      <c r="Q1173" s="6"/>
      <c r="R1173" s="6"/>
      <c r="S1173" s="6"/>
      <c r="T1173" s="6"/>
      <c r="U1173" s="9"/>
      <c r="AI1173" s="6"/>
      <c r="AJ1173" s="12"/>
      <c r="AL1173" s="13"/>
    </row>
    <row r="1174">
      <c r="A1174" s="5"/>
      <c r="B1174" s="5"/>
      <c r="C1174" s="5"/>
      <c r="D1174" s="5"/>
      <c r="E1174" s="6"/>
      <c r="F1174" s="6"/>
      <c r="G1174" s="18"/>
      <c r="I1174" s="16"/>
      <c r="J1174" s="9"/>
      <c r="K1174" s="10"/>
      <c r="L1174" s="6"/>
      <c r="M1174" s="11"/>
      <c r="N1174" s="6"/>
      <c r="O1174" s="6"/>
      <c r="P1174" s="10"/>
      <c r="Q1174" s="6"/>
      <c r="R1174" s="6"/>
      <c r="S1174" s="6"/>
      <c r="T1174" s="6"/>
      <c r="U1174" s="9"/>
      <c r="AI1174" s="6"/>
      <c r="AJ1174" s="12"/>
      <c r="AL1174" s="13"/>
    </row>
    <row r="1175">
      <c r="A1175" s="5"/>
      <c r="B1175" s="5"/>
      <c r="C1175" s="5"/>
      <c r="D1175" s="5"/>
      <c r="E1175" s="6"/>
      <c r="F1175" s="6"/>
      <c r="G1175" s="18"/>
      <c r="I1175" s="16"/>
      <c r="J1175" s="9"/>
      <c r="K1175" s="10"/>
      <c r="L1175" s="6"/>
      <c r="M1175" s="11"/>
      <c r="N1175" s="6"/>
      <c r="O1175" s="6"/>
      <c r="P1175" s="10"/>
      <c r="Q1175" s="6"/>
      <c r="R1175" s="6"/>
      <c r="S1175" s="6"/>
      <c r="T1175" s="6"/>
      <c r="U1175" s="9"/>
      <c r="AI1175" s="6"/>
      <c r="AJ1175" s="12"/>
      <c r="AL1175" s="13"/>
    </row>
    <row r="1176">
      <c r="A1176" s="5"/>
      <c r="B1176" s="5"/>
      <c r="C1176" s="5"/>
      <c r="D1176" s="5"/>
      <c r="E1176" s="6"/>
      <c r="F1176" s="6"/>
      <c r="G1176" s="18"/>
      <c r="I1176" s="16"/>
      <c r="J1176" s="9"/>
      <c r="K1176" s="10"/>
      <c r="L1176" s="6"/>
      <c r="M1176" s="11"/>
      <c r="N1176" s="6"/>
      <c r="O1176" s="6"/>
      <c r="P1176" s="10"/>
      <c r="Q1176" s="6"/>
      <c r="R1176" s="6"/>
      <c r="S1176" s="6"/>
      <c r="T1176" s="6"/>
      <c r="U1176" s="9"/>
      <c r="AI1176" s="6"/>
      <c r="AJ1176" s="12"/>
      <c r="AL1176" s="13"/>
    </row>
    <row r="1177">
      <c r="A1177" s="5"/>
      <c r="B1177" s="5"/>
      <c r="C1177" s="5"/>
      <c r="D1177" s="5"/>
      <c r="E1177" s="6"/>
      <c r="F1177" s="6"/>
      <c r="G1177" s="18"/>
      <c r="I1177" s="16"/>
      <c r="J1177" s="9"/>
      <c r="K1177" s="10"/>
      <c r="L1177" s="6"/>
      <c r="M1177" s="11"/>
      <c r="N1177" s="6"/>
      <c r="O1177" s="6"/>
      <c r="P1177" s="10"/>
      <c r="Q1177" s="6"/>
      <c r="R1177" s="6"/>
      <c r="S1177" s="6"/>
      <c r="T1177" s="6"/>
      <c r="U1177" s="9"/>
      <c r="AI1177" s="6"/>
      <c r="AJ1177" s="12"/>
      <c r="AL1177" s="13"/>
    </row>
    <row r="1178">
      <c r="A1178" s="5"/>
      <c r="B1178" s="5"/>
      <c r="C1178" s="5"/>
      <c r="D1178" s="5"/>
      <c r="E1178" s="6"/>
      <c r="F1178" s="6"/>
      <c r="G1178" s="18"/>
      <c r="I1178" s="16"/>
      <c r="J1178" s="9"/>
      <c r="K1178" s="10"/>
      <c r="L1178" s="6"/>
      <c r="M1178" s="11"/>
      <c r="N1178" s="6"/>
      <c r="O1178" s="6"/>
      <c r="P1178" s="10"/>
      <c r="Q1178" s="6"/>
      <c r="R1178" s="6"/>
      <c r="S1178" s="6"/>
      <c r="T1178" s="6"/>
      <c r="U1178" s="9"/>
      <c r="AI1178" s="6"/>
      <c r="AJ1178" s="12"/>
      <c r="AL1178" s="13"/>
    </row>
    <row r="1179">
      <c r="A1179" s="5"/>
      <c r="B1179" s="5"/>
      <c r="C1179" s="5"/>
      <c r="D1179" s="5"/>
      <c r="E1179" s="6"/>
      <c r="F1179" s="6"/>
      <c r="G1179" s="18"/>
      <c r="I1179" s="16"/>
      <c r="J1179" s="9"/>
      <c r="K1179" s="10"/>
      <c r="L1179" s="6"/>
      <c r="M1179" s="11"/>
      <c r="N1179" s="6"/>
      <c r="O1179" s="6"/>
      <c r="P1179" s="10"/>
      <c r="Q1179" s="6"/>
      <c r="R1179" s="6"/>
      <c r="S1179" s="6"/>
      <c r="T1179" s="6"/>
      <c r="U1179" s="9"/>
      <c r="AI1179" s="6"/>
      <c r="AJ1179" s="12"/>
      <c r="AL1179" s="13"/>
    </row>
    <row r="1180">
      <c r="A1180" s="5"/>
      <c r="B1180" s="5"/>
      <c r="C1180" s="5"/>
      <c r="D1180" s="5"/>
      <c r="E1180" s="6"/>
      <c r="F1180" s="6"/>
      <c r="G1180" s="18"/>
      <c r="I1180" s="16"/>
      <c r="J1180" s="9"/>
      <c r="K1180" s="10"/>
      <c r="L1180" s="6"/>
      <c r="M1180" s="11"/>
      <c r="N1180" s="6"/>
      <c r="O1180" s="6"/>
      <c r="P1180" s="10"/>
      <c r="Q1180" s="6"/>
      <c r="R1180" s="6"/>
      <c r="S1180" s="6"/>
      <c r="T1180" s="6"/>
      <c r="U1180" s="9"/>
      <c r="AI1180" s="6"/>
      <c r="AJ1180" s="12"/>
      <c r="AL1180" s="13"/>
    </row>
    <row r="1181">
      <c r="A1181" s="5"/>
      <c r="B1181" s="5"/>
      <c r="C1181" s="5"/>
      <c r="D1181" s="5"/>
      <c r="E1181" s="6"/>
      <c r="F1181" s="6"/>
      <c r="G1181" s="18"/>
      <c r="I1181" s="16"/>
      <c r="J1181" s="9"/>
      <c r="K1181" s="10"/>
      <c r="L1181" s="6"/>
      <c r="M1181" s="11"/>
      <c r="N1181" s="6"/>
      <c r="O1181" s="6"/>
      <c r="P1181" s="10"/>
      <c r="Q1181" s="6"/>
      <c r="R1181" s="6"/>
      <c r="S1181" s="6"/>
      <c r="T1181" s="6"/>
      <c r="U1181" s="9"/>
      <c r="AI1181" s="6"/>
      <c r="AJ1181" s="12"/>
      <c r="AL1181" s="13"/>
    </row>
    <row r="1182">
      <c r="A1182" s="5"/>
      <c r="B1182" s="5"/>
      <c r="C1182" s="5"/>
      <c r="D1182" s="5"/>
      <c r="E1182" s="6"/>
      <c r="F1182" s="6"/>
      <c r="G1182" s="18"/>
      <c r="I1182" s="16"/>
      <c r="J1182" s="9"/>
      <c r="K1182" s="10"/>
      <c r="L1182" s="6"/>
      <c r="M1182" s="11"/>
      <c r="N1182" s="6"/>
      <c r="O1182" s="6"/>
      <c r="P1182" s="10"/>
      <c r="Q1182" s="6"/>
      <c r="R1182" s="6"/>
      <c r="S1182" s="6"/>
      <c r="T1182" s="6"/>
      <c r="U1182" s="9"/>
      <c r="AI1182" s="6"/>
      <c r="AJ1182" s="12"/>
      <c r="AL1182" s="13"/>
    </row>
    <row r="1183">
      <c r="A1183" s="5"/>
      <c r="B1183" s="5"/>
      <c r="C1183" s="5"/>
      <c r="D1183" s="5"/>
      <c r="E1183" s="6"/>
      <c r="F1183" s="6"/>
      <c r="G1183" s="18"/>
      <c r="I1183" s="16"/>
      <c r="J1183" s="9"/>
      <c r="K1183" s="10"/>
      <c r="L1183" s="6"/>
      <c r="M1183" s="11"/>
      <c r="N1183" s="6"/>
      <c r="O1183" s="6"/>
      <c r="P1183" s="10"/>
      <c r="Q1183" s="6"/>
      <c r="R1183" s="6"/>
      <c r="S1183" s="6"/>
      <c r="T1183" s="6"/>
      <c r="U1183" s="9"/>
      <c r="AI1183" s="6"/>
      <c r="AJ1183" s="12"/>
      <c r="AL1183" s="13"/>
    </row>
    <row r="1184">
      <c r="A1184" s="5"/>
      <c r="B1184" s="5"/>
      <c r="C1184" s="5"/>
      <c r="D1184" s="5"/>
      <c r="E1184" s="6"/>
      <c r="F1184" s="6"/>
      <c r="G1184" s="18"/>
      <c r="I1184" s="16"/>
      <c r="J1184" s="9"/>
      <c r="K1184" s="10"/>
      <c r="L1184" s="6"/>
      <c r="M1184" s="11"/>
      <c r="N1184" s="6"/>
      <c r="O1184" s="6"/>
      <c r="P1184" s="10"/>
      <c r="Q1184" s="6"/>
      <c r="R1184" s="6"/>
      <c r="S1184" s="6"/>
      <c r="T1184" s="6"/>
      <c r="U1184" s="9"/>
      <c r="AI1184" s="6"/>
      <c r="AJ1184" s="12"/>
      <c r="AL1184" s="13"/>
    </row>
    <row r="1185">
      <c r="A1185" s="5"/>
      <c r="B1185" s="5"/>
      <c r="C1185" s="5"/>
      <c r="D1185" s="5"/>
      <c r="E1185" s="6"/>
      <c r="F1185" s="6"/>
      <c r="G1185" s="18"/>
      <c r="I1185" s="16"/>
      <c r="J1185" s="9"/>
      <c r="K1185" s="10"/>
      <c r="L1185" s="6"/>
      <c r="M1185" s="11"/>
      <c r="N1185" s="6"/>
      <c r="O1185" s="6"/>
      <c r="P1185" s="10"/>
      <c r="Q1185" s="6"/>
      <c r="R1185" s="6"/>
      <c r="S1185" s="6"/>
      <c r="T1185" s="6"/>
      <c r="U1185" s="9"/>
      <c r="AI1185" s="6"/>
      <c r="AJ1185" s="12"/>
      <c r="AL1185" s="13"/>
    </row>
    <row r="1186">
      <c r="A1186" s="5"/>
      <c r="B1186" s="5"/>
      <c r="C1186" s="5"/>
      <c r="D1186" s="5"/>
      <c r="E1186" s="6"/>
      <c r="F1186" s="6"/>
      <c r="G1186" s="18"/>
      <c r="I1186" s="16"/>
      <c r="J1186" s="9"/>
      <c r="K1186" s="10"/>
      <c r="L1186" s="6"/>
      <c r="M1186" s="11"/>
      <c r="N1186" s="6"/>
      <c r="O1186" s="6"/>
      <c r="P1186" s="10"/>
      <c r="Q1186" s="6"/>
      <c r="R1186" s="6"/>
      <c r="S1186" s="6"/>
      <c r="T1186" s="6"/>
      <c r="U1186" s="9"/>
      <c r="AI1186" s="6"/>
      <c r="AJ1186" s="12"/>
      <c r="AL1186" s="13"/>
    </row>
    <row r="1187">
      <c r="A1187" s="5"/>
      <c r="B1187" s="5"/>
      <c r="C1187" s="5"/>
      <c r="D1187" s="5"/>
      <c r="E1187" s="6"/>
      <c r="F1187" s="6"/>
      <c r="G1187" s="18"/>
      <c r="I1187" s="16"/>
      <c r="J1187" s="9"/>
      <c r="K1187" s="10"/>
      <c r="L1187" s="6"/>
      <c r="M1187" s="11"/>
      <c r="N1187" s="6"/>
      <c r="O1187" s="6"/>
      <c r="P1187" s="10"/>
      <c r="Q1187" s="6"/>
      <c r="R1187" s="6"/>
      <c r="S1187" s="6"/>
      <c r="T1187" s="6"/>
      <c r="U1187" s="9"/>
      <c r="AI1187" s="6"/>
      <c r="AJ1187" s="12"/>
      <c r="AL1187" s="13"/>
    </row>
    <row r="1188">
      <c r="A1188" s="5"/>
      <c r="B1188" s="5"/>
      <c r="C1188" s="5"/>
      <c r="D1188" s="5"/>
      <c r="E1188" s="6"/>
      <c r="F1188" s="6"/>
      <c r="G1188" s="18"/>
      <c r="I1188" s="16"/>
      <c r="J1188" s="9"/>
      <c r="K1188" s="10"/>
      <c r="L1188" s="6"/>
      <c r="M1188" s="11"/>
      <c r="N1188" s="6"/>
      <c r="O1188" s="6"/>
      <c r="P1188" s="10"/>
      <c r="Q1188" s="6"/>
      <c r="R1188" s="6"/>
      <c r="S1188" s="6"/>
      <c r="T1188" s="6"/>
      <c r="U1188" s="9"/>
      <c r="AI1188" s="6"/>
      <c r="AJ1188" s="12"/>
      <c r="AL1188" s="13"/>
    </row>
    <row r="1189">
      <c r="A1189" s="5"/>
      <c r="B1189" s="5"/>
      <c r="C1189" s="5"/>
      <c r="D1189" s="5"/>
      <c r="E1189" s="6"/>
      <c r="F1189" s="6"/>
      <c r="G1189" s="18"/>
      <c r="I1189" s="16"/>
      <c r="J1189" s="9"/>
      <c r="K1189" s="10"/>
      <c r="L1189" s="6"/>
      <c r="M1189" s="11"/>
      <c r="N1189" s="6"/>
      <c r="O1189" s="6"/>
      <c r="P1189" s="10"/>
      <c r="Q1189" s="6"/>
      <c r="R1189" s="6"/>
      <c r="S1189" s="6"/>
      <c r="T1189" s="6"/>
      <c r="U1189" s="9"/>
      <c r="AI1189" s="6"/>
      <c r="AJ1189" s="12"/>
      <c r="AL1189" s="13"/>
    </row>
    <row r="1190">
      <c r="A1190" s="5"/>
      <c r="B1190" s="5"/>
      <c r="C1190" s="5"/>
      <c r="D1190" s="5"/>
      <c r="E1190" s="6"/>
      <c r="F1190" s="6"/>
      <c r="G1190" s="18"/>
      <c r="I1190" s="16"/>
      <c r="J1190" s="9"/>
      <c r="K1190" s="10"/>
      <c r="L1190" s="6"/>
      <c r="M1190" s="11"/>
      <c r="N1190" s="6"/>
      <c r="O1190" s="6"/>
      <c r="P1190" s="10"/>
      <c r="Q1190" s="6"/>
      <c r="R1190" s="6"/>
      <c r="S1190" s="6"/>
      <c r="T1190" s="6"/>
      <c r="U1190" s="9"/>
      <c r="AI1190" s="6"/>
      <c r="AJ1190" s="12"/>
      <c r="AL1190" s="13"/>
    </row>
    <row r="1191">
      <c r="A1191" s="5"/>
      <c r="B1191" s="5"/>
      <c r="C1191" s="5"/>
      <c r="D1191" s="5"/>
      <c r="E1191" s="6"/>
      <c r="F1191" s="6"/>
      <c r="G1191" s="18"/>
      <c r="I1191" s="16"/>
      <c r="J1191" s="9"/>
      <c r="K1191" s="10"/>
      <c r="L1191" s="6"/>
      <c r="M1191" s="11"/>
      <c r="N1191" s="6"/>
      <c r="O1191" s="6"/>
      <c r="P1191" s="10"/>
      <c r="Q1191" s="6"/>
      <c r="R1191" s="6"/>
      <c r="S1191" s="6"/>
      <c r="T1191" s="6"/>
      <c r="U1191" s="9"/>
      <c r="AI1191" s="6"/>
      <c r="AJ1191" s="12"/>
      <c r="AL1191" s="13"/>
    </row>
    <row r="1192">
      <c r="A1192" s="5"/>
      <c r="B1192" s="5"/>
      <c r="C1192" s="5"/>
      <c r="D1192" s="5"/>
      <c r="E1192" s="6"/>
      <c r="F1192" s="6"/>
      <c r="G1192" s="18"/>
      <c r="I1192" s="16"/>
      <c r="J1192" s="9"/>
      <c r="K1192" s="10"/>
      <c r="L1192" s="6"/>
      <c r="M1192" s="11"/>
      <c r="N1192" s="6"/>
      <c r="O1192" s="6"/>
      <c r="P1192" s="10"/>
      <c r="Q1192" s="6"/>
      <c r="R1192" s="6"/>
      <c r="S1192" s="6"/>
      <c r="T1192" s="6"/>
      <c r="U1192" s="9"/>
      <c r="AI1192" s="6"/>
      <c r="AJ1192" s="12"/>
      <c r="AL1192" s="13"/>
    </row>
    <row r="1193">
      <c r="A1193" s="5"/>
      <c r="B1193" s="5"/>
      <c r="C1193" s="5"/>
      <c r="D1193" s="5"/>
      <c r="E1193" s="6"/>
      <c r="F1193" s="6"/>
      <c r="G1193" s="18"/>
      <c r="I1193" s="16"/>
      <c r="J1193" s="9"/>
      <c r="K1193" s="10"/>
      <c r="L1193" s="6"/>
      <c r="M1193" s="11"/>
      <c r="N1193" s="6"/>
      <c r="O1193" s="6"/>
      <c r="P1193" s="10"/>
      <c r="Q1193" s="6"/>
      <c r="R1193" s="6"/>
      <c r="S1193" s="6"/>
      <c r="T1193" s="6"/>
      <c r="U1193" s="9"/>
      <c r="AI1193" s="6"/>
      <c r="AJ1193" s="12"/>
      <c r="AL1193" s="13"/>
    </row>
    <row r="1194">
      <c r="A1194" s="5"/>
      <c r="B1194" s="5"/>
      <c r="C1194" s="5"/>
      <c r="D1194" s="5"/>
      <c r="E1194" s="6"/>
      <c r="F1194" s="6"/>
      <c r="G1194" s="18"/>
      <c r="I1194" s="16"/>
      <c r="J1194" s="9"/>
      <c r="K1194" s="10"/>
      <c r="L1194" s="6"/>
      <c r="M1194" s="11"/>
      <c r="N1194" s="6"/>
      <c r="O1194" s="6"/>
      <c r="P1194" s="10"/>
      <c r="Q1194" s="6"/>
      <c r="R1194" s="6"/>
      <c r="S1194" s="6"/>
      <c r="T1194" s="6"/>
      <c r="U1194" s="9"/>
      <c r="AI1194" s="6"/>
      <c r="AJ1194" s="12"/>
      <c r="AL1194" s="13"/>
    </row>
    <row r="1195">
      <c r="A1195" s="5"/>
      <c r="B1195" s="5"/>
      <c r="C1195" s="5"/>
      <c r="D1195" s="5"/>
      <c r="E1195" s="6"/>
      <c r="F1195" s="6"/>
      <c r="G1195" s="18"/>
      <c r="I1195" s="16"/>
      <c r="J1195" s="9"/>
      <c r="K1195" s="10"/>
      <c r="L1195" s="6"/>
      <c r="M1195" s="11"/>
      <c r="N1195" s="6"/>
      <c r="O1195" s="6"/>
      <c r="P1195" s="10"/>
      <c r="Q1195" s="6"/>
      <c r="R1195" s="6"/>
      <c r="S1195" s="6"/>
      <c r="T1195" s="6"/>
      <c r="U1195" s="9"/>
      <c r="AI1195" s="6"/>
      <c r="AJ1195" s="12"/>
      <c r="AL1195" s="13"/>
    </row>
    <row r="1196">
      <c r="A1196" s="5"/>
      <c r="B1196" s="5"/>
      <c r="C1196" s="5"/>
      <c r="D1196" s="5"/>
      <c r="E1196" s="6"/>
      <c r="F1196" s="6"/>
      <c r="G1196" s="18"/>
      <c r="I1196" s="16"/>
      <c r="J1196" s="9"/>
      <c r="K1196" s="10"/>
      <c r="L1196" s="6"/>
      <c r="M1196" s="11"/>
      <c r="N1196" s="6"/>
      <c r="O1196" s="6"/>
      <c r="P1196" s="10"/>
      <c r="Q1196" s="6"/>
      <c r="R1196" s="6"/>
      <c r="S1196" s="6"/>
      <c r="T1196" s="6"/>
      <c r="U1196" s="9"/>
      <c r="AI1196" s="6"/>
      <c r="AJ1196" s="12"/>
      <c r="AL1196" s="13"/>
    </row>
    <row r="1197">
      <c r="A1197" s="5"/>
      <c r="B1197" s="5"/>
      <c r="C1197" s="5"/>
      <c r="D1197" s="5"/>
      <c r="E1197" s="6"/>
      <c r="F1197" s="6"/>
      <c r="G1197" s="18"/>
      <c r="I1197" s="16"/>
      <c r="J1197" s="9"/>
      <c r="K1197" s="10"/>
      <c r="L1197" s="6"/>
      <c r="M1197" s="11"/>
      <c r="N1197" s="6"/>
      <c r="O1197" s="6"/>
      <c r="P1197" s="10"/>
      <c r="Q1197" s="6"/>
      <c r="R1197" s="6"/>
      <c r="S1197" s="6"/>
      <c r="T1197" s="6"/>
      <c r="U1197" s="9"/>
      <c r="AI1197" s="6"/>
      <c r="AJ1197" s="12"/>
      <c r="AL1197" s="13"/>
    </row>
    <row r="1198">
      <c r="A1198" s="5"/>
      <c r="B1198" s="5"/>
      <c r="C1198" s="5"/>
      <c r="D1198" s="5"/>
      <c r="E1198" s="6"/>
      <c r="F1198" s="6"/>
      <c r="G1198" s="18"/>
      <c r="I1198" s="16"/>
      <c r="J1198" s="9"/>
      <c r="K1198" s="10"/>
      <c r="L1198" s="6"/>
      <c r="M1198" s="11"/>
      <c r="N1198" s="6"/>
      <c r="O1198" s="6"/>
      <c r="P1198" s="10"/>
      <c r="Q1198" s="6"/>
      <c r="R1198" s="6"/>
      <c r="S1198" s="6"/>
      <c r="T1198" s="6"/>
      <c r="U1198" s="9"/>
      <c r="AI1198" s="6"/>
      <c r="AJ1198" s="12"/>
      <c r="AL1198" s="13"/>
    </row>
    <row r="1199">
      <c r="A1199" s="5"/>
      <c r="B1199" s="5"/>
      <c r="C1199" s="5"/>
      <c r="D1199" s="5"/>
      <c r="E1199" s="6"/>
      <c r="F1199" s="6"/>
      <c r="G1199" s="18"/>
      <c r="I1199" s="16"/>
      <c r="J1199" s="9"/>
      <c r="K1199" s="10"/>
      <c r="L1199" s="6"/>
      <c r="M1199" s="11"/>
      <c r="N1199" s="6"/>
      <c r="O1199" s="6"/>
      <c r="P1199" s="10"/>
      <c r="Q1199" s="6"/>
      <c r="R1199" s="6"/>
      <c r="S1199" s="6"/>
      <c r="T1199" s="6"/>
      <c r="U1199" s="9"/>
      <c r="AI1199" s="6"/>
      <c r="AJ1199" s="12"/>
      <c r="AL1199" s="13"/>
    </row>
    <row r="1200">
      <c r="A1200" s="5"/>
      <c r="B1200" s="5"/>
      <c r="C1200" s="5"/>
      <c r="D1200" s="5"/>
      <c r="E1200" s="6"/>
      <c r="F1200" s="6"/>
      <c r="G1200" s="18"/>
      <c r="I1200" s="16"/>
      <c r="J1200" s="9"/>
      <c r="K1200" s="10"/>
      <c r="L1200" s="6"/>
      <c r="M1200" s="11"/>
      <c r="N1200" s="6"/>
      <c r="O1200" s="6"/>
      <c r="P1200" s="10"/>
      <c r="Q1200" s="6"/>
      <c r="R1200" s="6"/>
      <c r="S1200" s="6"/>
      <c r="T1200" s="6"/>
      <c r="U1200" s="9"/>
      <c r="AI1200" s="6"/>
      <c r="AJ1200" s="12"/>
      <c r="AL1200" s="13"/>
    </row>
    <row r="1201">
      <c r="A1201" s="5"/>
      <c r="B1201" s="5"/>
      <c r="C1201" s="5"/>
      <c r="D1201" s="5"/>
      <c r="E1201" s="6"/>
      <c r="F1201" s="6"/>
      <c r="G1201" s="18"/>
      <c r="I1201" s="16"/>
      <c r="J1201" s="9"/>
      <c r="K1201" s="10"/>
      <c r="L1201" s="6"/>
      <c r="M1201" s="11"/>
      <c r="N1201" s="6"/>
      <c r="O1201" s="6"/>
      <c r="P1201" s="10"/>
      <c r="Q1201" s="6"/>
      <c r="R1201" s="6"/>
      <c r="S1201" s="6"/>
      <c r="T1201" s="6"/>
      <c r="U1201" s="9"/>
      <c r="AI1201" s="6"/>
      <c r="AJ1201" s="12"/>
      <c r="AL1201" s="13"/>
    </row>
    <row r="1202">
      <c r="A1202" s="5"/>
      <c r="B1202" s="5"/>
      <c r="C1202" s="5"/>
      <c r="D1202" s="5"/>
      <c r="E1202" s="6"/>
      <c r="F1202" s="6"/>
      <c r="G1202" s="18"/>
      <c r="I1202" s="16"/>
      <c r="J1202" s="9"/>
      <c r="K1202" s="10"/>
      <c r="L1202" s="6"/>
      <c r="M1202" s="11"/>
      <c r="N1202" s="6"/>
      <c r="O1202" s="6"/>
      <c r="P1202" s="10"/>
      <c r="Q1202" s="6"/>
      <c r="R1202" s="6"/>
      <c r="S1202" s="6"/>
      <c r="T1202" s="6"/>
      <c r="U1202" s="9"/>
      <c r="AI1202" s="6"/>
      <c r="AJ1202" s="12"/>
      <c r="AL1202" s="13"/>
    </row>
    <row r="1203">
      <c r="A1203" s="5"/>
      <c r="B1203" s="5"/>
      <c r="C1203" s="5"/>
      <c r="D1203" s="5"/>
      <c r="E1203" s="6"/>
      <c r="F1203" s="6"/>
      <c r="G1203" s="18"/>
      <c r="I1203" s="16"/>
      <c r="J1203" s="9"/>
      <c r="K1203" s="10"/>
      <c r="L1203" s="6"/>
      <c r="M1203" s="11"/>
      <c r="N1203" s="6"/>
      <c r="O1203" s="6"/>
      <c r="P1203" s="10"/>
      <c r="Q1203" s="6"/>
      <c r="R1203" s="6"/>
      <c r="S1203" s="6"/>
      <c r="T1203" s="6"/>
      <c r="U1203" s="9"/>
      <c r="AI1203" s="6"/>
      <c r="AJ1203" s="12"/>
      <c r="AL1203" s="13"/>
    </row>
    <row r="1204">
      <c r="A1204" s="5"/>
      <c r="B1204" s="5"/>
      <c r="C1204" s="5"/>
      <c r="D1204" s="5"/>
      <c r="E1204" s="6"/>
      <c r="F1204" s="6"/>
      <c r="G1204" s="18"/>
      <c r="I1204" s="16"/>
      <c r="J1204" s="9"/>
      <c r="K1204" s="10"/>
      <c r="L1204" s="6"/>
      <c r="M1204" s="11"/>
      <c r="N1204" s="6"/>
      <c r="O1204" s="6"/>
      <c r="P1204" s="10"/>
      <c r="Q1204" s="6"/>
      <c r="R1204" s="6"/>
      <c r="S1204" s="6"/>
      <c r="T1204" s="6"/>
      <c r="U1204" s="9"/>
      <c r="AI1204" s="6"/>
      <c r="AJ1204" s="12"/>
      <c r="AL1204" s="13"/>
    </row>
    <row r="1205">
      <c r="A1205" s="5"/>
      <c r="B1205" s="5"/>
      <c r="C1205" s="5"/>
      <c r="D1205" s="5"/>
      <c r="E1205" s="6"/>
      <c r="F1205" s="6"/>
      <c r="G1205" s="18"/>
      <c r="I1205" s="16"/>
      <c r="J1205" s="9"/>
      <c r="K1205" s="10"/>
      <c r="L1205" s="6"/>
      <c r="M1205" s="11"/>
      <c r="N1205" s="6"/>
      <c r="O1205" s="6"/>
      <c r="P1205" s="10"/>
      <c r="Q1205" s="6"/>
      <c r="R1205" s="6"/>
      <c r="S1205" s="6"/>
      <c r="T1205" s="6"/>
      <c r="U1205" s="9"/>
      <c r="AI1205" s="6"/>
      <c r="AJ1205" s="12"/>
      <c r="AL1205" s="13"/>
    </row>
    <row r="1206">
      <c r="A1206" s="5"/>
      <c r="B1206" s="5"/>
      <c r="C1206" s="5"/>
      <c r="D1206" s="5"/>
      <c r="E1206" s="6"/>
      <c r="F1206" s="6"/>
      <c r="G1206" s="18"/>
      <c r="I1206" s="16"/>
      <c r="J1206" s="9"/>
      <c r="K1206" s="10"/>
      <c r="L1206" s="6"/>
      <c r="M1206" s="11"/>
      <c r="N1206" s="6"/>
      <c r="O1206" s="6"/>
      <c r="P1206" s="10"/>
      <c r="Q1206" s="6"/>
      <c r="R1206" s="6"/>
      <c r="S1206" s="6"/>
      <c r="T1206" s="6"/>
      <c r="U1206" s="9"/>
      <c r="AI1206" s="6"/>
      <c r="AJ1206" s="12"/>
      <c r="AL1206" s="13"/>
    </row>
    <row r="1207">
      <c r="A1207" s="5"/>
      <c r="B1207" s="5"/>
      <c r="C1207" s="5"/>
      <c r="D1207" s="5"/>
      <c r="E1207" s="6"/>
      <c r="F1207" s="6"/>
      <c r="G1207" s="18"/>
      <c r="I1207" s="16"/>
      <c r="J1207" s="9"/>
      <c r="K1207" s="10"/>
      <c r="L1207" s="6"/>
      <c r="M1207" s="11"/>
      <c r="N1207" s="6"/>
      <c r="O1207" s="6"/>
      <c r="P1207" s="10"/>
      <c r="Q1207" s="6"/>
      <c r="R1207" s="6"/>
      <c r="S1207" s="6"/>
      <c r="T1207" s="6"/>
      <c r="U1207" s="9"/>
      <c r="AI1207" s="6"/>
      <c r="AJ1207" s="12"/>
      <c r="AL1207" s="13"/>
    </row>
    <row r="1208">
      <c r="A1208" s="5"/>
      <c r="B1208" s="5"/>
      <c r="C1208" s="5"/>
      <c r="D1208" s="5"/>
      <c r="E1208" s="6"/>
      <c r="F1208" s="6"/>
      <c r="G1208" s="18"/>
      <c r="I1208" s="16"/>
      <c r="J1208" s="9"/>
      <c r="K1208" s="10"/>
      <c r="L1208" s="6"/>
      <c r="M1208" s="11"/>
      <c r="N1208" s="6"/>
      <c r="O1208" s="6"/>
      <c r="P1208" s="10"/>
      <c r="Q1208" s="6"/>
      <c r="R1208" s="6"/>
      <c r="S1208" s="6"/>
      <c r="T1208" s="6"/>
      <c r="U1208" s="9"/>
      <c r="AI1208" s="6"/>
      <c r="AJ1208" s="12"/>
      <c r="AL1208" s="13"/>
    </row>
    <row r="1209">
      <c r="A1209" s="5"/>
      <c r="B1209" s="5"/>
      <c r="C1209" s="5"/>
      <c r="D1209" s="5"/>
      <c r="E1209" s="6"/>
      <c r="F1209" s="6"/>
      <c r="G1209" s="18"/>
      <c r="I1209" s="16"/>
      <c r="J1209" s="9"/>
      <c r="K1209" s="10"/>
      <c r="L1209" s="6"/>
      <c r="M1209" s="11"/>
      <c r="N1209" s="6"/>
      <c r="O1209" s="6"/>
      <c r="P1209" s="10"/>
      <c r="Q1209" s="6"/>
      <c r="R1209" s="6"/>
      <c r="S1209" s="6"/>
      <c r="T1209" s="6"/>
      <c r="U1209" s="9"/>
      <c r="AI1209" s="6"/>
      <c r="AJ1209" s="12"/>
      <c r="AL1209" s="13"/>
    </row>
    <row r="1210">
      <c r="A1210" s="5"/>
      <c r="B1210" s="5"/>
      <c r="C1210" s="5"/>
      <c r="D1210" s="5"/>
      <c r="E1210" s="6"/>
      <c r="F1210" s="6"/>
      <c r="G1210" s="18"/>
      <c r="I1210" s="16"/>
      <c r="J1210" s="9"/>
      <c r="K1210" s="10"/>
      <c r="L1210" s="6"/>
      <c r="M1210" s="11"/>
      <c r="N1210" s="6"/>
      <c r="O1210" s="6"/>
      <c r="P1210" s="10"/>
      <c r="Q1210" s="6"/>
      <c r="R1210" s="6"/>
      <c r="S1210" s="6"/>
      <c r="T1210" s="6"/>
      <c r="U1210" s="9"/>
      <c r="AI1210" s="6"/>
      <c r="AJ1210" s="12"/>
      <c r="AL1210" s="13"/>
    </row>
    <row r="1211">
      <c r="A1211" s="5"/>
      <c r="B1211" s="5"/>
      <c r="C1211" s="5"/>
      <c r="D1211" s="5"/>
      <c r="E1211" s="6"/>
      <c r="F1211" s="6"/>
      <c r="G1211" s="18"/>
      <c r="I1211" s="16"/>
      <c r="J1211" s="9"/>
      <c r="K1211" s="10"/>
      <c r="L1211" s="6"/>
      <c r="M1211" s="11"/>
      <c r="N1211" s="6"/>
      <c r="O1211" s="6"/>
      <c r="P1211" s="10"/>
      <c r="Q1211" s="6"/>
      <c r="R1211" s="6"/>
      <c r="S1211" s="6"/>
      <c r="T1211" s="6"/>
      <c r="U1211" s="9"/>
      <c r="AI1211" s="6"/>
      <c r="AJ1211" s="12"/>
      <c r="AL1211" s="13"/>
    </row>
    <row r="1212">
      <c r="A1212" s="5"/>
      <c r="B1212" s="5"/>
      <c r="C1212" s="5"/>
      <c r="D1212" s="5"/>
      <c r="E1212" s="6"/>
      <c r="F1212" s="6"/>
      <c r="G1212" s="18"/>
      <c r="I1212" s="16"/>
      <c r="J1212" s="9"/>
      <c r="K1212" s="10"/>
      <c r="L1212" s="6"/>
      <c r="M1212" s="11"/>
      <c r="N1212" s="6"/>
      <c r="O1212" s="6"/>
      <c r="P1212" s="10"/>
      <c r="Q1212" s="6"/>
      <c r="R1212" s="6"/>
      <c r="S1212" s="6"/>
      <c r="T1212" s="6"/>
      <c r="U1212" s="9"/>
      <c r="AI1212" s="6"/>
      <c r="AJ1212" s="12"/>
      <c r="AL1212" s="13"/>
    </row>
    <row r="1213">
      <c r="A1213" s="5"/>
      <c r="B1213" s="5"/>
      <c r="C1213" s="5"/>
      <c r="D1213" s="5"/>
      <c r="E1213" s="6"/>
      <c r="F1213" s="6"/>
      <c r="G1213" s="18"/>
      <c r="I1213" s="16"/>
      <c r="J1213" s="9"/>
      <c r="K1213" s="10"/>
      <c r="L1213" s="6"/>
      <c r="M1213" s="11"/>
      <c r="N1213" s="6"/>
      <c r="O1213" s="6"/>
      <c r="P1213" s="10"/>
      <c r="Q1213" s="6"/>
      <c r="R1213" s="6"/>
      <c r="S1213" s="6"/>
      <c r="T1213" s="6"/>
      <c r="U1213" s="9"/>
      <c r="AI1213" s="6"/>
      <c r="AJ1213" s="12"/>
      <c r="AL1213" s="13"/>
    </row>
    <row r="1214">
      <c r="A1214" s="5"/>
      <c r="B1214" s="5"/>
      <c r="C1214" s="5"/>
      <c r="D1214" s="5"/>
      <c r="E1214" s="6"/>
      <c r="F1214" s="6"/>
      <c r="G1214" s="18"/>
      <c r="I1214" s="16"/>
      <c r="J1214" s="9"/>
      <c r="K1214" s="10"/>
      <c r="L1214" s="6"/>
      <c r="M1214" s="11"/>
      <c r="N1214" s="6"/>
      <c r="O1214" s="6"/>
      <c r="P1214" s="10"/>
      <c r="Q1214" s="6"/>
      <c r="R1214" s="6"/>
      <c r="S1214" s="6"/>
      <c r="T1214" s="6"/>
      <c r="U1214" s="9"/>
      <c r="AI1214" s="6"/>
      <c r="AJ1214" s="12"/>
      <c r="AL1214" s="13"/>
    </row>
    <row r="1215">
      <c r="A1215" s="5"/>
      <c r="B1215" s="5"/>
      <c r="C1215" s="5"/>
      <c r="D1215" s="5"/>
      <c r="E1215" s="6"/>
      <c r="F1215" s="6"/>
      <c r="G1215" s="18"/>
      <c r="I1215" s="16"/>
      <c r="J1215" s="9"/>
      <c r="K1215" s="10"/>
      <c r="L1215" s="6"/>
      <c r="M1215" s="11"/>
      <c r="N1215" s="6"/>
      <c r="O1215" s="6"/>
      <c r="P1215" s="10"/>
      <c r="Q1215" s="6"/>
      <c r="R1215" s="6"/>
      <c r="S1215" s="6"/>
      <c r="T1215" s="6"/>
      <c r="U1215" s="9"/>
      <c r="AI1215" s="6"/>
      <c r="AJ1215" s="12"/>
      <c r="AL1215" s="13"/>
    </row>
    <row r="1216">
      <c r="A1216" s="5"/>
      <c r="B1216" s="5"/>
      <c r="C1216" s="5"/>
      <c r="D1216" s="5"/>
      <c r="E1216" s="6"/>
      <c r="F1216" s="6"/>
      <c r="G1216" s="18"/>
      <c r="I1216" s="16"/>
      <c r="J1216" s="9"/>
      <c r="K1216" s="10"/>
      <c r="L1216" s="6"/>
      <c r="M1216" s="11"/>
      <c r="N1216" s="6"/>
      <c r="O1216" s="6"/>
      <c r="P1216" s="10"/>
      <c r="Q1216" s="6"/>
      <c r="R1216" s="6"/>
      <c r="S1216" s="6"/>
      <c r="T1216" s="6"/>
      <c r="U1216" s="9"/>
      <c r="AI1216" s="6"/>
      <c r="AJ1216" s="12"/>
      <c r="AL1216" s="13"/>
    </row>
    <row r="1217">
      <c r="A1217" s="5"/>
      <c r="B1217" s="5"/>
      <c r="C1217" s="5"/>
      <c r="D1217" s="5"/>
      <c r="E1217" s="6"/>
      <c r="F1217" s="6"/>
      <c r="G1217" s="18"/>
      <c r="I1217" s="16"/>
      <c r="J1217" s="9"/>
      <c r="K1217" s="10"/>
      <c r="L1217" s="6"/>
      <c r="M1217" s="11"/>
      <c r="N1217" s="6"/>
      <c r="O1217" s="6"/>
      <c r="P1217" s="10"/>
      <c r="Q1217" s="6"/>
      <c r="R1217" s="6"/>
      <c r="S1217" s="6"/>
      <c r="T1217" s="6"/>
      <c r="U1217" s="9"/>
      <c r="AI1217" s="6"/>
      <c r="AJ1217" s="12"/>
      <c r="AL1217" s="13"/>
    </row>
    <row r="1218">
      <c r="A1218" s="5"/>
      <c r="B1218" s="5"/>
      <c r="C1218" s="5"/>
      <c r="D1218" s="5"/>
      <c r="E1218" s="6"/>
      <c r="F1218" s="6"/>
      <c r="G1218" s="18"/>
      <c r="I1218" s="16"/>
      <c r="J1218" s="9"/>
      <c r="K1218" s="10"/>
      <c r="L1218" s="6"/>
      <c r="M1218" s="11"/>
      <c r="N1218" s="6"/>
      <c r="O1218" s="6"/>
      <c r="P1218" s="10"/>
      <c r="Q1218" s="6"/>
      <c r="R1218" s="6"/>
      <c r="S1218" s="6"/>
      <c r="T1218" s="6"/>
      <c r="U1218" s="9"/>
      <c r="AI1218" s="6"/>
      <c r="AJ1218" s="12"/>
      <c r="AL1218" s="13"/>
    </row>
    <row r="1219">
      <c r="A1219" s="5"/>
      <c r="B1219" s="5"/>
      <c r="C1219" s="5"/>
      <c r="D1219" s="5"/>
      <c r="E1219" s="6"/>
      <c r="F1219" s="6"/>
      <c r="G1219" s="18"/>
      <c r="I1219" s="16"/>
      <c r="J1219" s="9"/>
      <c r="K1219" s="10"/>
      <c r="L1219" s="6"/>
      <c r="M1219" s="11"/>
      <c r="N1219" s="6"/>
      <c r="O1219" s="6"/>
      <c r="P1219" s="10"/>
      <c r="Q1219" s="6"/>
      <c r="R1219" s="6"/>
      <c r="S1219" s="6"/>
      <c r="T1219" s="6"/>
      <c r="U1219" s="9"/>
      <c r="AI1219" s="6"/>
      <c r="AJ1219" s="12"/>
      <c r="AL1219" s="13"/>
    </row>
    <row r="1220">
      <c r="A1220" s="5"/>
      <c r="B1220" s="5"/>
      <c r="C1220" s="5"/>
      <c r="D1220" s="5"/>
      <c r="E1220" s="6"/>
      <c r="F1220" s="6"/>
      <c r="G1220" s="18"/>
      <c r="I1220" s="16"/>
      <c r="J1220" s="9"/>
      <c r="K1220" s="10"/>
      <c r="L1220" s="6"/>
      <c r="M1220" s="11"/>
      <c r="N1220" s="6"/>
      <c r="O1220" s="6"/>
      <c r="P1220" s="10"/>
      <c r="Q1220" s="6"/>
      <c r="R1220" s="6"/>
      <c r="S1220" s="6"/>
      <c r="T1220" s="6"/>
      <c r="U1220" s="9"/>
      <c r="AI1220" s="6"/>
      <c r="AJ1220" s="12"/>
      <c r="AL1220" s="13"/>
    </row>
    <row r="1221">
      <c r="A1221" s="5"/>
      <c r="B1221" s="5"/>
      <c r="C1221" s="5"/>
      <c r="D1221" s="5"/>
      <c r="E1221" s="6"/>
      <c r="F1221" s="6"/>
      <c r="G1221" s="18"/>
      <c r="I1221" s="16"/>
      <c r="J1221" s="9"/>
      <c r="K1221" s="10"/>
      <c r="L1221" s="6"/>
      <c r="M1221" s="11"/>
      <c r="N1221" s="6"/>
      <c r="O1221" s="6"/>
      <c r="P1221" s="10"/>
      <c r="Q1221" s="6"/>
      <c r="R1221" s="6"/>
      <c r="S1221" s="6"/>
      <c r="T1221" s="6"/>
      <c r="U1221" s="9"/>
      <c r="AI1221" s="6"/>
      <c r="AJ1221" s="12"/>
      <c r="AL1221" s="13"/>
    </row>
    <row r="1222">
      <c r="A1222" s="5"/>
      <c r="B1222" s="5"/>
      <c r="C1222" s="5"/>
      <c r="D1222" s="5"/>
      <c r="E1222" s="6"/>
      <c r="F1222" s="6"/>
      <c r="G1222" s="18"/>
      <c r="I1222" s="16"/>
      <c r="J1222" s="9"/>
      <c r="K1222" s="10"/>
      <c r="L1222" s="6"/>
      <c r="M1222" s="11"/>
      <c r="N1222" s="6"/>
      <c r="O1222" s="6"/>
      <c r="P1222" s="10"/>
      <c r="Q1222" s="6"/>
      <c r="R1222" s="6"/>
      <c r="S1222" s="6"/>
      <c r="T1222" s="6"/>
      <c r="U1222" s="9"/>
      <c r="AI1222" s="6"/>
      <c r="AJ1222" s="12"/>
      <c r="AL1222" s="13"/>
    </row>
    <row r="1223">
      <c r="A1223" s="5"/>
      <c r="B1223" s="5"/>
      <c r="C1223" s="5"/>
      <c r="D1223" s="5"/>
      <c r="E1223" s="6"/>
      <c r="F1223" s="6"/>
      <c r="G1223" s="18"/>
      <c r="I1223" s="16"/>
      <c r="J1223" s="9"/>
      <c r="K1223" s="10"/>
      <c r="L1223" s="6"/>
      <c r="M1223" s="11"/>
      <c r="N1223" s="6"/>
      <c r="O1223" s="6"/>
      <c r="P1223" s="10"/>
      <c r="Q1223" s="6"/>
      <c r="R1223" s="6"/>
      <c r="S1223" s="6"/>
      <c r="T1223" s="6"/>
      <c r="U1223" s="9"/>
      <c r="AI1223" s="6"/>
      <c r="AJ1223" s="12"/>
      <c r="AL1223" s="13"/>
    </row>
    <row r="1224">
      <c r="A1224" s="5"/>
      <c r="B1224" s="5"/>
      <c r="C1224" s="5"/>
      <c r="D1224" s="5"/>
      <c r="E1224" s="6"/>
      <c r="F1224" s="6"/>
      <c r="G1224" s="18"/>
      <c r="I1224" s="16"/>
      <c r="J1224" s="9"/>
      <c r="K1224" s="10"/>
      <c r="L1224" s="6"/>
      <c r="M1224" s="11"/>
      <c r="N1224" s="6"/>
      <c r="O1224" s="6"/>
      <c r="P1224" s="10"/>
      <c r="Q1224" s="6"/>
      <c r="R1224" s="6"/>
      <c r="S1224" s="6"/>
      <c r="T1224" s="6"/>
      <c r="U1224" s="9"/>
      <c r="AI1224" s="6"/>
      <c r="AJ1224" s="12"/>
      <c r="AL1224" s="13"/>
    </row>
    <row r="1225">
      <c r="A1225" s="5"/>
      <c r="B1225" s="5"/>
      <c r="C1225" s="5"/>
      <c r="D1225" s="5"/>
      <c r="E1225" s="6"/>
      <c r="F1225" s="6"/>
      <c r="G1225" s="18"/>
      <c r="I1225" s="16"/>
      <c r="J1225" s="9"/>
      <c r="K1225" s="10"/>
      <c r="L1225" s="6"/>
      <c r="M1225" s="11"/>
      <c r="N1225" s="6"/>
      <c r="O1225" s="6"/>
      <c r="P1225" s="10"/>
      <c r="Q1225" s="6"/>
      <c r="R1225" s="6"/>
      <c r="S1225" s="6"/>
      <c r="T1225" s="6"/>
      <c r="U1225" s="9"/>
      <c r="AI1225" s="6"/>
      <c r="AJ1225" s="12"/>
      <c r="AL1225" s="13"/>
    </row>
    <row r="1226">
      <c r="A1226" s="5"/>
      <c r="B1226" s="5"/>
      <c r="C1226" s="5"/>
      <c r="D1226" s="5"/>
      <c r="E1226" s="6"/>
      <c r="F1226" s="6"/>
      <c r="G1226" s="18"/>
      <c r="I1226" s="16"/>
      <c r="J1226" s="9"/>
      <c r="K1226" s="10"/>
      <c r="L1226" s="6"/>
      <c r="M1226" s="11"/>
      <c r="N1226" s="6"/>
      <c r="O1226" s="6"/>
      <c r="P1226" s="10"/>
      <c r="Q1226" s="6"/>
      <c r="R1226" s="6"/>
      <c r="S1226" s="6"/>
      <c r="T1226" s="6"/>
      <c r="U1226" s="9"/>
      <c r="AI1226" s="6"/>
      <c r="AJ1226" s="12"/>
      <c r="AL1226" s="13"/>
    </row>
    <row r="1227">
      <c r="A1227" s="5"/>
      <c r="B1227" s="5"/>
      <c r="C1227" s="5"/>
      <c r="D1227" s="5"/>
      <c r="E1227" s="6"/>
      <c r="F1227" s="6"/>
      <c r="G1227" s="18"/>
      <c r="I1227" s="16"/>
      <c r="J1227" s="9"/>
      <c r="K1227" s="10"/>
      <c r="L1227" s="6"/>
      <c r="M1227" s="11"/>
      <c r="N1227" s="6"/>
      <c r="O1227" s="6"/>
      <c r="P1227" s="10"/>
      <c r="Q1227" s="6"/>
      <c r="R1227" s="6"/>
      <c r="S1227" s="6"/>
      <c r="T1227" s="6"/>
      <c r="U1227" s="9"/>
      <c r="AI1227" s="6"/>
      <c r="AJ1227" s="12"/>
      <c r="AL1227" s="13"/>
    </row>
    <row r="1228">
      <c r="A1228" s="5"/>
      <c r="B1228" s="5"/>
      <c r="C1228" s="5"/>
      <c r="D1228" s="5"/>
      <c r="E1228" s="6"/>
      <c r="F1228" s="6"/>
      <c r="G1228" s="18"/>
      <c r="I1228" s="16"/>
      <c r="J1228" s="9"/>
      <c r="K1228" s="10"/>
      <c r="L1228" s="6"/>
      <c r="M1228" s="11"/>
      <c r="N1228" s="6"/>
      <c r="O1228" s="6"/>
      <c r="P1228" s="10"/>
      <c r="Q1228" s="6"/>
      <c r="R1228" s="6"/>
      <c r="S1228" s="6"/>
      <c r="T1228" s="6"/>
      <c r="U1228" s="9"/>
      <c r="AI1228" s="6"/>
      <c r="AJ1228" s="12"/>
      <c r="AL1228" s="13"/>
    </row>
    <row r="1229">
      <c r="A1229" s="5"/>
      <c r="B1229" s="5"/>
      <c r="C1229" s="5"/>
      <c r="D1229" s="5"/>
      <c r="E1229" s="6"/>
      <c r="F1229" s="6"/>
      <c r="G1229" s="18"/>
      <c r="I1229" s="16"/>
      <c r="J1229" s="9"/>
      <c r="K1229" s="10"/>
      <c r="L1229" s="6"/>
      <c r="M1229" s="11"/>
      <c r="N1229" s="6"/>
      <c r="O1229" s="6"/>
      <c r="P1229" s="10"/>
      <c r="Q1229" s="6"/>
      <c r="R1229" s="6"/>
      <c r="S1229" s="6"/>
      <c r="T1229" s="6"/>
      <c r="U1229" s="9"/>
      <c r="AI1229" s="6"/>
      <c r="AJ1229" s="12"/>
      <c r="AL1229" s="13"/>
    </row>
    <row r="1230">
      <c r="A1230" s="5"/>
      <c r="B1230" s="5"/>
      <c r="C1230" s="5"/>
      <c r="D1230" s="5"/>
      <c r="E1230" s="6"/>
      <c r="F1230" s="6"/>
      <c r="G1230" s="18"/>
      <c r="I1230" s="16"/>
      <c r="J1230" s="9"/>
      <c r="K1230" s="10"/>
      <c r="L1230" s="6"/>
      <c r="M1230" s="11"/>
      <c r="N1230" s="6"/>
      <c r="O1230" s="6"/>
      <c r="P1230" s="10"/>
      <c r="Q1230" s="6"/>
      <c r="R1230" s="6"/>
      <c r="S1230" s="6"/>
      <c r="T1230" s="6"/>
      <c r="U1230" s="9"/>
      <c r="AI1230" s="6"/>
      <c r="AJ1230" s="12"/>
      <c r="AL1230" s="13"/>
    </row>
    <row r="1231">
      <c r="A1231" s="5"/>
      <c r="B1231" s="5"/>
      <c r="C1231" s="5"/>
      <c r="D1231" s="5"/>
      <c r="E1231" s="6"/>
      <c r="F1231" s="6"/>
      <c r="G1231" s="18"/>
      <c r="I1231" s="16"/>
      <c r="J1231" s="9"/>
      <c r="K1231" s="10"/>
      <c r="L1231" s="6"/>
      <c r="M1231" s="11"/>
      <c r="N1231" s="6"/>
      <c r="O1231" s="6"/>
      <c r="P1231" s="10"/>
      <c r="Q1231" s="6"/>
      <c r="R1231" s="6"/>
      <c r="S1231" s="6"/>
      <c r="T1231" s="6"/>
      <c r="U1231" s="9"/>
      <c r="AI1231" s="6"/>
      <c r="AJ1231" s="12"/>
      <c r="AL1231" s="13"/>
    </row>
    <row r="1232">
      <c r="A1232" s="5"/>
      <c r="B1232" s="5"/>
      <c r="C1232" s="5"/>
      <c r="D1232" s="5"/>
      <c r="E1232" s="6"/>
      <c r="F1232" s="6"/>
      <c r="G1232" s="18"/>
      <c r="I1232" s="16"/>
      <c r="J1232" s="9"/>
      <c r="K1232" s="10"/>
      <c r="L1232" s="6"/>
      <c r="M1232" s="11"/>
      <c r="N1232" s="6"/>
      <c r="O1232" s="6"/>
      <c r="P1232" s="10"/>
      <c r="Q1232" s="6"/>
      <c r="R1232" s="6"/>
      <c r="S1232" s="6"/>
      <c r="T1232" s="6"/>
      <c r="U1232" s="9"/>
      <c r="AI1232" s="6"/>
      <c r="AJ1232" s="12"/>
      <c r="AL1232" s="13"/>
    </row>
    <row r="1233">
      <c r="A1233" s="5"/>
      <c r="B1233" s="5"/>
      <c r="C1233" s="5"/>
      <c r="D1233" s="5"/>
      <c r="E1233" s="6"/>
      <c r="F1233" s="6"/>
      <c r="G1233" s="18"/>
      <c r="I1233" s="16"/>
      <c r="J1233" s="9"/>
      <c r="K1233" s="10"/>
      <c r="L1233" s="6"/>
      <c r="M1233" s="11"/>
      <c r="N1233" s="6"/>
      <c r="O1233" s="6"/>
      <c r="P1233" s="10"/>
      <c r="Q1233" s="6"/>
      <c r="R1233" s="6"/>
      <c r="S1233" s="6"/>
      <c r="T1233" s="6"/>
      <c r="U1233" s="9"/>
      <c r="AI1233" s="6"/>
      <c r="AJ1233" s="12"/>
      <c r="AL1233" s="13"/>
    </row>
    <row r="1234">
      <c r="A1234" s="5"/>
      <c r="B1234" s="5"/>
      <c r="C1234" s="5"/>
      <c r="D1234" s="5"/>
      <c r="E1234" s="6"/>
      <c r="F1234" s="6"/>
      <c r="G1234" s="18"/>
      <c r="I1234" s="16"/>
      <c r="J1234" s="9"/>
      <c r="K1234" s="10"/>
      <c r="L1234" s="6"/>
      <c r="M1234" s="11"/>
      <c r="N1234" s="6"/>
      <c r="O1234" s="6"/>
      <c r="P1234" s="10"/>
      <c r="Q1234" s="6"/>
      <c r="R1234" s="6"/>
      <c r="S1234" s="6"/>
      <c r="T1234" s="6"/>
      <c r="U1234" s="9"/>
      <c r="AI1234" s="6"/>
      <c r="AJ1234" s="12"/>
      <c r="AL1234" s="13"/>
    </row>
    <row r="1235">
      <c r="A1235" s="5"/>
      <c r="B1235" s="5"/>
      <c r="C1235" s="5"/>
      <c r="D1235" s="5"/>
      <c r="E1235" s="6"/>
      <c r="F1235" s="6"/>
      <c r="G1235" s="18"/>
      <c r="I1235" s="16"/>
      <c r="J1235" s="9"/>
      <c r="K1235" s="10"/>
      <c r="L1235" s="6"/>
      <c r="M1235" s="11"/>
      <c r="N1235" s="6"/>
      <c r="O1235" s="6"/>
      <c r="P1235" s="10"/>
      <c r="Q1235" s="6"/>
      <c r="R1235" s="6"/>
      <c r="S1235" s="6"/>
      <c r="T1235" s="6"/>
      <c r="U1235" s="9"/>
      <c r="AI1235" s="6"/>
      <c r="AJ1235" s="12"/>
      <c r="AL1235" s="13"/>
    </row>
    <row r="1236">
      <c r="A1236" s="5"/>
      <c r="B1236" s="5"/>
      <c r="C1236" s="5"/>
      <c r="D1236" s="5"/>
      <c r="E1236" s="6"/>
      <c r="F1236" s="6"/>
      <c r="G1236" s="18"/>
      <c r="I1236" s="16"/>
      <c r="J1236" s="9"/>
      <c r="K1236" s="10"/>
      <c r="L1236" s="6"/>
      <c r="M1236" s="11"/>
      <c r="N1236" s="6"/>
      <c r="O1236" s="6"/>
      <c r="P1236" s="10"/>
      <c r="Q1236" s="6"/>
      <c r="R1236" s="6"/>
      <c r="S1236" s="6"/>
      <c r="T1236" s="6"/>
      <c r="U1236" s="9"/>
      <c r="AI1236" s="6"/>
      <c r="AJ1236" s="12"/>
      <c r="AL1236" s="13"/>
    </row>
    <row r="1237">
      <c r="A1237" s="5"/>
      <c r="B1237" s="5"/>
      <c r="C1237" s="5"/>
      <c r="D1237" s="5"/>
      <c r="E1237" s="6"/>
      <c r="F1237" s="6"/>
      <c r="G1237" s="18"/>
      <c r="I1237" s="16"/>
      <c r="J1237" s="9"/>
      <c r="K1237" s="10"/>
      <c r="L1237" s="6"/>
      <c r="M1237" s="11"/>
      <c r="N1237" s="6"/>
      <c r="O1237" s="6"/>
      <c r="P1237" s="10"/>
      <c r="Q1237" s="6"/>
      <c r="R1237" s="6"/>
      <c r="S1237" s="6"/>
      <c r="T1237" s="6"/>
      <c r="U1237" s="9"/>
      <c r="AI1237" s="6"/>
      <c r="AJ1237" s="12"/>
      <c r="AL1237" s="13"/>
    </row>
    <row r="1238">
      <c r="A1238" s="5"/>
      <c r="B1238" s="5"/>
      <c r="C1238" s="5"/>
      <c r="D1238" s="5"/>
      <c r="E1238" s="6"/>
      <c r="F1238" s="6"/>
      <c r="G1238" s="18"/>
      <c r="I1238" s="16"/>
      <c r="J1238" s="9"/>
      <c r="K1238" s="10"/>
      <c r="L1238" s="6"/>
      <c r="M1238" s="11"/>
      <c r="N1238" s="6"/>
      <c r="O1238" s="6"/>
      <c r="P1238" s="10"/>
      <c r="Q1238" s="6"/>
      <c r="R1238" s="6"/>
      <c r="S1238" s="6"/>
      <c r="T1238" s="6"/>
      <c r="U1238" s="9"/>
      <c r="AI1238" s="6"/>
      <c r="AJ1238" s="12"/>
      <c r="AL1238" s="13"/>
    </row>
    <row r="1239">
      <c r="A1239" s="5"/>
      <c r="B1239" s="5"/>
      <c r="C1239" s="5"/>
      <c r="D1239" s="5"/>
      <c r="E1239" s="6"/>
      <c r="F1239" s="6"/>
      <c r="G1239" s="18"/>
      <c r="I1239" s="16"/>
      <c r="J1239" s="9"/>
      <c r="K1239" s="10"/>
      <c r="L1239" s="6"/>
      <c r="M1239" s="11"/>
      <c r="N1239" s="6"/>
      <c r="O1239" s="6"/>
      <c r="P1239" s="10"/>
      <c r="Q1239" s="6"/>
      <c r="R1239" s="6"/>
      <c r="S1239" s="6"/>
      <c r="T1239" s="6"/>
      <c r="U1239" s="9"/>
      <c r="AI1239" s="6"/>
      <c r="AJ1239" s="12"/>
      <c r="AL1239" s="13"/>
    </row>
    <row r="1240">
      <c r="A1240" s="5"/>
      <c r="B1240" s="5"/>
      <c r="C1240" s="5"/>
      <c r="D1240" s="5"/>
      <c r="E1240" s="6"/>
      <c r="F1240" s="6"/>
      <c r="G1240" s="18"/>
      <c r="I1240" s="16"/>
      <c r="J1240" s="9"/>
      <c r="K1240" s="10"/>
      <c r="L1240" s="6"/>
      <c r="M1240" s="11"/>
      <c r="N1240" s="6"/>
      <c r="O1240" s="6"/>
      <c r="P1240" s="10"/>
      <c r="Q1240" s="6"/>
      <c r="R1240" s="6"/>
      <c r="S1240" s="6"/>
      <c r="T1240" s="6"/>
      <c r="U1240" s="9"/>
      <c r="AI1240" s="6"/>
      <c r="AJ1240" s="12"/>
      <c r="AL1240" s="13"/>
    </row>
    <row r="1241">
      <c r="A1241" s="5"/>
      <c r="B1241" s="5"/>
      <c r="C1241" s="5"/>
      <c r="D1241" s="5"/>
      <c r="E1241" s="6"/>
      <c r="F1241" s="6"/>
      <c r="G1241" s="18"/>
      <c r="I1241" s="16"/>
      <c r="J1241" s="9"/>
      <c r="K1241" s="10"/>
      <c r="L1241" s="6"/>
      <c r="M1241" s="11"/>
      <c r="N1241" s="6"/>
      <c r="O1241" s="6"/>
      <c r="P1241" s="10"/>
      <c r="Q1241" s="6"/>
      <c r="R1241" s="6"/>
      <c r="S1241" s="6"/>
      <c r="T1241" s="6"/>
      <c r="U1241" s="9"/>
      <c r="AI1241" s="6"/>
      <c r="AJ1241" s="12"/>
      <c r="AL1241" s="13"/>
    </row>
    <row r="1242">
      <c r="A1242" s="5"/>
      <c r="B1242" s="5"/>
      <c r="C1242" s="5"/>
      <c r="D1242" s="5"/>
      <c r="E1242" s="6"/>
      <c r="F1242" s="6"/>
      <c r="G1242" s="18"/>
      <c r="I1242" s="16"/>
      <c r="J1242" s="9"/>
      <c r="K1242" s="10"/>
      <c r="L1242" s="6"/>
      <c r="M1242" s="11"/>
      <c r="N1242" s="6"/>
      <c r="O1242" s="6"/>
      <c r="P1242" s="10"/>
      <c r="Q1242" s="6"/>
      <c r="R1242" s="6"/>
      <c r="S1242" s="6"/>
      <c r="T1242" s="6"/>
      <c r="U1242" s="9"/>
      <c r="AI1242" s="6"/>
      <c r="AJ1242" s="12"/>
      <c r="AL1242" s="13"/>
    </row>
    <row r="1243">
      <c r="A1243" s="5"/>
      <c r="B1243" s="5"/>
      <c r="C1243" s="5"/>
      <c r="D1243" s="5"/>
      <c r="E1243" s="6"/>
      <c r="F1243" s="6"/>
      <c r="G1243" s="18"/>
      <c r="I1243" s="16"/>
      <c r="J1243" s="9"/>
      <c r="K1243" s="10"/>
      <c r="L1243" s="6"/>
      <c r="M1243" s="11"/>
      <c r="N1243" s="6"/>
      <c r="O1243" s="6"/>
      <c r="P1243" s="10"/>
      <c r="Q1243" s="6"/>
      <c r="R1243" s="6"/>
      <c r="S1243" s="6"/>
      <c r="T1243" s="6"/>
      <c r="U1243" s="9"/>
      <c r="AI1243" s="6"/>
      <c r="AJ1243" s="12"/>
      <c r="AL1243" s="13"/>
    </row>
    <row r="1244">
      <c r="A1244" s="5"/>
      <c r="B1244" s="5"/>
      <c r="C1244" s="5"/>
      <c r="D1244" s="5"/>
      <c r="E1244" s="6"/>
      <c r="F1244" s="6"/>
      <c r="G1244" s="18"/>
      <c r="I1244" s="16"/>
      <c r="J1244" s="9"/>
      <c r="K1244" s="10"/>
      <c r="L1244" s="6"/>
      <c r="M1244" s="11"/>
      <c r="N1244" s="6"/>
      <c r="O1244" s="6"/>
      <c r="P1244" s="10"/>
      <c r="Q1244" s="6"/>
      <c r="R1244" s="6"/>
      <c r="S1244" s="6"/>
      <c r="T1244" s="6"/>
      <c r="U1244" s="9"/>
      <c r="AI1244" s="6"/>
      <c r="AJ1244" s="12"/>
      <c r="AL1244" s="13"/>
    </row>
    <row r="1245">
      <c r="A1245" s="5"/>
      <c r="B1245" s="5"/>
      <c r="C1245" s="5"/>
      <c r="D1245" s="5"/>
      <c r="E1245" s="6"/>
      <c r="F1245" s="6"/>
      <c r="G1245" s="18"/>
      <c r="I1245" s="16"/>
      <c r="J1245" s="9"/>
      <c r="K1245" s="10"/>
      <c r="L1245" s="6"/>
      <c r="M1245" s="11"/>
      <c r="N1245" s="6"/>
      <c r="O1245" s="6"/>
      <c r="P1245" s="10"/>
      <c r="Q1245" s="6"/>
      <c r="R1245" s="6"/>
      <c r="S1245" s="6"/>
      <c r="T1245" s="6"/>
      <c r="U1245" s="9"/>
      <c r="AI1245" s="6"/>
      <c r="AJ1245" s="12"/>
      <c r="AL1245" s="13"/>
    </row>
    <row r="1246">
      <c r="A1246" s="5"/>
      <c r="B1246" s="5"/>
      <c r="C1246" s="5"/>
      <c r="D1246" s="5"/>
      <c r="E1246" s="6"/>
      <c r="F1246" s="6"/>
      <c r="G1246" s="18"/>
      <c r="I1246" s="16"/>
      <c r="J1246" s="9"/>
      <c r="K1246" s="10"/>
      <c r="L1246" s="6"/>
      <c r="M1246" s="11"/>
      <c r="N1246" s="6"/>
      <c r="O1246" s="6"/>
      <c r="P1246" s="10"/>
      <c r="Q1246" s="6"/>
      <c r="R1246" s="6"/>
      <c r="S1246" s="6"/>
      <c r="T1246" s="6"/>
      <c r="U1246" s="9"/>
      <c r="AI1246" s="6"/>
      <c r="AJ1246" s="12"/>
      <c r="AL1246" s="13"/>
    </row>
    <row r="1247">
      <c r="A1247" s="5"/>
      <c r="B1247" s="5"/>
      <c r="C1247" s="5"/>
      <c r="D1247" s="5"/>
      <c r="E1247" s="6"/>
      <c r="F1247" s="6"/>
      <c r="G1247" s="18"/>
      <c r="I1247" s="16"/>
      <c r="J1247" s="9"/>
      <c r="K1247" s="10"/>
      <c r="L1247" s="6"/>
      <c r="M1247" s="11"/>
      <c r="N1247" s="6"/>
      <c r="O1247" s="6"/>
      <c r="P1247" s="10"/>
      <c r="Q1247" s="6"/>
      <c r="R1247" s="6"/>
      <c r="S1247" s="6"/>
      <c r="T1247" s="6"/>
      <c r="U1247" s="9"/>
      <c r="AI1247" s="6"/>
      <c r="AJ1247" s="12"/>
      <c r="AL1247" s="13"/>
    </row>
    <row r="1248">
      <c r="A1248" s="5"/>
      <c r="B1248" s="5"/>
      <c r="C1248" s="5"/>
      <c r="D1248" s="5"/>
      <c r="E1248" s="6"/>
      <c r="F1248" s="6"/>
      <c r="G1248" s="18"/>
      <c r="I1248" s="16"/>
      <c r="J1248" s="9"/>
      <c r="K1248" s="10"/>
      <c r="L1248" s="6"/>
      <c r="M1248" s="11"/>
      <c r="N1248" s="6"/>
      <c r="O1248" s="6"/>
      <c r="P1248" s="10"/>
      <c r="Q1248" s="6"/>
      <c r="R1248" s="6"/>
      <c r="S1248" s="6"/>
      <c r="T1248" s="6"/>
      <c r="U1248" s="9"/>
      <c r="AI1248" s="6"/>
      <c r="AJ1248" s="12"/>
      <c r="AL1248" s="13"/>
    </row>
    <row r="1249">
      <c r="A1249" s="5"/>
      <c r="B1249" s="5"/>
      <c r="C1249" s="5"/>
      <c r="D1249" s="5"/>
      <c r="E1249" s="6"/>
      <c r="F1249" s="6"/>
      <c r="G1249" s="18"/>
      <c r="I1249" s="16"/>
      <c r="J1249" s="9"/>
      <c r="K1249" s="10"/>
      <c r="L1249" s="6"/>
      <c r="M1249" s="11"/>
      <c r="N1249" s="6"/>
      <c r="O1249" s="6"/>
      <c r="P1249" s="10"/>
      <c r="Q1249" s="6"/>
      <c r="R1249" s="6"/>
      <c r="S1249" s="6"/>
      <c r="T1249" s="6"/>
      <c r="U1249" s="9"/>
      <c r="AI1249" s="6"/>
      <c r="AJ1249" s="12"/>
      <c r="AL1249" s="13"/>
    </row>
    <row r="1250">
      <c r="A1250" s="5"/>
      <c r="B1250" s="5"/>
      <c r="C1250" s="5"/>
      <c r="D1250" s="5"/>
      <c r="E1250" s="6"/>
      <c r="F1250" s="6"/>
      <c r="G1250" s="18"/>
      <c r="I1250" s="16"/>
      <c r="J1250" s="9"/>
      <c r="K1250" s="10"/>
      <c r="L1250" s="6"/>
      <c r="M1250" s="11"/>
      <c r="N1250" s="6"/>
      <c r="O1250" s="6"/>
      <c r="P1250" s="10"/>
      <c r="Q1250" s="6"/>
      <c r="R1250" s="6"/>
      <c r="S1250" s="6"/>
      <c r="T1250" s="6"/>
      <c r="U1250" s="9"/>
      <c r="AI1250" s="6"/>
      <c r="AJ1250" s="12"/>
      <c r="AL1250" s="13"/>
    </row>
    <row r="1251">
      <c r="A1251" s="5"/>
      <c r="B1251" s="5"/>
      <c r="C1251" s="5"/>
      <c r="D1251" s="5"/>
      <c r="E1251" s="6"/>
      <c r="F1251" s="6"/>
      <c r="G1251" s="18"/>
      <c r="I1251" s="16"/>
      <c r="J1251" s="9"/>
      <c r="K1251" s="10"/>
      <c r="L1251" s="6"/>
      <c r="M1251" s="11"/>
      <c r="N1251" s="6"/>
      <c r="O1251" s="6"/>
      <c r="P1251" s="10"/>
      <c r="Q1251" s="6"/>
      <c r="R1251" s="6"/>
      <c r="S1251" s="6"/>
      <c r="T1251" s="6"/>
      <c r="U1251" s="9"/>
      <c r="AI1251" s="6"/>
      <c r="AJ1251" s="12"/>
      <c r="AL1251" s="13"/>
    </row>
    <row r="1252">
      <c r="A1252" s="5"/>
      <c r="B1252" s="5"/>
      <c r="C1252" s="5"/>
      <c r="D1252" s="5"/>
      <c r="E1252" s="6"/>
      <c r="F1252" s="6"/>
      <c r="G1252" s="18"/>
      <c r="I1252" s="16"/>
      <c r="J1252" s="9"/>
      <c r="K1252" s="10"/>
      <c r="L1252" s="6"/>
      <c r="M1252" s="11"/>
      <c r="N1252" s="6"/>
      <c r="O1252" s="6"/>
      <c r="P1252" s="10"/>
      <c r="Q1252" s="6"/>
      <c r="R1252" s="6"/>
      <c r="S1252" s="6"/>
      <c r="T1252" s="6"/>
      <c r="U1252" s="9"/>
      <c r="AI1252" s="6"/>
      <c r="AJ1252" s="12"/>
      <c r="AL1252" s="13"/>
    </row>
    <row r="1253">
      <c r="A1253" s="5"/>
      <c r="B1253" s="5"/>
      <c r="C1253" s="5"/>
      <c r="D1253" s="5"/>
      <c r="E1253" s="6"/>
      <c r="F1253" s="6"/>
      <c r="G1253" s="18"/>
      <c r="I1253" s="16"/>
      <c r="J1253" s="9"/>
      <c r="K1253" s="10"/>
      <c r="L1253" s="6"/>
      <c r="M1253" s="11"/>
      <c r="N1253" s="6"/>
      <c r="O1253" s="6"/>
      <c r="P1253" s="10"/>
      <c r="Q1253" s="6"/>
      <c r="R1253" s="6"/>
      <c r="S1253" s="6"/>
      <c r="T1253" s="6"/>
      <c r="U1253" s="9"/>
      <c r="AI1253" s="6"/>
      <c r="AJ1253" s="12"/>
      <c r="AL1253" s="13"/>
    </row>
    <row r="1254">
      <c r="A1254" s="5"/>
      <c r="B1254" s="5"/>
      <c r="C1254" s="5"/>
      <c r="D1254" s="5"/>
      <c r="E1254" s="6"/>
      <c r="F1254" s="6"/>
      <c r="G1254" s="18"/>
      <c r="I1254" s="16"/>
      <c r="J1254" s="9"/>
      <c r="K1254" s="10"/>
      <c r="L1254" s="6"/>
      <c r="M1254" s="11"/>
      <c r="N1254" s="6"/>
      <c r="O1254" s="6"/>
      <c r="P1254" s="10"/>
      <c r="Q1254" s="6"/>
      <c r="R1254" s="6"/>
      <c r="S1254" s="6"/>
      <c r="T1254" s="6"/>
      <c r="U1254" s="9"/>
      <c r="AI1254" s="6"/>
      <c r="AJ1254" s="12"/>
      <c r="AL1254" s="13"/>
    </row>
    <row r="1255">
      <c r="A1255" s="5"/>
      <c r="B1255" s="5"/>
      <c r="C1255" s="5"/>
      <c r="D1255" s="5"/>
      <c r="E1255" s="6"/>
      <c r="F1255" s="6"/>
      <c r="G1255" s="18"/>
      <c r="I1255" s="16"/>
      <c r="J1255" s="9"/>
      <c r="K1255" s="10"/>
      <c r="L1255" s="6"/>
      <c r="M1255" s="11"/>
      <c r="N1255" s="6"/>
      <c r="O1255" s="6"/>
      <c r="P1255" s="10"/>
      <c r="Q1255" s="6"/>
      <c r="R1255" s="6"/>
      <c r="S1255" s="6"/>
      <c r="T1255" s="6"/>
      <c r="U1255" s="9"/>
      <c r="AI1255" s="6"/>
      <c r="AJ1255" s="12"/>
      <c r="AL1255" s="13"/>
    </row>
    <row r="1256">
      <c r="A1256" s="5"/>
      <c r="B1256" s="5"/>
      <c r="C1256" s="5"/>
      <c r="D1256" s="5"/>
      <c r="E1256" s="6"/>
      <c r="F1256" s="6"/>
      <c r="G1256" s="18"/>
      <c r="I1256" s="16"/>
      <c r="J1256" s="9"/>
      <c r="K1256" s="10"/>
      <c r="L1256" s="6"/>
      <c r="M1256" s="11"/>
      <c r="N1256" s="6"/>
      <c r="O1256" s="6"/>
      <c r="P1256" s="10"/>
      <c r="Q1256" s="6"/>
      <c r="R1256" s="6"/>
      <c r="S1256" s="6"/>
      <c r="T1256" s="6"/>
      <c r="U1256" s="9"/>
      <c r="AI1256" s="6"/>
      <c r="AJ1256" s="12"/>
      <c r="AL1256" s="13"/>
    </row>
    <row r="1257">
      <c r="A1257" s="5"/>
      <c r="B1257" s="5"/>
      <c r="C1257" s="5"/>
      <c r="D1257" s="5"/>
      <c r="E1257" s="6"/>
      <c r="F1257" s="6"/>
      <c r="G1257" s="18"/>
      <c r="I1257" s="16"/>
      <c r="J1257" s="9"/>
      <c r="K1257" s="10"/>
      <c r="L1257" s="6"/>
      <c r="M1257" s="11"/>
      <c r="N1257" s="6"/>
      <c r="O1257" s="6"/>
      <c r="P1257" s="10"/>
      <c r="Q1257" s="6"/>
      <c r="R1257" s="6"/>
      <c r="S1257" s="6"/>
      <c r="T1257" s="6"/>
      <c r="U1257" s="9"/>
      <c r="AI1257" s="6"/>
      <c r="AJ1257" s="12"/>
      <c r="AL1257" s="13"/>
    </row>
    <row r="1258">
      <c r="A1258" s="5"/>
      <c r="B1258" s="5"/>
      <c r="C1258" s="5"/>
      <c r="D1258" s="5"/>
      <c r="E1258" s="6"/>
      <c r="F1258" s="6"/>
      <c r="G1258" s="18"/>
      <c r="I1258" s="16"/>
      <c r="J1258" s="9"/>
      <c r="K1258" s="10"/>
      <c r="L1258" s="6"/>
      <c r="M1258" s="11"/>
      <c r="N1258" s="6"/>
      <c r="O1258" s="6"/>
      <c r="P1258" s="10"/>
      <c r="Q1258" s="6"/>
      <c r="R1258" s="6"/>
      <c r="S1258" s="6"/>
      <c r="T1258" s="6"/>
      <c r="U1258" s="9"/>
      <c r="AI1258" s="6"/>
      <c r="AJ1258" s="12"/>
      <c r="AL1258" s="13"/>
    </row>
    <row r="1259">
      <c r="A1259" s="5"/>
      <c r="B1259" s="5"/>
      <c r="C1259" s="5"/>
      <c r="D1259" s="5"/>
      <c r="E1259" s="6"/>
      <c r="F1259" s="6"/>
      <c r="G1259" s="18"/>
      <c r="I1259" s="16"/>
      <c r="J1259" s="9"/>
      <c r="K1259" s="10"/>
      <c r="L1259" s="6"/>
      <c r="M1259" s="11"/>
      <c r="N1259" s="6"/>
      <c r="O1259" s="6"/>
      <c r="P1259" s="10"/>
      <c r="Q1259" s="6"/>
      <c r="R1259" s="6"/>
      <c r="S1259" s="6"/>
      <c r="T1259" s="6"/>
      <c r="U1259" s="9"/>
      <c r="AI1259" s="6"/>
      <c r="AJ1259" s="12"/>
      <c r="AL1259" s="13"/>
    </row>
    <row r="1260">
      <c r="A1260" s="5"/>
      <c r="B1260" s="5"/>
      <c r="C1260" s="5"/>
      <c r="D1260" s="5"/>
      <c r="E1260" s="6"/>
      <c r="F1260" s="6"/>
      <c r="G1260" s="18"/>
      <c r="I1260" s="16"/>
      <c r="J1260" s="9"/>
      <c r="K1260" s="10"/>
      <c r="L1260" s="6"/>
      <c r="M1260" s="11"/>
      <c r="N1260" s="6"/>
      <c r="O1260" s="6"/>
      <c r="P1260" s="10"/>
      <c r="Q1260" s="6"/>
      <c r="R1260" s="6"/>
      <c r="S1260" s="6"/>
      <c r="T1260" s="6"/>
      <c r="U1260" s="9"/>
      <c r="AI1260" s="6"/>
      <c r="AJ1260" s="12"/>
      <c r="AL1260" s="13"/>
    </row>
    <row r="1261">
      <c r="A1261" s="5"/>
      <c r="B1261" s="5"/>
      <c r="C1261" s="5"/>
      <c r="D1261" s="5"/>
      <c r="E1261" s="6"/>
      <c r="F1261" s="6"/>
      <c r="G1261" s="18"/>
      <c r="I1261" s="16"/>
      <c r="J1261" s="9"/>
      <c r="K1261" s="10"/>
      <c r="L1261" s="6"/>
      <c r="M1261" s="11"/>
      <c r="N1261" s="6"/>
      <c r="O1261" s="6"/>
      <c r="P1261" s="10"/>
      <c r="Q1261" s="6"/>
      <c r="R1261" s="6"/>
      <c r="S1261" s="6"/>
      <c r="T1261" s="6"/>
      <c r="U1261" s="9"/>
      <c r="AI1261" s="6"/>
      <c r="AJ1261" s="12"/>
      <c r="AL1261" s="13"/>
    </row>
    <row r="1262">
      <c r="A1262" s="5"/>
      <c r="B1262" s="5"/>
      <c r="C1262" s="5"/>
      <c r="D1262" s="5"/>
      <c r="E1262" s="6"/>
      <c r="F1262" s="6"/>
      <c r="G1262" s="18"/>
      <c r="I1262" s="16"/>
      <c r="J1262" s="9"/>
      <c r="K1262" s="10"/>
      <c r="L1262" s="6"/>
      <c r="M1262" s="11"/>
      <c r="N1262" s="6"/>
      <c r="O1262" s="6"/>
      <c r="P1262" s="10"/>
      <c r="Q1262" s="6"/>
      <c r="R1262" s="6"/>
      <c r="S1262" s="6"/>
      <c r="T1262" s="6"/>
      <c r="U1262" s="9"/>
      <c r="AI1262" s="6"/>
      <c r="AJ1262" s="12"/>
      <c r="AL1262" s="13"/>
    </row>
    <row r="1263">
      <c r="A1263" s="5"/>
      <c r="B1263" s="5"/>
      <c r="C1263" s="5"/>
      <c r="D1263" s="5"/>
      <c r="E1263" s="6"/>
      <c r="F1263" s="6"/>
      <c r="G1263" s="18"/>
      <c r="I1263" s="16"/>
      <c r="J1263" s="9"/>
      <c r="K1263" s="10"/>
      <c r="L1263" s="6"/>
      <c r="M1263" s="11"/>
      <c r="N1263" s="6"/>
      <c r="O1263" s="6"/>
      <c r="P1263" s="10"/>
      <c r="Q1263" s="6"/>
      <c r="R1263" s="6"/>
      <c r="S1263" s="6"/>
      <c r="T1263" s="6"/>
      <c r="U1263" s="9"/>
      <c r="AI1263" s="6"/>
      <c r="AJ1263" s="12"/>
      <c r="AL1263" s="13"/>
    </row>
    <row r="1264">
      <c r="A1264" s="5"/>
      <c r="B1264" s="5"/>
      <c r="C1264" s="5"/>
      <c r="D1264" s="5"/>
      <c r="E1264" s="6"/>
      <c r="F1264" s="6"/>
      <c r="G1264" s="18"/>
      <c r="I1264" s="16"/>
      <c r="J1264" s="9"/>
      <c r="K1264" s="10"/>
      <c r="L1264" s="6"/>
      <c r="M1264" s="11"/>
      <c r="N1264" s="6"/>
      <c r="O1264" s="6"/>
      <c r="P1264" s="10"/>
      <c r="Q1264" s="6"/>
      <c r="R1264" s="6"/>
      <c r="S1264" s="6"/>
      <c r="T1264" s="6"/>
      <c r="U1264" s="9"/>
      <c r="AI1264" s="6"/>
      <c r="AJ1264" s="12"/>
      <c r="AL1264" s="13"/>
    </row>
    <row r="1265">
      <c r="A1265" s="5"/>
      <c r="B1265" s="5"/>
      <c r="C1265" s="5"/>
      <c r="D1265" s="5"/>
      <c r="E1265" s="6"/>
      <c r="F1265" s="6"/>
      <c r="G1265" s="18"/>
      <c r="I1265" s="16"/>
      <c r="J1265" s="9"/>
      <c r="K1265" s="10"/>
      <c r="L1265" s="6"/>
      <c r="M1265" s="11"/>
      <c r="N1265" s="6"/>
      <c r="O1265" s="6"/>
      <c r="P1265" s="10"/>
      <c r="Q1265" s="6"/>
      <c r="R1265" s="6"/>
      <c r="S1265" s="6"/>
      <c r="T1265" s="6"/>
      <c r="U1265" s="9"/>
      <c r="AI1265" s="6"/>
      <c r="AJ1265" s="12"/>
      <c r="AL1265" s="13"/>
    </row>
    <row r="1266">
      <c r="A1266" s="5"/>
      <c r="B1266" s="5"/>
      <c r="C1266" s="5"/>
      <c r="D1266" s="5"/>
      <c r="E1266" s="6"/>
      <c r="F1266" s="6"/>
      <c r="G1266" s="18"/>
      <c r="I1266" s="16"/>
      <c r="J1266" s="9"/>
      <c r="K1266" s="10"/>
      <c r="L1266" s="6"/>
      <c r="M1266" s="11"/>
      <c r="N1266" s="6"/>
      <c r="O1266" s="6"/>
      <c r="P1266" s="10"/>
      <c r="Q1266" s="6"/>
      <c r="R1266" s="6"/>
      <c r="S1266" s="6"/>
      <c r="T1266" s="6"/>
      <c r="U1266" s="9"/>
      <c r="AI1266" s="6"/>
      <c r="AJ1266" s="12"/>
      <c r="AL1266" s="13"/>
    </row>
    <row r="1267">
      <c r="A1267" s="5"/>
      <c r="B1267" s="5"/>
      <c r="C1267" s="5"/>
      <c r="D1267" s="5"/>
      <c r="E1267" s="6"/>
      <c r="F1267" s="6"/>
      <c r="G1267" s="18"/>
      <c r="I1267" s="16"/>
      <c r="J1267" s="9"/>
      <c r="K1267" s="10"/>
      <c r="L1267" s="6"/>
      <c r="M1267" s="11"/>
      <c r="N1267" s="6"/>
      <c r="O1267" s="6"/>
      <c r="P1267" s="10"/>
      <c r="Q1267" s="6"/>
      <c r="R1267" s="6"/>
      <c r="S1267" s="6"/>
      <c r="T1267" s="6"/>
      <c r="U1267" s="9"/>
      <c r="AI1267" s="6"/>
      <c r="AJ1267" s="12"/>
      <c r="AL1267" s="13"/>
    </row>
    <row r="1268">
      <c r="A1268" s="5"/>
      <c r="B1268" s="5"/>
      <c r="C1268" s="5"/>
      <c r="D1268" s="5"/>
      <c r="E1268" s="6"/>
      <c r="F1268" s="6"/>
      <c r="G1268" s="18"/>
      <c r="I1268" s="16"/>
      <c r="J1268" s="9"/>
      <c r="K1268" s="10"/>
      <c r="L1268" s="6"/>
      <c r="M1268" s="11"/>
      <c r="N1268" s="6"/>
      <c r="O1268" s="6"/>
      <c r="P1268" s="10"/>
      <c r="Q1268" s="6"/>
      <c r="R1268" s="6"/>
      <c r="S1268" s="6"/>
      <c r="T1268" s="6"/>
      <c r="U1268" s="9"/>
      <c r="AI1268" s="6"/>
      <c r="AJ1268" s="12"/>
      <c r="AL1268" s="13"/>
    </row>
    <row r="1269">
      <c r="A1269" s="5"/>
      <c r="B1269" s="5"/>
      <c r="C1269" s="5"/>
      <c r="D1269" s="5"/>
      <c r="E1269" s="6"/>
      <c r="F1269" s="6"/>
      <c r="G1269" s="18"/>
      <c r="I1269" s="16"/>
      <c r="J1269" s="9"/>
      <c r="K1269" s="10"/>
      <c r="L1269" s="6"/>
      <c r="M1269" s="11"/>
      <c r="N1269" s="6"/>
      <c r="O1269" s="6"/>
      <c r="P1269" s="10"/>
      <c r="Q1269" s="6"/>
      <c r="R1269" s="6"/>
      <c r="S1269" s="6"/>
      <c r="T1269" s="6"/>
      <c r="U1269" s="9"/>
      <c r="AI1269" s="6"/>
      <c r="AJ1269" s="12"/>
      <c r="AL1269" s="13"/>
    </row>
    <row r="1270">
      <c r="A1270" s="5"/>
      <c r="B1270" s="5"/>
      <c r="C1270" s="5"/>
      <c r="D1270" s="5"/>
      <c r="E1270" s="6"/>
      <c r="F1270" s="6"/>
      <c r="G1270" s="18"/>
      <c r="I1270" s="16"/>
      <c r="J1270" s="9"/>
      <c r="K1270" s="10"/>
      <c r="L1270" s="6"/>
      <c r="M1270" s="11"/>
      <c r="N1270" s="6"/>
      <c r="O1270" s="6"/>
      <c r="P1270" s="10"/>
      <c r="Q1270" s="6"/>
      <c r="R1270" s="6"/>
      <c r="S1270" s="6"/>
      <c r="T1270" s="6"/>
      <c r="U1270" s="9"/>
      <c r="AI1270" s="6"/>
      <c r="AJ1270" s="12"/>
      <c r="AL1270" s="13"/>
    </row>
    <row r="1271">
      <c r="A1271" s="5"/>
      <c r="B1271" s="5"/>
      <c r="C1271" s="5"/>
      <c r="D1271" s="5"/>
      <c r="E1271" s="6"/>
      <c r="F1271" s="6"/>
      <c r="G1271" s="18"/>
      <c r="I1271" s="16"/>
      <c r="J1271" s="9"/>
      <c r="K1271" s="10"/>
      <c r="L1271" s="6"/>
      <c r="M1271" s="11"/>
      <c r="N1271" s="6"/>
      <c r="O1271" s="6"/>
      <c r="P1271" s="10"/>
      <c r="Q1271" s="6"/>
      <c r="R1271" s="6"/>
      <c r="S1271" s="6"/>
      <c r="T1271" s="6"/>
      <c r="U1271" s="9"/>
      <c r="AI1271" s="6"/>
      <c r="AJ1271" s="12"/>
      <c r="AL1271" s="13"/>
    </row>
    <row r="1272">
      <c r="A1272" s="5"/>
      <c r="B1272" s="5"/>
      <c r="C1272" s="5"/>
      <c r="D1272" s="5"/>
      <c r="E1272" s="6"/>
      <c r="F1272" s="6"/>
      <c r="G1272" s="18"/>
      <c r="I1272" s="16"/>
      <c r="J1272" s="9"/>
      <c r="K1272" s="10"/>
      <c r="L1272" s="6"/>
      <c r="M1272" s="11"/>
      <c r="N1272" s="6"/>
      <c r="O1272" s="6"/>
      <c r="P1272" s="10"/>
      <c r="Q1272" s="6"/>
      <c r="R1272" s="6"/>
      <c r="S1272" s="6"/>
      <c r="T1272" s="6"/>
      <c r="U1272" s="9"/>
      <c r="AI1272" s="6"/>
      <c r="AJ1272" s="12"/>
      <c r="AL1272" s="13"/>
    </row>
    <row r="1273">
      <c r="A1273" s="5"/>
      <c r="B1273" s="5"/>
      <c r="C1273" s="5"/>
      <c r="D1273" s="5"/>
      <c r="E1273" s="6"/>
      <c r="F1273" s="6"/>
      <c r="G1273" s="18"/>
      <c r="I1273" s="16"/>
      <c r="J1273" s="9"/>
      <c r="K1273" s="10"/>
      <c r="L1273" s="6"/>
      <c r="M1273" s="11"/>
      <c r="N1273" s="6"/>
      <c r="O1273" s="6"/>
      <c r="P1273" s="10"/>
      <c r="Q1273" s="6"/>
      <c r="R1273" s="6"/>
      <c r="S1273" s="6"/>
      <c r="T1273" s="6"/>
      <c r="U1273" s="9"/>
      <c r="AI1273" s="6"/>
      <c r="AJ1273" s="12"/>
      <c r="AL1273" s="13"/>
    </row>
    <row r="1274">
      <c r="A1274" s="5"/>
      <c r="B1274" s="5"/>
      <c r="C1274" s="5"/>
      <c r="D1274" s="5"/>
      <c r="E1274" s="6"/>
      <c r="F1274" s="6"/>
      <c r="G1274" s="18"/>
      <c r="I1274" s="16"/>
      <c r="J1274" s="9"/>
      <c r="K1274" s="10"/>
      <c r="L1274" s="6"/>
      <c r="M1274" s="11"/>
      <c r="N1274" s="6"/>
      <c r="O1274" s="6"/>
      <c r="P1274" s="10"/>
      <c r="Q1274" s="6"/>
      <c r="R1274" s="6"/>
      <c r="S1274" s="6"/>
      <c r="T1274" s="6"/>
      <c r="U1274" s="9"/>
      <c r="AI1274" s="6"/>
      <c r="AJ1274" s="12"/>
      <c r="AL1274" s="13"/>
    </row>
    <row r="1275">
      <c r="A1275" s="5"/>
      <c r="B1275" s="5"/>
      <c r="C1275" s="5"/>
      <c r="D1275" s="5"/>
      <c r="E1275" s="6"/>
      <c r="F1275" s="6"/>
      <c r="G1275" s="18"/>
      <c r="I1275" s="16"/>
      <c r="J1275" s="9"/>
      <c r="K1275" s="10"/>
      <c r="L1275" s="6"/>
      <c r="M1275" s="11"/>
      <c r="N1275" s="6"/>
      <c r="O1275" s="6"/>
      <c r="P1275" s="10"/>
      <c r="Q1275" s="6"/>
      <c r="R1275" s="6"/>
      <c r="S1275" s="6"/>
      <c r="T1275" s="6"/>
      <c r="U1275" s="9"/>
      <c r="AI1275" s="6"/>
      <c r="AJ1275" s="12"/>
      <c r="AL1275" s="13"/>
    </row>
    <row r="1276">
      <c r="A1276" s="5"/>
      <c r="B1276" s="5"/>
      <c r="C1276" s="5"/>
      <c r="D1276" s="5"/>
      <c r="E1276" s="6"/>
      <c r="F1276" s="6"/>
      <c r="G1276" s="18"/>
      <c r="I1276" s="16"/>
      <c r="J1276" s="9"/>
      <c r="K1276" s="10"/>
      <c r="L1276" s="6"/>
      <c r="M1276" s="11"/>
      <c r="N1276" s="6"/>
      <c r="O1276" s="6"/>
      <c r="P1276" s="10"/>
      <c r="Q1276" s="6"/>
      <c r="R1276" s="6"/>
      <c r="S1276" s="6"/>
      <c r="T1276" s="6"/>
      <c r="U1276" s="9"/>
      <c r="AI1276" s="6"/>
      <c r="AJ1276" s="12"/>
      <c r="AL1276" s="13"/>
    </row>
    <row r="1277">
      <c r="A1277" s="5"/>
      <c r="B1277" s="5"/>
      <c r="C1277" s="5"/>
      <c r="D1277" s="5"/>
      <c r="E1277" s="6"/>
      <c r="F1277" s="6"/>
      <c r="G1277" s="18"/>
      <c r="I1277" s="16"/>
      <c r="J1277" s="9"/>
      <c r="K1277" s="10"/>
      <c r="L1277" s="6"/>
      <c r="M1277" s="11"/>
      <c r="N1277" s="6"/>
      <c r="O1277" s="6"/>
      <c r="P1277" s="10"/>
      <c r="Q1277" s="6"/>
      <c r="R1277" s="6"/>
      <c r="S1277" s="6"/>
      <c r="T1277" s="6"/>
      <c r="U1277" s="9"/>
      <c r="AI1277" s="6"/>
      <c r="AJ1277" s="12"/>
      <c r="AL1277" s="13"/>
    </row>
    <row r="1278">
      <c r="A1278" s="5"/>
      <c r="B1278" s="5"/>
      <c r="C1278" s="5"/>
      <c r="D1278" s="5"/>
      <c r="E1278" s="6"/>
      <c r="F1278" s="6"/>
      <c r="G1278" s="18"/>
      <c r="I1278" s="16"/>
      <c r="J1278" s="9"/>
      <c r="K1278" s="10"/>
      <c r="L1278" s="6"/>
      <c r="M1278" s="11"/>
      <c r="N1278" s="6"/>
      <c r="O1278" s="6"/>
      <c r="P1278" s="10"/>
      <c r="Q1278" s="6"/>
      <c r="R1278" s="6"/>
      <c r="S1278" s="6"/>
      <c r="T1278" s="6"/>
      <c r="U1278" s="9"/>
      <c r="AI1278" s="6"/>
      <c r="AJ1278" s="12"/>
      <c r="AL1278" s="13"/>
    </row>
    <row r="1279">
      <c r="A1279" s="5"/>
      <c r="B1279" s="5"/>
      <c r="C1279" s="5"/>
      <c r="D1279" s="5"/>
      <c r="E1279" s="6"/>
      <c r="F1279" s="6"/>
      <c r="G1279" s="18"/>
      <c r="I1279" s="16"/>
      <c r="J1279" s="9"/>
      <c r="K1279" s="10"/>
      <c r="L1279" s="6"/>
      <c r="M1279" s="11"/>
      <c r="N1279" s="6"/>
      <c r="O1279" s="6"/>
      <c r="P1279" s="10"/>
      <c r="Q1279" s="6"/>
      <c r="R1279" s="6"/>
      <c r="S1279" s="6"/>
      <c r="T1279" s="6"/>
      <c r="U1279" s="9"/>
      <c r="AI1279" s="6"/>
      <c r="AJ1279" s="12"/>
      <c r="AL1279" s="13"/>
    </row>
    <row r="1280">
      <c r="A1280" s="5"/>
      <c r="B1280" s="5"/>
      <c r="C1280" s="5"/>
      <c r="D1280" s="5"/>
      <c r="E1280" s="6"/>
      <c r="F1280" s="6"/>
      <c r="G1280" s="18"/>
      <c r="I1280" s="16"/>
      <c r="J1280" s="9"/>
      <c r="K1280" s="10"/>
      <c r="L1280" s="6"/>
      <c r="M1280" s="11"/>
      <c r="N1280" s="6"/>
      <c r="O1280" s="6"/>
      <c r="P1280" s="10"/>
      <c r="Q1280" s="6"/>
      <c r="R1280" s="6"/>
      <c r="S1280" s="6"/>
      <c r="T1280" s="6"/>
      <c r="U1280" s="9"/>
      <c r="AI1280" s="6"/>
      <c r="AJ1280" s="12"/>
      <c r="AL1280" s="13"/>
    </row>
    <row r="1281">
      <c r="A1281" s="5"/>
      <c r="B1281" s="5"/>
      <c r="C1281" s="5"/>
      <c r="D1281" s="5"/>
      <c r="E1281" s="6"/>
      <c r="F1281" s="6"/>
      <c r="G1281" s="18"/>
      <c r="I1281" s="16"/>
      <c r="J1281" s="9"/>
      <c r="K1281" s="10"/>
      <c r="L1281" s="6"/>
      <c r="M1281" s="11"/>
      <c r="N1281" s="6"/>
      <c r="O1281" s="6"/>
      <c r="P1281" s="10"/>
      <c r="Q1281" s="6"/>
      <c r="R1281" s="6"/>
      <c r="S1281" s="6"/>
      <c r="T1281" s="6"/>
      <c r="U1281" s="9"/>
      <c r="AI1281" s="6"/>
      <c r="AJ1281" s="12"/>
      <c r="AL1281" s="13"/>
    </row>
    <row r="1282">
      <c r="A1282" s="5"/>
      <c r="B1282" s="5"/>
      <c r="C1282" s="5"/>
      <c r="D1282" s="5"/>
      <c r="E1282" s="6"/>
      <c r="F1282" s="6"/>
      <c r="G1282" s="18"/>
      <c r="I1282" s="16"/>
      <c r="J1282" s="9"/>
      <c r="K1282" s="10"/>
      <c r="L1282" s="6"/>
      <c r="M1282" s="11"/>
      <c r="N1282" s="6"/>
      <c r="O1282" s="6"/>
      <c r="P1282" s="10"/>
      <c r="Q1282" s="6"/>
      <c r="R1282" s="6"/>
      <c r="S1282" s="6"/>
      <c r="T1282" s="6"/>
      <c r="U1282" s="9"/>
      <c r="AI1282" s="6"/>
      <c r="AJ1282" s="12"/>
      <c r="AL1282" s="13"/>
    </row>
    <row r="1283">
      <c r="A1283" s="5"/>
      <c r="B1283" s="5"/>
      <c r="C1283" s="5"/>
      <c r="D1283" s="5"/>
      <c r="E1283" s="6"/>
      <c r="F1283" s="6"/>
      <c r="G1283" s="18"/>
      <c r="I1283" s="16"/>
      <c r="J1283" s="9"/>
      <c r="K1283" s="10"/>
      <c r="L1283" s="6"/>
      <c r="M1283" s="11"/>
      <c r="N1283" s="6"/>
      <c r="O1283" s="6"/>
      <c r="P1283" s="10"/>
      <c r="Q1283" s="6"/>
      <c r="R1283" s="6"/>
      <c r="S1283" s="6"/>
      <c r="T1283" s="6"/>
      <c r="U1283" s="9"/>
      <c r="AI1283" s="6"/>
      <c r="AJ1283" s="12"/>
      <c r="AL1283" s="13"/>
    </row>
    <row r="1284">
      <c r="A1284" s="5"/>
      <c r="B1284" s="5"/>
      <c r="C1284" s="5"/>
      <c r="D1284" s="5"/>
      <c r="E1284" s="6"/>
      <c r="F1284" s="6"/>
      <c r="G1284" s="18"/>
      <c r="I1284" s="16"/>
      <c r="J1284" s="9"/>
      <c r="K1284" s="10"/>
      <c r="L1284" s="6"/>
      <c r="M1284" s="11"/>
      <c r="N1284" s="6"/>
      <c r="O1284" s="6"/>
      <c r="P1284" s="10"/>
      <c r="Q1284" s="6"/>
      <c r="R1284" s="6"/>
      <c r="S1284" s="6"/>
      <c r="T1284" s="6"/>
      <c r="U1284" s="9"/>
      <c r="AI1284" s="6"/>
      <c r="AJ1284" s="12"/>
      <c r="AL1284" s="13"/>
    </row>
    <row r="1285">
      <c r="A1285" s="5"/>
      <c r="B1285" s="5"/>
      <c r="C1285" s="5"/>
      <c r="D1285" s="5"/>
      <c r="E1285" s="6"/>
      <c r="F1285" s="6"/>
      <c r="G1285" s="18"/>
      <c r="I1285" s="16"/>
      <c r="J1285" s="9"/>
      <c r="K1285" s="10"/>
      <c r="L1285" s="6"/>
      <c r="M1285" s="11"/>
      <c r="N1285" s="6"/>
      <c r="O1285" s="6"/>
      <c r="P1285" s="10"/>
      <c r="Q1285" s="6"/>
      <c r="R1285" s="6"/>
      <c r="S1285" s="6"/>
      <c r="T1285" s="6"/>
      <c r="U1285" s="9"/>
      <c r="AI1285" s="6"/>
      <c r="AJ1285" s="12"/>
      <c r="AL1285" s="13"/>
    </row>
    <row r="1286">
      <c r="A1286" s="5"/>
      <c r="B1286" s="5"/>
      <c r="C1286" s="5"/>
      <c r="D1286" s="5"/>
      <c r="E1286" s="6"/>
      <c r="F1286" s="6"/>
      <c r="G1286" s="18"/>
      <c r="I1286" s="16"/>
      <c r="J1286" s="9"/>
      <c r="K1286" s="10"/>
      <c r="L1286" s="6"/>
      <c r="M1286" s="11"/>
      <c r="N1286" s="6"/>
      <c r="O1286" s="6"/>
      <c r="P1286" s="10"/>
      <c r="Q1286" s="6"/>
      <c r="R1286" s="6"/>
      <c r="S1286" s="6"/>
      <c r="T1286" s="6"/>
      <c r="U1286" s="9"/>
      <c r="AI1286" s="6"/>
      <c r="AJ1286" s="12"/>
      <c r="AL1286" s="13"/>
    </row>
    <row r="1287">
      <c r="A1287" s="5"/>
      <c r="B1287" s="5"/>
      <c r="C1287" s="5"/>
      <c r="D1287" s="5"/>
      <c r="E1287" s="6"/>
      <c r="F1287" s="6"/>
      <c r="G1287" s="18"/>
      <c r="I1287" s="16"/>
      <c r="J1287" s="9"/>
      <c r="K1287" s="10"/>
      <c r="L1287" s="6"/>
      <c r="M1287" s="11"/>
      <c r="N1287" s="6"/>
      <c r="O1287" s="6"/>
      <c r="P1287" s="10"/>
      <c r="Q1287" s="6"/>
      <c r="R1287" s="6"/>
      <c r="S1287" s="6"/>
      <c r="T1287" s="6"/>
      <c r="U1287" s="9"/>
      <c r="AI1287" s="6"/>
      <c r="AJ1287" s="12"/>
      <c r="AL1287" s="13"/>
    </row>
    <row r="1288">
      <c r="A1288" s="5"/>
      <c r="B1288" s="5"/>
      <c r="C1288" s="5"/>
      <c r="D1288" s="5"/>
      <c r="E1288" s="6"/>
      <c r="F1288" s="6"/>
      <c r="G1288" s="18"/>
      <c r="I1288" s="16"/>
      <c r="J1288" s="9"/>
      <c r="K1288" s="10"/>
      <c r="L1288" s="6"/>
      <c r="M1288" s="11"/>
      <c r="N1288" s="6"/>
      <c r="O1288" s="6"/>
      <c r="P1288" s="10"/>
      <c r="Q1288" s="6"/>
      <c r="R1288" s="6"/>
      <c r="S1288" s="6"/>
      <c r="T1288" s="6"/>
      <c r="U1288" s="9"/>
      <c r="AI1288" s="6"/>
      <c r="AJ1288" s="12"/>
      <c r="AL1288" s="13"/>
    </row>
    <row r="1289">
      <c r="A1289" s="5"/>
      <c r="B1289" s="5"/>
      <c r="C1289" s="5"/>
      <c r="D1289" s="5"/>
      <c r="E1289" s="6"/>
      <c r="F1289" s="6"/>
      <c r="G1289" s="18"/>
      <c r="I1289" s="16"/>
      <c r="J1289" s="9"/>
      <c r="K1289" s="10"/>
      <c r="L1289" s="6"/>
      <c r="M1289" s="11"/>
      <c r="N1289" s="6"/>
      <c r="O1289" s="6"/>
      <c r="P1289" s="10"/>
      <c r="Q1289" s="6"/>
      <c r="R1289" s="6"/>
      <c r="S1289" s="6"/>
      <c r="T1289" s="6"/>
      <c r="U1289" s="9"/>
      <c r="AI1289" s="6"/>
      <c r="AJ1289" s="12"/>
      <c r="AL1289" s="13"/>
    </row>
    <row r="1290">
      <c r="A1290" s="5"/>
      <c r="B1290" s="5"/>
      <c r="C1290" s="5"/>
      <c r="D1290" s="5"/>
      <c r="E1290" s="6"/>
      <c r="F1290" s="6"/>
      <c r="G1290" s="18"/>
      <c r="I1290" s="16"/>
      <c r="J1290" s="9"/>
      <c r="K1290" s="10"/>
      <c r="L1290" s="6"/>
      <c r="M1290" s="11"/>
      <c r="N1290" s="6"/>
      <c r="O1290" s="6"/>
      <c r="P1290" s="10"/>
      <c r="Q1290" s="6"/>
      <c r="R1290" s="6"/>
      <c r="S1290" s="6"/>
      <c r="T1290" s="6"/>
      <c r="U1290" s="9"/>
      <c r="AI1290" s="6"/>
      <c r="AJ1290" s="12"/>
      <c r="AL1290" s="13"/>
    </row>
    <row r="1291">
      <c r="A1291" s="5"/>
      <c r="B1291" s="5"/>
      <c r="C1291" s="5"/>
      <c r="D1291" s="5"/>
      <c r="E1291" s="6"/>
      <c r="F1291" s="6"/>
      <c r="G1291" s="18"/>
      <c r="I1291" s="16"/>
      <c r="J1291" s="9"/>
      <c r="K1291" s="10"/>
      <c r="L1291" s="6"/>
      <c r="M1291" s="11"/>
      <c r="N1291" s="6"/>
      <c r="O1291" s="6"/>
      <c r="P1291" s="10"/>
      <c r="Q1291" s="6"/>
      <c r="R1291" s="6"/>
      <c r="S1291" s="6"/>
      <c r="T1291" s="6"/>
      <c r="U1291" s="9"/>
      <c r="AI1291" s="6"/>
      <c r="AJ1291" s="12"/>
      <c r="AL1291" s="13"/>
    </row>
    <row r="1292">
      <c r="A1292" s="5"/>
      <c r="B1292" s="5"/>
      <c r="C1292" s="5"/>
      <c r="D1292" s="5"/>
      <c r="E1292" s="6"/>
      <c r="F1292" s="6"/>
      <c r="G1292" s="18"/>
      <c r="I1292" s="16"/>
      <c r="J1292" s="9"/>
      <c r="K1292" s="10"/>
      <c r="L1292" s="6"/>
      <c r="M1292" s="11"/>
      <c r="N1292" s="6"/>
      <c r="O1292" s="6"/>
      <c r="P1292" s="10"/>
      <c r="Q1292" s="6"/>
      <c r="R1292" s="6"/>
      <c r="S1292" s="6"/>
      <c r="T1292" s="6"/>
      <c r="U1292" s="9"/>
      <c r="AI1292" s="6"/>
      <c r="AJ1292" s="12"/>
      <c r="AL1292" s="13"/>
    </row>
    <row r="1293">
      <c r="A1293" s="5"/>
      <c r="B1293" s="5"/>
      <c r="C1293" s="5"/>
      <c r="D1293" s="5"/>
      <c r="E1293" s="6"/>
      <c r="F1293" s="6"/>
      <c r="G1293" s="18"/>
      <c r="I1293" s="16"/>
      <c r="J1293" s="9"/>
      <c r="K1293" s="10"/>
      <c r="L1293" s="6"/>
      <c r="M1293" s="11"/>
      <c r="N1293" s="6"/>
      <c r="O1293" s="6"/>
      <c r="P1293" s="10"/>
      <c r="Q1293" s="6"/>
      <c r="R1293" s="6"/>
      <c r="S1293" s="6"/>
      <c r="T1293" s="6"/>
      <c r="U1293" s="9"/>
      <c r="AI1293" s="6"/>
      <c r="AJ1293" s="12"/>
      <c r="AL1293" s="13"/>
    </row>
    <row r="1294">
      <c r="A1294" s="5"/>
      <c r="B1294" s="5"/>
      <c r="C1294" s="5"/>
      <c r="D1294" s="5"/>
      <c r="E1294" s="6"/>
      <c r="F1294" s="6"/>
      <c r="G1294" s="18"/>
      <c r="I1294" s="16"/>
      <c r="J1294" s="9"/>
      <c r="K1294" s="10"/>
      <c r="L1294" s="6"/>
      <c r="M1294" s="11"/>
      <c r="N1294" s="6"/>
      <c r="O1294" s="6"/>
      <c r="P1294" s="10"/>
      <c r="Q1294" s="6"/>
      <c r="R1294" s="6"/>
      <c r="S1294" s="6"/>
      <c r="T1294" s="6"/>
      <c r="U1294" s="9"/>
      <c r="AI1294" s="6"/>
      <c r="AJ1294" s="12"/>
      <c r="AL1294" s="13"/>
    </row>
    <row r="1295">
      <c r="A1295" s="5"/>
      <c r="B1295" s="5"/>
      <c r="C1295" s="5"/>
      <c r="D1295" s="5"/>
      <c r="E1295" s="6"/>
      <c r="F1295" s="6"/>
      <c r="G1295" s="18"/>
      <c r="I1295" s="16"/>
      <c r="J1295" s="9"/>
      <c r="K1295" s="10"/>
      <c r="L1295" s="6"/>
      <c r="M1295" s="11"/>
      <c r="N1295" s="6"/>
      <c r="O1295" s="6"/>
      <c r="P1295" s="10"/>
      <c r="Q1295" s="6"/>
      <c r="R1295" s="6"/>
      <c r="S1295" s="6"/>
      <c r="T1295" s="6"/>
      <c r="U1295" s="9"/>
      <c r="AI1295" s="6"/>
      <c r="AJ1295" s="12"/>
      <c r="AL1295" s="13"/>
    </row>
    <row r="1296">
      <c r="A1296" s="5"/>
      <c r="B1296" s="5"/>
      <c r="C1296" s="5"/>
      <c r="D1296" s="5"/>
      <c r="E1296" s="6"/>
      <c r="F1296" s="6"/>
      <c r="G1296" s="18"/>
      <c r="I1296" s="16"/>
      <c r="J1296" s="9"/>
      <c r="K1296" s="10"/>
      <c r="L1296" s="6"/>
      <c r="M1296" s="11"/>
      <c r="N1296" s="6"/>
      <c r="O1296" s="6"/>
      <c r="P1296" s="10"/>
      <c r="Q1296" s="6"/>
      <c r="R1296" s="6"/>
      <c r="S1296" s="6"/>
      <c r="T1296" s="6"/>
      <c r="U1296" s="9"/>
      <c r="AI1296" s="6"/>
      <c r="AJ1296" s="12"/>
      <c r="AL1296" s="13"/>
    </row>
    <row r="1297">
      <c r="A1297" s="5"/>
      <c r="B1297" s="5"/>
      <c r="C1297" s="5"/>
      <c r="D1297" s="5"/>
      <c r="E1297" s="6"/>
      <c r="F1297" s="6"/>
      <c r="G1297" s="18"/>
      <c r="I1297" s="16"/>
      <c r="J1297" s="9"/>
      <c r="K1297" s="10"/>
      <c r="L1297" s="6"/>
      <c r="M1297" s="11"/>
      <c r="N1297" s="6"/>
      <c r="O1297" s="6"/>
      <c r="P1297" s="10"/>
      <c r="Q1297" s="6"/>
      <c r="R1297" s="6"/>
      <c r="S1297" s="6"/>
      <c r="T1297" s="6"/>
      <c r="U1297" s="9"/>
      <c r="AI1297" s="6"/>
      <c r="AJ1297" s="12"/>
      <c r="AL1297" s="13"/>
    </row>
    <row r="1298">
      <c r="A1298" s="5"/>
      <c r="B1298" s="5"/>
      <c r="C1298" s="5"/>
      <c r="D1298" s="5"/>
      <c r="E1298" s="6"/>
      <c r="F1298" s="6"/>
      <c r="G1298" s="18"/>
      <c r="I1298" s="16"/>
      <c r="J1298" s="9"/>
      <c r="K1298" s="10"/>
      <c r="L1298" s="6"/>
      <c r="M1298" s="11"/>
      <c r="N1298" s="6"/>
      <c r="O1298" s="6"/>
      <c r="P1298" s="10"/>
      <c r="Q1298" s="6"/>
      <c r="R1298" s="6"/>
      <c r="S1298" s="6"/>
      <c r="T1298" s="6"/>
      <c r="U1298" s="9"/>
      <c r="AI1298" s="6"/>
      <c r="AJ1298" s="12"/>
      <c r="AL1298" s="13"/>
    </row>
    <row r="1299">
      <c r="A1299" s="5"/>
      <c r="B1299" s="5"/>
      <c r="C1299" s="5"/>
      <c r="D1299" s="5"/>
      <c r="E1299" s="6"/>
      <c r="F1299" s="6"/>
      <c r="G1299" s="18"/>
      <c r="I1299" s="16"/>
      <c r="J1299" s="9"/>
      <c r="K1299" s="10"/>
      <c r="L1299" s="6"/>
      <c r="M1299" s="11"/>
      <c r="N1299" s="6"/>
      <c r="O1299" s="6"/>
      <c r="P1299" s="10"/>
      <c r="Q1299" s="6"/>
      <c r="R1299" s="6"/>
      <c r="S1299" s="6"/>
      <c r="T1299" s="6"/>
      <c r="U1299" s="9"/>
      <c r="AI1299" s="6"/>
      <c r="AJ1299" s="12"/>
      <c r="AL1299" s="13"/>
    </row>
    <row r="1300">
      <c r="A1300" s="5"/>
      <c r="B1300" s="5"/>
      <c r="C1300" s="5"/>
      <c r="D1300" s="5"/>
      <c r="E1300" s="6"/>
      <c r="F1300" s="6"/>
      <c r="G1300" s="18"/>
      <c r="I1300" s="16"/>
      <c r="J1300" s="9"/>
      <c r="K1300" s="10"/>
      <c r="L1300" s="6"/>
      <c r="M1300" s="11"/>
      <c r="N1300" s="6"/>
      <c r="O1300" s="6"/>
      <c r="P1300" s="10"/>
      <c r="Q1300" s="6"/>
      <c r="R1300" s="6"/>
      <c r="S1300" s="6"/>
      <c r="T1300" s="6"/>
      <c r="U1300" s="9"/>
      <c r="AI1300" s="6"/>
      <c r="AJ1300" s="12"/>
      <c r="AL1300" s="13"/>
    </row>
    <row r="1301">
      <c r="A1301" s="5"/>
      <c r="B1301" s="5"/>
      <c r="C1301" s="5"/>
      <c r="D1301" s="5"/>
      <c r="E1301" s="6"/>
      <c r="F1301" s="6"/>
      <c r="G1301" s="18"/>
      <c r="I1301" s="16"/>
      <c r="J1301" s="9"/>
      <c r="K1301" s="10"/>
      <c r="L1301" s="6"/>
      <c r="M1301" s="11"/>
      <c r="N1301" s="6"/>
      <c r="O1301" s="6"/>
      <c r="P1301" s="10"/>
      <c r="Q1301" s="6"/>
      <c r="R1301" s="6"/>
      <c r="S1301" s="6"/>
      <c r="T1301" s="6"/>
      <c r="U1301" s="9"/>
      <c r="AI1301" s="6"/>
      <c r="AJ1301" s="12"/>
      <c r="AL1301" s="13"/>
    </row>
    <row r="1302">
      <c r="A1302" s="5"/>
      <c r="B1302" s="5"/>
      <c r="C1302" s="5"/>
      <c r="D1302" s="5"/>
      <c r="E1302" s="6"/>
      <c r="F1302" s="6"/>
      <c r="G1302" s="18"/>
      <c r="I1302" s="16"/>
      <c r="J1302" s="9"/>
      <c r="K1302" s="10"/>
      <c r="L1302" s="6"/>
      <c r="M1302" s="11"/>
      <c r="N1302" s="6"/>
      <c r="O1302" s="6"/>
      <c r="P1302" s="10"/>
      <c r="Q1302" s="6"/>
      <c r="R1302" s="6"/>
      <c r="S1302" s="6"/>
      <c r="T1302" s="6"/>
      <c r="U1302" s="9"/>
      <c r="AI1302" s="6"/>
      <c r="AJ1302" s="12"/>
      <c r="AL1302" s="13"/>
    </row>
    <row r="1303">
      <c r="A1303" s="5"/>
      <c r="B1303" s="5"/>
      <c r="C1303" s="5"/>
      <c r="D1303" s="5"/>
      <c r="E1303" s="6"/>
      <c r="F1303" s="6"/>
      <c r="G1303" s="18"/>
      <c r="I1303" s="16"/>
      <c r="J1303" s="9"/>
      <c r="K1303" s="10"/>
      <c r="L1303" s="6"/>
      <c r="M1303" s="11"/>
      <c r="N1303" s="6"/>
      <c r="O1303" s="6"/>
      <c r="P1303" s="10"/>
      <c r="Q1303" s="6"/>
      <c r="R1303" s="6"/>
      <c r="S1303" s="6"/>
      <c r="T1303" s="6"/>
      <c r="U1303" s="9"/>
      <c r="AI1303" s="6"/>
      <c r="AJ1303" s="12"/>
      <c r="AL1303" s="13"/>
    </row>
    <row r="1304">
      <c r="A1304" s="5"/>
      <c r="B1304" s="5"/>
      <c r="C1304" s="5"/>
      <c r="D1304" s="5"/>
      <c r="E1304" s="6"/>
      <c r="F1304" s="6"/>
      <c r="G1304" s="18"/>
      <c r="I1304" s="16"/>
      <c r="J1304" s="9"/>
      <c r="K1304" s="10"/>
      <c r="L1304" s="6"/>
      <c r="M1304" s="11"/>
      <c r="N1304" s="6"/>
      <c r="O1304" s="6"/>
      <c r="P1304" s="10"/>
      <c r="Q1304" s="6"/>
      <c r="R1304" s="6"/>
      <c r="S1304" s="6"/>
      <c r="T1304" s="6"/>
      <c r="U1304" s="9"/>
      <c r="AI1304" s="6"/>
      <c r="AJ1304" s="12"/>
      <c r="AL1304" s="13"/>
    </row>
    <row r="1305">
      <c r="A1305" s="5"/>
      <c r="B1305" s="5"/>
      <c r="C1305" s="5"/>
      <c r="D1305" s="5"/>
      <c r="E1305" s="6"/>
      <c r="F1305" s="6"/>
      <c r="G1305" s="18"/>
      <c r="I1305" s="16"/>
      <c r="J1305" s="9"/>
      <c r="K1305" s="10"/>
      <c r="L1305" s="6"/>
      <c r="M1305" s="11"/>
      <c r="N1305" s="6"/>
      <c r="O1305" s="6"/>
      <c r="P1305" s="10"/>
      <c r="Q1305" s="6"/>
      <c r="R1305" s="6"/>
      <c r="S1305" s="6"/>
      <c r="T1305" s="6"/>
      <c r="U1305" s="9"/>
      <c r="AI1305" s="6"/>
      <c r="AJ1305" s="12"/>
      <c r="AL1305" s="13"/>
    </row>
    <row r="1306">
      <c r="A1306" s="5"/>
      <c r="B1306" s="5"/>
      <c r="C1306" s="5"/>
      <c r="D1306" s="5"/>
      <c r="E1306" s="6"/>
      <c r="F1306" s="6"/>
      <c r="G1306" s="18"/>
      <c r="I1306" s="16"/>
      <c r="J1306" s="9"/>
      <c r="K1306" s="10"/>
      <c r="L1306" s="6"/>
      <c r="M1306" s="11"/>
      <c r="N1306" s="6"/>
      <c r="O1306" s="6"/>
      <c r="P1306" s="10"/>
      <c r="Q1306" s="6"/>
      <c r="R1306" s="6"/>
      <c r="S1306" s="6"/>
      <c r="T1306" s="6"/>
      <c r="U1306" s="9"/>
      <c r="AI1306" s="6"/>
      <c r="AJ1306" s="12"/>
      <c r="AL1306" s="13"/>
    </row>
    <row r="1307">
      <c r="A1307" s="5"/>
      <c r="B1307" s="5"/>
      <c r="C1307" s="5"/>
      <c r="D1307" s="5"/>
      <c r="E1307" s="6"/>
      <c r="F1307" s="6"/>
      <c r="G1307" s="18"/>
      <c r="I1307" s="16"/>
      <c r="J1307" s="9"/>
      <c r="K1307" s="10"/>
      <c r="L1307" s="6"/>
      <c r="M1307" s="11"/>
      <c r="N1307" s="6"/>
      <c r="O1307" s="6"/>
      <c r="P1307" s="10"/>
      <c r="Q1307" s="6"/>
      <c r="R1307" s="6"/>
      <c r="S1307" s="6"/>
      <c r="T1307" s="6"/>
      <c r="U1307" s="9"/>
      <c r="AI1307" s="6"/>
      <c r="AJ1307" s="12"/>
      <c r="AL1307" s="13"/>
    </row>
    <row r="1308">
      <c r="A1308" s="5"/>
      <c r="B1308" s="5"/>
      <c r="C1308" s="5"/>
      <c r="D1308" s="5"/>
      <c r="E1308" s="6"/>
      <c r="F1308" s="6"/>
      <c r="G1308" s="18"/>
      <c r="I1308" s="16"/>
      <c r="J1308" s="9"/>
      <c r="K1308" s="10"/>
      <c r="L1308" s="6"/>
      <c r="M1308" s="11"/>
      <c r="N1308" s="6"/>
      <c r="O1308" s="6"/>
      <c r="P1308" s="10"/>
      <c r="Q1308" s="6"/>
      <c r="R1308" s="6"/>
      <c r="S1308" s="6"/>
      <c r="T1308" s="6"/>
      <c r="U1308" s="9"/>
      <c r="AI1308" s="6"/>
      <c r="AJ1308" s="12"/>
      <c r="AL1308" s="13"/>
    </row>
    <row r="1309">
      <c r="A1309" s="5"/>
      <c r="B1309" s="5"/>
      <c r="C1309" s="5"/>
      <c r="D1309" s="5"/>
      <c r="E1309" s="6"/>
      <c r="F1309" s="6"/>
      <c r="G1309" s="18"/>
      <c r="I1309" s="16"/>
      <c r="J1309" s="9"/>
      <c r="K1309" s="10"/>
      <c r="L1309" s="6"/>
      <c r="M1309" s="11"/>
      <c r="N1309" s="6"/>
      <c r="O1309" s="6"/>
      <c r="P1309" s="10"/>
      <c r="Q1309" s="6"/>
      <c r="R1309" s="6"/>
      <c r="S1309" s="6"/>
      <c r="T1309" s="6"/>
      <c r="U1309" s="9"/>
      <c r="AI1309" s="6"/>
      <c r="AJ1309" s="12"/>
      <c r="AL1309" s="13"/>
    </row>
    <row r="1310">
      <c r="A1310" s="5"/>
      <c r="B1310" s="5"/>
      <c r="C1310" s="5"/>
      <c r="D1310" s="5"/>
      <c r="E1310" s="6"/>
      <c r="F1310" s="6"/>
      <c r="G1310" s="18"/>
      <c r="I1310" s="16"/>
      <c r="J1310" s="9"/>
      <c r="K1310" s="10"/>
      <c r="L1310" s="6"/>
      <c r="M1310" s="11"/>
      <c r="N1310" s="6"/>
      <c r="O1310" s="6"/>
      <c r="P1310" s="10"/>
      <c r="Q1310" s="6"/>
      <c r="R1310" s="6"/>
      <c r="S1310" s="6"/>
      <c r="T1310" s="6"/>
      <c r="U1310" s="9"/>
      <c r="AI1310" s="6"/>
      <c r="AJ1310" s="12"/>
      <c r="AL1310" s="13"/>
    </row>
    <row r="1311">
      <c r="A1311" s="5"/>
      <c r="B1311" s="5"/>
      <c r="C1311" s="5"/>
      <c r="D1311" s="5"/>
      <c r="E1311" s="6"/>
      <c r="F1311" s="6"/>
      <c r="G1311" s="18"/>
      <c r="I1311" s="16"/>
      <c r="J1311" s="9"/>
      <c r="K1311" s="10"/>
      <c r="L1311" s="6"/>
      <c r="M1311" s="11"/>
      <c r="N1311" s="6"/>
      <c r="O1311" s="6"/>
      <c r="P1311" s="10"/>
      <c r="Q1311" s="6"/>
      <c r="R1311" s="6"/>
      <c r="S1311" s="6"/>
      <c r="T1311" s="6"/>
      <c r="U1311" s="9"/>
      <c r="AI1311" s="6"/>
      <c r="AJ1311" s="12"/>
      <c r="AL1311" s="13"/>
    </row>
    <row r="1312">
      <c r="A1312" s="5"/>
      <c r="B1312" s="5"/>
      <c r="C1312" s="5"/>
      <c r="D1312" s="5"/>
      <c r="E1312" s="6"/>
      <c r="F1312" s="6"/>
      <c r="G1312" s="18"/>
      <c r="I1312" s="16"/>
      <c r="J1312" s="9"/>
      <c r="K1312" s="10"/>
      <c r="L1312" s="6"/>
      <c r="M1312" s="11"/>
      <c r="N1312" s="6"/>
      <c r="O1312" s="6"/>
      <c r="P1312" s="10"/>
      <c r="Q1312" s="6"/>
      <c r="R1312" s="6"/>
      <c r="S1312" s="6"/>
      <c r="T1312" s="6"/>
      <c r="U1312" s="9"/>
      <c r="AI1312" s="6"/>
      <c r="AJ1312" s="12"/>
      <c r="AL1312" s="13"/>
    </row>
    <row r="1313">
      <c r="A1313" s="5"/>
      <c r="B1313" s="5"/>
      <c r="C1313" s="5"/>
      <c r="D1313" s="5"/>
      <c r="E1313" s="6"/>
      <c r="F1313" s="6"/>
      <c r="G1313" s="18"/>
      <c r="I1313" s="16"/>
      <c r="J1313" s="9"/>
      <c r="K1313" s="10"/>
      <c r="L1313" s="6"/>
      <c r="M1313" s="11"/>
      <c r="N1313" s="6"/>
      <c r="O1313" s="6"/>
      <c r="P1313" s="10"/>
      <c r="Q1313" s="6"/>
      <c r="R1313" s="6"/>
      <c r="S1313" s="6"/>
      <c r="T1313" s="6"/>
      <c r="U1313" s="9"/>
      <c r="AI1313" s="6"/>
      <c r="AJ1313" s="12"/>
      <c r="AL1313" s="13"/>
    </row>
    <row r="1314">
      <c r="A1314" s="5"/>
      <c r="B1314" s="5"/>
      <c r="C1314" s="5"/>
      <c r="D1314" s="5"/>
      <c r="E1314" s="6"/>
      <c r="F1314" s="6"/>
      <c r="G1314" s="18"/>
      <c r="I1314" s="16"/>
      <c r="J1314" s="9"/>
      <c r="K1314" s="10"/>
      <c r="L1314" s="6"/>
      <c r="M1314" s="11"/>
      <c r="N1314" s="6"/>
      <c r="O1314" s="6"/>
      <c r="P1314" s="10"/>
      <c r="Q1314" s="6"/>
      <c r="R1314" s="6"/>
      <c r="S1314" s="6"/>
      <c r="T1314" s="6"/>
      <c r="U1314" s="9"/>
      <c r="AI1314" s="6"/>
      <c r="AJ1314" s="12"/>
      <c r="AL1314" s="13"/>
    </row>
    <row r="1315">
      <c r="A1315" s="5"/>
      <c r="B1315" s="5"/>
      <c r="C1315" s="5"/>
      <c r="D1315" s="5"/>
      <c r="E1315" s="6"/>
      <c r="F1315" s="6"/>
      <c r="G1315" s="18"/>
      <c r="I1315" s="16"/>
      <c r="J1315" s="9"/>
      <c r="K1315" s="10"/>
      <c r="L1315" s="6"/>
      <c r="M1315" s="11"/>
      <c r="N1315" s="6"/>
      <c r="O1315" s="6"/>
      <c r="P1315" s="10"/>
      <c r="Q1315" s="6"/>
      <c r="R1315" s="6"/>
      <c r="S1315" s="6"/>
      <c r="T1315" s="6"/>
      <c r="U1315" s="9"/>
      <c r="AI1315" s="6"/>
      <c r="AJ1315" s="12"/>
      <c r="AL1315" s="13"/>
    </row>
    <row r="1316">
      <c r="A1316" s="5"/>
      <c r="B1316" s="5"/>
      <c r="C1316" s="5"/>
      <c r="D1316" s="5"/>
      <c r="E1316" s="6"/>
      <c r="F1316" s="6"/>
      <c r="G1316" s="18"/>
      <c r="I1316" s="16"/>
      <c r="J1316" s="9"/>
      <c r="K1316" s="10"/>
      <c r="L1316" s="6"/>
      <c r="M1316" s="11"/>
      <c r="N1316" s="6"/>
      <c r="O1316" s="6"/>
      <c r="P1316" s="10"/>
      <c r="Q1316" s="6"/>
      <c r="R1316" s="6"/>
      <c r="S1316" s="6"/>
      <c r="T1316" s="6"/>
      <c r="U1316" s="9"/>
      <c r="AI1316" s="6"/>
      <c r="AJ1316" s="12"/>
      <c r="AL1316" s="13"/>
    </row>
    <row r="1317">
      <c r="A1317" s="5"/>
      <c r="B1317" s="5"/>
      <c r="C1317" s="5"/>
      <c r="D1317" s="5"/>
      <c r="E1317" s="6"/>
      <c r="F1317" s="6"/>
      <c r="G1317" s="18"/>
      <c r="I1317" s="16"/>
      <c r="J1317" s="9"/>
      <c r="K1317" s="10"/>
      <c r="L1317" s="6"/>
      <c r="M1317" s="11"/>
      <c r="N1317" s="6"/>
      <c r="O1317" s="6"/>
      <c r="P1317" s="10"/>
      <c r="Q1317" s="6"/>
      <c r="R1317" s="6"/>
      <c r="S1317" s="6"/>
      <c r="T1317" s="6"/>
      <c r="U1317" s="9"/>
      <c r="AI1317" s="6"/>
      <c r="AJ1317" s="12"/>
      <c r="AL1317" s="13"/>
    </row>
    <row r="1318">
      <c r="A1318" s="5"/>
      <c r="B1318" s="5"/>
      <c r="C1318" s="5"/>
      <c r="D1318" s="5"/>
      <c r="E1318" s="6"/>
      <c r="F1318" s="6"/>
      <c r="G1318" s="18"/>
      <c r="I1318" s="16"/>
      <c r="J1318" s="9"/>
      <c r="K1318" s="10"/>
      <c r="L1318" s="6"/>
      <c r="M1318" s="11"/>
      <c r="N1318" s="6"/>
      <c r="O1318" s="6"/>
      <c r="P1318" s="10"/>
      <c r="Q1318" s="6"/>
      <c r="R1318" s="6"/>
      <c r="S1318" s="6"/>
      <c r="T1318" s="6"/>
      <c r="U1318" s="9"/>
      <c r="AI1318" s="6"/>
      <c r="AJ1318" s="12"/>
      <c r="AL1318" s="13"/>
    </row>
    <row r="1319">
      <c r="A1319" s="5"/>
      <c r="B1319" s="5"/>
      <c r="C1319" s="5"/>
      <c r="D1319" s="5"/>
      <c r="E1319" s="6"/>
      <c r="F1319" s="6"/>
      <c r="G1319" s="18"/>
      <c r="I1319" s="16"/>
      <c r="J1319" s="9"/>
      <c r="K1319" s="10"/>
      <c r="L1319" s="6"/>
      <c r="M1319" s="11"/>
      <c r="N1319" s="6"/>
      <c r="O1319" s="6"/>
      <c r="P1319" s="10"/>
      <c r="Q1319" s="6"/>
      <c r="R1319" s="6"/>
      <c r="S1319" s="6"/>
      <c r="T1319" s="6"/>
      <c r="U1319" s="9"/>
      <c r="AI1319" s="6"/>
      <c r="AJ1319" s="12"/>
      <c r="AL1319" s="13"/>
    </row>
    <row r="1320">
      <c r="A1320" s="5"/>
      <c r="B1320" s="5"/>
      <c r="C1320" s="5"/>
      <c r="D1320" s="5"/>
      <c r="E1320" s="6"/>
      <c r="F1320" s="6"/>
      <c r="G1320" s="18"/>
      <c r="I1320" s="16"/>
      <c r="J1320" s="9"/>
      <c r="K1320" s="10"/>
      <c r="L1320" s="6"/>
      <c r="M1320" s="11"/>
      <c r="N1320" s="6"/>
      <c r="O1320" s="6"/>
      <c r="P1320" s="10"/>
      <c r="Q1320" s="6"/>
      <c r="R1320" s="6"/>
      <c r="S1320" s="6"/>
      <c r="T1320" s="6"/>
      <c r="U1320" s="9"/>
      <c r="AI1320" s="6"/>
      <c r="AJ1320" s="12"/>
      <c r="AL1320" s="13"/>
    </row>
    <row r="1321">
      <c r="A1321" s="5"/>
      <c r="B1321" s="5"/>
      <c r="C1321" s="5"/>
      <c r="D1321" s="5"/>
      <c r="E1321" s="6"/>
      <c r="F1321" s="6"/>
      <c r="G1321" s="18"/>
      <c r="I1321" s="16"/>
      <c r="J1321" s="9"/>
      <c r="K1321" s="10"/>
      <c r="L1321" s="6"/>
      <c r="M1321" s="11"/>
      <c r="N1321" s="6"/>
      <c r="O1321" s="6"/>
      <c r="P1321" s="10"/>
      <c r="Q1321" s="6"/>
      <c r="R1321" s="6"/>
      <c r="S1321" s="6"/>
      <c r="T1321" s="6"/>
      <c r="U1321" s="9"/>
      <c r="AI1321" s="6"/>
      <c r="AJ1321" s="12"/>
      <c r="AL1321" s="13"/>
    </row>
    <row r="1322">
      <c r="A1322" s="5"/>
      <c r="B1322" s="5"/>
      <c r="C1322" s="5"/>
      <c r="D1322" s="5"/>
      <c r="E1322" s="6"/>
      <c r="F1322" s="6"/>
      <c r="G1322" s="18"/>
      <c r="I1322" s="16"/>
      <c r="J1322" s="9"/>
      <c r="K1322" s="10"/>
      <c r="L1322" s="6"/>
      <c r="M1322" s="11"/>
      <c r="N1322" s="6"/>
      <c r="O1322" s="6"/>
      <c r="P1322" s="10"/>
      <c r="Q1322" s="6"/>
      <c r="R1322" s="6"/>
      <c r="S1322" s="6"/>
      <c r="T1322" s="6"/>
      <c r="U1322" s="9"/>
      <c r="AI1322" s="6"/>
      <c r="AJ1322" s="12"/>
      <c r="AL1322" s="13"/>
    </row>
    <row r="1323">
      <c r="A1323" s="5"/>
      <c r="B1323" s="5"/>
      <c r="C1323" s="5"/>
      <c r="D1323" s="5"/>
      <c r="E1323" s="6"/>
      <c r="F1323" s="6"/>
      <c r="G1323" s="18"/>
      <c r="I1323" s="16"/>
      <c r="J1323" s="9"/>
      <c r="K1323" s="10"/>
      <c r="L1323" s="6"/>
      <c r="M1323" s="11"/>
      <c r="N1323" s="6"/>
      <c r="O1323" s="6"/>
      <c r="P1323" s="10"/>
      <c r="Q1323" s="6"/>
      <c r="R1323" s="6"/>
      <c r="S1323" s="6"/>
      <c r="T1323" s="6"/>
      <c r="U1323" s="9"/>
      <c r="AI1323" s="6"/>
      <c r="AJ1323" s="12"/>
      <c r="AL1323" s="13"/>
    </row>
    <row r="1324">
      <c r="A1324" s="5"/>
      <c r="B1324" s="5"/>
      <c r="C1324" s="5"/>
      <c r="D1324" s="5"/>
      <c r="E1324" s="6"/>
      <c r="F1324" s="6"/>
      <c r="G1324" s="18"/>
      <c r="I1324" s="16"/>
      <c r="J1324" s="9"/>
      <c r="K1324" s="10"/>
      <c r="L1324" s="6"/>
      <c r="M1324" s="11"/>
      <c r="N1324" s="6"/>
      <c r="O1324" s="6"/>
      <c r="P1324" s="10"/>
      <c r="Q1324" s="6"/>
      <c r="R1324" s="6"/>
      <c r="S1324" s="6"/>
      <c r="T1324" s="6"/>
      <c r="U1324" s="9"/>
      <c r="AI1324" s="6"/>
      <c r="AJ1324" s="12"/>
      <c r="AL1324" s="13"/>
    </row>
    <row r="1325">
      <c r="A1325" s="5"/>
      <c r="B1325" s="5"/>
      <c r="C1325" s="5"/>
      <c r="D1325" s="5"/>
      <c r="E1325" s="6"/>
      <c r="F1325" s="6"/>
      <c r="G1325" s="18"/>
      <c r="I1325" s="16"/>
      <c r="J1325" s="9"/>
      <c r="K1325" s="10"/>
      <c r="L1325" s="6"/>
      <c r="M1325" s="11"/>
      <c r="N1325" s="6"/>
      <c r="O1325" s="6"/>
      <c r="P1325" s="10"/>
      <c r="Q1325" s="6"/>
      <c r="R1325" s="6"/>
      <c r="S1325" s="6"/>
      <c r="T1325" s="6"/>
      <c r="U1325" s="9"/>
      <c r="AI1325" s="6"/>
      <c r="AJ1325" s="12"/>
      <c r="AL1325" s="13"/>
    </row>
    <row r="1326">
      <c r="A1326" s="5"/>
      <c r="B1326" s="5"/>
      <c r="C1326" s="5"/>
      <c r="D1326" s="5"/>
      <c r="E1326" s="6"/>
      <c r="F1326" s="6"/>
      <c r="G1326" s="18"/>
      <c r="I1326" s="16"/>
      <c r="J1326" s="9"/>
      <c r="K1326" s="10"/>
      <c r="L1326" s="6"/>
      <c r="M1326" s="11"/>
      <c r="N1326" s="6"/>
      <c r="O1326" s="6"/>
      <c r="P1326" s="10"/>
      <c r="Q1326" s="6"/>
      <c r="R1326" s="6"/>
      <c r="S1326" s="6"/>
      <c r="T1326" s="6"/>
      <c r="U1326" s="9"/>
      <c r="AI1326" s="6"/>
      <c r="AJ1326" s="12"/>
      <c r="AL1326" s="13"/>
    </row>
    <row r="1327">
      <c r="A1327" s="5"/>
      <c r="B1327" s="5"/>
      <c r="C1327" s="5"/>
      <c r="D1327" s="5"/>
      <c r="E1327" s="6"/>
      <c r="F1327" s="6"/>
      <c r="G1327" s="18"/>
      <c r="I1327" s="16"/>
      <c r="J1327" s="9"/>
      <c r="K1327" s="10"/>
      <c r="L1327" s="6"/>
      <c r="M1327" s="11"/>
      <c r="N1327" s="6"/>
      <c r="O1327" s="6"/>
      <c r="P1327" s="10"/>
      <c r="Q1327" s="6"/>
      <c r="R1327" s="6"/>
      <c r="S1327" s="6"/>
      <c r="T1327" s="6"/>
      <c r="U1327" s="9"/>
      <c r="AI1327" s="6"/>
      <c r="AJ1327" s="12"/>
      <c r="AL1327" s="13"/>
    </row>
    <row r="1328">
      <c r="A1328" s="5"/>
      <c r="B1328" s="5"/>
      <c r="C1328" s="5"/>
      <c r="D1328" s="5"/>
      <c r="E1328" s="6"/>
      <c r="F1328" s="6"/>
      <c r="G1328" s="18"/>
      <c r="I1328" s="16"/>
      <c r="J1328" s="9"/>
      <c r="K1328" s="10"/>
      <c r="L1328" s="6"/>
      <c r="M1328" s="11"/>
      <c r="N1328" s="6"/>
      <c r="O1328" s="6"/>
      <c r="P1328" s="10"/>
      <c r="Q1328" s="6"/>
      <c r="R1328" s="6"/>
      <c r="S1328" s="6"/>
      <c r="T1328" s="6"/>
      <c r="U1328" s="9"/>
      <c r="AI1328" s="6"/>
      <c r="AJ1328" s="12"/>
      <c r="AL1328" s="13"/>
    </row>
    <row r="1329">
      <c r="A1329" s="5"/>
      <c r="B1329" s="5"/>
      <c r="C1329" s="5"/>
      <c r="D1329" s="5"/>
      <c r="E1329" s="6"/>
      <c r="F1329" s="6"/>
      <c r="G1329" s="18"/>
      <c r="I1329" s="16"/>
      <c r="J1329" s="9"/>
      <c r="K1329" s="10"/>
      <c r="L1329" s="6"/>
      <c r="M1329" s="11"/>
      <c r="N1329" s="6"/>
      <c r="O1329" s="6"/>
      <c r="P1329" s="10"/>
      <c r="Q1329" s="6"/>
      <c r="R1329" s="6"/>
      <c r="S1329" s="6"/>
      <c r="T1329" s="6"/>
      <c r="U1329" s="9"/>
      <c r="AI1329" s="6"/>
      <c r="AJ1329" s="12"/>
      <c r="AL1329" s="13"/>
    </row>
    <row r="1330">
      <c r="A1330" s="5"/>
      <c r="B1330" s="5"/>
      <c r="C1330" s="5"/>
      <c r="D1330" s="5"/>
      <c r="E1330" s="6"/>
      <c r="F1330" s="6"/>
      <c r="G1330" s="18"/>
      <c r="I1330" s="16"/>
      <c r="J1330" s="9"/>
      <c r="K1330" s="10"/>
      <c r="L1330" s="6"/>
      <c r="M1330" s="11"/>
      <c r="N1330" s="6"/>
      <c r="O1330" s="6"/>
      <c r="P1330" s="10"/>
      <c r="Q1330" s="6"/>
      <c r="R1330" s="6"/>
      <c r="S1330" s="6"/>
      <c r="T1330" s="6"/>
      <c r="U1330" s="9"/>
      <c r="AI1330" s="6"/>
      <c r="AJ1330" s="12"/>
      <c r="AL1330" s="13"/>
    </row>
    <row r="1331">
      <c r="A1331" s="5"/>
      <c r="B1331" s="5"/>
      <c r="C1331" s="5"/>
      <c r="D1331" s="5"/>
      <c r="E1331" s="6"/>
      <c r="F1331" s="6"/>
      <c r="G1331" s="18"/>
      <c r="I1331" s="16"/>
      <c r="J1331" s="9"/>
      <c r="K1331" s="10"/>
      <c r="L1331" s="6"/>
      <c r="M1331" s="11"/>
      <c r="N1331" s="6"/>
      <c r="O1331" s="6"/>
      <c r="P1331" s="10"/>
      <c r="Q1331" s="6"/>
      <c r="R1331" s="6"/>
      <c r="S1331" s="6"/>
      <c r="T1331" s="6"/>
      <c r="U1331" s="9"/>
      <c r="AI1331" s="6"/>
      <c r="AJ1331" s="12"/>
      <c r="AL1331" s="13"/>
    </row>
    <row r="1332">
      <c r="A1332" s="5"/>
      <c r="B1332" s="5"/>
      <c r="C1332" s="5"/>
      <c r="D1332" s="5"/>
      <c r="E1332" s="6"/>
      <c r="F1332" s="6"/>
      <c r="G1332" s="18"/>
      <c r="I1332" s="16"/>
      <c r="J1332" s="9"/>
      <c r="K1332" s="10"/>
      <c r="L1332" s="6"/>
      <c r="M1332" s="11"/>
      <c r="N1332" s="6"/>
      <c r="O1332" s="6"/>
      <c r="P1332" s="10"/>
      <c r="Q1332" s="6"/>
      <c r="R1332" s="6"/>
      <c r="S1332" s="6"/>
      <c r="T1332" s="6"/>
      <c r="U1332" s="9"/>
      <c r="AI1332" s="6"/>
      <c r="AJ1332" s="12"/>
      <c r="AL1332" s="13"/>
    </row>
    <row r="1333">
      <c r="A1333" s="5"/>
      <c r="B1333" s="5"/>
      <c r="C1333" s="5"/>
      <c r="D1333" s="5"/>
      <c r="E1333" s="6"/>
      <c r="F1333" s="6"/>
      <c r="G1333" s="18"/>
      <c r="I1333" s="16"/>
      <c r="J1333" s="9"/>
      <c r="K1333" s="10"/>
      <c r="L1333" s="6"/>
      <c r="M1333" s="11"/>
      <c r="N1333" s="6"/>
      <c r="O1333" s="6"/>
      <c r="P1333" s="10"/>
      <c r="Q1333" s="6"/>
      <c r="R1333" s="6"/>
      <c r="S1333" s="6"/>
      <c r="T1333" s="6"/>
      <c r="U1333" s="9"/>
      <c r="AI1333" s="6"/>
      <c r="AJ1333" s="12"/>
      <c r="AL1333" s="13"/>
    </row>
    <row r="1334">
      <c r="A1334" s="5"/>
      <c r="B1334" s="5"/>
      <c r="C1334" s="5"/>
      <c r="D1334" s="5"/>
      <c r="E1334" s="6"/>
      <c r="F1334" s="6"/>
      <c r="G1334" s="18"/>
      <c r="I1334" s="16"/>
      <c r="J1334" s="9"/>
      <c r="K1334" s="10"/>
      <c r="L1334" s="6"/>
      <c r="M1334" s="11"/>
      <c r="N1334" s="6"/>
      <c r="O1334" s="6"/>
      <c r="P1334" s="10"/>
      <c r="Q1334" s="6"/>
      <c r="R1334" s="6"/>
      <c r="S1334" s="6"/>
      <c r="T1334" s="6"/>
      <c r="U1334" s="9"/>
      <c r="AI1334" s="6"/>
      <c r="AJ1334" s="12"/>
      <c r="AL1334" s="13"/>
    </row>
    <row r="1335">
      <c r="A1335" s="5"/>
      <c r="B1335" s="5"/>
      <c r="C1335" s="5"/>
      <c r="D1335" s="5"/>
      <c r="E1335" s="6"/>
      <c r="F1335" s="6"/>
      <c r="G1335" s="18"/>
      <c r="I1335" s="16"/>
      <c r="J1335" s="9"/>
      <c r="K1335" s="10"/>
      <c r="L1335" s="6"/>
      <c r="M1335" s="11"/>
      <c r="N1335" s="6"/>
      <c r="O1335" s="6"/>
      <c r="P1335" s="10"/>
      <c r="Q1335" s="6"/>
      <c r="R1335" s="6"/>
      <c r="S1335" s="6"/>
      <c r="T1335" s="6"/>
      <c r="U1335" s="9"/>
      <c r="AI1335" s="6"/>
      <c r="AJ1335" s="12"/>
      <c r="AL1335" s="13"/>
    </row>
    <row r="1336">
      <c r="A1336" s="5"/>
      <c r="B1336" s="5"/>
      <c r="C1336" s="5"/>
      <c r="D1336" s="5"/>
      <c r="E1336" s="6"/>
      <c r="F1336" s="6"/>
      <c r="G1336" s="18"/>
      <c r="I1336" s="16"/>
      <c r="J1336" s="9"/>
      <c r="K1336" s="10"/>
      <c r="L1336" s="6"/>
      <c r="M1336" s="11"/>
      <c r="N1336" s="6"/>
      <c r="O1336" s="6"/>
      <c r="P1336" s="10"/>
      <c r="Q1336" s="6"/>
      <c r="R1336" s="6"/>
      <c r="S1336" s="6"/>
      <c r="T1336" s="6"/>
      <c r="U1336" s="9"/>
      <c r="AI1336" s="6"/>
      <c r="AJ1336" s="12"/>
      <c r="AL1336" s="13"/>
    </row>
    <row r="1337">
      <c r="A1337" s="5"/>
      <c r="B1337" s="5"/>
      <c r="C1337" s="5"/>
      <c r="D1337" s="5"/>
      <c r="E1337" s="6"/>
      <c r="F1337" s="6"/>
      <c r="G1337" s="18"/>
      <c r="I1337" s="16"/>
      <c r="J1337" s="9"/>
      <c r="K1337" s="10"/>
      <c r="L1337" s="6"/>
      <c r="M1337" s="11"/>
      <c r="N1337" s="6"/>
      <c r="O1337" s="6"/>
      <c r="P1337" s="10"/>
      <c r="Q1337" s="6"/>
      <c r="R1337" s="6"/>
      <c r="S1337" s="6"/>
      <c r="T1337" s="6"/>
      <c r="U1337" s="9"/>
      <c r="AI1337" s="6"/>
      <c r="AJ1337" s="12"/>
      <c r="AL1337" s="13"/>
    </row>
    <row r="1338">
      <c r="A1338" s="5"/>
      <c r="B1338" s="5"/>
      <c r="C1338" s="5"/>
      <c r="D1338" s="5"/>
      <c r="E1338" s="6"/>
      <c r="F1338" s="6"/>
      <c r="G1338" s="18"/>
      <c r="I1338" s="16"/>
      <c r="J1338" s="9"/>
      <c r="K1338" s="10"/>
      <c r="L1338" s="6"/>
      <c r="M1338" s="11"/>
      <c r="N1338" s="6"/>
      <c r="O1338" s="6"/>
      <c r="P1338" s="10"/>
      <c r="Q1338" s="6"/>
      <c r="R1338" s="6"/>
      <c r="S1338" s="6"/>
      <c r="T1338" s="6"/>
      <c r="U1338" s="9"/>
      <c r="AI1338" s="6"/>
      <c r="AJ1338" s="12"/>
      <c r="AL1338" s="13"/>
    </row>
    <row r="1339">
      <c r="A1339" s="5"/>
      <c r="B1339" s="5"/>
      <c r="C1339" s="5"/>
      <c r="D1339" s="5"/>
      <c r="E1339" s="6"/>
      <c r="F1339" s="6"/>
      <c r="G1339" s="18"/>
      <c r="I1339" s="16"/>
      <c r="J1339" s="9"/>
      <c r="K1339" s="10"/>
      <c r="L1339" s="6"/>
      <c r="M1339" s="11"/>
      <c r="N1339" s="6"/>
      <c r="O1339" s="6"/>
      <c r="P1339" s="10"/>
      <c r="Q1339" s="6"/>
      <c r="R1339" s="6"/>
      <c r="S1339" s="6"/>
      <c r="T1339" s="6"/>
      <c r="U1339" s="9"/>
      <c r="AI1339" s="6"/>
      <c r="AJ1339" s="12"/>
      <c r="AL1339" s="13"/>
    </row>
    <row r="1340">
      <c r="A1340" s="5"/>
      <c r="B1340" s="5"/>
      <c r="C1340" s="5"/>
      <c r="D1340" s="5"/>
      <c r="E1340" s="6"/>
      <c r="F1340" s="6"/>
      <c r="G1340" s="18"/>
      <c r="I1340" s="16"/>
      <c r="J1340" s="9"/>
      <c r="K1340" s="10"/>
      <c r="L1340" s="6"/>
      <c r="M1340" s="11"/>
      <c r="N1340" s="6"/>
      <c r="O1340" s="6"/>
      <c r="P1340" s="10"/>
      <c r="Q1340" s="6"/>
      <c r="R1340" s="6"/>
      <c r="S1340" s="6"/>
      <c r="T1340" s="6"/>
      <c r="U1340" s="9"/>
      <c r="AI1340" s="6"/>
      <c r="AJ1340" s="12"/>
      <c r="AL1340" s="13"/>
    </row>
    <row r="1341">
      <c r="A1341" s="5"/>
      <c r="B1341" s="5"/>
      <c r="C1341" s="5"/>
      <c r="D1341" s="5"/>
      <c r="E1341" s="6"/>
      <c r="F1341" s="6"/>
      <c r="G1341" s="18"/>
      <c r="I1341" s="16"/>
      <c r="J1341" s="9"/>
      <c r="K1341" s="10"/>
      <c r="L1341" s="6"/>
      <c r="M1341" s="11"/>
      <c r="N1341" s="6"/>
      <c r="O1341" s="6"/>
      <c r="P1341" s="10"/>
      <c r="Q1341" s="6"/>
      <c r="R1341" s="6"/>
      <c r="S1341" s="6"/>
      <c r="T1341" s="6"/>
      <c r="U1341" s="9"/>
      <c r="AI1341" s="6"/>
      <c r="AJ1341" s="12"/>
      <c r="AL1341" s="13"/>
    </row>
    <row r="1342">
      <c r="A1342" s="5"/>
      <c r="B1342" s="5"/>
      <c r="C1342" s="5"/>
      <c r="D1342" s="5"/>
      <c r="E1342" s="6"/>
      <c r="F1342" s="6"/>
      <c r="G1342" s="18"/>
      <c r="I1342" s="16"/>
      <c r="J1342" s="9"/>
      <c r="K1342" s="10"/>
      <c r="L1342" s="6"/>
      <c r="M1342" s="11"/>
      <c r="N1342" s="6"/>
      <c r="O1342" s="6"/>
      <c r="P1342" s="10"/>
      <c r="Q1342" s="6"/>
      <c r="R1342" s="6"/>
      <c r="S1342" s="6"/>
      <c r="T1342" s="6"/>
      <c r="U1342" s="9"/>
      <c r="AI1342" s="6"/>
      <c r="AJ1342" s="12"/>
      <c r="AL1342" s="13"/>
    </row>
    <row r="1343">
      <c r="A1343" s="5"/>
      <c r="B1343" s="5"/>
      <c r="C1343" s="5"/>
      <c r="D1343" s="5"/>
      <c r="E1343" s="6"/>
      <c r="F1343" s="6"/>
      <c r="G1343" s="18"/>
      <c r="I1343" s="16"/>
      <c r="J1343" s="9"/>
      <c r="K1343" s="10"/>
      <c r="L1343" s="6"/>
      <c r="M1343" s="11"/>
      <c r="N1343" s="6"/>
      <c r="O1343" s="6"/>
      <c r="P1343" s="10"/>
      <c r="Q1343" s="6"/>
      <c r="R1343" s="6"/>
      <c r="S1343" s="6"/>
      <c r="T1343" s="6"/>
      <c r="U1343" s="9"/>
      <c r="AI1343" s="6"/>
      <c r="AJ1343" s="12"/>
      <c r="AL1343" s="13"/>
    </row>
    <row r="1344">
      <c r="A1344" s="5"/>
      <c r="B1344" s="5"/>
      <c r="C1344" s="5"/>
      <c r="D1344" s="5"/>
      <c r="E1344" s="6"/>
      <c r="F1344" s="6"/>
      <c r="G1344" s="18"/>
      <c r="I1344" s="16"/>
      <c r="J1344" s="9"/>
      <c r="K1344" s="10"/>
      <c r="L1344" s="6"/>
      <c r="M1344" s="11"/>
      <c r="N1344" s="6"/>
      <c r="O1344" s="6"/>
      <c r="P1344" s="10"/>
      <c r="Q1344" s="6"/>
      <c r="R1344" s="6"/>
      <c r="S1344" s="6"/>
      <c r="T1344" s="6"/>
      <c r="U1344" s="9"/>
      <c r="AI1344" s="6"/>
      <c r="AJ1344" s="12"/>
      <c r="AL1344" s="13"/>
    </row>
    <row r="1345">
      <c r="A1345" s="5"/>
      <c r="B1345" s="5"/>
      <c r="C1345" s="5"/>
      <c r="D1345" s="5"/>
      <c r="E1345" s="6"/>
      <c r="F1345" s="6"/>
      <c r="G1345" s="18"/>
      <c r="I1345" s="16"/>
      <c r="J1345" s="9"/>
      <c r="K1345" s="10"/>
      <c r="L1345" s="6"/>
      <c r="M1345" s="11"/>
      <c r="N1345" s="6"/>
      <c r="O1345" s="6"/>
      <c r="P1345" s="10"/>
      <c r="Q1345" s="6"/>
      <c r="R1345" s="6"/>
      <c r="S1345" s="6"/>
      <c r="T1345" s="6"/>
      <c r="U1345" s="9"/>
      <c r="AI1345" s="6"/>
      <c r="AJ1345" s="12"/>
      <c r="AL1345" s="13"/>
    </row>
    <row r="1346">
      <c r="A1346" s="5"/>
      <c r="B1346" s="5"/>
      <c r="C1346" s="5"/>
      <c r="D1346" s="5"/>
      <c r="E1346" s="6"/>
      <c r="F1346" s="6"/>
      <c r="G1346" s="18"/>
      <c r="I1346" s="16"/>
      <c r="J1346" s="9"/>
      <c r="K1346" s="10"/>
      <c r="L1346" s="6"/>
      <c r="M1346" s="11"/>
      <c r="N1346" s="6"/>
      <c r="O1346" s="6"/>
      <c r="P1346" s="10"/>
      <c r="Q1346" s="6"/>
      <c r="R1346" s="6"/>
      <c r="S1346" s="6"/>
      <c r="T1346" s="6"/>
      <c r="U1346" s="9"/>
      <c r="AI1346" s="6"/>
      <c r="AJ1346" s="12"/>
      <c r="AL1346" s="13"/>
    </row>
    <row r="1347">
      <c r="A1347" s="5"/>
      <c r="B1347" s="5"/>
      <c r="C1347" s="5"/>
      <c r="D1347" s="5"/>
      <c r="E1347" s="6"/>
      <c r="F1347" s="6"/>
      <c r="G1347" s="18"/>
      <c r="I1347" s="16"/>
      <c r="J1347" s="9"/>
      <c r="K1347" s="10"/>
      <c r="L1347" s="6"/>
      <c r="M1347" s="11"/>
      <c r="N1347" s="6"/>
      <c r="O1347" s="6"/>
      <c r="P1347" s="10"/>
      <c r="Q1347" s="6"/>
      <c r="R1347" s="6"/>
      <c r="S1347" s="6"/>
      <c r="T1347" s="6"/>
      <c r="U1347" s="9"/>
      <c r="AI1347" s="6"/>
      <c r="AJ1347" s="12"/>
      <c r="AL1347" s="13"/>
    </row>
    <row r="1348">
      <c r="A1348" s="5"/>
      <c r="B1348" s="5"/>
      <c r="C1348" s="5"/>
      <c r="D1348" s="5"/>
      <c r="E1348" s="6"/>
      <c r="F1348" s="6"/>
      <c r="G1348" s="18"/>
      <c r="I1348" s="16"/>
      <c r="J1348" s="9"/>
      <c r="K1348" s="10"/>
      <c r="L1348" s="6"/>
      <c r="M1348" s="11"/>
      <c r="N1348" s="6"/>
      <c r="O1348" s="6"/>
      <c r="P1348" s="10"/>
      <c r="Q1348" s="6"/>
      <c r="R1348" s="6"/>
      <c r="S1348" s="6"/>
      <c r="T1348" s="6"/>
      <c r="U1348" s="9"/>
      <c r="AI1348" s="6"/>
      <c r="AJ1348" s="12"/>
      <c r="AL1348" s="13"/>
    </row>
    <row r="1349">
      <c r="A1349" s="5"/>
      <c r="B1349" s="5"/>
      <c r="C1349" s="5"/>
      <c r="D1349" s="5"/>
      <c r="E1349" s="6"/>
      <c r="F1349" s="6"/>
      <c r="G1349" s="18"/>
      <c r="I1349" s="16"/>
      <c r="J1349" s="9"/>
      <c r="K1349" s="10"/>
      <c r="L1349" s="6"/>
      <c r="M1349" s="11"/>
      <c r="N1349" s="6"/>
      <c r="O1349" s="6"/>
      <c r="P1349" s="10"/>
      <c r="Q1349" s="6"/>
      <c r="R1349" s="6"/>
      <c r="S1349" s="6"/>
      <c r="T1349" s="6"/>
      <c r="U1349" s="9"/>
      <c r="AI1349" s="6"/>
      <c r="AJ1349" s="12"/>
      <c r="AL1349" s="13"/>
    </row>
    <row r="1350">
      <c r="A1350" s="5"/>
      <c r="B1350" s="5"/>
      <c r="C1350" s="5"/>
      <c r="D1350" s="5"/>
      <c r="E1350" s="6"/>
      <c r="F1350" s="6"/>
      <c r="G1350" s="18"/>
      <c r="I1350" s="16"/>
      <c r="J1350" s="9"/>
      <c r="K1350" s="10"/>
      <c r="L1350" s="6"/>
      <c r="M1350" s="11"/>
      <c r="N1350" s="6"/>
      <c r="O1350" s="6"/>
      <c r="P1350" s="10"/>
      <c r="Q1350" s="6"/>
      <c r="R1350" s="6"/>
      <c r="S1350" s="6"/>
      <c r="T1350" s="6"/>
      <c r="U1350" s="9"/>
      <c r="AI1350" s="6"/>
      <c r="AJ1350" s="12"/>
      <c r="AL1350" s="13"/>
    </row>
    <row r="1351">
      <c r="A1351" s="5"/>
      <c r="B1351" s="5"/>
      <c r="C1351" s="5"/>
      <c r="D1351" s="5"/>
      <c r="E1351" s="6"/>
      <c r="F1351" s="6"/>
      <c r="G1351" s="18"/>
      <c r="I1351" s="16"/>
      <c r="J1351" s="9"/>
      <c r="K1351" s="10"/>
      <c r="L1351" s="6"/>
      <c r="M1351" s="11"/>
      <c r="N1351" s="6"/>
      <c r="O1351" s="6"/>
      <c r="P1351" s="10"/>
      <c r="Q1351" s="6"/>
      <c r="R1351" s="6"/>
      <c r="S1351" s="6"/>
      <c r="T1351" s="6"/>
      <c r="U1351" s="9"/>
      <c r="AI1351" s="6"/>
      <c r="AJ1351" s="12"/>
      <c r="AL1351" s="13"/>
    </row>
    <row r="1352">
      <c r="A1352" s="5"/>
      <c r="B1352" s="5"/>
      <c r="C1352" s="5"/>
      <c r="D1352" s="5"/>
      <c r="E1352" s="6"/>
      <c r="F1352" s="6"/>
      <c r="G1352" s="18"/>
      <c r="I1352" s="16"/>
      <c r="J1352" s="9"/>
      <c r="K1352" s="10"/>
      <c r="L1352" s="6"/>
      <c r="M1352" s="11"/>
      <c r="N1352" s="6"/>
      <c r="O1352" s="6"/>
      <c r="P1352" s="10"/>
      <c r="Q1352" s="6"/>
      <c r="R1352" s="6"/>
      <c r="S1352" s="6"/>
      <c r="T1352" s="6"/>
      <c r="U1352" s="9"/>
      <c r="AI1352" s="6"/>
      <c r="AJ1352" s="12"/>
      <c r="AL1352" s="13"/>
    </row>
    <row r="1353">
      <c r="A1353" s="5"/>
      <c r="B1353" s="5"/>
      <c r="C1353" s="5"/>
      <c r="D1353" s="5"/>
      <c r="E1353" s="6"/>
      <c r="F1353" s="6"/>
      <c r="G1353" s="18"/>
      <c r="I1353" s="16"/>
      <c r="J1353" s="9"/>
      <c r="K1353" s="10"/>
      <c r="L1353" s="6"/>
      <c r="M1353" s="11"/>
      <c r="N1353" s="6"/>
      <c r="O1353" s="6"/>
      <c r="P1353" s="10"/>
      <c r="Q1353" s="6"/>
      <c r="R1353" s="6"/>
      <c r="S1353" s="6"/>
      <c r="T1353" s="6"/>
      <c r="U1353" s="9"/>
      <c r="AI1353" s="6"/>
      <c r="AJ1353" s="12"/>
      <c r="AL1353" s="13"/>
    </row>
    <row r="1354">
      <c r="A1354" s="5"/>
      <c r="B1354" s="5"/>
      <c r="C1354" s="5"/>
      <c r="D1354" s="5"/>
      <c r="E1354" s="6"/>
      <c r="F1354" s="6"/>
      <c r="G1354" s="18"/>
      <c r="I1354" s="16"/>
      <c r="J1354" s="9"/>
      <c r="K1354" s="10"/>
      <c r="L1354" s="6"/>
      <c r="M1354" s="11"/>
      <c r="N1354" s="6"/>
      <c r="O1354" s="6"/>
      <c r="P1354" s="10"/>
      <c r="Q1354" s="6"/>
      <c r="R1354" s="6"/>
      <c r="S1354" s="6"/>
      <c r="T1354" s="6"/>
      <c r="U1354" s="9"/>
      <c r="AI1354" s="6"/>
      <c r="AJ1354" s="12"/>
      <c r="AL1354" s="13"/>
    </row>
    <row r="1355">
      <c r="A1355" s="5"/>
      <c r="B1355" s="5"/>
      <c r="C1355" s="5"/>
      <c r="D1355" s="5"/>
      <c r="E1355" s="6"/>
      <c r="F1355" s="6"/>
      <c r="G1355" s="18"/>
      <c r="I1355" s="16"/>
      <c r="J1355" s="9"/>
      <c r="K1355" s="10"/>
      <c r="L1355" s="6"/>
      <c r="M1355" s="11"/>
      <c r="N1355" s="6"/>
      <c r="O1355" s="6"/>
      <c r="P1355" s="10"/>
      <c r="Q1355" s="6"/>
      <c r="R1355" s="6"/>
      <c r="S1355" s="6"/>
      <c r="T1355" s="6"/>
      <c r="U1355" s="9"/>
      <c r="AI1355" s="6"/>
      <c r="AJ1355" s="12"/>
      <c r="AL1355" s="13"/>
    </row>
    <row r="1356">
      <c r="A1356" s="5"/>
      <c r="B1356" s="5"/>
      <c r="C1356" s="5"/>
      <c r="D1356" s="5"/>
      <c r="E1356" s="6"/>
      <c r="F1356" s="6"/>
      <c r="G1356" s="18"/>
      <c r="I1356" s="16"/>
      <c r="J1356" s="9"/>
      <c r="K1356" s="10"/>
      <c r="L1356" s="6"/>
      <c r="M1356" s="11"/>
      <c r="N1356" s="6"/>
      <c r="O1356" s="6"/>
      <c r="P1356" s="10"/>
      <c r="Q1356" s="6"/>
      <c r="R1356" s="6"/>
      <c r="S1356" s="6"/>
      <c r="T1356" s="6"/>
      <c r="U1356" s="9"/>
      <c r="AI1356" s="6"/>
      <c r="AJ1356" s="12"/>
      <c r="AL1356" s="13"/>
    </row>
    <row r="1357">
      <c r="A1357" s="5"/>
      <c r="B1357" s="5"/>
      <c r="C1357" s="5"/>
      <c r="D1357" s="5"/>
      <c r="E1357" s="6"/>
      <c r="F1357" s="6"/>
      <c r="G1357" s="18"/>
      <c r="I1357" s="16"/>
      <c r="J1357" s="9"/>
      <c r="K1357" s="10"/>
      <c r="L1357" s="6"/>
      <c r="M1357" s="11"/>
      <c r="N1357" s="6"/>
      <c r="O1357" s="6"/>
      <c r="P1357" s="10"/>
      <c r="Q1357" s="6"/>
      <c r="R1357" s="6"/>
      <c r="S1357" s="6"/>
      <c r="T1357" s="6"/>
      <c r="U1357" s="9"/>
      <c r="AI1357" s="6"/>
      <c r="AJ1357" s="12"/>
      <c r="AL1357" s="13"/>
    </row>
    <row r="1358">
      <c r="A1358" s="5"/>
      <c r="B1358" s="5"/>
      <c r="C1358" s="5"/>
      <c r="D1358" s="5"/>
      <c r="E1358" s="6"/>
      <c r="F1358" s="6"/>
      <c r="G1358" s="18"/>
      <c r="I1358" s="16"/>
      <c r="J1358" s="9"/>
      <c r="K1358" s="10"/>
      <c r="L1358" s="6"/>
      <c r="M1358" s="11"/>
      <c r="N1358" s="6"/>
      <c r="O1358" s="6"/>
      <c r="P1358" s="10"/>
      <c r="Q1358" s="6"/>
      <c r="R1358" s="6"/>
      <c r="S1358" s="6"/>
      <c r="T1358" s="6"/>
      <c r="U1358" s="9"/>
      <c r="AI1358" s="6"/>
      <c r="AJ1358" s="12"/>
      <c r="AL1358" s="13"/>
    </row>
    <row r="1359">
      <c r="A1359" s="5"/>
      <c r="B1359" s="5"/>
      <c r="C1359" s="5"/>
      <c r="D1359" s="5"/>
      <c r="E1359" s="6"/>
      <c r="F1359" s="6"/>
      <c r="G1359" s="18"/>
      <c r="I1359" s="16"/>
      <c r="J1359" s="9"/>
      <c r="K1359" s="10"/>
      <c r="L1359" s="6"/>
      <c r="M1359" s="11"/>
      <c r="N1359" s="6"/>
      <c r="O1359" s="6"/>
      <c r="P1359" s="10"/>
      <c r="Q1359" s="6"/>
      <c r="R1359" s="6"/>
      <c r="S1359" s="6"/>
      <c r="T1359" s="6"/>
      <c r="U1359" s="9"/>
      <c r="AI1359" s="6"/>
      <c r="AJ1359" s="12"/>
      <c r="AL1359" s="13"/>
    </row>
    <row r="1360">
      <c r="A1360" s="5"/>
      <c r="B1360" s="5"/>
      <c r="C1360" s="5"/>
      <c r="D1360" s="5"/>
      <c r="E1360" s="6"/>
      <c r="F1360" s="6"/>
      <c r="G1360" s="18"/>
      <c r="I1360" s="16"/>
      <c r="J1360" s="9"/>
      <c r="K1360" s="10"/>
      <c r="L1360" s="6"/>
      <c r="M1360" s="11"/>
      <c r="N1360" s="6"/>
      <c r="O1360" s="6"/>
      <c r="P1360" s="10"/>
      <c r="Q1360" s="6"/>
      <c r="R1360" s="6"/>
      <c r="S1360" s="6"/>
      <c r="T1360" s="6"/>
      <c r="U1360" s="9"/>
      <c r="AI1360" s="6"/>
      <c r="AJ1360" s="12"/>
      <c r="AL1360" s="13"/>
    </row>
    <row r="1361">
      <c r="A1361" s="5"/>
      <c r="B1361" s="5"/>
      <c r="C1361" s="5"/>
      <c r="D1361" s="5"/>
      <c r="E1361" s="6"/>
      <c r="F1361" s="6"/>
      <c r="G1361" s="18"/>
      <c r="I1361" s="16"/>
      <c r="J1361" s="9"/>
      <c r="K1361" s="10"/>
      <c r="L1361" s="6"/>
      <c r="M1361" s="11"/>
      <c r="N1361" s="6"/>
      <c r="O1361" s="6"/>
      <c r="P1361" s="10"/>
      <c r="Q1361" s="6"/>
      <c r="R1361" s="6"/>
      <c r="S1361" s="6"/>
      <c r="T1361" s="6"/>
      <c r="U1361" s="9"/>
      <c r="AI1361" s="6"/>
      <c r="AJ1361" s="12"/>
      <c r="AL1361" s="13"/>
    </row>
    <row r="1362">
      <c r="A1362" s="5"/>
      <c r="B1362" s="5"/>
      <c r="C1362" s="5"/>
      <c r="D1362" s="5"/>
      <c r="E1362" s="6"/>
      <c r="F1362" s="6"/>
      <c r="G1362" s="18"/>
      <c r="I1362" s="16"/>
      <c r="J1362" s="9"/>
      <c r="K1362" s="10"/>
      <c r="L1362" s="6"/>
      <c r="M1362" s="11"/>
      <c r="N1362" s="6"/>
      <c r="O1362" s="6"/>
      <c r="P1362" s="10"/>
      <c r="Q1362" s="6"/>
      <c r="R1362" s="6"/>
      <c r="S1362" s="6"/>
      <c r="T1362" s="6"/>
      <c r="U1362" s="9"/>
      <c r="AI1362" s="6"/>
      <c r="AJ1362" s="12"/>
      <c r="AL1362" s="13"/>
    </row>
    <row r="1363">
      <c r="A1363" s="5"/>
      <c r="B1363" s="5"/>
      <c r="C1363" s="5"/>
      <c r="D1363" s="5"/>
      <c r="E1363" s="6"/>
      <c r="F1363" s="6"/>
      <c r="G1363" s="18"/>
      <c r="I1363" s="16"/>
      <c r="J1363" s="9"/>
      <c r="K1363" s="10"/>
      <c r="L1363" s="6"/>
      <c r="M1363" s="11"/>
      <c r="N1363" s="6"/>
      <c r="O1363" s="6"/>
      <c r="P1363" s="10"/>
      <c r="Q1363" s="6"/>
      <c r="R1363" s="6"/>
      <c r="S1363" s="6"/>
      <c r="T1363" s="6"/>
      <c r="U1363" s="9"/>
      <c r="AI1363" s="6"/>
      <c r="AJ1363" s="12"/>
      <c r="AL1363" s="13"/>
    </row>
    <row r="1364">
      <c r="A1364" s="5"/>
      <c r="B1364" s="5"/>
      <c r="C1364" s="5"/>
      <c r="D1364" s="5"/>
      <c r="E1364" s="6"/>
      <c r="F1364" s="6"/>
      <c r="G1364" s="18"/>
      <c r="I1364" s="16"/>
      <c r="J1364" s="9"/>
      <c r="K1364" s="10"/>
      <c r="L1364" s="6"/>
      <c r="M1364" s="11"/>
      <c r="N1364" s="6"/>
      <c r="O1364" s="6"/>
      <c r="P1364" s="10"/>
      <c r="Q1364" s="6"/>
      <c r="R1364" s="6"/>
      <c r="S1364" s="6"/>
      <c r="T1364" s="6"/>
      <c r="U1364" s="9"/>
      <c r="AI1364" s="6"/>
      <c r="AJ1364" s="12"/>
      <c r="AL1364" s="13"/>
    </row>
    <row r="1365">
      <c r="A1365" s="5"/>
      <c r="B1365" s="5"/>
      <c r="C1365" s="5"/>
      <c r="D1365" s="5"/>
      <c r="E1365" s="6"/>
      <c r="F1365" s="6"/>
      <c r="G1365" s="18"/>
      <c r="I1365" s="16"/>
      <c r="J1365" s="9"/>
      <c r="K1365" s="10"/>
      <c r="L1365" s="6"/>
      <c r="M1365" s="11"/>
      <c r="N1365" s="6"/>
      <c r="O1365" s="6"/>
      <c r="P1365" s="10"/>
      <c r="Q1365" s="6"/>
      <c r="R1365" s="6"/>
      <c r="S1365" s="6"/>
      <c r="T1365" s="6"/>
      <c r="U1365" s="9"/>
      <c r="AI1365" s="6"/>
      <c r="AJ1365" s="12"/>
      <c r="AL1365" s="13"/>
    </row>
    <row r="1366">
      <c r="A1366" s="5"/>
      <c r="B1366" s="5"/>
      <c r="C1366" s="5"/>
      <c r="D1366" s="5"/>
      <c r="E1366" s="6"/>
      <c r="F1366" s="6"/>
      <c r="G1366" s="18"/>
      <c r="I1366" s="16"/>
      <c r="J1366" s="9"/>
      <c r="K1366" s="10"/>
      <c r="L1366" s="6"/>
      <c r="M1366" s="11"/>
      <c r="N1366" s="6"/>
      <c r="O1366" s="6"/>
      <c r="P1366" s="10"/>
      <c r="Q1366" s="6"/>
      <c r="R1366" s="6"/>
      <c r="S1366" s="6"/>
      <c r="T1366" s="6"/>
      <c r="U1366" s="9"/>
      <c r="AI1366" s="6"/>
      <c r="AJ1366" s="12"/>
      <c r="AL1366" s="13"/>
    </row>
    <row r="1367">
      <c r="A1367" s="5"/>
      <c r="B1367" s="5"/>
      <c r="C1367" s="5"/>
      <c r="D1367" s="5"/>
      <c r="E1367" s="6"/>
      <c r="F1367" s="6"/>
      <c r="G1367" s="18"/>
      <c r="I1367" s="16"/>
      <c r="J1367" s="9"/>
      <c r="K1367" s="10"/>
      <c r="L1367" s="6"/>
      <c r="M1367" s="11"/>
      <c r="N1367" s="6"/>
      <c r="O1367" s="6"/>
      <c r="P1367" s="10"/>
      <c r="Q1367" s="6"/>
      <c r="R1367" s="6"/>
      <c r="S1367" s="6"/>
      <c r="T1367" s="6"/>
      <c r="U1367" s="9"/>
      <c r="AI1367" s="6"/>
      <c r="AJ1367" s="12"/>
      <c r="AL1367" s="13"/>
    </row>
    <row r="1368">
      <c r="A1368" s="5"/>
      <c r="B1368" s="5"/>
      <c r="C1368" s="5"/>
      <c r="D1368" s="5"/>
      <c r="E1368" s="6"/>
      <c r="F1368" s="6"/>
      <c r="G1368" s="18"/>
      <c r="I1368" s="16"/>
      <c r="J1368" s="9"/>
      <c r="K1368" s="10"/>
      <c r="L1368" s="6"/>
      <c r="M1368" s="11"/>
      <c r="N1368" s="6"/>
      <c r="O1368" s="6"/>
      <c r="P1368" s="10"/>
      <c r="Q1368" s="6"/>
      <c r="R1368" s="6"/>
      <c r="S1368" s="6"/>
      <c r="T1368" s="6"/>
      <c r="U1368" s="9"/>
      <c r="AI1368" s="6"/>
      <c r="AJ1368" s="12"/>
      <c r="AL1368" s="13"/>
    </row>
    <row r="1369">
      <c r="A1369" s="5"/>
      <c r="B1369" s="5"/>
      <c r="C1369" s="5"/>
      <c r="D1369" s="5"/>
      <c r="E1369" s="6"/>
      <c r="F1369" s="6"/>
      <c r="G1369" s="18"/>
      <c r="I1369" s="16"/>
      <c r="J1369" s="9"/>
      <c r="K1369" s="10"/>
      <c r="L1369" s="6"/>
      <c r="M1369" s="11"/>
      <c r="N1369" s="6"/>
      <c r="O1369" s="6"/>
      <c r="P1369" s="10"/>
      <c r="Q1369" s="6"/>
      <c r="R1369" s="6"/>
      <c r="S1369" s="6"/>
      <c r="T1369" s="6"/>
      <c r="U1369" s="9"/>
      <c r="AI1369" s="6"/>
      <c r="AJ1369" s="12"/>
      <c r="AL1369" s="13"/>
    </row>
    <row r="1370">
      <c r="A1370" s="5"/>
      <c r="B1370" s="5"/>
      <c r="C1370" s="5"/>
      <c r="D1370" s="5"/>
      <c r="E1370" s="6"/>
      <c r="F1370" s="6"/>
      <c r="G1370" s="18"/>
      <c r="I1370" s="16"/>
      <c r="J1370" s="9"/>
      <c r="K1370" s="10"/>
      <c r="L1370" s="6"/>
      <c r="M1370" s="11"/>
      <c r="N1370" s="6"/>
      <c r="O1370" s="6"/>
      <c r="P1370" s="10"/>
      <c r="Q1370" s="6"/>
      <c r="R1370" s="6"/>
      <c r="S1370" s="6"/>
      <c r="T1370" s="6"/>
      <c r="U1370" s="9"/>
      <c r="AI1370" s="6"/>
      <c r="AJ1370" s="12"/>
      <c r="AL1370" s="13"/>
    </row>
    <row r="1371">
      <c r="A1371" s="5"/>
      <c r="B1371" s="5"/>
      <c r="C1371" s="5"/>
      <c r="D1371" s="5"/>
      <c r="E1371" s="6"/>
      <c r="F1371" s="6"/>
      <c r="G1371" s="18"/>
      <c r="I1371" s="16"/>
      <c r="J1371" s="9"/>
      <c r="K1371" s="10"/>
      <c r="L1371" s="6"/>
      <c r="M1371" s="11"/>
      <c r="N1371" s="6"/>
      <c r="O1371" s="6"/>
      <c r="P1371" s="10"/>
      <c r="Q1371" s="6"/>
      <c r="R1371" s="6"/>
      <c r="S1371" s="6"/>
      <c r="T1371" s="6"/>
      <c r="U1371" s="9"/>
      <c r="AI1371" s="6"/>
      <c r="AJ1371" s="12"/>
      <c r="AL1371" s="13"/>
    </row>
    <row r="1372">
      <c r="A1372" s="5"/>
      <c r="B1372" s="5"/>
      <c r="C1372" s="5"/>
      <c r="D1372" s="5"/>
      <c r="E1372" s="6"/>
      <c r="F1372" s="6"/>
      <c r="G1372" s="18"/>
      <c r="I1372" s="16"/>
      <c r="J1372" s="9"/>
      <c r="K1372" s="10"/>
      <c r="L1372" s="6"/>
      <c r="M1372" s="11"/>
      <c r="N1372" s="6"/>
      <c r="O1372" s="6"/>
      <c r="P1372" s="10"/>
      <c r="Q1372" s="6"/>
      <c r="R1372" s="6"/>
      <c r="S1372" s="6"/>
      <c r="T1372" s="6"/>
      <c r="U1372" s="9"/>
      <c r="AI1372" s="6"/>
      <c r="AJ1372" s="12"/>
      <c r="AL1372" s="13"/>
    </row>
    <row r="1373">
      <c r="A1373" s="5"/>
      <c r="B1373" s="5"/>
      <c r="C1373" s="5"/>
      <c r="D1373" s="5"/>
      <c r="E1373" s="6"/>
      <c r="F1373" s="6"/>
      <c r="G1373" s="18"/>
      <c r="I1373" s="16"/>
      <c r="J1373" s="9"/>
      <c r="K1373" s="10"/>
      <c r="L1373" s="6"/>
      <c r="M1373" s="11"/>
      <c r="N1373" s="6"/>
      <c r="O1373" s="6"/>
      <c r="P1373" s="10"/>
      <c r="Q1373" s="6"/>
      <c r="R1373" s="6"/>
      <c r="S1373" s="6"/>
      <c r="T1373" s="6"/>
      <c r="U1373" s="9"/>
      <c r="AI1373" s="6"/>
      <c r="AJ1373" s="12"/>
      <c r="AL1373" s="13"/>
    </row>
    <row r="1374">
      <c r="A1374" s="5"/>
      <c r="B1374" s="5"/>
      <c r="C1374" s="5"/>
      <c r="D1374" s="5"/>
      <c r="E1374" s="6"/>
      <c r="F1374" s="6"/>
      <c r="G1374" s="18"/>
      <c r="I1374" s="16"/>
      <c r="J1374" s="9"/>
      <c r="K1374" s="10"/>
      <c r="L1374" s="6"/>
      <c r="M1374" s="11"/>
      <c r="N1374" s="6"/>
      <c r="O1374" s="6"/>
      <c r="P1374" s="10"/>
      <c r="Q1374" s="6"/>
      <c r="R1374" s="6"/>
      <c r="S1374" s="6"/>
      <c r="T1374" s="6"/>
      <c r="U1374" s="9"/>
      <c r="AI1374" s="6"/>
      <c r="AJ1374" s="12"/>
      <c r="AL1374" s="13"/>
    </row>
    <row r="1375">
      <c r="A1375" s="5"/>
      <c r="B1375" s="5"/>
      <c r="C1375" s="5"/>
      <c r="D1375" s="5"/>
      <c r="E1375" s="6"/>
      <c r="F1375" s="6"/>
      <c r="G1375" s="18"/>
      <c r="I1375" s="16"/>
      <c r="J1375" s="9"/>
      <c r="K1375" s="10"/>
      <c r="L1375" s="6"/>
      <c r="M1375" s="11"/>
      <c r="N1375" s="6"/>
      <c r="O1375" s="6"/>
      <c r="P1375" s="10"/>
      <c r="Q1375" s="6"/>
      <c r="R1375" s="6"/>
      <c r="S1375" s="6"/>
      <c r="T1375" s="6"/>
      <c r="U1375" s="9"/>
      <c r="AI1375" s="6"/>
      <c r="AJ1375" s="12"/>
      <c r="AL1375" s="13"/>
    </row>
    <row r="1376">
      <c r="A1376" s="5"/>
      <c r="B1376" s="5"/>
      <c r="C1376" s="5"/>
      <c r="D1376" s="5"/>
      <c r="E1376" s="6"/>
      <c r="F1376" s="6"/>
      <c r="G1376" s="18"/>
      <c r="I1376" s="16"/>
      <c r="J1376" s="9"/>
      <c r="K1376" s="10"/>
      <c r="L1376" s="6"/>
      <c r="M1376" s="11"/>
      <c r="N1376" s="6"/>
      <c r="O1376" s="6"/>
      <c r="P1376" s="10"/>
      <c r="Q1376" s="6"/>
      <c r="R1376" s="6"/>
      <c r="S1376" s="6"/>
      <c r="T1376" s="6"/>
      <c r="U1376" s="9"/>
      <c r="AI1376" s="6"/>
      <c r="AJ1376" s="12"/>
      <c r="AL1376" s="13"/>
    </row>
    <row r="1377">
      <c r="A1377" s="5"/>
      <c r="B1377" s="5"/>
      <c r="C1377" s="5"/>
      <c r="D1377" s="5"/>
      <c r="E1377" s="6"/>
      <c r="F1377" s="6"/>
      <c r="G1377" s="18"/>
      <c r="I1377" s="16"/>
      <c r="J1377" s="9"/>
      <c r="K1377" s="10"/>
      <c r="L1377" s="6"/>
      <c r="M1377" s="11"/>
      <c r="N1377" s="6"/>
      <c r="O1377" s="6"/>
      <c r="P1377" s="10"/>
      <c r="Q1377" s="6"/>
      <c r="R1377" s="6"/>
      <c r="S1377" s="6"/>
      <c r="T1377" s="6"/>
      <c r="U1377" s="9"/>
      <c r="AI1377" s="6"/>
      <c r="AJ1377" s="12"/>
      <c r="AL1377" s="13"/>
    </row>
    <row r="1378">
      <c r="A1378" s="5"/>
      <c r="B1378" s="5"/>
      <c r="C1378" s="5"/>
      <c r="D1378" s="5"/>
      <c r="E1378" s="6"/>
      <c r="F1378" s="6"/>
      <c r="G1378" s="18"/>
      <c r="I1378" s="16"/>
      <c r="J1378" s="9"/>
      <c r="K1378" s="10"/>
      <c r="L1378" s="6"/>
      <c r="M1378" s="11"/>
      <c r="N1378" s="6"/>
      <c r="O1378" s="6"/>
      <c r="P1378" s="10"/>
      <c r="Q1378" s="6"/>
      <c r="R1378" s="6"/>
      <c r="S1378" s="6"/>
      <c r="T1378" s="6"/>
      <c r="U1378" s="9"/>
      <c r="AI1378" s="6"/>
      <c r="AJ1378" s="12"/>
      <c r="AL1378" s="13"/>
    </row>
    <row r="1379">
      <c r="A1379" s="5"/>
      <c r="B1379" s="5"/>
      <c r="C1379" s="5"/>
      <c r="D1379" s="5"/>
      <c r="E1379" s="6"/>
      <c r="F1379" s="6"/>
      <c r="G1379" s="18"/>
      <c r="I1379" s="16"/>
      <c r="J1379" s="9"/>
      <c r="K1379" s="10"/>
      <c r="L1379" s="6"/>
      <c r="M1379" s="11"/>
      <c r="N1379" s="6"/>
      <c r="O1379" s="6"/>
      <c r="P1379" s="10"/>
      <c r="Q1379" s="6"/>
      <c r="R1379" s="6"/>
      <c r="S1379" s="6"/>
      <c r="T1379" s="6"/>
      <c r="U1379" s="9"/>
      <c r="AI1379" s="6"/>
      <c r="AJ1379" s="12"/>
      <c r="AL1379" s="13"/>
    </row>
    <row r="1380">
      <c r="A1380" s="5"/>
      <c r="B1380" s="5"/>
      <c r="C1380" s="5"/>
      <c r="D1380" s="5"/>
      <c r="E1380" s="6"/>
      <c r="F1380" s="6"/>
      <c r="G1380" s="18"/>
      <c r="I1380" s="16"/>
      <c r="J1380" s="9"/>
      <c r="K1380" s="10"/>
      <c r="L1380" s="6"/>
      <c r="M1380" s="11"/>
      <c r="N1380" s="6"/>
      <c r="O1380" s="6"/>
      <c r="P1380" s="10"/>
      <c r="Q1380" s="6"/>
      <c r="R1380" s="6"/>
      <c r="S1380" s="6"/>
      <c r="T1380" s="6"/>
      <c r="U1380" s="9"/>
      <c r="AI1380" s="6"/>
      <c r="AJ1380" s="12"/>
      <c r="AL1380" s="13"/>
    </row>
    <row r="1381">
      <c r="A1381" s="5"/>
      <c r="B1381" s="5"/>
      <c r="C1381" s="5"/>
      <c r="D1381" s="5"/>
      <c r="E1381" s="6"/>
      <c r="F1381" s="6"/>
      <c r="G1381" s="18"/>
      <c r="I1381" s="16"/>
      <c r="J1381" s="9"/>
      <c r="K1381" s="10"/>
      <c r="L1381" s="6"/>
      <c r="M1381" s="11"/>
      <c r="N1381" s="6"/>
      <c r="O1381" s="6"/>
      <c r="P1381" s="10"/>
      <c r="Q1381" s="6"/>
      <c r="R1381" s="6"/>
      <c r="S1381" s="6"/>
      <c r="T1381" s="6"/>
      <c r="U1381" s="9"/>
      <c r="AI1381" s="6"/>
      <c r="AJ1381" s="12"/>
      <c r="AL1381" s="13"/>
    </row>
    <row r="1382">
      <c r="A1382" s="5"/>
      <c r="B1382" s="5"/>
      <c r="C1382" s="5"/>
      <c r="D1382" s="5"/>
      <c r="E1382" s="6"/>
      <c r="F1382" s="6"/>
      <c r="G1382" s="18"/>
      <c r="I1382" s="16"/>
      <c r="J1382" s="9"/>
      <c r="K1382" s="10"/>
      <c r="L1382" s="6"/>
      <c r="M1382" s="11"/>
      <c r="N1382" s="6"/>
      <c r="O1382" s="6"/>
      <c r="P1382" s="10"/>
      <c r="Q1382" s="6"/>
      <c r="R1382" s="6"/>
      <c r="S1382" s="6"/>
      <c r="T1382" s="6"/>
      <c r="U1382" s="9"/>
      <c r="AI1382" s="6"/>
      <c r="AJ1382" s="12"/>
      <c r="AL1382" s="13"/>
    </row>
    <row r="1383">
      <c r="A1383" s="5"/>
      <c r="B1383" s="5"/>
      <c r="C1383" s="5"/>
      <c r="D1383" s="5"/>
      <c r="E1383" s="6"/>
      <c r="F1383" s="6"/>
      <c r="G1383" s="18"/>
      <c r="I1383" s="16"/>
      <c r="J1383" s="9"/>
      <c r="K1383" s="10"/>
      <c r="L1383" s="6"/>
      <c r="M1383" s="11"/>
      <c r="N1383" s="6"/>
      <c r="O1383" s="6"/>
      <c r="P1383" s="10"/>
      <c r="Q1383" s="6"/>
      <c r="R1383" s="6"/>
      <c r="S1383" s="6"/>
      <c r="T1383" s="6"/>
      <c r="U1383" s="9"/>
      <c r="AI1383" s="6"/>
      <c r="AJ1383" s="12"/>
      <c r="AL1383" s="13"/>
    </row>
    <row r="1384">
      <c r="A1384" s="5"/>
      <c r="B1384" s="5"/>
      <c r="C1384" s="5"/>
      <c r="D1384" s="5"/>
      <c r="E1384" s="6"/>
      <c r="F1384" s="6"/>
      <c r="G1384" s="18"/>
      <c r="I1384" s="16"/>
      <c r="J1384" s="9"/>
      <c r="K1384" s="10"/>
      <c r="L1384" s="6"/>
      <c r="M1384" s="11"/>
      <c r="N1384" s="6"/>
      <c r="O1384" s="6"/>
      <c r="P1384" s="10"/>
      <c r="Q1384" s="6"/>
      <c r="R1384" s="6"/>
      <c r="S1384" s="6"/>
      <c r="T1384" s="6"/>
      <c r="U1384" s="9"/>
      <c r="AI1384" s="6"/>
      <c r="AJ1384" s="12"/>
      <c r="AL1384" s="13"/>
    </row>
    <row r="1385">
      <c r="A1385" s="5"/>
      <c r="B1385" s="5"/>
      <c r="C1385" s="5"/>
      <c r="D1385" s="5"/>
      <c r="E1385" s="6"/>
      <c r="F1385" s="6"/>
      <c r="G1385" s="18"/>
      <c r="I1385" s="16"/>
      <c r="J1385" s="9"/>
      <c r="K1385" s="10"/>
      <c r="L1385" s="6"/>
      <c r="M1385" s="11"/>
      <c r="N1385" s="6"/>
      <c r="O1385" s="6"/>
      <c r="P1385" s="10"/>
      <c r="Q1385" s="6"/>
      <c r="R1385" s="6"/>
      <c r="S1385" s="6"/>
      <c r="T1385" s="6"/>
      <c r="U1385" s="9"/>
      <c r="AI1385" s="6"/>
      <c r="AJ1385" s="12"/>
      <c r="AL1385" s="13"/>
    </row>
    <row r="1386">
      <c r="A1386" s="5"/>
      <c r="B1386" s="5"/>
      <c r="C1386" s="5"/>
      <c r="D1386" s="5"/>
      <c r="E1386" s="6"/>
      <c r="F1386" s="6"/>
      <c r="G1386" s="18"/>
      <c r="I1386" s="16"/>
      <c r="J1386" s="9"/>
      <c r="K1386" s="10"/>
      <c r="L1386" s="6"/>
      <c r="M1386" s="11"/>
      <c r="N1386" s="6"/>
      <c r="O1386" s="6"/>
      <c r="P1386" s="10"/>
      <c r="Q1386" s="6"/>
      <c r="R1386" s="6"/>
      <c r="S1386" s="6"/>
      <c r="T1386" s="6"/>
      <c r="U1386" s="9"/>
      <c r="AI1386" s="6"/>
      <c r="AJ1386" s="12"/>
      <c r="AL1386" s="13"/>
    </row>
    <row r="1387">
      <c r="A1387" s="5"/>
      <c r="B1387" s="5"/>
      <c r="C1387" s="5"/>
      <c r="D1387" s="5"/>
      <c r="E1387" s="6"/>
      <c r="F1387" s="6"/>
      <c r="G1387" s="18"/>
      <c r="I1387" s="16"/>
      <c r="J1387" s="9"/>
      <c r="K1387" s="10"/>
      <c r="L1387" s="6"/>
      <c r="M1387" s="11"/>
      <c r="N1387" s="6"/>
      <c r="O1387" s="6"/>
      <c r="P1387" s="10"/>
      <c r="Q1387" s="6"/>
      <c r="R1387" s="6"/>
      <c r="S1387" s="6"/>
      <c r="T1387" s="6"/>
      <c r="U1387" s="9"/>
      <c r="AI1387" s="6"/>
      <c r="AJ1387" s="12"/>
      <c r="AL1387" s="13"/>
    </row>
    <row r="1388">
      <c r="A1388" s="5"/>
      <c r="B1388" s="5"/>
      <c r="C1388" s="5"/>
      <c r="D1388" s="5"/>
      <c r="E1388" s="6"/>
      <c r="F1388" s="6"/>
      <c r="G1388" s="18"/>
      <c r="I1388" s="16"/>
      <c r="J1388" s="9"/>
      <c r="K1388" s="10"/>
      <c r="L1388" s="6"/>
      <c r="M1388" s="11"/>
      <c r="N1388" s="6"/>
      <c r="O1388" s="6"/>
      <c r="P1388" s="10"/>
      <c r="Q1388" s="6"/>
      <c r="R1388" s="6"/>
      <c r="S1388" s="6"/>
      <c r="T1388" s="6"/>
      <c r="U1388" s="9"/>
      <c r="AI1388" s="6"/>
      <c r="AJ1388" s="12"/>
      <c r="AL1388" s="13"/>
    </row>
    <row r="1389">
      <c r="A1389" s="5"/>
      <c r="B1389" s="5"/>
      <c r="C1389" s="5"/>
      <c r="D1389" s="5"/>
      <c r="E1389" s="6"/>
      <c r="F1389" s="6"/>
      <c r="G1389" s="18"/>
      <c r="I1389" s="16"/>
      <c r="J1389" s="9"/>
      <c r="K1389" s="10"/>
      <c r="L1389" s="6"/>
      <c r="M1389" s="11"/>
      <c r="N1389" s="6"/>
      <c r="O1389" s="6"/>
      <c r="P1389" s="10"/>
      <c r="Q1389" s="6"/>
      <c r="R1389" s="6"/>
      <c r="S1389" s="6"/>
      <c r="T1389" s="6"/>
      <c r="U1389" s="9"/>
      <c r="AI1389" s="6"/>
      <c r="AJ1389" s="12"/>
      <c r="AL1389" s="13"/>
    </row>
    <row r="1390">
      <c r="A1390" s="5"/>
      <c r="B1390" s="5"/>
      <c r="C1390" s="5"/>
      <c r="D1390" s="5"/>
      <c r="E1390" s="6"/>
      <c r="F1390" s="6"/>
      <c r="G1390" s="18"/>
      <c r="I1390" s="16"/>
      <c r="J1390" s="9"/>
      <c r="K1390" s="10"/>
      <c r="L1390" s="6"/>
      <c r="M1390" s="11"/>
      <c r="N1390" s="6"/>
      <c r="O1390" s="6"/>
      <c r="P1390" s="10"/>
      <c r="Q1390" s="6"/>
      <c r="R1390" s="6"/>
      <c r="S1390" s="6"/>
      <c r="T1390" s="6"/>
      <c r="U1390" s="9"/>
      <c r="AI1390" s="6"/>
      <c r="AJ1390" s="12"/>
      <c r="AL1390" s="13"/>
    </row>
    <row r="1391">
      <c r="A1391" s="5"/>
      <c r="B1391" s="5"/>
      <c r="C1391" s="5"/>
      <c r="D1391" s="5"/>
      <c r="E1391" s="6"/>
      <c r="F1391" s="6"/>
      <c r="G1391" s="18"/>
      <c r="I1391" s="16"/>
      <c r="J1391" s="9"/>
      <c r="K1391" s="10"/>
      <c r="L1391" s="6"/>
      <c r="M1391" s="11"/>
      <c r="N1391" s="6"/>
      <c r="O1391" s="6"/>
      <c r="P1391" s="10"/>
      <c r="Q1391" s="6"/>
      <c r="R1391" s="6"/>
      <c r="S1391" s="6"/>
      <c r="T1391" s="6"/>
      <c r="U1391" s="9"/>
      <c r="AI1391" s="6"/>
      <c r="AJ1391" s="12"/>
      <c r="AL1391" s="13"/>
    </row>
    <row r="1392">
      <c r="A1392" s="5"/>
      <c r="B1392" s="5"/>
      <c r="C1392" s="5"/>
      <c r="D1392" s="5"/>
      <c r="E1392" s="6"/>
      <c r="F1392" s="6"/>
      <c r="G1392" s="18"/>
      <c r="I1392" s="16"/>
      <c r="J1392" s="9"/>
      <c r="K1392" s="10"/>
      <c r="L1392" s="6"/>
      <c r="M1392" s="11"/>
      <c r="N1392" s="6"/>
      <c r="O1392" s="6"/>
      <c r="P1392" s="10"/>
      <c r="Q1392" s="6"/>
      <c r="R1392" s="6"/>
      <c r="S1392" s="6"/>
      <c r="T1392" s="6"/>
      <c r="U1392" s="9"/>
      <c r="AI1392" s="6"/>
      <c r="AJ1392" s="12"/>
      <c r="AL1392" s="13"/>
    </row>
    <row r="1393">
      <c r="A1393" s="5"/>
      <c r="B1393" s="5"/>
      <c r="C1393" s="5"/>
      <c r="D1393" s="5"/>
      <c r="E1393" s="6"/>
      <c r="F1393" s="6"/>
      <c r="G1393" s="18"/>
      <c r="I1393" s="16"/>
      <c r="J1393" s="9"/>
      <c r="K1393" s="10"/>
      <c r="L1393" s="6"/>
      <c r="M1393" s="11"/>
      <c r="N1393" s="6"/>
      <c r="O1393" s="6"/>
      <c r="P1393" s="10"/>
      <c r="Q1393" s="6"/>
      <c r="R1393" s="6"/>
      <c r="S1393" s="6"/>
      <c r="T1393" s="6"/>
      <c r="U1393" s="9"/>
      <c r="AI1393" s="6"/>
      <c r="AJ1393" s="12"/>
      <c r="AL1393" s="13"/>
    </row>
    <row r="1394">
      <c r="A1394" s="5"/>
      <c r="B1394" s="5"/>
      <c r="C1394" s="5"/>
      <c r="D1394" s="5"/>
      <c r="E1394" s="6"/>
      <c r="F1394" s="6"/>
      <c r="G1394" s="18"/>
      <c r="I1394" s="16"/>
      <c r="J1394" s="9"/>
      <c r="K1394" s="10"/>
      <c r="L1394" s="6"/>
      <c r="M1394" s="11"/>
      <c r="N1394" s="6"/>
      <c r="O1394" s="6"/>
      <c r="P1394" s="10"/>
      <c r="Q1394" s="6"/>
      <c r="R1394" s="6"/>
      <c r="S1394" s="6"/>
      <c r="T1394" s="6"/>
      <c r="U1394" s="9"/>
      <c r="AI1394" s="6"/>
      <c r="AJ1394" s="12"/>
      <c r="AL1394" s="13"/>
    </row>
    <row r="1395">
      <c r="A1395" s="5"/>
      <c r="B1395" s="5"/>
      <c r="C1395" s="5"/>
      <c r="D1395" s="5"/>
      <c r="E1395" s="6"/>
      <c r="F1395" s="6"/>
      <c r="G1395" s="18"/>
      <c r="I1395" s="16"/>
      <c r="J1395" s="9"/>
      <c r="K1395" s="10"/>
      <c r="L1395" s="6"/>
      <c r="M1395" s="11"/>
      <c r="N1395" s="6"/>
      <c r="O1395" s="6"/>
      <c r="P1395" s="10"/>
      <c r="Q1395" s="6"/>
      <c r="R1395" s="6"/>
      <c r="S1395" s="6"/>
      <c r="T1395" s="6"/>
      <c r="U1395" s="9"/>
      <c r="AI1395" s="6"/>
      <c r="AJ1395" s="12"/>
      <c r="AL1395" s="13"/>
    </row>
    <row r="1396">
      <c r="A1396" s="5"/>
      <c r="B1396" s="5"/>
      <c r="C1396" s="5"/>
      <c r="D1396" s="5"/>
      <c r="E1396" s="6"/>
      <c r="F1396" s="6"/>
      <c r="G1396" s="18"/>
      <c r="I1396" s="16"/>
      <c r="J1396" s="9"/>
      <c r="K1396" s="10"/>
      <c r="L1396" s="6"/>
      <c r="M1396" s="11"/>
      <c r="N1396" s="6"/>
      <c r="O1396" s="6"/>
      <c r="P1396" s="10"/>
      <c r="Q1396" s="6"/>
      <c r="R1396" s="6"/>
      <c r="S1396" s="6"/>
      <c r="T1396" s="6"/>
      <c r="U1396" s="9"/>
      <c r="AI1396" s="6"/>
      <c r="AJ1396" s="12"/>
      <c r="AL1396" s="13"/>
    </row>
    <row r="1397">
      <c r="A1397" s="5"/>
      <c r="B1397" s="5"/>
      <c r="C1397" s="5"/>
      <c r="D1397" s="5"/>
      <c r="E1397" s="6"/>
      <c r="F1397" s="6"/>
      <c r="G1397" s="18"/>
      <c r="I1397" s="16"/>
      <c r="J1397" s="9"/>
      <c r="K1397" s="10"/>
      <c r="L1397" s="6"/>
      <c r="M1397" s="11"/>
      <c r="N1397" s="6"/>
      <c r="O1397" s="6"/>
      <c r="P1397" s="10"/>
      <c r="Q1397" s="6"/>
      <c r="R1397" s="6"/>
      <c r="S1397" s="6"/>
      <c r="T1397" s="6"/>
      <c r="U1397" s="9"/>
      <c r="AI1397" s="6"/>
      <c r="AJ1397" s="12"/>
      <c r="AL1397" s="13"/>
    </row>
    <row r="1398">
      <c r="A1398" s="5"/>
      <c r="B1398" s="5"/>
      <c r="C1398" s="5"/>
      <c r="D1398" s="5"/>
      <c r="E1398" s="6"/>
      <c r="F1398" s="6"/>
      <c r="G1398" s="18"/>
      <c r="I1398" s="16"/>
      <c r="J1398" s="9"/>
      <c r="K1398" s="10"/>
      <c r="L1398" s="6"/>
      <c r="M1398" s="11"/>
      <c r="N1398" s="6"/>
      <c r="O1398" s="6"/>
      <c r="P1398" s="10"/>
      <c r="Q1398" s="6"/>
      <c r="R1398" s="6"/>
      <c r="S1398" s="6"/>
      <c r="T1398" s="6"/>
      <c r="U1398" s="9"/>
      <c r="AI1398" s="6"/>
      <c r="AJ1398" s="12"/>
      <c r="AL1398" s="13"/>
    </row>
    <row r="1399">
      <c r="A1399" s="5"/>
      <c r="B1399" s="5"/>
      <c r="C1399" s="5"/>
      <c r="D1399" s="5"/>
      <c r="E1399" s="6"/>
      <c r="F1399" s="6"/>
      <c r="G1399" s="18"/>
      <c r="I1399" s="16"/>
      <c r="J1399" s="9"/>
      <c r="K1399" s="10"/>
      <c r="L1399" s="6"/>
      <c r="M1399" s="11"/>
      <c r="N1399" s="6"/>
      <c r="O1399" s="6"/>
      <c r="P1399" s="10"/>
      <c r="Q1399" s="6"/>
      <c r="R1399" s="6"/>
      <c r="S1399" s="6"/>
      <c r="T1399" s="6"/>
      <c r="U1399" s="9"/>
      <c r="AI1399" s="6"/>
      <c r="AJ1399" s="12"/>
      <c r="AL1399" s="13"/>
    </row>
    <row r="1400">
      <c r="A1400" s="5"/>
      <c r="B1400" s="5"/>
      <c r="C1400" s="5"/>
      <c r="D1400" s="5"/>
      <c r="E1400" s="6"/>
      <c r="F1400" s="6"/>
      <c r="G1400" s="18"/>
      <c r="I1400" s="16"/>
      <c r="J1400" s="9"/>
      <c r="K1400" s="10"/>
      <c r="L1400" s="6"/>
      <c r="M1400" s="11"/>
      <c r="N1400" s="6"/>
      <c r="O1400" s="6"/>
      <c r="P1400" s="10"/>
      <c r="Q1400" s="6"/>
      <c r="R1400" s="6"/>
      <c r="S1400" s="6"/>
      <c r="T1400" s="6"/>
      <c r="U1400" s="9"/>
      <c r="AI1400" s="6"/>
      <c r="AJ1400" s="12"/>
      <c r="AL1400" s="13"/>
    </row>
    <row r="1401">
      <c r="A1401" s="5"/>
      <c r="B1401" s="5"/>
      <c r="C1401" s="5"/>
      <c r="D1401" s="5"/>
      <c r="E1401" s="6"/>
      <c r="F1401" s="6"/>
      <c r="G1401" s="18"/>
      <c r="I1401" s="16"/>
      <c r="J1401" s="9"/>
      <c r="K1401" s="10"/>
      <c r="L1401" s="6"/>
      <c r="M1401" s="11"/>
      <c r="N1401" s="6"/>
      <c r="O1401" s="6"/>
      <c r="P1401" s="10"/>
      <c r="Q1401" s="6"/>
      <c r="R1401" s="6"/>
      <c r="S1401" s="6"/>
      <c r="T1401" s="6"/>
      <c r="U1401" s="9"/>
      <c r="AI1401" s="6"/>
      <c r="AJ1401" s="12"/>
      <c r="AL1401" s="13"/>
    </row>
    <row r="1402">
      <c r="A1402" s="5"/>
      <c r="B1402" s="5"/>
      <c r="C1402" s="5"/>
      <c r="D1402" s="5"/>
      <c r="E1402" s="6"/>
      <c r="F1402" s="6"/>
      <c r="G1402" s="18"/>
      <c r="I1402" s="16"/>
      <c r="J1402" s="9"/>
      <c r="K1402" s="10"/>
      <c r="L1402" s="6"/>
      <c r="M1402" s="11"/>
      <c r="N1402" s="6"/>
      <c r="O1402" s="6"/>
      <c r="P1402" s="10"/>
      <c r="Q1402" s="6"/>
      <c r="R1402" s="6"/>
      <c r="S1402" s="6"/>
      <c r="T1402" s="6"/>
      <c r="U1402" s="9"/>
      <c r="AI1402" s="6"/>
      <c r="AJ1402" s="12"/>
      <c r="AL1402" s="13"/>
    </row>
    <row r="1403">
      <c r="A1403" s="5"/>
      <c r="B1403" s="5"/>
      <c r="C1403" s="5"/>
      <c r="D1403" s="5"/>
      <c r="E1403" s="6"/>
      <c r="F1403" s="6"/>
      <c r="G1403" s="18"/>
      <c r="I1403" s="16"/>
      <c r="J1403" s="9"/>
      <c r="K1403" s="10"/>
      <c r="L1403" s="6"/>
      <c r="M1403" s="11"/>
      <c r="N1403" s="6"/>
      <c r="O1403" s="6"/>
      <c r="P1403" s="10"/>
      <c r="Q1403" s="6"/>
      <c r="R1403" s="6"/>
      <c r="S1403" s="6"/>
      <c r="T1403" s="6"/>
      <c r="U1403" s="9"/>
      <c r="AI1403" s="6"/>
      <c r="AJ1403" s="12"/>
      <c r="AL1403" s="13"/>
    </row>
    <row r="1404">
      <c r="A1404" s="5"/>
      <c r="B1404" s="5"/>
      <c r="C1404" s="5"/>
      <c r="D1404" s="5"/>
      <c r="E1404" s="6"/>
      <c r="F1404" s="6"/>
      <c r="G1404" s="18"/>
      <c r="I1404" s="16"/>
      <c r="J1404" s="9"/>
      <c r="K1404" s="10"/>
      <c r="L1404" s="6"/>
      <c r="M1404" s="11"/>
      <c r="N1404" s="6"/>
      <c r="O1404" s="6"/>
      <c r="P1404" s="10"/>
      <c r="Q1404" s="6"/>
      <c r="R1404" s="6"/>
      <c r="S1404" s="6"/>
      <c r="T1404" s="6"/>
      <c r="U1404" s="9"/>
      <c r="AI1404" s="6"/>
      <c r="AJ1404" s="12"/>
      <c r="AL1404" s="13"/>
    </row>
    <row r="1405">
      <c r="A1405" s="5"/>
      <c r="B1405" s="5"/>
      <c r="C1405" s="5"/>
      <c r="D1405" s="5"/>
      <c r="E1405" s="6"/>
      <c r="F1405" s="6"/>
      <c r="G1405" s="18"/>
      <c r="I1405" s="16"/>
      <c r="J1405" s="9"/>
      <c r="K1405" s="10"/>
      <c r="L1405" s="6"/>
      <c r="M1405" s="11"/>
      <c r="N1405" s="6"/>
      <c r="O1405" s="6"/>
      <c r="P1405" s="10"/>
      <c r="Q1405" s="6"/>
      <c r="R1405" s="6"/>
      <c r="S1405" s="6"/>
      <c r="T1405" s="6"/>
      <c r="U1405" s="9"/>
      <c r="AI1405" s="6"/>
      <c r="AJ1405" s="12"/>
      <c r="AL1405" s="13"/>
    </row>
    <row r="1406">
      <c r="A1406" s="5"/>
      <c r="B1406" s="5"/>
      <c r="C1406" s="5"/>
      <c r="D1406" s="5"/>
      <c r="E1406" s="6"/>
      <c r="F1406" s="6"/>
      <c r="G1406" s="18"/>
      <c r="I1406" s="16"/>
      <c r="J1406" s="9"/>
      <c r="K1406" s="10"/>
      <c r="L1406" s="6"/>
      <c r="M1406" s="11"/>
      <c r="N1406" s="6"/>
      <c r="O1406" s="6"/>
      <c r="P1406" s="10"/>
      <c r="Q1406" s="6"/>
      <c r="R1406" s="6"/>
      <c r="S1406" s="6"/>
      <c r="T1406" s="6"/>
      <c r="U1406" s="9"/>
      <c r="AI1406" s="6"/>
      <c r="AJ1406" s="12"/>
      <c r="AL1406" s="13"/>
    </row>
    <row r="1407">
      <c r="A1407" s="5"/>
      <c r="B1407" s="5"/>
      <c r="C1407" s="5"/>
      <c r="D1407" s="5"/>
      <c r="E1407" s="6"/>
      <c r="F1407" s="6"/>
      <c r="G1407" s="18"/>
      <c r="I1407" s="16"/>
      <c r="J1407" s="9"/>
      <c r="K1407" s="10"/>
      <c r="L1407" s="6"/>
      <c r="M1407" s="11"/>
      <c r="N1407" s="6"/>
      <c r="O1407" s="6"/>
      <c r="P1407" s="10"/>
      <c r="Q1407" s="6"/>
      <c r="R1407" s="6"/>
      <c r="S1407" s="6"/>
      <c r="T1407" s="6"/>
      <c r="U1407" s="9"/>
      <c r="AI1407" s="6"/>
      <c r="AJ1407" s="12"/>
      <c r="AL1407" s="13"/>
    </row>
    <row r="1408">
      <c r="A1408" s="5"/>
      <c r="B1408" s="5"/>
      <c r="C1408" s="5"/>
      <c r="D1408" s="5"/>
      <c r="E1408" s="6"/>
      <c r="F1408" s="6"/>
      <c r="G1408" s="18"/>
      <c r="I1408" s="16"/>
      <c r="J1408" s="9"/>
      <c r="K1408" s="10"/>
      <c r="L1408" s="6"/>
      <c r="M1408" s="11"/>
      <c r="N1408" s="6"/>
      <c r="O1408" s="6"/>
      <c r="P1408" s="10"/>
      <c r="Q1408" s="6"/>
      <c r="R1408" s="6"/>
      <c r="S1408" s="6"/>
      <c r="T1408" s="6"/>
      <c r="U1408" s="9"/>
      <c r="AI1408" s="6"/>
      <c r="AJ1408" s="12"/>
      <c r="AL1408" s="13"/>
    </row>
    <row r="1409">
      <c r="A1409" s="5"/>
      <c r="B1409" s="5"/>
      <c r="C1409" s="5"/>
      <c r="D1409" s="5"/>
      <c r="E1409" s="6"/>
      <c r="F1409" s="6"/>
      <c r="G1409" s="18"/>
      <c r="I1409" s="16"/>
      <c r="J1409" s="9"/>
      <c r="K1409" s="10"/>
      <c r="L1409" s="6"/>
      <c r="M1409" s="11"/>
      <c r="N1409" s="6"/>
      <c r="O1409" s="6"/>
      <c r="P1409" s="10"/>
      <c r="Q1409" s="6"/>
      <c r="R1409" s="6"/>
      <c r="S1409" s="6"/>
      <c r="T1409" s="6"/>
      <c r="U1409" s="9"/>
      <c r="AI1409" s="6"/>
      <c r="AJ1409" s="12"/>
      <c r="AL1409" s="13"/>
    </row>
    <row r="1410">
      <c r="A1410" s="5"/>
      <c r="B1410" s="5"/>
      <c r="C1410" s="5"/>
      <c r="D1410" s="5"/>
      <c r="E1410" s="6"/>
      <c r="F1410" s="6"/>
      <c r="G1410" s="18"/>
      <c r="I1410" s="16"/>
      <c r="J1410" s="9"/>
      <c r="K1410" s="10"/>
      <c r="L1410" s="6"/>
      <c r="M1410" s="11"/>
      <c r="N1410" s="6"/>
      <c r="O1410" s="6"/>
      <c r="P1410" s="10"/>
      <c r="Q1410" s="6"/>
      <c r="R1410" s="6"/>
      <c r="S1410" s="6"/>
      <c r="T1410" s="6"/>
      <c r="U1410" s="9"/>
      <c r="AI1410" s="6"/>
      <c r="AJ1410" s="12"/>
      <c r="AL1410" s="13"/>
    </row>
    <row r="1411">
      <c r="A1411" s="5"/>
      <c r="B1411" s="5"/>
      <c r="C1411" s="5"/>
      <c r="D1411" s="5"/>
      <c r="E1411" s="6"/>
      <c r="F1411" s="6"/>
      <c r="G1411" s="18"/>
      <c r="I1411" s="16"/>
      <c r="J1411" s="9"/>
      <c r="K1411" s="10"/>
      <c r="L1411" s="6"/>
      <c r="M1411" s="11"/>
      <c r="N1411" s="6"/>
      <c r="O1411" s="6"/>
      <c r="P1411" s="10"/>
      <c r="Q1411" s="6"/>
      <c r="R1411" s="6"/>
      <c r="S1411" s="6"/>
      <c r="T1411" s="6"/>
      <c r="U1411" s="9"/>
      <c r="AI1411" s="6"/>
      <c r="AJ1411" s="12"/>
      <c r="AL1411" s="13"/>
    </row>
    <row r="1412">
      <c r="A1412" s="5"/>
      <c r="B1412" s="5"/>
      <c r="C1412" s="5"/>
      <c r="D1412" s="5"/>
      <c r="E1412" s="6"/>
      <c r="F1412" s="6"/>
      <c r="G1412" s="18"/>
      <c r="I1412" s="16"/>
      <c r="J1412" s="9"/>
      <c r="K1412" s="10"/>
      <c r="L1412" s="6"/>
      <c r="M1412" s="11"/>
      <c r="N1412" s="6"/>
      <c r="O1412" s="6"/>
      <c r="P1412" s="10"/>
      <c r="Q1412" s="6"/>
      <c r="R1412" s="6"/>
      <c r="S1412" s="6"/>
      <c r="T1412" s="6"/>
      <c r="U1412" s="9"/>
      <c r="AI1412" s="6"/>
      <c r="AJ1412" s="12"/>
      <c r="AL1412" s="13"/>
    </row>
    <row r="1413">
      <c r="A1413" s="5"/>
      <c r="B1413" s="5"/>
      <c r="C1413" s="5"/>
      <c r="D1413" s="5"/>
      <c r="E1413" s="6"/>
      <c r="F1413" s="6"/>
      <c r="G1413" s="18"/>
      <c r="I1413" s="16"/>
      <c r="J1413" s="9"/>
      <c r="K1413" s="10"/>
      <c r="L1413" s="6"/>
      <c r="M1413" s="11"/>
      <c r="N1413" s="6"/>
      <c r="O1413" s="6"/>
      <c r="P1413" s="10"/>
      <c r="Q1413" s="6"/>
      <c r="R1413" s="6"/>
      <c r="S1413" s="6"/>
      <c r="T1413" s="6"/>
      <c r="U1413" s="9"/>
      <c r="AI1413" s="6"/>
      <c r="AJ1413" s="12"/>
      <c r="AL1413" s="13"/>
    </row>
    <row r="1414">
      <c r="A1414" s="5"/>
      <c r="B1414" s="5"/>
      <c r="C1414" s="5"/>
      <c r="D1414" s="5"/>
      <c r="E1414" s="6"/>
      <c r="F1414" s="6"/>
      <c r="G1414" s="18"/>
      <c r="I1414" s="16"/>
      <c r="J1414" s="9"/>
      <c r="K1414" s="10"/>
      <c r="L1414" s="6"/>
      <c r="M1414" s="11"/>
      <c r="N1414" s="6"/>
      <c r="O1414" s="6"/>
      <c r="P1414" s="10"/>
      <c r="Q1414" s="6"/>
      <c r="R1414" s="6"/>
      <c r="S1414" s="6"/>
      <c r="T1414" s="6"/>
      <c r="U1414" s="9"/>
      <c r="AI1414" s="6"/>
      <c r="AJ1414" s="12"/>
      <c r="AL1414" s="13"/>
    </row>
    <row r="1415">
      <c r="A1415" s="5"/>
      <c r="B1415" s="5"/>
      <c r="C1415" s="5"/>
      <c r="D1415" s="5"/>
      <c r="E1415" s="6"/>
      <c r="F1415" s="6"/>
      <c r="G1415" s="18"/>
      <c r="I1415" s="16"/>
      <c r="J1415" s="9"/>
      <c r="K1415" s="10"/>
      <c r="L1415" s="6"/>
      <c r="M1415" s="11"/>
      <c r="N1415" s="6"/>
      <c r="O1415" s="6"/>
      <c r="P1415" s="10"/>
      <c r="Q1415" s="6"/>
      <c r="R1415" s="6"/>
      <c r="S1415" s="6"/>
      <c r="T1415" s="6"/>
      <c r="U1415" s="9"/>
      <c r="AI1415" s="6"/>
      <c r="AJ1415" s="12"/>
      <c r="AL1415" s="13"/>
    </row>
    <row r="1416">
      <c r="A1416" s="5"/>
      <c r="B1416" s="5"/>
      <c r="C1416" s="5"/>
      <c r="D1416" s="5"/>
      <c r="E1416" s="6"/>
      <c r="F1416" s="6"/>
      <c r="G1416" s="18"/>
      <c r="I1416" s="16"/>
      <c r="J1416" s="9"/>
      <c r="K1416" s="10"/>
      <c r="L1416" s="6"/>
      <c r="M1416" s="11"/>
      <c r="N1416" s="6"/>
      <c r="O1416" s="6"/>
      <c r="P1416" s="10"/>
      <c r="Q1416" s="6"/>
      <c r="R1416" s="6"/>
      <c r="S1416" s="6"/>
      <c r="T1416" s="6"/>
      <c r="U1416" s="9"/>
      <c r="AI1416" s="6"/>
      <c r="AJ1416" s="12"/>
      <c r="AL1416" s="13"/>
    </row>
    <row r="1417">
      <c r="A1417" s="5"/>
      <c r="B1417" s="5"/>
      <c r="C1417" s="5"/>
      <c r="D1417" s="5"/>
      <c r="E1417" s="6"/>
      <c r="F1417" s="6"/>
      <c r="G1417" s="18"/>
      <c r="I1417" s="16"/>
      <c r="J1417" s="9"/>
      <c r="K1417" s="10"/>
      <c r="L1417" s="6"/>
      <c r="M1417" s="11"/>
      <c r="N1417" s="6"/>
      <c r="O1417" s="6"/>
      <c r="P1417" s="10"/>
      <c r="Q1417" s="6"/>
      <c r="R1417" s="6"/>
      <c r="S1417" s="6"/>
      <c r="T1417" s="6"/>
      <c r="U1417" s="9"/>
      <c r="AI1417" s="6"/>
      <c r="AJ1417" s="12"/>
      <c r="AL1417" s="13"/>
    </row>
    <row r="1418">
      <c r="A1418" s="5"/>
      <c r="B1418" s="5"/>
      <c r="C1418" s="5"/>
      <c r="D1418" s="5"/>
      <c r="E1418" s="6"/>
      <c r="F1418" s="6"/>
      <c r="G1418" s="18"/>
      <c r="I1418" s="16"/>
      <c r="J1418" s="9"/>
      <c r="K1418" s="10"/>
      <c r="L1418" s="6"/>
      <c r="M1418" s="11"/>
      <c r="N1418" s="6"/>
      <c r="O1418" s="6"/>
      <c r="P1418" s="10"/>
      <c r="Q1418" s="6"/>
      <c r="R1418" s="6"/>
      <c r="S1418" s="6"/>
      <c r="T1418" s="6"/>
      <c r="U1418" s="9"/>
      <c r="AI1418" s="6"/>
      <c r="AJ1418" s="12"/>
      <c r="AL1418" s="13"/>
    </row>
    <row r="1419">
      <c r="A1419" s="5"/>
      <c r="B1419" s="5"/>
      <c r="C1419" s="5"/>
      <c r="D1419" s="5"/>
      <c r="E1419" s="6"/>
      <c r="F1419" s="6"/>
      <c r="G1419" s="18"/>
      <c r="I1419" s="16"/>
      <c r="J1419" s="9"/>
      <c r="K1419" s="10"/>
      <c r="L1419" s="6"/>
      <c r="M1419" s="11"/>
      <c r="N1419" s="6"/>
      <c r="O1419" s="6"/>
      <c r="P1419" s="10"/>
      <c r="Q1419" s="6"/>
      <c r="R1419" s="6"/>
      <c r="S1419" s="6"/>
      <c r="T1419" s="6"/>
      <c r="U1419" s="9"/>
      <c r="AI1419" s="6"/>
      <c r="AJ1419" s="12"/>
      <c r="AL1419" s="13"/>
    </row>
    <row r="1420">
      <c r="A1420" s="5"/>
      <c r="B1420" s="5"/>
      <c r="C1420" s="5"/>
      <c r="D1420" s="5"/>
      <c r="E1420" s="6"/>
      <c r="F1420" s="6"/>
      <c r="G1420" s="18"/>
      <c r="I1420" s="16"/>
      <c r="J1420" s="9"/>
      <c r="K1420" s="10"/>
      <c r="L1420" s="6"/>
      <c r="M1420" s="11"/>
      <c r="N1420" s="6"/>
      <c r="O1420" s="6"/>
      <c r="P1420" s="10"/>
      <c r="Q1420" s="6"/>
      <c r="R1420" s="6"/>
      <c r="S1420" s="6"/>
      <c r="T1420" s="6"/>
      <c r="U1420" s="9"/>
      <c r="AI1420" s="6"/>
      <c r="AJ1420" s="12"/>
      <c r="AL1420" s="13"/>
    </row>
    <row r="1421">
      <c r="A1421" s="5"/>
      <c r="B1421" s="5"/>
      <c r="C1421" s="5"/>
      <c r="D1421" s="5"/>
      <c r="E1421" s="6"/>
      <c r="F1421" s="6"/>
      <c r="G1421" s="18"/>
      <c r="I1421" s="16"/>
      <c r="J1421" s="9"/>
      <c r="K1421" s="10"/>
      <c r="L1421" s="6"/>
      <c r="M1421" s="11"/>
      <c r="N1421" s="6"/>
      <c r="O1421" s="6"/>
      <c r="P1421" s="10"/>
      <c r="Q1421" s="6"/>
      <c r="R1421" s="6"/>
      <c r="S1421" s="6"/>
      <c r="T1421" s="6"/>
      <c r="U1421" s="9"/>
      <c r="AI1421" s="6"/>
      <c r="AJ1421" s="12"/>
      <c r="AL1421" s="13"/>
    </row>
    <row r="1422">
      <c r="A1422" s="5"/>
      <c r="B1422" s="5"/>
      <c r="C1422" s="5"/>
      <c r="D1422" s="5"/>
      <c r="E1422" s="6"/>
      <c r="F1422" s="6"/>
      <c r="G1422" s="18"/>
      <c r="I1422" s="16"/>
      <c r="J1422" s="9"/>
      <c r="K1422" s="10"/>
      <c r="L1422" s="6"/>
      <c r="M1422" s="11"/>
      <c r="N1422" s="6"/>
      <c r="O1422" s="6"/>
      <c r="P1422" s="10"/>
      <c r="Q1422" s="6"/>
      <c r="R1422" s="6"/>
      <c r="S1422" s="6"/>
      <c r="T1422" s="6"/>
      <c r="U1422" s="9"/>
      <c r="AI1422" s="6"/>
      <c r="AJ1422" s="12"/>
      <c r="AL1422" s="13"/>
    </row>
    <row r="1423">
      <c r="A1423" s="5"/>
      <c r="B1423" s="5"/>
      <c r="C1423" s="5"/>
      <c r="D1423" s="5"/>
      <c r="E1423" s="6"/>
      <c r="F1423" s="6"/>
      <c r="G1423" s="18"/>
      <c r="I1423" s="16"/>
      <c r="J1423" s="9"/>
      <c r="K1423" s="10"/>
      <c r="L1423" s="6"/>
      <c r="M1423" s="11"/>
      <c r="N1423" s="6"/>
      <c r="O1423" s="6"/>
      <c r="P1423" s="10"/>
      <c r="Q1423" s="6"/>
      <c r="R1423" s="6"/>
      <c r="S1423" s="6"/>
      <c r="T1423" s="6"/>
      <c r="U1423" s="9"/>
      <c r="AI1423" s="6"/>
      <c r="AJ1423" s="12"/>
      <c r="AL1423" s="13"/>
    </row>
    <row r="1424">
      <c r="A1424" s="5"/>
      <c r="B1424" s="5"/>
      <c r="C1424" s="5"/>
      <c r="D1424" s="5"/>
      <c r="E1424" s="6"/>
      <c r="F1424" s="6"/>
      <c r="G1424" s="18"/>
      <c r="I1424" s="16"/>
      <c r="J1424" s="9"/>
      <c r="K1424" s="10"/>
      <c r="L1424" s="6"/>
      <c r="M1424" s="11"/>
      <c r="N1424" s="6"/>
      <c r="O1424" s="6"/>
      <c r="P1424" s="10"/>
      <c r="Q1424" s="6"/>
      <c r="R1424" s="6"/>
      <c r="S1424" s="6"/>
      <c r="T1424" s="6"/>
      <c r="U1424" s="9"/>
      <c r="AI1424" s="6"/>
      <c r="AJ1424" s="12"/>
      <c r="AL1424" s="13"/>
    </row>
    <row r="1425">
      <c r="A1425" s="5"/>
      <c r="B1425" s="5"/>
      <c r="C1425" s="5"/>
      <c r="D1425" s="5"/>
      <c r="E1425" s="6"/>
      <c r="F1425" s="6"/>
      <c r="G1425" s="18"/>
      <c r="I1425" s="16"/>
      <c r="J1425" s="9"/>
      <c r="K1425" s="10"/>
      <c r="L1425" s="6"/>
      <c r="M1425" s="11"/>
      <c r="N1425" s="6"/>
      <c r="O1425" s="6"/>
      <c r="P1425" s="10"/>
      <c r="Q1425" s="6"/>
      <c r="R1425" s="6"/>
      <c r="S1425" s="6"/>
      <c r="T1425" s="6"/>
      <c r="U1425" s="9"/>
      <c r="AI1425" s="6"/>
      <c r="AJ1425" s="12"/>
      <c r="AL1425" s="13"/>
    </row>
    <row r="1426">
      <c r="A1426" s="5"/>
      <c r="B1426" s="5"/>
      <c r="C1426" s="5"/>
      <c r="D1426" s="5"/>
      <c r="E1426" s="6"/>
      <c r="F1426" s="6"/>
      <c r="G1426" s="18"/>
      <c r="I1426" s="16"/>
      <c r="J1426" s="9"/>
      <c r="K1426" s="10"/>
      <c r="L1426" s="6"/>
      <c r="M1426" s="11"/>
      <c r="N1426" s="6"/>
      <c r="O1426" s="6"/>
      <c r="P1426" s="10"/>
      <c r="Q1426" s="6"/>
      <c r="R1426" s="6"/>
      <c r="S1426" s="6"/>
      <c r="T1426" s="6"/>
      <c r="U1426" s="9"/>
      <c r="AI1426" s="6"/>
      <c r="AJ1426" s="12"/>
      <c r="AL1426" s="13"/>
    </row>
    <row r="1427">
      <c r="A1427" s="5"/>
      <c r="B1427" s="5"/>
      <c r="C1427" s="5"/>
      <c r="D1427" s="5"/>
      <c r="E1427" s="6"/>
      <c r="F1427" s="6"/>
      <c r="G1427" s="18"/>
      <c r="I1427" s="16"/>
      <c r="J1427" s="9"/>
      <c r="K1427" s="10"/>
      <c r="L1427" s="6"/>
      <c r="M1427" s="11"/>
      <c r="N1427" s="6"/>
      <c r="O1427" s="6"/>
      <c r="P1427" s="10"/>
      <c r="Q1427" s="6"/>
      <c r="R1427" s="6"/>
      <c r="S1427" s="6"/>
      <c r="T1427" s="6"/>
      <c r="U1427" s="9"/>
      <c r="AI1427" s="6"/>
      <c r="AJ1427" s="12"/>
      <c r="AL1427" s="13"/>
    </row>
    <row r="1428">
      <c r="A1428" s="5"/>
      <c r="B1428" s="5"/>
      <c r="C1428" s="5"/>
      <c r="D1428" s="5"/>
      <c r="E1428" s="6"/>
      <c r="F1428" s="6"/>
      <c r="G1428" s="18"/>
      <c r="I1428" s="16"/>
      <c r="J1428" s="9"/>
      <c r="K1428" s="10"/>
      <c r="L1428" s="6"/>
      <c r="M1428" s="11"/>
      <c r="N1428" s="6"/>
      <c r="O1428" s="6"/>
      <c r="P1428" s="10"/>
      <c r="Q1428" s="6"/>
      <c r="R1428" s="6"/>
      <c r="S1428" s="6"/>
      <c r="T1428" s="6"/>
      <c r="U1428" s="9"/>
      <c r="AI1428" s="6"/>
      <c r="AJ1428" s="12"/>
      <c r="AL1428" s="13"/>
    </row>
    <row r="1429">
      <c r="A1429" s="5"/>
      <c r="B1429" s="5"/>
      <c r="C1429" s="5"/>
      <c r="D1429" s="5"/>
      <c r="E1429" s="6"/>
      <c r="F1429" s="6"/>
      <c r="G1429" s="18"/>
      <c r="I1429" s="16"/>
      <c r="J1429" s="9"/>
      <c r="K1429" s="10"/>
      <c r="L1429" s="6"/>
      <c r="M1429" s="11"/>
      <c r="N1429" s="6"/>
      <c r="O1429" s="6"/>
      <c r="P1429" s="10"/>
      <c r="Q1429" s="6"/>
      <c r="R1429" s="6"/>
      <c r="S1429" s="6"/>
      <c r="T1429" s="6"/>
      <c r="U1429" s="9"/>
      <c r="AI1429" s="6"/>
      <c r="AJ1429" s="12"/>
      <c r="AL1429" s="13"/>
    </row>
    <row r="1430">
      <c r="A1430" s="5"/>
      <c r="B1430" s="5"/>
      <c r="C1430" s="5"/>
      <c r="D1430" s="5"/>
      <c r="E1430" s="6"/>
      <c r="F1430" s="6"/>
      <c r="G1430" s="18"/>
      <c r="I1430" s="16"/>
      <c r="J1430" s="9"/>
      <c r="K1430" s="10"/>
      <c r="L1430" s="6"/>
      <c r="M1430" s="11"/>
      <c r="N1430" s="6"/>
      <c r="O1430" s="6"/>
      <c r="P1430" s="10"/>
      <c r="Q1430" s="6"/>
      <c r="R1430" s="6"/>
      <c r="S1430" s="6"/>
      <c r="T1430" s="6"/>
      <c r="U1430" s="9"/>
      <c r="AI1430" s="6"/>
      <c r="AJ1430" s="12"/>
      <c r="AL1430" s="13"/>
    </row>
    <row r="1431">
      <c r="A1431" s="5"/>
      <c r="B1431" s="5"/>
      <c r="C1431" s="5"/>
      <c r="D1431" s="5"/>
      <c r="E1431" s="6"/>
      <c r="F1431" s="6"/>
      <c r="G1431" s="18"/>
      <c r="I1431" s="16"/>
      <c r="J1431" s="9"/>
      <c r="K1431" s="10"/>
      <c r="L1431" s="6"/>
      <c r="M1431" s="11"/>
      <c r="N1431" s="6"/>
      <c r="O1431" s="6"/>
      <c r="P1431" s="10"/>
      <c r="Q1431" s="6"/>
      <c r="R1431" s="6"/>
      <c r="S1431" s="6"/>
      <c r="T1431" s="6"/>
      <c r="U1431" s="9"/>
      <c r="AI1431" s="6"/>
      <c r="AJ1431" s="12"/>
      <c r="AL1431" s="13"/>
    </row>
    <row r="1432">
      <c r="A1432" s="5"/>
      <c r="B1432" s="5"/>
      <c r="C1432" s="5"/>
      <c r="D1432" s="5"/>
      <c r="E1432" s="6"/>
      <c r="F1432" s="6"/>
      <c r="G1432" s="18"/>
      <c r="I1432" s="16"/>
      <c r="J1432" s="9"/>
      <c r="K1432" s="10"/>
      <c r="L1432" s="6"/>
      <c r="M1432" s="11"/>
      <c r="N1432" s="6"/>
      <c r="O1432" s="6"/>
      <c r="P1432" s="10"/>
      <c r="Q1432" s="6"/>
      <c r="R1432" s="6"/>
      <c r="S1432" s="6"/>
      <c r="T1432" s="6"/>
      <c r="U1432" s="9"/>
      <c r="AI1432" s="6"/>
      <c r="AJ1432" s="12"/>
      <c r="AL1432" s="13"/>
    </row>
    <row r="1433">
      <c r="A1433" s="5"/>
      <c r="B1433" s="5"/>
      <c r="C1433" s="5"/>
      <c r="D1433" s="5"/>
      <c r="E1433" s="6"/>
      <c r="F1433" s="6"/>
      <c r="G1433" s="18"/>
      <c r="I1433" s="16"/>
      <c r="J1433" s="9"/>
      <c r="K1433" s="10"/>
      <c r="L1433" s="6"/>
      <c r="M1433" s="11"/>
      <c r="N1433" s="6"/>
      <c r="O1433" s="6"/>
      <c r="P1433" s="10"/>
      <c r="Q1433" s="6"/>
      <c r="R1433" s="6"/>
      <c r="S1433" s="6"/>
      <c r="T1433" s="6"/>
      <c r="U1433" s="9"/>
      <c r="AI1433" s="6"/>
      <c r="AJ1433" s="12"/>
      <c r="AL1433" s="13"/>
    </row>
    <row r="1434">
      <c r="A1434" s="5"/>
      <c r="B1434" s="5"/>
      <c r="C1434" s="5"/>
      <c r="D1434" s="5"/>
      <c r="E1434" s="6"/>
      <c r="F1434" s="6"/>
      <c r="G1434" s="18"/>
      <c r="I1434" s="16"/>
      <c r="J1434" s="9"/>
      <c r="K1434" s="10"/>
      <c r="L1434" s="6"/>
      <c r="M1434" s="11"/>
      <c r="N1434" s="6"/>
      <c r="O1434" s="6"/>
      <c r="P1434" s="10"/>
      <c r="Q1434" s="6"/>
      <c r="R1434" s="6"/>
      <c r="S1434" s="6"/>
      <c r="T1434" s="6"/>
      <c r="U1434" s="9"/>
      <c r="AI1434" s="6"/>
      <c r="AJ1434" s="12"/>
      <c r="AL1434" s="13"/>
    </row>
    <row r="1435">
      <c r="A1435" s="5"/>
      <c r="B1435" s="5"/>
      <c r="C1435" s="5"/>
      <c r="D1435" s="5"/>
      <c r="E1435" s="6"/>
      <c r="F1435" s="6"/>
      <c r="G1435" s="18"/>
      <c r="I1435" s="16"/>
      <c r="J1435" s="9"/>
      <c r="K1435" s="10"/>
      <c r="L1435" s="6"/>
      <c r="M1435" s="11"/>
      <c r="N1435" s="6"/>
      <c r="O1435" s="6"/>
      <c r="P1435" s="10"/>
      <c r="Q1435" s="6"/>
      <c r="R1435" s="6"/>
      <c r="S1435" s="6"/>
      <c r="T1435" s="6"/>
      <c r="U1435" s="9"/>
      <c r="AI1435" s="6"/>
      <c r="AJ1435" s="12"/>
      <c r="AL1435" s="13"/>
    </row>
    <row r="1436">
      <c r="A1436" s="5"/>
      <c r="B1436" s="5"/>
      <c r="C1436" s="5"/>
      <c r="D1436" s="5"/>
      <c r="E1436" s="6"/>
      <c r="F1436" s="6"/>
      <c r="G1436" s="18"/>
      <c r="I1436" s="16"/>
      <c r="J1436" s="9"/>
      <c r="K1436" s="10"/>
      <c r="L1436" s="6"/>
      <c r="M1436" s="11"/>
      <c r="N1436" s="6"/>
      <c r="O1436" s="6"/>
      <c r="P1436" s="10"/>
      <c r="Q1436" s="6"/>
      <c r="R1436" s="6"/>
      <c r="S1436" s="6"/>
      <c r="T1436" s="6"/>
      <c r="U1436" s="9"/>
      <c r="AI1436" s="6"/>
      <c r="AJ1436" s="12"/>
      <c r="AL1436" s="13"/>
    </row>
    <row r="1437">
      <c r="A1437" s="5"/>
      <c r="B1437" s="5"/>
      <c r="C1437" s="5"/>
      <c r="D1437" s="5"/>
      <c r="E1437" s="6"/>
      <c r="F1437" s="6"/>
      <c r="G1437" s="18"/>
      <c r="I1437" s="16"/>
      <c r="J1437" s="9"/>
      <c r="K1437" s="10"/>
      <c r="L1437" s="6"/>
      <c r="M1437" s="11"/>
      <c r="N1437" s="6"/>
      <c r="O1437" s="6"/>
      <c r="P1437" s="10"/>
      <c r="Q1437" s="6"/>
      <c r="R1437" s="6"/>
      <c r="S1437" s="6"/>
      <c r="T1437" s="6"/>
      <c r="U1437" s="9"/>
      <c r="AI1437" s="6"/>
      <c r="AJ1437" s="12"/>
      <c r="AL1437" s="13"/>
    </row>
    <row r="1438">
      <c r="A1438" s="5"/>
      <c r="B1438" s="5"/>
      <c r="C1438" s="5"/>
      <c r="D1438" s="5"/>
      <c r="E1438" s="6"/>
      <c r="F1438" s="6"/>
      <c r="G1438" s="18"/>
      <c r="I1438" s="16"/>
      <c r="J1438" s="9"/>
      <c r="K1438" s="10"/>
      <c r="L1438" s="6"/>
      <c r="M1438" s="11"/>
      <c r="N1438" s="6"/>
      <c r="O1438" s="6"/>
      <c r="P1438" s="10"/>
      <c r="Q1438" s="6"/>
      <c r="R1438" s="6"/>
      <c r="S1438" s="6"/>
      <c r="T1438" s="6"/>
      <c r="U1438" s="9"/>
      <c r="AI1438" s="6"/>
      <c r="AJ1438" s="12"/>
      <c r="AL1438" s="13"/>
    </row>
    <row r="1439">
      <c r="A1439" s="5"/>
      <c r="B1439" s="5"/>
      <c r="C1439" s="5"/>
      <c r="D1439" s="5"/>
      <c r="E1439" s="6"/>
      <c r="F1439" s="6"/>
      <c r="G1439" s="18"/>
      <c r="I1439" s="16"/>
      <c r="J1439" s="9"/>
      <c r="K1439" s="10"/>
      <c r="L1439" s="6"/>
      <c r="M1439" s="11"/>
      <c r="N1439" s="6"/>
      <c r="O1439" s="6"/>
      <c r="P1439" s="10"/>
      <c r="Q1439" s="6"/>
      <c r="R1439" s="6"/>
      <c r="S1439" s="6"/>
      <c r="T1439" s="6"/>
      <c r="U1439" s="9"/>
      <c r="AI1439" s="6"/>
      <c r="AJ1439" s="12"/>
      <c r="AL1439" s="13"/>
    </row>
    <row r="1440">
      <c r="A1440" s="5"/>
      <c r="B1440" s="5"/>
      <c r="C1440" s="5"/>
      <c r="D1440" s="5"/>
      <c r="E1440" s="6"/>
      <c r="F1440" s="6"/>
      <c r="G1440" s="18"/>
      <c r="I1440" s="16"/>
      <c r="J1440" s="9"/>
      <c r="K1440" s="10"/>
      <c r="L1440" s="6"/>
      <c r="M1440" s="11"/>
      <c r="N1440" s="6"/>
      <c r="O1440" s="6"/>
      <c r="P1440" s="10"/>
      <c r="Q1440" s="6"/>
      <c r="R1440" s="6"/>
      <c r="S1440" s="6"/>
      <c r="T1440" s="6"/>
      <c r="U1440" s="9"/>
      <c r="AI1440" s="6"/>
      <c r="AJ1440" s="12"/>
      <c r="AL1440" s="13"/>
    </row>
    <row r="1441">
      <c r="A1441" s="5"/>
      <c r="B1441" s="5"/>
      <c r="C1441" s="5"/>
      <c r="D1441" s="5"/>
      <c r="E1441" s="6"/>
      <c r="F1441" s="6"/>
      <c r="G1441" s="18"/>
      <c r="I1441" s="16"/>
      <c r="J1441" s="9"/>
      <c r="K1441" s="10"/>
      <c r="L1441" s="6"/>
      <c r="M1441" s="11"/>
      <c r="N1441" s="6"/>
      <c r="O1441" s="6"/>
      <c r="P1441" s="10"/>
      <c r="Q1441" s="6"/>
      <c r="R1441" s="6"/>
      <c r="S1441" s="6"/>
      <c r="T1441" s="6"/>
      <c r="U1441" s="9"/>
      <c r="AI1441" s="6"/>
      <c r="AJ1441" s="12"/>
      <c r="AL1441" s="13"/>
    </row>
    <row r="1442">
      <c r="A1442" s="5"/>
      <c r="B1442" s="5"/>
      <c r="C1442" s="5"/>
      <c r="D1442" s="5"/>
      <c r="E1442" s="6"/>
      <c r="F1442" s="6"/>
      <c r="G1442" s="18"/>
      <c r="I1442" s="16"/>
      <c r="J1442" s="9"/>
      <c r="K1442" s="10"/>
      <c r="L1442" s="6"/>
      <c r="M1442" s="11"/>
      <c r="N1442" s="6"/>
      <c r="O1442" s="6"/>
      <c r="P1442" s="10"/>
      <c r="Q1442" s="6"/>
      <c r="R1442" s="6"/>
      <c r="S1442" s="6"/>
      <c r="T1442" s="6"/>
      <c r="U1442" s="9"/>
      <c r="AI1442" s="6"/>
      <c r="AJ1442" s="12"/>
      <c r="AL1442" s="13"/>
    </row>
    <row r="1443">
      <c r="A1443" s="5"/>
      <c r="B1443" s="5"/>
      <c r="C1443" s="5"/>
      <c r="D1443" s="5"/>
      <c r="E1443" s="6"/>
      <c r="F1443" s="6"/>
      <c r="G1443" s="18"/>
      <c r="I1443" s="16"/>
      <c r="J1443" s="9"/>
      <c r="K1443" s="10"/>
      <c r="L1443" s="6"/>
      <c r="M1443" s="11"/>
      <c r="N1443" s="6"/>
      <c r="O1443" s="6"/>
      <c r="P1443" s="10"/>
      <c r="Q1443" s="6"/>
      <c r="R1443" s="6"/>
      <c r="S1443" s="6"/>
      <c r="T1443" s="6"/>
      <c r="U1443" s="9"/>
      <c r="AI1443" s="6"/>
      <c r="AJ1443" s="12"/>
      <c r="AL1443" s="13"/>
    </row>
    <row r="1444">
      <c r="A1444" s="5"/>
      <c r="B1444" s="5"/>
      <c r="C1444" s="5"/>
      <c r="D1444" s="5"/>
      <c r="E1444" s="6"/>
      <c r="F1444" s="6"/>
      <c r="G1444" s="18"/>
      <c r="I1444" s="16"/>
      <c r="J1444" s="9"/>
      <c r="K1444" s="10"/>
      <c r="L1444" s="6"/>
      <c r="M1444" s="11"/>
      <c r="N1444" s="6"/>
      <c r="O1444" s="6"/>
      <c r="P1444" s="10"/>
      <c r="Q1444" s="6"/>
      <c r="R1444" s="6"/>
      <c r="S1444" s="6"/>
      <c r="T1444" s="6"/>
      <c r="U1444" s="9"/>
      <c r="AI1444" s="6"/>
      <c r="AJ1444" s="12"/>
      <c r="AL1444" s="13"/>
    </row>
    <row r="1445">
      <c r="A1445" s="5"/>
      <c r="B1445" s="5"/>
      <c r="C1445" s="5"/>
      <c r="D1445" s="5"/>
      <c r="E1445" s="6"/>
      <c r="F1445" s="6"/>
      <c r="G1445" s="18"/>
      <c r="I1445" s="16"/>
      <c r="J1445" s="9"/>
      <c r="K1445" s="10"/>
      <c r="L1445" s="6"/>
      <c r="M1445" s="11"/>
      <c r="N1445" s="6"/>
      <c r="O1445" s="6"/>
      <c r="P1445" s="10"/>
      <c r="Q1445" s="6"/>
      <c r="R1445" s="6"/>
      <c r="S1445" s="6"/>
      <c r="T1445" s="6"/>
      <c r="U1445" s="9"/>
      <c r="AI1445" s="6"/>
      <c r="AJ1445" s="12"/>
      <c r="AL1445" s="13"/>
    </row>
    <row r="1446">
      <c r="A1446" s="5"/>
      <c r="B1446" s="5"/>
      <c r="C1446" s="5"/>
      <c r="D1446" s="5"/>
      <c r="E1446" s="6"/>
      <c r="F1446" s="6"/>
      <c r="G1446" s="18"/>
      <c r="I1446" s="16"/>
      <c r="J1446" s="9"/>
      <c r="K1446" s="10"/>
      <c r="L1446" s="6"/>
      <c r="M1446" s="11"/>
      <c r="N1446" s="6"/>
      <c r="O1446" s="6"/>
      <c r="P1446" s="10"/>
      <c r="Q1446" s="6"/>
      <c r="R1446" s="6"/>
      <c r="S1446" s="6"/>
      <c r="T1446" s="6"/>
      <c r="U1446" s="9"/>
      <c r="AI1446" s="6"/>
      <c r="AJ1446" s="12"/>
      <c r="AL1446" s="13"/>
    </row>
    <row r="1447">
      <c r="A1447" s="5"/>
      <c r="B1447" s="5"/>
      <c r="C1447" s="5"/>
      <c r="D1447" s="5"/>
      <c r="E1447" s="6"/>
      <c r="F1447" s="6"/>
      <c r="G1447" s="18"/>
      <c r="I1447" s="16"/>
      <c r="J1447" s="9"/>
      <c r="K1447" s="10"/>
      <c r="L1447" s="6"/>
      <c r="M1447" s="11"/>
      <c r="N1447" s="6"/>
      <c r="O1447" s="6"/>
      <c r="P1447" s="10"/>
      <c r="Q1447" s="6"/>
      <c r="R1447" s="6"/>
      <c r="S1447" s="6"/>
      <c r="T1447" s="6"/>
      <c r="U1447" s="9"/>
      <c r="AI1447" s="6"/>
      <c r="AJ1447" s="12"/>
      <c r="AL1447" s="13"/>
    </row>
    <row r="1448">
      <c r="A1448" s="5"/>
      <c r="B1448" s="5"/>
      <c r="C1448" s="5"/>
      <c r="D1448" s="5"/>
      <c r="E1448" s="6"/>
      <c r="F1448" s="6"/>
      <c r="G1448" s="18"/>
      <c r="I1448" s="16"/>
      <c r="J1448" s="9"/>
      <c r="K1448" s="10"/>
      <c r="L1448" s="6"/>
      <c r="M1448" s="11"/>
      <c r="N1448" s="6"/>
      <c r="O1448" s="6"/>
      <c r="P1448" s="10"/>
      <c r="Q1448" s="6"/>
      <c r="R1448" s="6"/>
      <c r="S1448" s="6"/>
      <c r="T1448" s="6"/>
      <c r="U1448" s="9"/>
      <c r="AI1448" s="6"/>
      <c r="AJ1448" s="12"/>
      <c r="AL1448" s="13"/>
    </row>
    <row r="1449">
      <c r="A1449" s="5"/>
      <c r="B1449" s="5"/>
      <c r="C1449" s="5"/>
      <c r="D1449" s="5"/>
      <c r="E1449" s="6"/>
      <c r="F1449" s="6"/>
      <c r="G1449" s="18"/>
      <c r="I1449" s="16"/>
      <c r="J1449" s="9"/>
      <c r="K1449" s="10"/>
      <c r="L1449" s="6"/>
      <c r="M1449" s="11"/>
      <c r="N1449" s="6"/>
      <c r="O1449" s="6"/>
      <c r="P1449" s="10"/>
      <c r="Q1449" s="6"/>
      <c r="R1449" s="6"/>
      <c r="S1449" s="6"/>
      <c r="T1449" s="6"/>
      <c r="U1449" s="9"/>
      <c r="AI1449" s="6"/>
      <c r="AJ1449" s="12"/>
      <c r="AL1449" s="13"/>
    </row>
    <row r="1450">
      <c r="A1450" s="5"/>
      <c r="B1450" s="5"/>
      <c r="C1450" s="5"/>
      <c r="D1450" s="5"/>
      <c r="E1450" s="6"/>
      <c r="F1450" s="6"/>
      <c r="G1450" s="18"/>
      <c r="I1450" s="16"/>
      <c r="J1450" s="9"/>
      <c r="K1450" s="10"/>
      <c r="L1450" s="6"/>
      <c r="M1450" s="11"/>
      <c r="N1450" s="6"/>
      <c r="O1450" s="6"/>
      <c r="P1450" s="10"/>
      <c r="Q1450" s="6"/>
      <c r="R1450" s="6"/>
      <c r="S1450" s="6"/>
      <c r="T1450" s="6"/>
      <c r="U1450" s="9"/>
      <c r="AI1450" s="6"/>
      <c r="AJ1450" s="12"/>
      <c r="AL1450" s="13"/>
    </row>
    <row r="1451">
      <c r="A1451" s="5"/>
      <c r="B1451" s="5"/>
      <c r="C1451" s="5"/>
      <c r="D1451" s="5"/>
      <c r="E1451" s="6"/>
      <c r="F1451" s="6"/>
      <c r="G1451" s="18"/>
      <c r="I1451" s="16"/>
      <c r="J1451" s="9"/>
      <c r="K1451" s="10"/>
      <c r="L1451" s="6"/>
      <c r="M1451" s="11"/>
      <c r="N1451" s="6"/>
      <c r="O1451" s="6"/>
      <c r="P1451" s="10"/>
      <c r="Q1451" s="6"/>
      <c r="R1451" s="6"/>
      <c r="S1451" s="6"/>
      <c r="T1451" s="6"/>
      <c r="U1451" s="9"/>
      <c r="AI1451" s="6"/>
      <c r="AJ1451" s="12"/>
      <c r="AL1451" s="13"/>
    </row>
    <row r="1452">
      <c r="A1452" s="5"/>
      <c r="B1452" s="5"/>
      <c r="C1452" s="5"/>
      <c r="D1452" s="5"/>
      <c r="E1452" s="6"/>
      <c r="F1452" s="6"/>
      <c r="G1452" s="18"/>
      <c r="I1452" s="16"/>
      <c r="J1452" s="9"/>
      <c r="K1452" s="10"/>
      <c r="L1452" s="6"/>
      <c r="M1452" s="11"/>
      <c r="N1452" s="6"/>
      <c r="O1452" s="6"/>
      <c r="P1452" s="10"/>
      <c r="Q1452" s="6"/>
      <c r="R1452" s="6"/>
      <c r="S1452" s="6"/>
      <c r="T1452" s="6"/>
      <c r="U1452" s="9"/>
      <c r="AI1452" s="6"/>
      <c r="AJ1452" s="12"/>
      <c r="AL1452" s="13"/>
    </row>
    <row r="1453">
      <c r="A1453" s="5"/>
      <c r="B1453" s="5"/>
      <c r="C1453" s="5"/>
      <c r="D1453" s="5"/>
      <c r="E1453" s="6"/>
      <c r="F1453" s="6"/>
      <c r="G1453" s="18"/>
      <c r="I1453" s="16"/>
      <c r="J1453" s="9"/>
      <c r="K1453" s="10"/>
      <c r="L1453" s="6"/>
      <c r="M1453" s="11"/>
      <c r="N1453" s="6"/>
      <c r="O1453" s="6"/>
      <c r="P1453" s="10"/>
      <c r="Q1453" s="6"/>
      <c r="R1453" s="6"/>
      <c r="S1453" s="6"/>
      <c r="T1453" s="6"/>
      <c r="U1453" s="9"/>
      <c r="AI1453" s="6"/>
      <c r="AJ1453" s="12"/>
      <c r="AL1453" s="13"/>
    </row>
    <row r="1454">
      <c r="A1454" s="5"/>
      <c r="B1454" s="5"/>
      <c r="C1454" s="5"/>
      <c r="D1454" s="5"/>
      <c r="E1454" s="6"/>
      <c r="F1454" s="6"/>
      <c r="G1454" s="18"/>
      <c r="I1454" s="16"/>
      <c r="J1454" s="9"/>
      <c r="K1454" s="10"/>
      <c r="L1454" s="6"/>
      <c r="M1454" s="11"/>
      <c r="N1454" s="6"/>
      <c r="O1454" s="6"/>
      <c r="P1454" s="10"/>
      <c r="Q1454" s="6"/>
      <c r="R1454" s="6"/>
      <c r="S1454" s="6"/>
      <c r="T1454" s="6"/>
      <c r="U1454" s="9"/>
      <c r="AI1454" s="6"/>
      <c r="AJ1454" s="12"/>
      <c r="AL1454" s="13"/>
    </row>
    <row r="1455">
      <c r="A1455" s="5"/>
      <c r="B1455" s="5"/>
      <c r="C1455" s="5"/>
      <c r="D1455" s="5"/>
      <c r="E1455" s="6"/>
      <c r="F1455" s="6"/>
      <c r="G1455" s="18"/>
      <c r="I1455" s="16"/>
      <c r="J1455" s="9"/>
      <c r="K1455" s="10"/>
      <c r="L1455" s="6"/>
      <c r="M1455" s="11"/>
      <c r="N1455" s="6"/>
      <c r="O1455" s="6"/>
      <c r="P1455" s="10"/>
      <c r="Q1455" s="6"/>
      <c r="R1455" s="6"/>
      <c r="S1455" s="6"/>
      <c r="T1455" s="6"/>
      <c r="U1455" s="9"/>
      <c r="AI1455" s="6"/>
      <c r="AJ1455" s="12"/>
      <c r="AL1455" s="13"/>
    </row>
    <row r="1456">
      <c r="A1456" s="5"/>
      <c r="B1456" s="5"/>
      <c r="C1456" s="5"/>
      <c r="D1456" s="5"/>
      <c r="E1456" s="6"/>
      <c r="F1456" s="6"/>
      <c r="G1456" s="18"/>
      <c r="I1456" s="16"/>
      <c r="J1456" s="9"/>
      <c r="K1456" s="10"/>
      <c r="L1456" s="6"/>
      <c r="M1456" s="11"/>
      <c r="N1456" s="6"/>
      <c r="O1456" s="6"/>
      <c r="P1456" s="10"/>
      <c r="Q1456" s="6"/>
      <c r="R1456" s="6"/>
      <c r="S1456" s="6"/>
      <c r="T1456" s="6"/>
      <c r="U1456" s="9"/>
      <c r="AI1456" s="6"/>
      <c r="AJ1456" s="12"/>
      <c r="AL1456" s="13"/>
    </row>
    <row r="1457">
      <c r="A1457" s="5"/>
      <c r="B1457" s="5"/>
      <c r="C1457" s="5"/>
      <c r="D1457" s="5"/>
      <c r="E1457" s="6"/>
      <c r="F1457" s="6"/>
      <c r="G1457" s="18"/>
      <c r="I1457" s="16"/>
      <c r="J1457" s="9"/>
      <c r="K1457" s="10"/>
      <c r="L1457" s="6"/>
      <c r="M1457" s="11"/>
      <c r="N1457" s="6"/>
      <c r="O1457" s="6"/>
      <c r="P1457" s="10"/>
      <c r="Q1457" s="6"/>
      <c r="R1457" s="6"/>
      <c r="S1457" s="6"/>
      <c r="T1457" s="6"/>
      <c r="U1457" s="9"/>
      <c r="AI1457" s="6"/>
      <c r="AJ1457" s="12"/>
      <c r="AL1457" s="13"/>
    </row>
    <row r="1458">
      <c r="A1458" s="5"/>
      <c r="B1458" s="5"/>
      <c r="C1458" s="5"/>
      <c r="D1458" s="5"/>
      <c r="E1458" s="6"/>
      <c r="F1458" s="6"/>
      <c r="G1458" s="18"/>
      <c r="I1458" s="16"/>
      <c r="J1458" s="9"/>
      <c r="K1458" s="10"/>
      <c r="L1458" s="6"/>
      <c r="M1458" s="11"/>
      <c r="N1458" s="6"/>
      <c r="O1458" s="6"/>
      <c r="P1458" s="10"/>
      <c r="Q1458" s="6"/>
      <c r="R1458" s="6"/>
      <c r="S1458" s="6"/>
      <c r="T1458" s="6"/>
      <c r="U1458" s="9"/>
      <c r="AI1458" s="6"/>
      <c r="AJ1458" s="12"/>
      <c r="AL1458" s="13"/>
    </row>
    <row r="1459">
      <c r="A1459" s="5"/>
      <c r="B1459" s="5"/>
      <c r="C1459" s="5"/>
      <c r="D1459" s="5"/>
      <c r="E1459" s="6"/>
      <c r="F1459" s="6"/>
      <c r="G1459" s="18"/>
      <c r="I1459" s="16"/>
      <c r="J1459" s="9"/>
      <c r="K1459" s="10"/>
      <c r="L1459" s="6"/>
      <c r="M1459" s="11"/>
      <c r="N1459" s="6"/>
      <c r="O1459" s="6"/>
      <c r="P1459" s="10"/>
      <c r="Q1459" s="6"/>
      <c r="R1459" s="6"/>
      <c r="S1459" s="6"/>
      <c r="T1459" s="6"/>
      <c r="U1459" s="9"/>
      <c r="AI1459" s="6"/>
      <c r="AJ1459" s="12"/>
      <c r="AL1459" s="13"/>
    </row>
    <row r="1460">
      <c r="A1460" s="5"/>
      <c r="B1460" s="5"/>
      <c r="C1460" s="5"/>
      <c r="D1460" s="5"/>
      <c r="E1460" s="6"/>
      <c r="F1460" s="6"/>
      <c r="G1460" s="18"/>
      <c r="I1460" s="16"/>
      <c r="J1460" s="9"/>
      <c r="K1460" s="10"/>
      <c r="L1460" s="6"/>
      <c r="M1460" s="11"/>
      <c r="N1460" s="6"/>
      <c r="O1460" s="6"/>
      <c r="P1460" s="10"/>
      <c r="Q1460" s="6"/>
      <c r="R1460" s="6"/>
      <c r="S1460" s="6"/>
      <c r="T1460" s="6"/>
      <c r="U1460" s="9"/>
      <c r="AI1460" s="6"/>
      <c r="AJ1460" s="12"/>
      <c r="AL1460" s="13"/>
    </row>
    <row r="1461">
      <c r="A1461" s="5"/>
      <c r="B1461" s="5"/>
      <c r="C1461" s="5"/>
      <c r="D1461" s="5"/>
      <c r="E1461" s="6"/>
      <c r="F1461" s="6"/>
      <c r="G1461" s="18"/>
      <c r="I1461" s="16"/>
      <c r="J1461" s="9"/>
      <c r="K1461" s="10"/>
      <c r="L1461" s="6"/>
      <c r="M1461" s="11"/>
      <c r="N1461" s="6"/>
      <c r="O1461" s="6"/>
      <c r="P1461" s="10"/>
      <c r="Q1461" s="6"/>
      <c r="R1461" s="6"/>
      <c r="S1461" s="6"/>
      <c r="T1461" s="6"/>
      <c r="U1461" s="9"/>
      <c r="AI1461" s="6"/>
      <c r="AJ1461" s="12"/>
      <c r="AL1461" s="13"/>
    </row>
    <row r="1462">
      <c r="A1462" s="5"/>
      <c r="B1462" s="5"/>
      <c r="C1462" s="5"/>
      <c r="D1462" s="5"/>
      <c r="E1462" s="6"/>
      <c r="F1462" s="6"/>
      <c r="G1462" s="18"/>
      <c r="I1462" s="16"/>
      <c r="J1462" s="9"/>
      <c r="K1462" s="10"/>
      <c r="L1462" s="6"/>
      <c r="M1462" s="11"/>
      <c r="N1462" s="6"/>
      <c r="O1462" s="6"/>
      <c r="P1462" s="10"/>
      <c r="Q1462" s="6"/>
      <c r="R1462" s="6"/>
      <c r="S1462" s="6"/>
      <c r="T1462" s="6"/>
      <c r="U1462" s="9"/>
      <c r="AI1462" s="6"/>
      <c r="AJ1462" s="12"/>
      <c r="AL1462" s="13"/>
    </row>
    <row r="1463">
      <c r="A1463" s="5"/>
      <c r="B1463" s="5"/>
      <c r="C1463" s="5"/>
      <c r="D1463" s="5"/>
      <c r="E1463" s="6"/>
      <c r="F1463" s="6"/>
      <c r="G1463" s="18"/>
      <c r="I1463" s="16"/>
      <c r="J1463" s="9"/>
      <c r="K1463" s="10"/>
      <c r="L1463" s="6"/>
      <c r="M1463" s="11"/>
      <c r="N1463" s="6"/>
      <c r="O1463" s="6"/>
      <c r="P1463" s="10"/>
      <c r="Q1463" s="6"/>
      <c r="R1463" s="6"/>
      <c r="S1463" s="6"/>
      <c r="T1463" s="6"/>
      <c r="U1463" s="9"/>
      <c r="AI1463" s="6"/>
      <c r="AJ1463" s="12"/>
      <c r="AL1463" s="13"/>
    </row>
    <row r="1464">
      <c r="A1464" s="5"/>
      <c r="B1464" s="5"/>
      <c r="C1464" s="5"/>
      <c r="D1464" s="5"/>
      <c r="E1464" s="6"/>
      <c r="F1464" s="6"/>
      <c r="G1464" s="18"/>
      <c r="I1464" s="16"/>
      <c r="J1464" s="9"/>
      <c r="K1464" s="10"/>
      <c r="L1464" s="6"/>
      <c r="M1464" s="11"/>
      <c r="N1464" s="6"/>
      <c r="O1464" s="6"/>
      <c r="P1464" s="10"/>
      <c r="Q1464" s="6"/>
      <c r="R1464" s="6"/>
      <c r="S1464" s="6"/>
      <c r="T1464" s="6"/>
      <c r="U1464" s="9"/>
      <c r="AI1464" s="6"/>
      <c r="AJ1464" s="12"/>
      <c r="AL1464" s="13"/>
    </row>
    <row r="1465">
      <c r="A1465" s="5"/>
      <c r="B1465" s="5"/>
      <c r="C1465" s="5"/>
      <c r="D1465" s="5"/>
      <c r="E1465" s="6"/>
      <c r="F1465" s="6"/>
      <c r="G1465" s="18"/>
      <c r="I1465" s="16"/>
      <c r="J1465" s="9"/>
      <c r="K1465" s="10"/>
      <c r="L1465" s="6"/>
      <c r="M1465" s="11"/>
      <c r="N1465" s="6"/>
      <c r="O1465" s="6"/>
      <c r="P1465" s="10"/>
      <c r="Q1465" s="6"/>
      <c r="R1465" s="6"/>
      <c r="S1465" s="6"/>
      <c r="T1465" s="6"/>
      <c r="U1465" s="9"/>
      <c r="AI1465" s="6"/>
      <c r="AJ1465" s="12"/>
      <c r="AL1465" s="13"/>
    </row>
    <row r="1466">
      <c r="A1466" s="5"/>
      <c r="B1466" s="5"/>
      <c r="C1466" s="5"/>
      <c r="D1466" s="5"/>
      <c r="E1466" s="6"/>
      <c r="F1466" s="6"/>
      <c r="G1466" s="18"/>
      <c r="I1466" s="16"/>
      <c r="J1466" s="9"/>
      <c r="K1466" s="10"/>
      <c r="L1466" s="6"/>
      <c r="M1466" s="11"/>
      <c r="N1466" s="6"/>
      <c r="O1466" s="6"/>
      <c r="P1466" s="10"/>
      <c r="Q1466" s="6"/>
      <c r="R1466" s="6"/>
      <c r="S1466" s="6"/>
      <c r="T1466" s="6"/>
      <c r="U1466" s="9"/>
      <c r="AI1466" s="6"/>
      <c r="AJ1466" s="12"/>
      <c r="AL1466" s="13"/>
    </row>
    <row r="1467">
      <c r="A1467" s="5"/>
      <c r="B1467" s="5"/>
      <c r="C1467" s="5"/>
      <c r="D1467" s="5"/>
      <c r="E1467" s="6"/>
      <c r="F1467" s="6"/>
      <c r="G1467" s="18"/>
      <c r="I1467" s="16"/>
      <c r="J1467" s="9"/>
      <c r="K1467" s="10"/>
      <c r="L1467" s="6"/>
      <c r="M1467" s="11"/>
      <c r="N1467" s="6"/>
      <c r="O1467" s="6"/>
      <c r="P1467" s="10"/>
      <c r="Q1467" s="6"/>
      <c r="R1467" s="6"/>
      <c r="S1467" s="6"/>
      <c r="T1467" s="6"/>
      <c r="U1467" s="9"/>
      <c r="AI1467" s="6"/>
      <c r="AJ1467" s="12"/>
      <c r="AL1467" s="13"/>
    </row>
    <row r="1468">
      <c r="A1468" s="5"/>
      <c r="B1468" s="5"/>
      <c r="C1468" s="5"/>
      <c r="D1468" s="5"/>
      <c r="E1468" s="6"/>
      <c r="F1468" s="6"/>
      <c r="G1468" s="18"/>
      <c r="I1468" s="16"/>
      <c r="J1468" s="9"/>
      <c r="K1468" s="10"/>
      <c r="L1468" s="6"/>
      <c r="M1468" s="11"/>
      <c r="N1468" s="6"/>
      <c r="O1468" s="6"/>
      <c r="P1468" s="10"/>
      <c r="Q1468" s="6"/>
      <c r="R1468" s="6"/>
      <c r="S1468" s="6"/>
      <c r="T1468" s="6"/>
      <c r="U1468" s="9"/>
      <c r="AI1468" s="6"/>
      <c r="AJ1468" s="12"/>
      <c r="AL1468" s="13"/>
    </row>
    <row r="1469">
      <c r="A1469" s="5"/>
      <c r="B1469" s="5"/>
      <c r="C1469" s="5"/>
      <c r="D1469" s="5"/>
      <c r="E1469" s="6"/>
      <c r="F1469" s="6"/>
      <c r="G1469" s="18"/>
      <c r="I1469" s="16"/>
      <c r="J1469" s="9"/>
      <c r="K1469" s="10"/>
      <c r="L1469" s="6"/>
      <c r="M1469" s="11"/>
      <c r="N1469" s="6"/>
      <c r="O1469" s="6"/>
      <c r="P1469" s="10"/>
      <c r="Q1469" s="6"/>
      <c r="R1469" s="6"/>
      <c r="S1469" s="6"/>
      <c r="T1469" s="6"/>
      <c r="U1469" s="9"/>
      <c r="AI1469" s="6"/>
      <c r="AJ1469" s="12"/>
      <c r="AL1469" s="13"/>
    </row>
    <row r="1470">
      <c r="A1470" s="5"/>
      <c r="B1470" s="5"/>
      <c r="C1470" s="5"/>
      <c r="D1470" s="5"/>
      <c r="E1470" s="6"/>
      <c r="F1470" s="6"/>
      <c r="G1470" s="18"/>
      <c r="I1470" s="16"/>
      <c r="J1470" s="9"/>
      <c r="K1470" s="10"/>
      <c r="L1470" s="6"/>
      <c r="M1470" s="11"/>
      <c r="N1470" s="6"/>
      <c r="O1470" s="6"/>
      <c r="P1470" s="10"/>
      <c r="Q1470" s="6"/>
      <c r="R1470" s="6"/>
      <c r="S1470" s="6"/>
      <c r="T1470" s="6"/>
      <c r="U1470" s="9"/>
      <c r="AI1470" s="6"/>
      <c r="AJ1470" s="12"/>
      <c r="AL1470" s="13"/>
    </row>
    <row r="1471">
      <c r="A1471" s="5"/>
      <c r="B1471" s="5"/>
      <c r="C1471" s="5"/>
      <c r="D1471" s="5"/>
      <c r="E1471" s="6"/>
      <c r="F1471" s="6"/>
      <c r="G1471" s="18"/>
      <c r="I1471" s="16"/>
      <c r="J1471" s="9"/>
      <c r="K1471" s="10"/>
      <c r="L1471" s="6"/>
      <c r="M1471" s="11"/>
      <c r="N1471" s="6"/>
      <c r="O1471" s="6"/>
      <c r="P1471" s="10"/>
      <c r="Q1471" s="6"/>
      <c r="R1471" s="6"/>
      <c r="S1471" s="6"/>
      <c r="T1471" s="6"/>
      <c r="U1471" s="9"/>
      <c r="AI1471" s="6"/>
      <c r="AJ1471" s="12"/>
      <c r="AL1471" s="13"/>
    </row>
    <row r="1472">
      <c r="A1472" s="5"/>
      <c r="B1472" s="5"/>
      <c r="C1472" s="5"/>
      <c r="D1472" s="5"/>
      <c r="E1472" s="6"/>
      <c r="F1472" s="6"/>
      <c r="G1472" s="18"/>
      <c r="I1472" s="16"/>
      <c r="J1472" s="9"/>
      <c r="K1472" s="10"/>
      <c r="L1472" s="6"/>
      <c r="M1472" s="11"/>
      <c r="N1472" s="6"/>
      <c r="O1472" s="6"/>
      <c r="P1472" s="10"/>
      <c r="Q1472" s="6"/>
      <c r="R1472" s="6"/>
      <c r="S1472" s="6"/>
      <c r="T1472" s="6"/>
      <c r="U1472" s="9"/>
      <c r="AI1472" s="6"/>
      <c r="AJ1472" s="12"/>
      <c r="AL1472" s="13"/>
    </row>
    <row r="1473">
      <c r="A1473" s="5"/>
      <c r="B1473" s="5"/>
      <c r="C1473" s="5"/>
      <c r="D1473" s="5"/>
      <c r="E1473" s="6"/>
      <c r="F1473" s="6"/>
      <c r="G1473" s="18"/>
      <c r="I1473" s="16"/>
      <c r="J1473" s="9"/>
      <c r="K1473" s="10"/>
      <c r="L1473" s="6"/>
      <c r="M1473" s="11"/>
      <c r="N1473" s="6"/>
      <c r="O1473" s="6"/>
      <c r="P1473" s="10"/>
      <c r="Q1473" s="6"/>
      <c r="R1473" s="6"/>
      <c r="S1473" s="6"/>
      <c r="T1473" s="6"/>
      <c r="U1473" s="9"/>
      <c r="AI1473" s="6"/>
      <c r="AJ1473" s="12"/>
      <c r="AL1473" s="13"/>
    </row>
    <row r="1474">
      <c r="A1474" s="5"/>
      <c r="B1474" s="5"/>
      <c r="C1474" s="5"/>
      <c r="D1474" s="5"/>
      <c r="E1474" s="6"/>
      <c r="F1474" s="6"/>
      <c r="G1474" s="18"/>
      <c r="I1474" s="16"/>
      <c r="J1474" s="9"/>
      <c r="K1474" s="10"/>
      <c r="L1474" s="6"/>
      <c r="M1474" s="11"/>
      <c r="N1474" s="6"/>
      <c r="O1474" s="6"/>
      <c r="P1474" s="10"/>
      <c r="Q1474" s="6"/>
      <c r="R1474" s="6"/>
      <c r="S1474" s="6"/>
      <c r="T1474" s="6"/>
      <c r="U1474" s="9"/>
      <c r="AI1474" s="6"/>
      <c r="AJ1474" s="12"/>
      <c r="AL1474" s="13"/>
    </row>
    <row r="1475">
      <c r="A1475" s="5"/>
      <c r="B1475" s="5"/>
      <c r="C1475" s="5"/>
      <c r="D1475" s="5"/>
      <c r="E1475" s="6"/>
      <c r="F1475" s="6"/>
      <c r="G1475" s="18"/>
      <c r="I1475" s="16"/>
      <c r="J1475" s="9"/>
      <c r="K1475" s="10"/>
      <c r="L1475" s="6"/>
      <c r="M1475" s="11"/>
      <c r="N1475" s="6"/>
      <c r="O1475" s="6"/>
      <c r="P1475" s="10"/>
      <c r="Q1475" s="6"/>
      <c r="R1475" s="6"/>
      <c r="S1475" s="6"/>
      <c r="T1475" s="6"/>
      <c r="U1475" s="9"/>
      <c r="AI1475" s="6"/>
      <c r="AJ1475" s="12"/>
      <c r="AL1475" s="13"/>
    </row>
    <row r="1476">
      <c r="A1476" s="5"/>
      <c r="B1476" s="5"/>
      <c r="C1476" s="5"/>
      <c r="D1476" s="5"/>
      <c r="E1476" s="6"/>
      <c r="F1476" s="6"/>
      <c r="G1476" s="18"/>
      <c r="I1476" s="16"/>
      <c r="J1476" s="9"/>
      <c r="K1476" s="10"/>
      <c r="L1476" s="6"/>
      <c r="M1476" s="11"/>
      <c r="N1476" s="6"/>
      <c r="O1476" s="6"/>
      <c r="P1476" s="10"/>
      <c r="Q1476" s="6"/>
      <c r="R1476" s="6"/>
      <c r="S1476" s="6"/>
      <c r="T1476" s="6"/>
      <c r="U1476" s="9"/>
      <c r="AI1476" s="6"/>
      <c r="AJ1476" s="12"/>
      <c r="AL1476" s="13"/>
    </row>
    <row r="1477">
      <c r="A1477" s="5"/>
      <c r="B1477" s="5"/>
      <c r="C1477" s="5"/>
      <c r="D1477" s="5"/>
      <c r="E1477" s="6"/>
      <c r="F1477" s="6"/>
      <c r="G1477" s="18"/>
      <c r="I1477" s="16"/>
      <c r="J1477" s="9"/>
      <c r="K1477" s="10"/>
      <c r="L1477" s="6"/>
      <c r="M1477" s="11"/>
      <c r="N1477" s="6"/>
      <c r="O1477" s="6"/>
      <c r="P1477" s="10"/>
      <c r="Q1477" s="6"/>
      <c r="R1477" s="6"/>
      <c r="S1477" s="6"/>
      <c r="T1477" s="6"/>
      <c r="U1477" s="9"/>
      <c r="AI1477" s="6"/>
      <c r="AJ1477" s="12"/>
      <c r="AL1477" s="13"/>
    </row>
    <row r="1478">
      <c r="A1478" s="5"/>
      <c r="B1478" s="5"/>
      <c r="C1478" s="5"/>
      <c r="D1478" s="5"/>
      <c r="E1478" s="6"/>
      <c r="F1478" s="6"/>
      <c r="G1478" s="18"/>
      <c r="I1478" s="16"/>
      <c r="J1478" s="9"/>
      <c r="K1478" s="10"/>
      <c r="L1478" s="6"/>
      <c r="M1478" s="11"/>
      <c r="N1478" s="6"/>
      <c r="O1478" s="6"/>
      <c r="P1478" s="10"/>
      <c r="Q1478" s="6"/>
      <c r="R1478" s="6"/>
      <c r="S1478" s="6"/>
      <c r="T1478" s="6"/>
      <c r="U1478" s="9"/>
      <c r="AI1478" s="6"/>
      <c r="AJ1478" s="12"/>
      <c r="AL1478" s="13"/>
    </row>
    <row r="1479">
      <c r="A1479" s="5"/>
      <c r="B1479" s="5"/>
      <c r="C1479" s="5"/>
      <c r="D1479" s="5"/>
      <c r="E1479" s="6"/>
      <c r="F1479" s="6"/>
      <c r="G1479" s="18"/>
      <c r="I1479" s="16"/>
      <c r="J1479" s="9"/>
      <c r="K1479" s="10"/>
      <c r="L1479" s="6"/>
      <c r="M1479" s="11"/>
      <c r="N1479" s="6"/>
      <c r="O1479" s="6"/>
      <c r="P1479" s="10"/>
      <c r="Q1479" s="6"/>
      <c r="R1479" s="6"/>
      <c r="S1479" s="6"/>
      <c r="T1479" s="6"/>
      <c r="U1479" s="9"/>
      <c r="AI1479" s="6"/>
      <c r="AJ1479" s="12"/>
      <c r="AL1479" s="13"/>
    </row>
    <row r="1480">
      <c r="A1480" s="5"/>
      <c r="B1480" s="5"/>
      <c r="C1480" s="5"/>
      <c r="D1480" s="5"/>
      <c r="E1480" s="6"/>
      <c r="F1480" s="6"/>
      <c r="G1480" s="18"/>
      <c r="I1480" s="16"/>
      <c r="J1480" s="9"/>
      <c r="K1480" s="10"/>
      <c r="L1480" s="6"/>
      <c r="M1480" s="11"/>
      <c r="N1480" s="6"/>
      <c r="O1480" s="6"/>
      <c r="P1480" s="10"/>
      <c r="Q1480" s="6"/>
      <c r="R1480" s="6"/>
      <c r="S1480" s="6"/>
      <c r="T1480" s="6"/>
      <c r="U1480" s="9"/>
      <c r="AI1480" s="6"/>
      <c r="AJ1480" s="12"/>
      <c r="AL1480" s="13"/>
    </row>
    <row r="1481">
      <c r="A1481" s="5"/>
      <c r="B1481" s="5"/>
      <c r="C1481" s="5"/>
      <c r="D1481" s="5"/>
      <c r="E1481" s="6"/>
      <c r="F1481" s="6"/>
      <c r="G1481" s="18"/>
      <c r="I1481" s="16"/>
      <c r="J1481" s="9"/>
      <c r="K1481" s="10"/>
      <c r="L1481" s="6"/>
      <c r="M1481" s="11"/>
      <c r="N1481" s="6"/>
      <c r="O1481" s="6"/>
      <c r="P1481" s="10"/>
      <c r="Q1481" s="6"/>
      <c r="R1481" s="6"/>
      <c r="S1481" s="6"/>
      <c r="T1481" s="6"/>
      <c r="U1481" s="9"/>
      <c r="AI1481" s="6"/>
      <c r="AJ1481" s="12"/>
      <c r="AL1481" s="13"/>
    </row>
    <row r="1482">
      <c r="A1482" s="5"/>
      <c r="B1482" s="5"/>
      <c r="C1482" s="5"/>
      <c r="D1482" s="5"/>
      <c r="E1482" s="6"/>
      <c r="F1482" s="6"/>
      <c r="G1482" s="18"/>
      <c r="I1482" s="16"/>
      <c r="J1482" s="9"/>
      <c r="K1482" s="10"/>
      <c r="L1482" s="6"/>
      <c r="M1482" s="11"/>
      <c r="N1482" s="6"/>
      <c r="O1482" s="6"/>
      <c r="P1482" s="10"/>
      <c r="Q1482" s="6"/>
      <c r="R1482" s="6"/>
      <c r="S1482" s="6"/>
      <c r="T1482" s="6"/>
      <c r="U1482" s="9"/>
      <c r="AI1482" s="6"/>
      <c r="AJ1482" s="12"/>
      <c r="AL1482" s="13"/>
    </row>
    <row r="1483">
      <c r="A1483" s="5"/>
      <c r="B1483" s="5"/>
      <c r="C1483" s="5"/>
      <c r="D1483" s="5"/>
      <c r="E1483" s="6"/>
      <c r="F1483" s="6"/>
      <c r="G1483" s="18"/>
      <c r="I1483" s="16"/>
      <c r="J1483" s="9"/>
      <c r="K1483" s="10"/>
      <c r="L1483" s="6"/>
      <c r="M1483" s="11"/>
      <c r="N1483" s="6"/>
      <c r="O1483" s="6"/>
      <c r="P1483" s="10"/>
      <c r="Q1483" s="6"/>
      <c r="R1483" s="6"/>
      <c r="S1483" s="6"/>
      <c r="T1483" s="6"/>
      <c r="U1483" s="9"/>
      <c r="AI1483" s="6"/>
      <c r="AJ1483" s="12"/>
      <c r="AL1483" s="13"/>
    </row>
    <row r="1484">
      <c r="A1484" s="5"/>
      <c r="B1484" s="5"/>
      <c r="C1484" s="5"/>
      <c r="D1484" s="17"/>
      <c r="E1484" s="6"/>
      <c r="F1484" s="6"/>
      <c r="G1484" s="18"/>
      <c r="I1484" s="16"/>
      <c r="J1484" s="9"/>
      <c r="K1484" s="10"/>
      <c r="L1484" s="6"/>
      <c r="M1484" s="11"/>
      <c r="N1484" s="6"/>
      <c r="O1484" s="6"/>
      <c r="P1484" s="10"/>
      <c r="Q1484" s="6"/>
      <c r="R1484" s="6"/>
      <c r="S1484" s="6"/>
      <c r="T1484" s="6"/>
      <c r="U1484" s="9"/>
      <c r="AI1484" s="6"/>
      <c r="AJ1484" s="12"/>
      <c r="AL1484" s="13"/>
    </row>
    <row r="1485">
      <c r="A1485" s="5"/>
      <c r="B1485" s="5"/>
      <c r="C1485" s="5"/>
      <c r="D1485" s="5"/>
      <c r="E1485" s="6"/>
      <c r="F1485" s="6"/>
      <c r="G1485" s="18"/>
      <c r="I1485" s="16"/>
      <c r="J1485" s="9"/>
      <c r="K1485" s="10"/>
      <c r="L1485" s="6"/>
      <c r="M1485" s="11"/>
      <c r="N1485" s="6"/>
      <c r="O1485" s="6"/>
      <c r="P1485" s="10"/>
      <c r="Q1485" s="6"/>
      <c r="R1485" s="6"/>
      <c r="S1485" s="6"/>
      <c r="T1485" s="6"/>
      <c r="U1485" s="9"/>
      <c r="AI1485" s="6"/>
      <c r="AJ1485" s="12"/>
      <c r="AL1485" s="13"/>
    </row>
    <row r="1486">
      <c r="A1486" s="5"/>
      <c r="B1486" s="5"/>
      <c r="C1486" s="5"/>
      <c r="D1486" s="5"/>
      <c r="E1486" s="6"/>
      <c r="F1486" s="6"/>
      <c r="G1486" s="18"/>
      <c r="I1486" s="16"/>
      <c r="J1486" s="9"/>
      <c r="K1486" s="10"/>
      <c r="L1486" s="6"/>
      <c r="M1486" s="11"/>
      <c r="N1486" s="6"/>
      <c r="O1486" s="6"/>
      <c r="P1486" s="10"/>
      <c r="Q1486" s="6"/>
      <c r="R1486" s="6"/>
      <c r="S1486" s="6"/>
      <c r="T1486" s="6"/>
      <c r="U1486" s="9"/>
      <c r="AI1486" s="6"/>
      <c r="AJ1486" s="12"/>
      <c r="AL1486" s="13"/>
    </row>
    <row r="1487">
      <c r="A1487" s="5"/>
      <c r="B1487" s="5"/>
      <c r="C1487" s="5"/>
      <c r="D1487" s="5"/>
      <c r="E1487" s="6"/>
      <c r="F1487" s="6"/>
      <c r="G1487" s="18"/>
      <c r="I1487" s="16"/>
      <c r="J1487" s="9"/>
      <c r="K1487" s="10"/>
      <c r="L1487" s="6"/>
      <c r="M1487" s="11"/>
      <c r="N1487" s="6"/>
      <c r="O1487" s="6"/>
      <c r="P1487" s="10"/>
      <c r="Q1487" s="6"/>
      <c r="R1487" s="6"/>
      <c r="S1487" s="6"/>
      <c r="T1487" s="6"/>
      <c r="U1487" s="9"/>
      <c r="AI1487" s="6"/>
      <c r="AJ1487" s="12"/>
      <c r="AL1487" s="13"/>
    </row>
    <row r="1488">
      <c r="A1488" s="5"/>
      <c r="B1488" s="5"/>
      <c r="C1488" s="5"/>
      <c r="D1488" s="5"/>
      <c r="E1488" s="6"/>
      <c r="F1488" s="6"/>
      <c r="G1488" s="18"/>
      <c r="I1488" s="16"/>
      <c r="J1488" s="9"/>
      <c r="K1488" s="10"/>
      <c r="L1488" s="6"/>
      <c r="M1488" s="11"/>
      <c r="N1488" s="6"/>
      <c r="O1488" s="6"/>
      <c r="P1488" s="10"/>
      <c r="Q1488" s="6"/>
      <c r="R1488" s="6"/>
      <c r="S1488" s="6"/>
      <c r="T1488" s="6"/>
      <c r="U1488" s="9"/>
      <c r="AI1488" s="6"/>
      <c r="AJ1488" s="12"/>
      <c r="AL1488" s="13"/>
    </row>
    <row r="1489">
      <c r="A1489" s="5"/>
      <c r="B1489" s="5"/>
      <c r="C1489" s="5"/>
      <c r="D1489" s="5"/>
      <c r="E1489" s="6"/>
      <c r="F1489" s="6"/>
      <c r="G1489" s="18"/>
      <c r="I1489" s="16"/>
      <c r="J1489" s="9"/>
      <c r="K1489" s="10"/>
      <c r="L1489" s="6"/>
      <c r="M1489" s="11"/>
      <c r="N1489" s="6"/>
      <c r="O1489" s="6"/>
      <c r="P1489" s="10"/>
      <c r="Q1489" s="6"/>
      <c r="R1489" s="6"/>
      <c r="S1489" s="6"/>
      <c r="T1489" s="6"/>
      <c r="U1489" s="9"/>
      <c r="AI1489" s="6"/>
      <c r="AJ1489" s="12"/>
      <c r="AL1489" s="13"/>
    </row>
    <row r="1490">
      <c r="A1490" s="5"/>
      <c r="B1490" s="5"/>
      <c r="C1490" s="5"/>
      <c r="D1490" s="17"/>
      <c r="E1490" s="6"/>
      <c r="F1490" s="6"/>
      <c r="G1490" s="18"/>
      <c r="I1490" s="16"/>
      <c r="J1490" s="9"/>
      <c r="K1490" s="10"/>
      <c r="L1490" s="6"/>
      <c r="M1490" s="11"/>
      <c r="N1490" s="6"/>
      <c r="O1490" s="6"/>
      <c r="P1490" s="10"/>
      <c r="Q1490" s="6"/>
      <c r="R1490" s="6"/>
      <c r="S1490" s="6"/>
      <c r="T1490" s="6"/>
      <c r="U1490" s="9"/>
      <c r="AI1490" s="6"/>
      <c r="AJ1490" s="12"/>
      <c r="AL1490" s="13"/>
    </row>
    <row r="1491">
      <c r="A1491" s="5"/>
      <c r="B1491" s="5"/>
      <c r="C1491" s="5"/>
      <c r="D1491" s="17"/>
      <c r="E1491" s="6"/>
      <c r="F1491" s="6"/>
      <c r="G1491" s="18"/>
      <c r="I1491" s="16"/>
      <c r="J1491" s="9"/>
      <c r="K1491" s="10"/>
      <c r="L1491" s="6"/>
      <c r="M1491" s="11"/>
      <c r="N1491" s="6"/>
      <c r="O1491" s="6"/>
      <c r="P1491" s="10"/>
      <c r="Q1491" s="6"/>
      <c r="R1491" s="6"/>
      <c r="S1491" s="6"/>
      <c r="T1491" s="6"/>
      <c r="U1491" s="9"/>
      <c r="AI1491" s="6"/>
      <c r="AJ1491" s="12"/>
      <c r="AL1491" s="13"/>
    </row>
    <row r="1492">
      <c r="A1492" s="5"/>
      <c r="B1492" s="5"/>
      <c r="C1492" s="5"/>
      <c r="D1492" s="5"/>
      <c r="E1492" s="6"/>
      <c r="F1492" s="6"/>
      <c r="G1492" s="18"/>
      <c r="I1492" s="16"/>
      <c r="J1492" s="9"/>
      <c r="K1492" s="10"/>
      <c r="L1492" s="6"/>
      <c r="M1492" s="11"/>
      <c r="N1492" s="6"/>
      <c r="O1492" s="6"/>
      <c r="P1492" s="10"/>
      <c r="Q1492" s="6"/>
      <c r="R1492" s="6"/>
      <c r="S1492" s="6"/>
      <c r="T1492" s="6"/>
      <c r="U1492" s="9"/>
      <c r="AI1492" s="6"/>
      <c r="AJ1492" s="12"/>
      <c r="AL1492" s="13"/>
    </row>
    <row r="1493">
      <c r="A1493" s="5"/>
      <c r="B1493" s="5"/>
      <c r="C1493" s="5"/>
      <c r="D1493" s="5"/>
      <c r="E1493" s="6"/>
      <c r="F1493" s="6"/>
      <c r="G1493" s="18"/>
      <c r="I1493" s="16"/>
      <c r="J1493" s="9"/>
      <c r="K1493" s="10"/>
      <c r="L1493" s="6"/>
      <c r="M1493" s="11"/>
      <c r="N1493" s="6"/>
      <c r="O1493" s="6"/>
      <c r="P1493" s="10"/>
      <c r="Q1493" s="6"/>
      <c r="R1493" s="6"/>
      <c r="S1493" s="6"/>
      <c r="T1493" s="6"/>
      <c r="U1493" s="9"/>
      <c r="AI1493" s="6"/>
      <c r="AJ1493" s="12"/>
      <c r="AL1493" s="13"/>
    </row>
    <row r="1494">
      <c r="A1494" s="5"/>
      <c r="B1494" s="5"/>
      <c r="C1494" s="5"/>
      <c r="D1494" s="5"/>
      <c r="E1494" s="6"/>
      <c r="F1494" s="6"/>
      <c r="G1494" s="18"/>
      <c r="I1494" s="16"/>
      <c r="J1494" s="9"/>
      <c r="K1494" s="10"/>
      <c r="L1494" s="6"/>
      <c r="M1494" s="11"/>
      <c r="N1494" s="6"/>
      <c r="O1494" s="6"/>
      <c r="P1494" s="10"/>
      <c r="Q1494" s="6"/>
      <c r="R1494" s="6"/>
      <c r="S1494" s="6"/>
      <c r="T1494" s="6"/>
      <c r="U1494" s="9"/>
      <c r="AI1494" s="6"/>
      <c r="AJ1494" s="12"/>
      <c r="AL1494" s="13"/>
    </row>
    <row r="1495">
      <c r="A1495" s="5"/>
      <c r="B1495" s="5"/>
      <c r="C1495" s="5"/>
      <c r="D1495" s="5"/>
      <c r="E1495" s="6"/>
      <c r="F1495" s="6"/>
      <c r="G1495" s="18"/>
      <c r="I1495" s="16"/>
      <c r="J1495" s="9"/>
      <c r="K1495" s="10"/>
      <c r="L1495" s="6"/>
      <c r="M1495" s="11"/>
      <c r="N1495" s="6"/>
      <c r="O1495" s="6"/>
      <c r="P1495" s="10"/>
      <c r="Q1495" s="6"/>
      <c r="R1495" s="6"/>
      <c r="S1495" s="6"/>
      <c r="T1495" s="6"/>
      <c r="U1495" s="9"/>
      <c r="AI1495" s="6"/>
      <c r="AJ1495" s="12"/>
      <c r="AL1495" s="13"/>
    </row>
    <row r="1496">
      <c r="A1496" s="5"/>
      <c r="B1496" s="5"/>
      <c r="C1496" s="5"/>
      <c r="D1496" s="5"/>
      <c r="E1496" s="6"/>
      <c r="F1496" s="6"/>
      <c r="G1496" s="18"/>
      <c r="I1496" s="16"/>
      <c r="J1496" s="9"/>
      <c r="K1496" s="10"/>
      <c r="L1496" s="6"/>
      <c r="M1496" s="11"/>
      <c r="N1496" s="6"/>
      <c r="O1496" s="6"/>
      <c r="P1496" s="10"/>
      <c r="Q1496" s="6"/>
      <c r="R1496" s="6"/>
      <c r="S1496" s="6"/>
      <c r="T1496" s="6"/>
      <c r="U1496" s="9"/>
      <c r="AI1496" s="6"/>
      <c r="AJ1496" s="12"/>
      <c r="AL1496" s="13"/>
    </row>
    <row r="1497">
      <c r="A1497" s="5"/>
      <c r="B1497" s="5"/>
      <c r="C1497" s="5"/>
      <c r="D1497" s="5"/>
      <c r="E1497" s="6"/>
      <c r="F1497" s="6"/>
      <c r="G1497" s="18"/>
      <c r="I1497" s="16"/>
      <c r="J1497" s="9"/>
      <c r="K1497" s="10"/>
      <c r="L1497" s="6"/>
      <c r="M1497" s="11"/>
      <c r="N1497" s="6"/>
      <c r="O1497" s="6"/>
      <c r="P1497" s="10"/>
      <c r="Q1497" s="6"/>
      <c r="R1497" s="6"/>
      <c r="S1497" s="6"/>
      <c r="T1497" s="6"/>
      <c r="U1497" s="9"/>
      <c r="AI1497" s="6"/>
      <c r="AJ1497" s="12"/>
      <c r="AL1497" s="13"/>
    </row>
    <row r="1498">
      <c r="A1498" s="5"/>
      <c r="B1498" s="5"/>
      <c r="C1498" s="5"/>
      <c r="D1498" s="5"/>
      <c r="E1498" s="6"/>
      <c r="F1498" s="6"/>
      <c r="G1498" s="18"/>
      <c r="I1498" s="16"/>
      <c r="J1498" s="9"/>
      <c r="K1498" s="10"/>
      <c r="L1498" s="6"/>
      <c r="M1498" s="11"/>
      <c r="N1498" s="6"/>
      <c r="O1498" s="6"/>
      <c r="P1498" s="10"/>
      <c r="Q1498" s="6"/>
      <c r="R1498" s="6"/>
      <c r="S1498" s="6"/>
      <c r="T1498" s="6"/>
      <c r="U1498" s="9"/>
      <c r="AI1498" s="6"/>
      <c r="AJ1498" s="12"/>
      <c r="AL1498" s="13"/>
    </row>
    <row r="1499">
      <c r="A1499" s="5"/>
      <c r="B1499" s="5"/>
      <c r="C1499" s="5"/>
      <c r="D1499" s="5"/>
      <c r="E1499" s="6"/>
      <c r="F1499" s="6"/>
      <c r="G1499" s="18"/>
      <c r="I1499" s="16"/>
      <c r="J1499" s="9"/>
      <c r="K1499" s="10"/>
      <c r="L1499" s="6"/>
      <c r="M1499" s="11"/>
      <c r="N1499" s="6"/>
      <c r="O1499" s="6"/>
      <c r="P1499" s="10"/>
      <c r="Q1499" s="6"/>
      <c r="R1499" s="6"/>
      <c r="S1499" s="6"/>
      <c r="T1499" s="6"/>
      <c r="U1499" s="9"/>
      <c r="AI1499" s="6"/>
      <c r="AJ1499" s="12"/>
      <c r="AL1499" s="13"/>
    </row>
    <row r="1500">
      <c r="A1500" s="5"/>
      <c r="B1500" s="5"/>
      <c r="C1500" s="5"/>
      <c r="D1500" s="5"/>
      <c r="E1500" s="6"/>
      <c r="F1500" s="6"/>
      <c r="G1500" s="18"/>
      <c r="I1500" s="16"/>
      <c r="J1500" s="9"/>
      <c r="K1500" s="10"/>
      <c r="L1500" s="6"/>
      <c r="M1500" s="11"/>
      <c r="N1500" s="6"/>
      <c r="O1500" s="6"/>
      <c r="P1500" s="10"/>
      <c r="Q1500" s="6"/>
      <c r="R1500" s="6"/>
      <c r="S1500" s="6"/>
      <c r="T1500" s="6"/>
      <c r="U1500" s="9"/>
      <c r="AI1500" s="6"/>
      <c r="AJ1500" s="12"/>
      <c r="AL1500" s="13"/>
    </row>
    <row r="1501">
      <c r="A1501" s="5"/>
      <c r="B1501" s="5"/>
      <c r="C1501" s="5"/>
      <c r="D1501" s="5"/>
      <c r="E1501" s="6"/>
      <c r="F1501" s="6"/>
      <c r="G1501" s="18"/>
      <c r="I1501" s="16"/>
      <c r="J1501" s="9"/>
      <c r="K1501" s="10"/>
      <c r="L1501" s="6"/>
      <c r="M1501" s="11"/>
      <c r="N1501" s="6"/>
      <c r="O1501" s="6"/>
      <c r="P1501" s="10"/>
      <c r="Q1501" s="6"/>
      <c r="R1501" s="6"/>
      <c r="S1501" s="6"/>
      <c r="T1501" s="6"/>
      <c r="U1501" s="9"/>
      <c r="AI1501" s="6"/>
      <c r="AJ1501" s="12"/>
      <c r="AL1501" s="13"/>
    </row>
    <row r="1502">
      <c r="A1502" s="5"/>
      <c r="B1502" s="5"/>
      <c r="C1502" s="5"/>
      <c r="D1502" s="5"/>
      <c r="E1502" s="6"/>
      <c r="F1502" s="6"/>
      <c r="G1502" s="18"/>
      <c r="I1502" s="16"/>
      <c r="J1502" s="9"/>
      <c r="K1502" s="10"/>
      <c r="L1502" s="6"/>
      <c r="M1502" s="11"/>
      <c r="N1502" s="6"/>
      <c r="O1502" s="6"/>
      <c r="P1502" s="10"/>
      <c r="Q1502" s="6"/>
      <c r="R1502" s="6"/>
      <c r="S1502" s="6"/>
      <c r="T1502" s="6"/>
      <c r="U1502" s="9"/>
      <c r="AI1502" s="6"/>
      <c r="AJ1502" s="12"/>
      <c r="AL1502" s="13"/>
    </row>
    <row r="1503">
      <c r="A1503" s="5"/>
      <c r="B1503" s="5"/>
      <c r="C1503" s="5"/>
      <c r="D1503" s="5"/>
      <c r="E1503" s="6"/>
      <c r="F1503" s="6"/>
      <c r="G1503" s="18"/>
      <c r="I1503" s="16"/>
      <c r="J1503" s="9"/>
      <c r="K1503" s="10"/>
      <c r="L1503" s="6"/>
      <c r="M1503" s="11"/>
      <c r="N1503" s="6"/>
      <c r="O1503" s="6"/>
      <c r="P1503" s="10"/>
      <c r="Q1503" s="6"/>
      <c r="R1503" s="6"/>
      <c r="S1503" s="6"/>
      <c r="T1503" s="6"/>
      <c r="U1503" s="9"/>
      <c r="AI1503" s="6"/>
      <c r="AJ1503" s="12"/>
      <c r="AL1503" s="13"/>
    </row>
    <row r="1504">
      <c r="A1504" s="5"/>
      <c r="B1504" s="5"/>
      <c r="C1504" s="5"/>
      <c r="D1504" s="5"/>
      <c r="E1504" s="6"/>
      <c r="F1504" s="6"/>
      <c r="G1504" s="18"/>
      <c r="I1504" s="16"/>
      <c r="J1504" s="9"/>
      <c r="K1504" s="10"/>
      <c r="L1504" s="6"/>
      <c r="M1504" s="11"/>
      <c r="N1504" s="6"/>
      <c r="O1504" s="6"/>
      <c r="P1504" s="10"/>
      <c r="Q1504" s="6"/>
      <c r="R1504" s="6"/>
      <c r="S1504" s="6"/>
      <c r="T1504" s="6"/>
      <c r="U1504" s="9"/>
      <c r="AI1504" s="6"/>
      <c r="AJ1504" s="12"/>
      <c r="AL1504" s="13"/>
    </row>
    <row r="1505">
      <c r="A1505" s="5"/>
      <c r="B1505" s="5"/>
      <c r="C1505" s="5"/>
      <c r="D1505" s="5"/>
      <c r="E1505" s="6"/>
      <c r="F1505" s="6"/>
      <c r="G1505" s="18"/>
      <c r="I1505" s="16"/>
      <c r="J1505" s="9"/>
      <c r="K1505" s="10"/>
      <c r="L1505" s="6"/>
      <c r="M1505" s="11"/>
      <c r="N1505" s="6"/>
      <c r="O1505" s="6"/>
      <c r="P1505" s="10"/>
      <c r="Q1505" s="6"/>
      <c r="R1505" s="6"/>
      <c r="S1505" s="6"/>
      <c r="T1505" s="6"/>
      <c r="U1505" s="9"/>
      <c r="AI1505" s="6"/>
      <c r="AJ1505" s="12"/>
      <c r="AL1505" s="13"/>
    </row>
    <row r="1506">
      <c r="A1506" s="5"/>
      <c r="B1506" s="5"/>
      <c r="C1506" s="5"/>
      <c r="D1506" s="5"/>
      <c r="E1506" s="6"/>
      <c r="F1506" s="6"/>
      <c r="G1506" s="18"/>
      <c r="I1506" s="16"/>
      <c r="J1506" s="9"/>
      <c r="K1506" s="10"/>
      <c r="L1506" s="6"/>
      <c r="M1506" s="11"/>
      <c r="N1506" s="6"/>
      <c r="O1506" s="6"/>
      <c r="P1506" s="10"/>
      <c r="Q1506" s="6"/>
      <c r="R1506" s="6"/>
      <c r="S1506" s="6"/>
      <c r="T1506" s="6"/>
      <c r="U1506" s="9"/>
      <c r="AI1506" s="6"/>
      <c r="AJ1506" s="12"/>
      <c r="AL1506" s="13"/>
    </row>
    <row r="1507">
      <c r="A1507" s="5"/>
      <c r="B1507" s="5"/>
      <c r="C1507" s="5"/>
      <c r="D1507" s="17"/>
      <c r="E1507" s="6"/>
      <c r="F1507" s="6"/>
      <c r="G1507" s="18"/>
      <c r="I1507" s="16"/>
      <c r="J1507" s="9"/>
      <c r="K1507" s="10"/>
      <c r="L1507" s="6"/>
      <c r="M1507" s="11"/>
      <c r="N1507" s="6"/>
      <c r="O1507" s="6"/>
      <c r="P1507" s="10"/>
      <c r="Q1507" s="6"/>
      <c r="R1507" s="6"/>
      <c r="S1507" s="6"/>
      <c r="T1507" s="6"/>
      <c r="U1507" s="9"/>
      <c r="AI1507" s="6"/>
      <c r="AJ1507" s="12"/>
      <c r="AL1507" s="13"/>
    </row>
    <row r="1508">
      <c r="A1508" s="5"/>
      <c r="B1508" s="5"/>
      <c r="C1508" s="5"/>
      <c r="D1508" s="5"/>
      <c r="E1508" s="6"/>
      <c r="F1508" s="6"/>
      <c r="G1508" s="18"/>
      <c r="I1508" s="16"/>
      <c r="J1508" s="9"/>
      <c r="K1508" s="10"/>
      <c r="L1508" s="6"/>
      <c r="M1508" s="11"/>
      <c r="N1508" s="6"/>
      <c r="O1508" s="6"/>
      <c r="P1508" s="10"/>
      <c r="Q1508" s="6"/>
      <c r="R1508" s="6"/>
      <c r="S1508" s="6"/>
      <c r="T1508" s="6"/>
      <c r="U1508" s="9"/>
      <c r="AI1508" s="6"/>
      <c r="AJ1508" s="12"/>
      <c r="AL1508" s="13"/>
    </row>
    <row r="1509">
      <c r="A1509" s="5"/>
      <c r="B1509" s="5"/>
      <c r="C1509" s="5"/>
      <c r="D1509" s="5"/>
      <c r="E1509" s="6"/>
      <c r="F1509" s="6"/>
      <c r="G1509" s="18"/>
      <c r="I1509" s="16"/>
      <c r="J1509" s="9"/>
      <c r="K1509" s="10"/>
      <c r="L1509" s="6"/>
      <c r="M1509" s="11"/>
      <c r="N1509" s="6"/>
      <c r="O1509" s="6"/>
      <c r="P1509" s="10"/>
      <c r="Q1509" s="6"/>
      <c r="R1509" s="6"/>
      <c r="S1509" s="6"/>
      <c r="T1509" s="6"/>
      <c r="U1509" s="9"/>
      <c r="AI1509" s="6"/>
      <c r="AJ1509" s="12"/>
      <c r="AL1509" s="13"/>
    </row>
    <row r="1510">
      <c r="A1510" s="5"/>
      <c r="B1510" s="5"/>
      <c r="C1510" s="5"/>
      <c r="D1510" s="5"/>
      <c r="E1510" s="6"/>
      <c r="F1510" s="6"/>
      <c r="G1510" s="18"/>
      <c r="I1510" s="16"/>
      <c r="J1510" s="9"/>
      <c r="K1510" s="10"/>
      <c r="L1510" s="6"/>
      <c r="M1510" s="11"/>
      <c r="N1510" s="6"/>
      <c r="O1510" s="6"/>
      <c r="P1510" s="10"/>
      <c r="Q1510" s="6"/>
      <c r="R1510" s="6"/>
      <c r="S1510" s="6"/>
      <c r="T1510" s="6"/>
      <c r="U1510" s="9"/>
      <c r="AI1510" s="6"/>
      <c r="AJ1510" s="12"/>
      <c r="AL1510" s="13"/>
    </row>
    <row r="1511">
      <c r="A1511" s="5"/>
      <c r="B1511" s="5"/>
      <c r="C1511" s="5"/>
      <c r="D1511" s="5"/>
      <c r="E1511" s="6"/>
      <c r="F1511" s="6"/>
      <c r="G1511" s="18"/>
      <c r="I1511" s="16"/>
      <c r="J1511" s="9"/>
      <c r="K1511" s="10"/>
      <c r="L1511" s="6"/>
      <c r="M1511" s="11"/>
      <c r="N1511" s="6"/>
      <c r="O1511" s="6"/>
      <c r="P1511" s="10"/>
      <c r="Q1511" s="6"/>
      <c r="R1511" s="6"/>
      <c r="S1511" s="6"/>
      <c r="T1511" s="6"/>
      <c r="U1511" s="9"/>
      <c r="AI1511" s="6"/>
      <c r="AJ1511" s="12"/>
      <c r="AL1511" s="13"/>
    </row>
    <row r="1512">
      <c r="A1512" s="5"/>
      <c r="B1512" s="5"/>
      <c r="C1512" s="5"/>
      <c r="D1512" s="5"/>
      <c r="E1512" s="6"/>
      <c r="F1512" s="6"/>
      <c r="G1512" s="18"/>
      <c r="I1512" s="16"/>
      <c r="J1512" s="9"/>
      <c r="K1512" s="10"/>
      <c r="L1512" s="6"/>
      <c r="M1512" s="11"/>
      <c r="N1512" s="6"/>
      <c r="O1512" s="6"/>
      <c r="P1512" s="10"/>
      <c r="Q1512" s="6"/>
      <c r="R1512" s="6"/>
      <c r="S1512" s="6"/>
      <c r="T1512" s="6"/>
      <c r="U1512" s="9"/>
      <c r="AI1512" s="6"/>
      <c r="AJ1512" s="12"/>
      <c r="AL1512" s="13"/>
    </row>
    <row r="1513">
      <c r="A1513" s="5"/>
      <c r="B1513" s="5"/>
      <c r="C1513" s="5"/>
      <c r="D1513" s="5"/>
      <c r="E1513" s="6"/>
      <c r="F1513" s="6"/>
      <c r="G1513" s="18"/>
      <c r="I1513" s="16"/>
      <c r="J1513" s="9"/>
      <c r="K1513" s="10"/>
      <c r="L1513" s="6"/>
      <c r="M1513" s="11"/>
      <c r="N1513" s="6"/>
      <c r="O1513" s="6"/>
      <c r="P1513" s="10"/>
      <c r="Q1513" s="6"/>
      <c r="R1513" s="6"/>
      <c r="S1513" s="6"/>
      <c r="T1513" s="6"/>
      <c r="U1513" s="9"/>
      <c r="AI1513" s="6"/>
      <c r="AJ1513" s="12"/>
      <c r="AL1513" s="13"/>
    </row>
    <row r="1514">
      <c r="A1514" s="5"/>
      <c r="B1514" s="5"/>
      <c r="C1514" s="5"/>
      <c r="D1514" s="5"/>
      <c r="E1514" s="6"/>
      <c r="F1514" s="6"/>
      <c r="G1514" s="18"/>
      <c r="I1514" s="16"/>
      <c r="J1514" s="9"/>
      <c r="K1514" s="10"/>
      <c r="L1514" s="6"/>
      <c r="M1514" s="11"/>
      <c r="N1514" s="6"/>
      <c r="O1514" s="6"/>
      <c r="P1514" s="10"/>
      <c r="Q1514" s="6"/>
      <c r="R1514" s="6"/>
      <c r="S1514" s="6"/>
      <c r="T1514" s="6"/>
      <c r="U1514" s="9"/>
      <c r="AI1514" s="6"/>
      <c r="AJ1514" s="12"/>
      <c r="AL1514" s="13"/>
    </row>
    <row r="1515">
      <c r="A1515" s="5"/>
      <c r="B1515" s="5"/>
      <c r="C1515" s="5"/>
      <c r="D1515" s="5"/>
      <c r="E1515" s="6"/>
      <c r="F1515" s="6"/>
      <c r="G1515" s="18"/>
      <c r="I1515" s="16"/>
      <c r="J1515" s="9"/>
      <c r="K1515" s="10"/>
      <c r="L1515" s="6"/>
      <c r="M1515" s="11"/>
      <c r="N1515" s="6"/>
      <c r="O1515" s="6"/>
      <c r="P1515" s="10"/>
      <c r="Q1515" s="6"/>
      <c r="R1515" s="6"/>
      <c r="S1515" s="6"/>
      <c r="T1515" s="6"/>
      <c r="U1515" s="9"/>
      <c r="AI1515" s="6"/>
      <c r="AJ1515" s="12"/>
      <c r="AL1515" s="13"/>
    </row>
    <row r="1516">
      <c r="A1516" s="5"/>
      <c r="B1516" s="5"/>
      <c r="C1516" s="5"/>
      <c r="D1516" s="5"/>
      <c r="E1516" s="6"/>
      <c r="F1516" s="6"/>
      <c r="G1516" s="18"/>
      <c r="I1516" s="16"/>
      <c r="J1516" s="9"/>
      <c r="K1516" s="10"/>
      <c r="L1516" s="6"/>
      <c r="M1516" s="11"/>
      <c r="N1516" s="6"/>
      <c r="O1516" s="6"/>
      <c r="P1516" s="10"/>
      <c r="Q1516" s="6"/>
      <c r="R1516" s="6"/>
      <c r="S1516" s="6"/>
      <c r="T1516" s="6"/>
      <c r="U1516" s="9"/>
      <c r="AI1516" s="6"/>
      <c r="AJ1516" s="12"/>
      <c r="AL1516" s="13"/>
    </row>
    <row r="1517">
      <c r="A1517" s="5"/>
      <c r="B1517" s="5"/>
      <c r="C1517" s="5"/>
      <c r="D1517" s="5"/>
      <c r="E1517" s="6"/>
      <c r="F1517" s="6"/>
      <c r="G1517" s="18"/>
      <c r="I1517" s="16"/>
      <c r="J1517" s="9"/>
      <c r="K1517" s="10"/>
      <c r="L1517" s="6"/>
      <c r="M1517" s="11"/>
      <c r="N1517" s="6"/>
      <c r="O1517" s="6"/>
      <c r="P1517" s="10"/>
      <c r="Q1517" s="6"/>
      <c r="R1517" s="6"/>
      <c r="S1517" s="6"/>
      <c r="T1517" s="6"/>
      <c r="U1517" s="9"/>
      <c r="AI1517" s="6"/>
      <c r="AJ1517" s="12"/>
      <c r="AL1517" s="13"/>
    </row>
    <row r="1518">
      <c r="A1518" s="5"/>
      <c r="B1518" s="5"/>
      <c r="C1518" s="5"/>
      <c r="D1518" s="5"/>
      <c r="E1518" s="6"/>
      <c r="F1518" s="6"/>
      <c r="G1518" s="18"/>
      <c r="I1518" s="16"/>
      <c r="J1518" s="9"/>
      <c r="K1518" s="10"/>
      <c r="L1518" s="6"/>
      <c r="M1518" s="11"/>
      <c r="N1518" s="6"/>
      <c r="O1518" s="6"/>
      <c r="P1518" s="10"/>
      <c r="Q1518" s="6"/>
      <c r="R1518" s="6"/>
      <c r="S1518" s="6"/>
      <c r="T1518" s="6"/>
      <c r="U1518" s="9"/>
      <c r="AI1518" s="6"/>
      <c r="AJ1518" s="12"/>
      <c r="AL1518" s="13"/>
    </row>
    <row r="1519">
      <c r="A1519" s="5"/>
      <c r="B1519" s="5"/>
      <c r="C1519" s="5"/>
      <c r="D1519" s="5"/>
      <c r="E1519" s="6"/>
      <c r="F1519" s="6"/>
      <c r="G1519" s="18"/>
      <c r="I1519" s="16"/>
      <c r="J1519" s="9"/>
      <c r="K1519" s="10"/>
      <c r="L1519" s="6"/>
      <c r="M1519" s="11"/>
      <c r="N1519" s="6"/>
      <c r="O1519" s="6"/>
      <c r="P1519" s="10"/>
      <c r="Q1519" s="6"/>
      <c r="R1519" s="6"/>
      <c r="S1519" s="6"/>
      <c r="T1519" s="6"/>
      <c r="U1519" s="9"/>
      <c r="AI1519" s="6"/>
      <c r="AJ1519" s="12"/>
      <c r="AL1519" s="13"/>
    </row>
    <row r="1520">
      <c r="A1520" s="5"/>
      <c r="B1520" s="5"/>
      <c r="C1520" s="5"/>
      <c r="D1520" s="5"/>
      <c r="E1520" s="6"/>
      <c r="F1520" s="6"/>
      <c r="G1520" s="18"/>
      <c r="I1520" s="16"/>
      <c r="J1520" s="9"/>
      <c r="K1520" s="10"/>
      <c r="L1520" s="6"/>
      <c r="M1520" s="11"/>
      <c r="N1520" s="6"/>
      <c r="O1520" s="6"/>
      <c r="P1520" s="10"/>
      <c r="Q1520" s="6"/>
      <c r="R1520" s="6"/>
      <c r="S1520" s="6"/>
      <c r="T1520" s="6"/>
      <c r="U1520" s="9"/>
      <c r="AI1520" s="6"/>
      <c r="AJ1520" s="12"/>
      <c r="AL1520" s="13"/>
    </row>
    <row r="1521">
      <c r="A1521" s="5"/>
      <c r="B1521" s="5"/>
      <c r="C1521" s="5"/>
      <c r="D1521" s="5"/>
      <c r="E1521" s="6"/>
      <c r="F1521" s="6"/>
      <c r="G1521" s="18"/>
      <c r="I1521" s="16"/>
      <c r="J1521" s="9"/>
      <c r="K1521" s="10"/>
      <c r="L1521" s="6"/>
      <c r="M1521" s="11"/>
      <c r="N1521" s="6"/>
      <c r="O1521" s="6"/>
      <c r="P1521" s="10"/>
      <c r="Q1521" s="6"/>
      <c r="R1521" s="6"/>
      <c r="S1521" s="6"/>
      <c r="T1521" s="6"/>
      <c r="U1521" s="9"/>
      <c r="AI1521" s="6"/>
      <c r="AJ1521" s="12"/>
      <c r="AL1521" s="13"/>
    </row>
    <row r="1522">
      <c r="A1522" s="5"/>
      <c r="B1522" s="5"/>
      <c r="C1522" s="5"/>
      <c r="D1522" s="5"/>
      <c r="E1522" s="6"/>
      <c r="F1522" s="6"/>
      <c r="G1522" s="18"/>
      <c r="I1522" s="16"/>
      <c r="J1522" s="9"/>
      <c r="K1522" s="10"/>
      <c r="L1522" s="6"/>
      <c r="M1522" s="11"/>
      <c r="N1522" s="6"/>
      <c r="O1522" s="6"/>
      <c r="P1522" s="10"/>
      <c r="Q1522" s="6"/>
      <c r="R1522" s="6"/>
      <c r="S1522" s="6"/>
      <c r="T1522" s="6"/>
      <c r="U1522" s="9"/>
      <c r="AI1522" s="6"/>
      <c r="AJ1522" s="12"/>
      <c r="AL1522" s="13"/>
    </row>
    <row r="1523">
      <c r="A1523" s="5"/>
      <c r="B1523" s="5"/>
      <c r="C1523" s="5"/>
      <c r="D1523" s="5"/>
      <c r="E1523" s="6"/>
      <c r="F1523" s="6"/>
      <c r="G1523" s="18"/>
      <c r="I1523" s="16"/>
      <c r="J1523" s="9"/>
      <c r="K1523" s="10"/>
      <c r="L1523" s="6"/>
      <c r="M1523" s="11"/>
      <c r="N1523" s="6"/>
      <c r="O1523" s="6"/>
      <c r="P1523" s="10"/>
      <c r="Q1523" s="6"/>
      <c r="R1523" s="6"/>
      <c r="S1523" s="6"/>
      <c r="T1523" s="6"/>
      <c r="U1523" s="9"/>
      <c r="AI1523" s="6"/>
      <c r="AJ1523" s="12"/>
      <c r="AL1523" s="13"/>
    </row>
    <row r="1524">
      <c r="A1524" s="5"/>
      <c r="B1524" s="5"/>
      <c r="C1524" s="5"/>
      <c r="D1524" s="5"/>
      <c r="E1524" s="6"/>
      <c r="F1524" s="6"/>
      <c r="G1524" s="18"/>
      <c r="I1524" s="16"/>
      <c r="J1524" s="9"/>
      <c r="K1524" s="10"/>
      <c r="L1524" s="6"/>
      <c r="M1524" s="11"/>
      <c r="N1524" s="6"/>
      <c r="O1524" s="6"/>
      <c r="P1524" s="10"/>
      <c r="Q1524" s="6"/>
      <c r="R1524" s="6"/>
      <c r="S1524" s="6"/>
      <c r="T1524" s="6"/>
      <c r="U1524" s="9"/>
      <c r="AI1524" s="6"/>
      <c r="AJ1524" s="12"/>
      <c r="AL1524" s="13"/>
    </row>
    <row r="1525">
      <c r="A1525" s="5"/>
      <c r="B1525" s="5"/>
      <c r="C1525" s="5"/>
      <c r="D1525" s="5"/>
      <c r="E1525" s="6"/>
      <c r="F1525" s="6"/>
      <c r="G1525" s="18"/>
      <c r="I1525" s="16"/>
      <c r="J1525" s="9"/>
      <c r="K1525" s="10"/>
      <c r="L1525" s="6"/>
      <c r="M1525" s="11"/>
      <c r="N1525" s="6"/>
      <c r="O1525" s="6"/>
      <c r="P1525" s="10"/>
      <c r="Q1525" s="6"/>
      <c r="R1525" s="6"/>
      <c r="S1525" s="6"/>
      <c r="T1525" s="6"/>
      <c r="U1525" s="9"/>
      <c r="AI1525" s="6"/>
      <c r="AJ1525" s="12"/>
      <c r="AL1525" s="13"/>
    </row>
    <row r="1526">
      <c r="A1526" s="5"/>
      <c r="B1526" s="5"/>
      <c r="C1526" s="5"/>
      <c r="D1526" s="5"/>
      <c r="E1526" s="6"/>
      <c r="F1526" s="6"/>
      <c r="G1526" s="18"/>
      <c r="I1526" s="16"/>
      <c r="J1526" s="9"/>
      <c r="K1526" s="10"/>
      <c r="L1526" s="6"/>
      <c r="M1526" s="11"/>
      <c r="N1526" s="6"/>
      <c r="O1526" s="6"/>
      <c r="P1526" s="10"/>
      <c r="Q1526" s="6"/>
      <c r="R1526" s="6"/>
      <c r="S1526" s="6"/>
      <c r="T1526" s="6"/>
      <c r="U1526" s="9"/>
      <c r="AI1526" s="6"/>
      <c r="AJ1526" s="12"/>
      <c r="AL1526" s="13"/>
    </row>
    <row r="1527">
      <c r="A1527" s="5"/>
      <c r="B1527" s="5"/>
      <c r="C1527" s="5"/>
      <c r="D1527" s="5"/>
      <c r="E1527" s="6"/>
      <c r="F1527" s="6"/>
      <c r="G1527" s="18"/>
      <c r="I1527" s="16"/>
      <c r="J1527" s="9"/>
      <c r="K1527" s="10"/>
      <c r="L1527" s="6"/>
      <c r="M1527" s="11"/>
      <c r="N1527" s="6"/>
      <c r="O1527" s="6"/>
      <c r="P1527" s="10"/>
      <c r="Q1527" s="6"/>
      <c r="R1527" s="6"/>
      <c r="S1527" s="6"/>
      <c r="T1527" s="6"/>
      <c r="U1527" s="9"/>
      <c r="AI1527" s="6"/>
      <c r="AJ1527" s="12"/>
      <c r="AL1527" s="13"/>
    </row>
    <row r="1528">
      <c r="A1528" s="5"/>
      <c r="B1528" s="5"/>
      <c r="C1528" s="5"/>
      <c r="D1528" s="5"/>
      <c r="E1528" s="6"/>
      <c r="F1528" s="6"/>
      <c r="G1528" s="18"/>
      <c r="I1528" s="16"/>
      <c r="J1528" s="9"/>
      <c r="K1528" s="10"/>
      <c r="L1528" s="6"/>
      <c r="M1528" s="11"/>
      <c r="N1528" s="6"/>
      <c r="O1528" s="6"/>
      <c r="P1528" s="10"/>
      <c r="Q1528" s="6"/>
      <c r="R1528" s="6"/>
      <c r="S1528" s="6"/>
      <c r="T1528" s="6"/>
      <c r="U1528" s="9"/>
      <c r="AI1528" s="6"/>
      <c r="AJ1528" s="12"/>
      <c r="AL1528" s="13"/>
    </row>
    <row r="1529">
      <c r="A1529" s="5"/>
      <c r="B1529" s="5"/>
      <c r="C1529" s="5"/>
      <c r="D1529" s="5"/>
      <c r="E1529" s="6"/>
      <c r="F1529" s="6"/>
      <c r="G1529" s="18"/>
      <c r="I1529" s="16"/>
      <c r="J1529" s="9"/>
      <c r="K1529" s="10"/>
      <c r="L1529" s="6"/>
      <c r="M1529" s="11"/>
      <c r="N1529" s="6"/>
      <c r="O1529" s="6"/>
      <c r="P1529" s="10"/>
      <c r="Q1529" s="6"/>
      <c r="R1529" s="6"/>
      <c r="S1529" s="6"/>
      <c r="T1529" s="6"/>
      <c r="U1529" s="9"/>
      <c r="AI1529" s="6"/>
      <c r="AJ1529" s="12"/>
      <c r="AL1529" s="13"/>
    </row>
    <row r="1530">
      <c r="A1530" s="5"/>
      <c r="B1530" s="5"/>
      <c r="C1530" s="5"/>
      <c r="D1530" s="5"/>
      <c r="E1530" s="6"/>
      <c r="F1530" s="6"/>
      <c r="G1530" s="18"/>
      <c r="I1530" s="16"/>
      <c r="J1530" s="9"/>
      <c r="K1530" s="10"/>
      <c r="L1530" s="6"/>
      <c r="M1530" s="11"/>
      <c r="N1530" s="6"/>
      <c r="O1530" s="6"/>
      <c r="P1530" s="10"/>
      <c r="Q1530" s="6"/>
      <c r="R1530" s="6"/>
      <c r="S1530" s="6"/>
      <c r="T1530" s="6"/>
      <c r="U1530" s="9"/>
      <c r="AI1530" s="6"/>
      <c r="AJ1530" s="12"/>
      <c r="AL1530" s="13"/>
    </row>
    <row r="1531">
      <c r="A1531" s="5"/>
      <c r="B1531" s="5"/>
      <c r="C1531" s="5"/>
      <c r="D1531" s="5"/>
      <c r="E1531" s="6"/>
      <c r="F1531" s="6"/>
      <c r="G1531" s="18"/>
      <c r="I1531" s="16"/>
      <c r="J1531" s="9"/>
      <c r="K1531" s="10"/>
      <c r="L1531" s="6"/>
      <c r="M1531" s="11"/>
      <c r="N1531" s="6"/>
      <c r="O1531" s="6"/>
      <c r="P1531" s="10"/>
      <c r="Q1531" s="6"/>
      <c r="R1531" s="6"/>
      <c r="S1531" s="6"/>
      <c r="T1531" s="6"/>
      <c r="U1531" s="9"/>
      <c r="AI1531" s="6"/>
      <c r="AJ1531" s="12"/>
      <c r="AL1531" s="13"/>
    </row>
    <row r="1532">
      <c r="A1532" s="5"/>
      <c r="B1532" s="5"/>
      <c r="C1532" s="5"/>
      <c r="D1532" s="5"/>
      <c r="E1532" s="6"/>
      <c r="F1532" s="6"/>
      <c r="G1532" s="18"/>
      <c r="I1532" s="16"/>
      <c r="J1532" s="9"/>
      <c r="K1532" s="10"/>
      <c r="L1532" s="6"/>
      <c r="M1532" s="11"/>
      <c r="N1532" s="6"/>
      <c r="O1532" s="6"/>
      <c r="P1532" s="10"/>
      <c r="Q1532" s="6"/>
      <c r="R1532" s="6"/>
      <c r="S1532" s="6"/>
      <c r="T1532" s="6"/>
      <c r="U1532" s="9"/>
      <c r="AI1532" s="6"/>
      <c r="AJ1532" s="12"/>
      <c r="AL1532" s="13"/>
    </row>
    <row r="1533">
      <c r="A1533" s="5"/>
      <c r="B1533" s="5"/>
      <c r="C1533" s="5"/>
      <c r="D1533" s="5"/>
      <c r="E1533" s="6"/>
      <c r="F1533" s="6"/>
      <c r="G1533" s="18"/>
      <c r="I1533" s="16"/>
      <c r="J1533" s="9"/>
      <c r="K1533" s="10"/>
      <c r="L1533" s="6"/>
      <c r="M1533" s="11"/>
      <c r="N1533" s="6"/>
      <c r="O1533" s="6"/>
      <c r="P1533" s="10"/>
      <c r="Q1533" s="6"/>
      <c r="R1533" s="6"/>
      <c r="S1533" s="6"/>
      <c r="T1533" s="6"/>
      <c r="U1533" s="9"/>
      <c r="AI1533" s="6"/>
      <c r="AJ1533" s="12"/>
      <c r="AL1533" s="13"/>
    </row>
    <row r="1534">
      <c r="A1534" s="5"/>
      <c r="B1534" s="5"/>
      <c r="C1534" s="5"/>
      <c r="D1534" s="5"/>
      <c r="E1534" s="6"/>
      <c r="F1534" s="6"/>
      <c r="G1534" s="18"/>
      <c r="I1534" s="16"/>
      <c r="J1534" s="9"/>
      <c r="K1534" s="10"/>
      <c r="L1534" s="6"/>
      <c r="M1534" s="11"/>
      <c r="N1534" s="6"/>
      <c r="O1534" s="6"/>
      <c r="P1534" s="10"/>
      <c r="Q1534" s="6"/>
      <c r="R1534" s="6"/>
      <c r="S1534" s="6"/>
      <c r="T1534" s="6"/>
      <c r="U1534" s="9"/>
      <c r="AI1534" s="6"/>
      <c r="AJ1534" s="12"/>
      <c r="AL1534" s="13"/>
    </row>
    <row r="1535">
      <c r="A1535" s="5"/>
      <c r="B1535" s="5"/>
      <c r="C1535" s="5"/>
      <c r="D1535" s="5"/>
      <c r="E1535" s="6"/>
      <c r="F1535" s="6"/>
      <c r="G1535" s="18"/>
      <c r="I1535" s="16"/>
      <c r="J1535" s="9"/>
      <c r="K1535" s="10"/>
      <c r="L1535" s="6"/>
      <c r="M1535" s="11"/>
      <c r="N1535" s="6"/>
      <c r="O1535" s="6"/>
      <c r="P1535" s="10"/>
      <c r="Q1535" s="6"/>
      <c r="R1535" s="6"/>
      <c r="S1535" s="6"/>
      <c r="T1535" s="6"/>
      <c r="U1535" s="9"/>
      <c r="AI1535" s="6"/>
      <c r="AJ1535" s="12"/>
      <c r="AL1535" s="13"/>
    </row>
    <row r="1536">
      <c r="A1536" s="5"/>
      <c r="B1536" s="5"/>
      <c r="C1536" s="5"/>
      <c r="D1536" s="5"/>
      <c r="E1536" s="6"/>
      <c r="F1536" s="6"/>
      <c r="G1536" s="18"/>
      <c r="I1536" s="16"/>
      <c r="J1536" s="9"/>
      <c r="K1536" s="10"/>
      <c r="L1536" s="6"/>
      <c r="M1536" s="11"/>
      <c r="N1536" s="6"/>
      <c r="O1536" s="6"/>
      <c r="P1536" s="10"/>
      <c r="Q1536" s="6"/>
      <c r="R1536" s="6"/>
      <c r="S1536" s="6"/>
      <c r="T1536" s="6"/>
      <c r="U1536" s="9"/>
      <c r="AI1536" s="6"/>
      <c r="AJ1536" s="12"/>
      <c r="AL1536" s="13"/>
    </row>
    <row r="1537">
      <c r="A1537" s="5"/>
      <c r="B1537" s="5"/>
      <c r="C1537" s="5"/>
      <c r="D1537" s="5"/>
      <c r="E1537" s="6"/>
      <c r="F1537" s="6"/>
      <c r="G1537" s="18"/>
      <c r="I1537" s="16"/>
      <c r="J1537" s="9"/>
      <c r="K1537" s="10"/>
      <c r="L1537" s="6"/>
      <c r="M1537" s="11"/>
      <c r="N1537" s="6"/>
      <c r="O1537" s="6"/>
      <c r="P1537" s="10"/>
      <c r="Q1537" s="6"/>
      <c r="R1537" s="6"/>
      <c r="S1537" s="6"/>
      <c r="T1537" s="6"/>
      <c r="U1537" s="9"/>
      <c r="AI1537" s="6"/>
      <c r="AJ1537" s="12"/>
      <c r="AL1537" s="13"/>
    </row>
    <row r="1538">
      <c r="A1538" s="5"/>
      <c r="B1538" s="5"/>
      <c r="C1538" s="5"/>
      <c r="D1538" s="5"/>
      <c r="E1538" s="6"/>
      <c r="F1538" s="6"/>
      <c r="G1538" s="18"/>
      <c r="I1538" s="16"/>
      <c r="J1538" s="9"/>
      <c r="K1538" s="10"/>
      <c r="L1538" s="6"/>
      <c r="M1538" s="11"/>
      <c r="N1538" s="6"/>
      <c r="O1538" s="6"/>
      <c r="P1538" s="10"/>
      <c r="Q1538" s="6"/>
      <c r="R1538" s="6"/>
      <c r="S1538" s="6"/>
      <c r="T1538" s="6"/>
      <c r="U1538" s="9"/>
      <c r="AI1538" s="6"/>
      <c r="AJ1538" s="12"/>
      <c r="AL1538" s="13"/>
    </row>
    <row r="1539">
      <c r="A1539" s="5"/>
      <c r="B1539" s="5"/>
      <c r="C1539" s="5"/>
      <c r="D1539" s="5"/>
      <c r="E1539" s="6"/>
      <c r="F1539" s="6"/>
      <c r="G1539" s="18"/>
      <c r="I1539" s="16"/>
      <c r="J1539" s="9"/>
      <c r="K1539" s="10"/>
      <c r="L1539" s="6"/>
      <c r="M1539" s="11"/>
      <c r="N1539" s="6"/>
      <c r="O1539" s="6"/>
      <c r="P1539" s="10"/>
      <c r="Q1539" s="6"/>
      <c r="R1539" s="6"/>
      <c r="S1539" s="6"/>
      <c r="T1539" s="6"/>
      <c r="U1539" s="9"/>
      <c r="AI1539" s="6"/>
      <c r="AJ1539" s="12"/>
      <c r="AL1539" s="13"/>
    </row>
    <row r="1540">
      <c r="A1540" s="5"/>
      <c r="B1540" s="5"/>
      <c r="C1540" s="5"/>
      <c r="D1540" s="5"/>
      <c r="E1540" s="6"/>
      <c r="F1540" s="6"/>
      <c r="G1540" s="18"/>
      <c r="I1540" s="16"/>
      <c r="J1540" s="9"/>
      <c r="K1540" s="10"/>
      <c r="L1540" s="6"/>
      <c r="M1540" s="11"/>
      <c r="N1540" s="6"/>
      <c r="O1540" s="6"/>
      <c r="P1540" s="10"/>
      <c r="Q1540" s="6"/>
      <c r="R1540" s="6"/>
      <c r="S1540" s="6"/>
      <c r="T1540" s="6"/>
      <c r="U1540" s="9"/>
      <c r="AI1540" s="6"/>
      <c r="AJ1540" s="12"/>
      <c r="AL1540" s="13"/>
    </row>
    <row r="1541">
      <c r="A1541" s="5"/>
      <c r="B1541" s="5"/>
      <c r="C1541" s="5"/>
      <c r="D1541" s="5"/>
      <c r="E1541" s="6"/>
      <c r="F1541" s="6"/>
      <c r="G1541" s="18"/>
      <c r="I1541" s="16"/>
      <c r="J1541" s="9"/>
      <c r="K1541" s="10"/>
      <c r="L1541" s="6"/>
      <c r="M1541" s="11"/>
      <c r="N1541" s="6"/>
      <c r="O1541" s="6"/>
      <c r="P1541" s="10"/>
      <c r="Q1541" s="6"/>
      <c r="R1541" s="6"/>
      <c r="S1541" s="6"/>
      <c r="T1541" s="6"/>
      <c r="U1541" s="9"/>
      <c r="AI1541" s="6"/>
      <c r="AJ1541" s="12"/>
      <c r="AL1541" s="13"/>
    </row>
    <row r="1542">
      <c r="A1542" s="5"/>
      <c r="B1542" s="5"/>
      <c r="C1542" s="5"/>
      <c r="D1542" s="5"/>
      <c r="E1542" s="6"/>
      <c r="F1542" s="6"/>
      <c r="G1542" s="18"/>
      <c r="I1542" s="16"/>
      <c r="J1542" s="9"/>
      <c r="K1542" s="10"/>
      <c r="L1542" s="6"/>
      <c r="M1542" s="11"/>
      <c r="N1542" s="6"/>
      <c r="O1542" s="6"/>
      <c r="P1542" s="10"/>
      <c r="Q1542" s="6"/>
      <c r="R1542" s="6"/>
      <c r="S1542" s="6"/>
      <c r="T1542" s="6"/>
      <c r="U1542" s="9"/>
      <c r="AI1542" s="6"/>
      <c r="AJ1542" s="12"/>
      <c r="AL1542" s="13"/>
    </row>
    <row r="1543">
      <c r="A1543" s="5"/>
      <c r="B1543" s="5"/>
      <c r="C1543" s="5"/>
      <c r="D1543" s="5"/>
      <c r="E1543" s="6"/>
      <c r="F1543" s="6"/>
      <c r="G1543" s="18"/>
      <c r="I1543" s="16"/>
      <c r="J1543" s="9"/>
      <c r="K1543" s="10"/>
      <c r="L1543" s="6"/>
      <c r="M1543" s="11"/>
      <c r="N1543" s="6"/>
      <c r="O1543" s="6"/>
      <c r="P1543" s="10"/>
      <c r="Q1543" s="6"/>
      <c r="R1543" s="6"/>
      <c r="S1543" s="6"/>
      <c r="T1543" s="6"/>
      <c r="U1543" s="9"/>
      <c r="AI1543" s="6"/>
      <c r="AJ1543" s="12"/>
      <c r="AL1543" s="13"/>
    </row>
    <row r="1544">
      <c r="A1544" s="5"/>
      <c r="B1544" s="5"/>
      <c r="C1544" s="5"/>
      <c r="D1544" s="5"/>
      <c r="E1544" s="6"/>
      <c r="F1544" s="6"/>
      <c r="G1544" s="18"/>
      <c r="I1544" s="16"/>
      <c r="J1544" s="9"/>
      <c r="K1544" s="10"/>
      <c r="L1544" s="6"/>
      <c r="M1544" s="11"/>
      <c r="N1544" s="6"/>
      <c r="O1544" s="6"/>
      <c r="P1544" s="10"/>
      <c r="Q1544" s="6"/>
      <c r="R1544" s="6"/>
      <c r="S1544" s="6"/>
      <c r="T1544" s="6"/>
      <c r="U1544" s="9"/>
      <c r="AI1544" s="6"/>
      <c r="AJ1544" s="12"/>
      <c r="AL1544" s="13"/>
    </row>
    <row r="1545">
      <c r="A1545" s="5"/>
      <c r="B1545" s="5"/>
      <c r="C1545" s="5"/>
      <c r="D1545" s="5"/>
      <c r="E1545" s="6"/>
      <c r="F1545" s="6"/>
      <c r="G1545" s="18"/>
      <c r="I1545" s="16"/>
      <c r="J1545" s="9"/>
      <c r="K1545" s="10"/>
      <c r="L1545" s="6"/>
      <c r="M1545" s="11"/>
      <c r="N1545" s="6"/>
      <c r="O1545" s="6"/>
      <c r="P1545" s="10"/>
      <c r="Q1545" s="6"/>
      <c r="R1545" s="6"/>
      <c r="S1545" s="6"/>
      <c r="T1545" s="6"/>
      <c r="U1545" s="9"/>
      <c r="AI1545" s="6"/>
      <c r="AJ1545" s="12"/>
      <c r="AL1545" s="13"/>
    </row>
    <row r="1546">
      <c r="A1546" s="5"/>
      <c r="B1546" s="5"/>
      <c r="C1546" s="5"/>
      <c r="D1546" s="5"/>
      <c r="E1546" s="6"/>
      <c r="F1546" s="6"/>
      <c r="G1546" s="18"/>
      <c r="I1546" s="16"/>
      <c r="J1546" s="9"/>
      <c r="K1546" s="10"/>
      <c r="L1546" s="6"/>
      <c r="M1546" s="11"/>
      <c r="N1546" s="6"/>
      <c r="O1546" s="6"/>
      <c r="P1546" s="10"/>
      <c r="Q1546" s="6"/>
      <c r="R1546" s="6"/>
      <c r="S1546" s="6"/>
      <c r="T1546" s="6"/>
      <c r="U1546" s="9"/>
      <c r="AI1546" s="6"/>
      <c r="AJ1546" s="12"/>
      <c r="AL1546" s="13"/>
    </row>
    <row r="1547">
      <c r="A1547" s="5"/>
      <c r="B1547" s="5"/>
      <c r="C1547" s="5"/>
      <c r="D1547" s="5"/>
      <c r="E1547" s="6"/>
      <c r="F1547" s="6"/>
      <c r="G1547" s="18"/>
      <c r="I1547" s="16"/>
      <c r="J1547" s="9"/>
      <c r="K1547" s="10"/>
      <c r="L1547" s="6"/>
      <c r="M1547" s="11"/>
      <c r="N1547" s="6"/>
      <c r="O1547" s="6"/>
      <c r="P1547" s="10"/>
      <c r="Q1547" s="6"/>
      <c r="R1547" s="6"/>
      <c r="S1547" s="6"/>
      <c r="T1547" s="6"/>
      <c r="U1547" s="9"/>
      <c r="AI1547" s="6"/>
      <c r="AJ1547" s="12"/>
      <c r="AL1547" s="13"/>
    </row>
    <row r="1548">
      <c r="A1548" s="5"/>
      <c r="B1548" s="5"/>
      <c r="C1548" s="5"/>
      <c r="D1548" s="5"/>
      <c r="E1548" s="6"/>
      <c r="F1548" s="6"/>
      <c r="G1548" s="18"/>
      <c r="I1548" s="16"/>
      <c r="J1548" s="9"/>
      <c r="K1548" s="10"/>
      <c r="L1548" s="6"/>
      <c r="M1548" s="11"/>
      <c r="N1548" s="6"/>
      <c r="O1548" s="6"/>
      <c r="P1548" s="10"/>
      <c r="Q1548" s="6"/>
      <c r="R1548" s="6"/>
      <c r="S1548" s="6"/>
      <c r="T1548" s="6"/>
      <c r="U1548" s="9"/>
      <c r="AI1548" s="6"/>
      <c r="AJ1548" s="12"/>
      <c r="AL1548" s="13"/>
    </row>
    <row r="1549">
      <c r="A1549" s="5"/>
      <c r="B1549" s="5"/>
      <c r="C1549" s="5"/>
      <c r="D1549" s="5"/>
      <c r="E1549" s="6"/>
      <c r="F1549" s="6"/>
      <c r="G1549" s="18"/>
      <c r="I1549" s="16"/>
      <c r="J1549" s="9"/>
      <c r="K1549" s="10"/>
      <c r="L1549" s="6"/>
      <c r="M1549" s="11"/>
      <c r="N1549" s="6"/>
      <c r="O1549" s="6"/>
      <c r="P1549" s="10"/>
      <c r="Q1549" s="6"/>
      <c r="R1549" s="6"/>
      <c r="S1549" s="6"/>
      <c r="T1549" s="6"/>
      <c r="U1549" s="9"/>
      <c r="AI1549" s="6"/>
      <c r="AJ1549" s="12"/>
      <c r="AL1549" s="13"/>
    </row>
    <row r="1550">
      <c r="A1550" s="5"/>
      <c r="B1550" s="5"/>
      <c r="C1550" s="5"/>
      <c r="D1550" s="5"/>
      <c r="E1550" s="6"/>
      <c r="F1550" s="6"/>
      <c r="G1550" s="18"/>
      <c r="I1550" s="16"/>
      <c r="J1550" s="9"/>
      <c r="K1550" s="10"/>
      <c r="L1550" s="6"/>
      <c r="M1550" s="11"/>
      <c r="N1550" s="6"/>
      <c r="O1550" s="6"/>
      <c r="P1550" s="10"/>
      <c r="Q1550" s="6"/>
      <c r="R1550" s="6"/>
      <c r="S1550" s="6"/>
      <c r="T1550" s="6"/>
      <c r="U1550" s="9"/>
      <c r="AI1550" s="6"/>
      <c r="AJ1550" s="12"/>
      <c r="AL1550" s="13"/>
    </row>
    <row r="1551">
      <c r="A1551" s="5"/>
      <c r="B1551" s="5"/>
      <c r="C1551" s="5"/>
      <c r="D1551" s="5"/>
      <c r="E1551" s="6"/>
      <c r="F1551" s="6"/>
      <c r="G1551" s="18"/>
      <c r="I1551" s="16"/>
      <c r="J1551" s="9"/>
      <c r="K1551" s="10"/>
      <c r="L1551" s="6"/>
      <c r="M1551" s="11"/>
      <c r="N1551" s="6"/>
      <c r="O1551" s="6"/>
      <c r="P1551" s="10"/>
      <c r="Q1551" s="6"/>
      <c r="R1551" s="6"/>
      <c r="S1551" s="6"/>
      <c r="T1551" s="6"/>
      <c r="U1551" s="9"/>
      <c r="AI1551" s="6"/>
      <c r="AJ1551" s="12"/>
      <c r="AL1551" s="13"/>
    </row>
    <row r="1552">
      <c r="A1552" s="5"/>
      <c r="B1552" s="5"/>
      <c r="C1552" s="5"/>
      <c r="D1552" s="5"/>
      <c r="E1552" s="6"/>
      <c r="F1552" s="6"/>
      <c r="G1552" s="18"/>
      <c r="I1552" s="16"/>
      <c r="J1552" s="9"/>
      <c r="K1552" s="10"/>
      <c r="L1552" s="6"/>
      <c r="M1552" s="11"/>
      <c r="N1552" s="6"/>
      <c r="O1552" s="6"/>
      <c r="P1552" s="10"/>
      <c r="Q1552" s="6"/>
      <c r="R1552" s="6"/>
      <c r="S1552" s="6"/>
      <c r="T1552" s="6"/>
      <c r="U1552" s="9"/>
      <c r="AI1552" s="6"/>
      <c r="AJ1552" s="12"/>
      <c r="AL1552" s="13"/>
    </row>
    <row r="1553">
      <c r="A1553" s="5"/>
      <c r="B1553" s="5"/>
      <c r="C1553" s="5"/>
      <c r="D1553" s="5"/>
      <c r="E1553" s="6"/>
      <c r="F1553" s="6"/>
      <c r="G1553" s="18"/>
      <c r="I1553" s="16"/>
      <c r="J1553" s="9"/>
      <c r="K1553" s="10"/>
      <c r="L1553" s="6"/>
      <c r="M1553" s="11"/>
      <c r="N1553" s="6"/>
      <c r="O1553" s="6"/>
      <c r="P1553" s="10"/>
      <c r="Q1553" s="6"/>
      <c r="R1553" s="6"/>
      <c r="S1553" s="6"/>
      <c r="T1553" s="6"/>
      <c r="U1553" s="9"/>
      <c r="AI1553" s="6"/>
      <c r="AJ1553" s="12"/>
      <c r="AL1553" s="13"/>
    </row>
    <row r="1554">
      <c r="A1554" s="5"/>
      <c r="B1554" s="5"/>
      <c r="C1554" s="5"/>
      <c r="D1554" s="5"/>
      <c r="E1554" s="6"/>
      <c r="F1554" s="6"/>
      <c r="G1554" s="18"/>
      <c r="I1554" s="16"/>
      <c r="J1554" s="9"/>
      <c r="K1554" s="10"/>
      <c r="L1554" s="6"/>
      <c r="M1554" s="11"/>
      <c r="N1554" s="6"/>
      <c r="O1554" s="6"/>
      <c r="P1554" s="10"/>
      <c r="Q1554" s="6"/>
      <c r="R1554" s="6"/>
      <c r="S1554" s="6"/>
      <c r="T1554" s="6"/>
      <c r="U1554" s="9"/>
      <c r="AI1554" s="6"/>
      <c r="AJ1554" s="12"/>
      <c r="AL1554" s="13"/>
    </row>
    <row r="1555">
      <c r="A1555" s="5"/>
      <c r="B1555" s="5"/>
      <c r="C1555" s="5"/>
      <c r="D1555" s="5"/>
      <c r="E1555" s="6"/>
      <c r="F1555" s="6"/>
      <c r="G1555" s="18"/>
      <c r="I1555" s="16"/>
      <c r="J1555" s="9"/>
      <c r="K1555" s="10"/>
      <c r="L1555" s="6"/>
      <c r="M1555" s="11"/>
      <c r="N1555" s="6"/>
      <c r="O1555" s="6"/>
      <c r="P1555" s="10"/>
      <c r="Q1555" s="6"/>
      <c r="R1555" s="6"/>
      <c r="S1555" s="6"/>
      <c r="T1555" s="6"/>
      <c r="U1555" s="9"/>
      <c r="AI1555" s="6"/>
      <c r="AJ1555" s="12"/>
      <c r="AL1555" s="13"/>
    </row>
    <row r="1556">
      <c r="A1556" s="5"/>
      <c r="B1556" s="5"/>
      <c r="C1556" s="5"/>
      <c r="D1556" s="5"/>
      <c r="E1556" s="6"/>
      <c r="F1556" s="6"/>
      <c r="G1556" s="18"/>
      <c r="I1556" s="16"/>
      <c r="J1556" s="9"/>
      <c r="K1556" s="10"/>
      <c r="L1556" s="6"/>
      <c r="M1556" s="11"/>
      <c r="N1556" s="6"/>
      <c r="O1556" s="6"/>
      <c r="P1556" s="10"/>
      <c r="Q1556" s="6"/>
      <c r="R1556" s="6"/>
      <c r="S1556" s="6"/>
      <c r="T1556" s="6"/>
      <c r="U1556" s="9"/>
      <c r="AI1556" s="6"/>
      <c r="AJ1556" s="12"/>
      <c r="AL1556" s="13"/>
    </row>
    <row r="1557">
      <c r="A1557" s="5"/>
      <c r="B1557" s="5"/>
      <c r="C1557" s="5"/>
      <c r="D1557" s="5"/>
      <c r="E1557" s="6"/>
      <c r="F1557" s="6"/>
      <c r="G1557" s="18"/>
      <c r="I1557" s="16"/>
      <c r="J1557" s="9"/>
      <c r="K1557" s="10"/>
      <c r="L1557" s="6"/>
      <c r="M1557" s="11"/>
      <c r="N1557" s="6"/>
      <c r="O1557" s="6"/>
      <c r="P1557" s="10"/>
      <c r="Q1557" s="6"/>
      <c r="R1557" s="6"/>
      <c r="S1557" s="6"/>
      <c r="T1557" s="6"/>
      <c r="U1557" s="9"/>
      <c r="AI1557" s="6"/>
      <c r="AJ1557" s="12"/>
      <c r="AL1557" s="13"/>
    </row>
    <row r="1558">
      <c r="A1558" s="5"/>
      <c r="B1558" s="5"/>
      <c r="C1558" s="5"/>
      <c r="D1558" s="5"/>
      <c r="E1558" s="6"/>
      <c r="F1558" s="6"/>
      <c r="G1558" s="18"/>
      <c r="I1558" s="16"/>
      <c r="J1558" s="9"/>
      <c r="K1558" s="10"/>
      <c r="L1558" s="6"/>
      <c r="M1558" s="11"/>
      <c r="N1558" s="6"/>
      <c r="O1558" s="6"/>
      <c r="P1558" s="10"/>
      <c r="Q1558" s="6"/>
      <c r="R1558" s="6"/>
      <c r="S1558" s="6"/>
      <c r="T1558" s="6"/>
      <c r="U1558" s="9"/>
      <c r="AI1558" s="6"/>
      <c r="AJ1558" s="12"/>
      <c r="AL1558" s="13"/>
    </row>
    <row r="1559">
      <c r="A1559" s="5"/>
      <c r="B1559" s="5"/>
      <c r="C1559" s="5"/>
      <c r="D1559" s="5"/>
      <c r="E1559" s="6"/>
      <c r="F1559" s="6"/>
      <c r="G1559" s="18"/>
      <c r="I1559" s="16"/>
      <c r="J1559" s="9"/>
      <c r="K1559" s="10"/>
      <c r="L1559" s="6"/>
      <c r="M1559" s="11"/>
      <c r="N1559" s="6"/>
      <c r="O1559" s="6"/>
      <c r="P1559" s="10"/>
      <c r="Q1559" s="6"/>
      <c r="R1559" s="6"/>
      <c r="S1559" s="6"/>
      <c r="T1559" s="6"/>
      <c r="U1559" s="9"/>
      <c r="AI1559" s="6"/>
      <c r="AJ1559" s="12"/>
      <c r="AL1559" s="13"/>
    </row>
    <row r="1560">
      <c r="A1560" s="5"/>
      <c r="B1560" s="5"/>
      <c r="C1560" s="5"/>
      <c r="D1560" s="5"/>
      <c r="E1560" s="6"/>
      <c r="F1560" s="6"/>
      <c r="G1560" s="18"/>
      <c r="I1560" s="16"/>
      <c r="J1560" s="9"/>
      <c r="K1560" s="10"/>
      <c r="L1560" s="6"/>
      <c r="M1560" s="11"/>
      <c r="N1560" s="6"/>
      <c r="O1560" s="6"/>
      <c r="P1560" s="10"/>
      <c r="Q1560" s="6"/>
      <c r="R1560" s="6"/>
      <c r="S1560" s="6"/>
      <c r="T1560" s="6"/>
      <c r="U1560" s="9"/>
      <c r="AI1560" s="6"/>
      <c r="AJ1560" s="12"/>
      <c r="AL1560" s="13"/>
    </row>
    <row r="1561">
      <c r="A1561" s="5"/>
      <c r="B1561" s="5"/>
      <c r="C1561" s="5"/>
      <c r="D1561" s="5"/>
      <c r="E1561" s="6"/>
      <c r="F1561" s="6"/>
      <c r="G1561" s="18"/>
      <c r="I1561" s="16"/>
      <c r="J1561" s="9"/>
      <c r="K1561" s="10"/>
      <c r="L1561" s="6"/>
      <c r="M1561" s="11"/>
      <c r="N1561" s="6"/>
      <c r="O1561" s="6"/>
      <c r="P1561" s="10"/>
      <c r="Q1561" s="6"/>
      <c r="R1561" s="6"/>
      <c r="S1561" s="6"/>
      <c r="T1561" s="6"/>
      <c r="U1561" s="9"/>
      <c r="AI1561" s="6"/>
      <c r="AJ1561" s="12"/>
      <c r="AL1561" s="13"/>
    </row>
    <row r="1562">
      <c r="A1562" s="5"/>
      <c r="B1562" s="5"/>
      <c r="C1562" s="5"/>
      <c r="D1562" s="5"/>
      <c r="E1562" s="6"/>
      <c r="F1562" s="6"/>
      <c r="G1562" s="18"/>
      <c r="I1562" s="16"/>
      <c r="J1562" s="9"/>
      <c r="K1562" s="10"/>
      <c r="L1562" s="6"/>
      <c r="M1562" s="11"/>
      <c r="N1562" s="6"/>
      <c r="O1562" s="6"/>
      <c r="P1562" s="10"/>
      <c r="Q1562" s="6"/>
      <c r="R1562" s="6"/>
      <c r="S1562" s="6"/>
      <c r="T1562" s="6"/>
      <c r="U1562" s="9"/>
      <c r="AI1562" s="6"/>
      <c r="AJ1562" s="12"/>
      <c r="AL1562" s="13"/>
    </row>
    <row r="1563">
      <c r="A1563" s="5"/>
      <c r="B1563" s="5"/>
      <c r="C1563" s="5"/>
      <c r="D1563" s="5"/>
      <c r="E1563" s="6"/>
      <c r="F1563" s="6"/>
      <c r="G1563" s="18"/>
      <c r="I1563" s="16"/>
      <c r="J1563" s="9"/>
      <c r="K1563" s="10"/>
      <c r="L1563" s="6"/>
      <c r="M1563" s="11"/>
      <c r="N1563" s="6"/>
      <c r="O1563" s="6"/>
      <c r="P1563" s="10"/>
      <c r="Q1563" s="6"/>
      <c r="R1563" s="6"/>
      <c r="S1563" s="6"/>
      <c r="T1563" s="6"/>
      <c r="U1563" s="9"/>
      <c r="AI1563" s="6"/>
      <c r="AJ1563" s="12"/>
      <c r="AL1563" s="13"/>
    </row>
    <row r="1564">
      <c r="A1564" s="5"/>
      <c r="B1564" s="5"/>
      <c r="C1564" s="5"/>
      <c r="D1564" s="5"/>
      <c r="E1564" s="6"/>
      <c r="F1564" s="6"/>
      <c r="G1564" s="18"/>
      <c r="I1564" s="16"/>
      <c r="J1564" s="9"/>
      <c r="K1564" s="10"/>
      <c r="L1564" s="6"/>
      <c r="M1564" s="11"/>
      <c r="N1564" s="6"/>
      <c r="O1564" s="6"/>
      <c r="P1564" s="10"/>
      <c r="Q1564" s="6"/>
      <c r="R1564" s="6"/>
      <c r="S1564" s="6"/>
      <c r="T1564" s="6"/>
      <c r="U1564" s="9"/>
      <c r="AI1564" s="6"/>
      <c r="AJ1564" s="12"/>
      <c r="AL1564" s="13"/>
    </row>
    <row r="1565">
      <c r="A1565" s="5"/>
      <c r="B1565" s="5"/>
      <c r="C1565" s="5"/>
      <c r="D1565" s="5"/>
      <c r="E1565" s="6"/>
      <c r="F1565" s="6"/>
      <c r="G1565" s="18"/>
      <c r="I1565" s="16"/>
      <c r="J1565" s="9"/>
      <c r="K1565" s="10"/>
      <c r="L1565" s="6"/>
      <c r="M1565" s="11"/>
      <c r="N1565" s="6"/>
      <c r="O1565" s="6"/>
      <c r="P1565" s="10"/>
      <c r="Q1565" s="6"/>
      <c r="R1565" s="6"/>
      <c r="S1565" s="6"/>
      <c r="T1565" s="6"/>
      <c r="U1565" s="9"/>
      <c r="AI1565" s="6"/>
      <c r="AJ1565" s="12"/>
      <c r="AL1565" s="13"/>
    </row>
    <row r="1566">
      <c r="A1566" s="5"/>
      <c r="B1566" s="5"/>
      <c r="C1566" s="5"/>
      <c r="D1566" s="5"/>
      <c r="E1566" s="6"/>
      <c r="F1566" s="6"/>
      <c r="G1566" s="18"/>
      <c r="I1566" s="16"/>
      <c r="J1566" s="9"/>
      <c r="K1566" s="10"/>
      <c r="L1566" s="6"/>
      <c r="M1566" s="11"/>
      <c r="N1566" s="6"/>
      <c r="O1566" s="6"/>
      <c r="P1566" s="10"/>
      <c r="Q1566" s="6"/>
      <c r="R1566" s="6"/>
      <c r="S1566" s="6"/>
      <c r="T1566" s="6"/>
      <c r="U1566" s="9"/>
      <c r="AI1566" s="6"/>
      <c r="AJ1566" s="12"/>
      <c r="AL1566" s="13"/>
    </row>
    <row r="1567">
      <c r="A1567" s="5"/>
      <c r="B1567" s="5"/>
      <c r="C1567" s="5"/>
      <c r="D1567" s="5"/>
      <c r="E1567" s="6"/>
      <c r="F1567" s="6"/>
      <c r="G1567" s="18"/>
      <c r="I1567" s="16"/>
      <c r="J1567" s="9"/>
      <c r="K1567" s="10"/>
      <c r="L1567" s="6"/>
      <c r="M1567" s="11"/>
      <c r="N1567" s="6"/>
      <c r="O1567" s="6"/>
      <c r="P1567" s="10"/>
      <c r="Q1567" s="6"/>
      <c r="R1567" s="6"/>
      <c r="S1567" s="6"/>
      <c r="T1567" s="6"/>
      <c r="U1567" s="9"/>
      <c r="AI1567" s="6"/>
      <c r="AJ1567" s="12"/>
      <c r="AL1567" s="13"/>
    </row>
    <row r="1568">
      <c r="A1568" s="5"/>
      <c r="B1568" s="5"/>
      <c r="C1568" s="5"/>
      <c r="D1568" s="5"/>
      <c r="E1568" s="6"/>
      <c r="F1568" s="6"/>
      <c r="G1568" s="18"/>
      <c r="I1568" s="16"/>
      <c r="J1568" s="9"/>
      <c r="K1568" s="10"/>
      <c r="L1568" s="6"/>
      <c r="M1568" s="11"/>
      <c r="N1568" s="6"/>
      <c r="O1568" s="6"/>
      <c r="P1568" s="10"/>
      <c r="Q1568" s="6"/>
      <c r="R1568" s="6"/>
      <c r="S1568" s="6"/>
      <c r="T1568" s="6"/>
      <c r="U1568" s="9"/>
      <c r="AI1568" s="6"/>
      <c r="AJ1568" s="12"/>
      <c r="AL1568" s="13"/>
    </row>
    <row r="1569">
      <c r="A1569" s="5"/>
      <c r="B1569" s="5"/>
      <c r="C1569" s="5"/>
      <c r="D1569" s="5"/>
      <c r="E1569" s="6"/>
      <c r="F1569" s="6"/>
      <c r="G1569" s="18"/>
      <c r="I1569" s="16"/>
      <c r="J1569" s="9"/>
      <c r="K1569" s="10"/>
      <c r="L1569" s="6"/>
      <c r="M1569" s="11"/>
      <c r="N1569" s="6"/>
      <c r="O1569" s="6"/>
      <c r="P1569" s="10"/>
      <c r="Q1569" s="6"/>
      <c r="R1569" s="6"/>
      <c r="S1569" s="6"/>
      <c r="T1569" s="6"/>
      <c r="U1569" s="9"/>
      <c r="AI1569" s="6"/>
      <c r="AJ1569" s="12"/>
      <c r="AL1569" s="13"/>
    </row>
    <row r="1570">
      <c r="A1570" s="5"/>
      <c r="B1570" s="5"/>
      <c r="C1570" s="5"/>
      <c r="D1570" s="5"/>
      <c r="E1570" s="6"/>
      <c r="F1570" s="6"/>
      <c r="G1570" s="18"/>
      <c r="I1570" s="16"/>
      <c r="J1570" s="9"/>
      <c r="K1570" s="10"/>
      <c r="L1570" s="6"/>
      <c r="M1570" s="11"/>
      <c r="N1570" s="6"/>
      <c r="O1570" s="6"/>
      <c r="P1570" s="10"/>
      <c r="Q1570" s="6"/>
      <c r="R1570" s="6"/>
      <c r="S1570" s="6"/>
      <c r="T1570" s="6"/>
      <c r="U1570" s="9"/>
      <c r="AI1570" s="6"/>
      <c r="AJ1570" s="12"/>
      <c r="AL1570" s="13"/>
    </row>
    <row r="1571">
      <c r="A1571" s="5"/>
      <c r="B1571" s="5"/>
      <c r="C1571" s="5"/>
      <c r="D1571" s="5"/>
      <c r="E1571" s="6"/>
      <c r="F1571" s="6"/>
      <c r="G1571" s="18"/>
      <c r="I1571" s="16"/>
      <c r="J1571" s="9"/>
      <c r="K1571" s="10"/>
      <c r="L1571" s="6"/>
      <c r="M1571" s="11"/>
      <c r="N1571" s="6"/>
      <c r="O1571" s="6"/>
      <c r="P1571" s="10"/>
      <c r="Q1571" s="6"/>
      <c r="R1571" s="6"/>
      <c r="S1571" s="6"/>
      <c r="T1571" s="6"/>
      <c r="U1571" s="9"/>
      <c r="AI1571" s="6"/>
      <c r="AJ1571" s="12"/>
      <c r="AL1571" s="13"/>
    </row>
    <row r="1572">
      <c r="A1572" s="5"/>
      <c r="B1572" s="5"/>
      <c r="C1572" s="5"/>
      <c r="D1572" s="5"/>
      <c r="E1572" s="6"/>
      <c r="F1572" s="6"/>
      <c r="G1572" s="18"/>
      <c r="I1572" s="16"/>
      <c r="J1572" s="9"/>
      <c r="K1572" s="10"/>
      <c r="L1572" s="6"/>
      <c r="M1572" s="11"/>
      <c r="N1572" s="6"/>
      <c r="O1572" s="6"/>
      <c r="P1572" s="10"/>
      <c r="Q1572" s="6"/>
      <c r="R1572" s="6"/>
      <c r="S1572" s="6"/>
      <c r="T1572" s="6"/>
      <c r="U1572" s="9"/>
      <c r="AI1572" s="6"/>
      <c r="AJ1572" s="12"/>
      <c r="AL1572" s="13"/>
    </row>
    <row r="1573">
      <c r="A1573" s="5"/>
      <c r="B1573" s="5"/>
      <c r="C1573" s="5"/>
      <c r="D1573" s="5"/>
      <c r="E1573" s="6"/>
      <c r="F1573" s="6"/>
      <c r="G1573" s="18"/>
      <c r="I1573" s="16"/>
      <c r="J1573" s="9"/>
      <c r="K1573" s="10"/>
      <c r="L1573" s="6"/>
      <c r="M1573" s="11"/>
      <c r="N1573" s="6"/>
      <c r="O1573" s="6"/>
      <c r="P1573" s="10"/>
      <c r="Q1573" s="6"/>
      <c r="R1573" s="6"/>
      <c r="S1573" s="6"/>
      <c r="T1573" s="6"/>
      <c r="U1573" s="9"/>
      <c r="AI1573" s="6"/>
      <c r="AJ1573" s="12"/>
      <c r="AL1573" s="13"/>
    </row>
    <row r="1574">
      <c r="A1574" s="5"/>
      <c r="B1574" s="5"/>
      <c r="C1574" s="5"/>
      <c r="D1574" s="5"/>
      <c r="E1574" s="6"/>
      <c r="F1574" s="6"/>
      <c r="G1574" s="18"/>
      <c r="I1574" s="16"/>
      <c r="J1574" s="9"/>
      <c r="K1574" s="10"/>
      <c r="L1574" s="6"/>
      <c r="M1574" s="11"/>
      <c r="N1574" s="6"/>
      <c r="O1574" s="6"/>
      <c r="P1574" s="10"/>
      <c r="Q1574" s="6"/>
      <c r="R1574" s="6"/>
      <c r="S1574" s="6"/>
      <c r="T1574" s="6"/>
      <c r="U1574" s="9"/>
      <c r="AI1574" s="6"/>
      <c r="AJ1574" s="12"/>
      <c r="AL1574" s="13"/>
    </row>
    <row r="1575">
      <c r="A1575" s="5"/>
      <c r="B1575" s="5"/>
      <c r="C1575" s="5"/>
      <c r="D1575" s="5"/>
      <c r="E1575" s="6"/>
      <c r="F1575" s="6"/>
      <c r="G1575" s="18"/>
      <c r="I1575" s="16"/>
      <c r="J1575" s="9"/>
      <c r="K1575" s="10"/>
      <c r="L1575" s="6"/>
      <c r="M1575" s="11"/>
      <c r="N1575" s="6"/>
      <c r="O1575" s="6"/>
      <c r="P1575" s="10"/>
      <c r="Q1575" s="6"/>
      <c r="R1575" s="6"/>
      <c r="S1575" s="6"/>
      <c r="T1575" s="6"/>
      <c r="U1575" s="9"/>
      <c r="AI1575" s="6"/>
      <c r="AJ1575" s="12"/>
      <c r="AL1575" s="13"/>
    </row>
    <row r="1576">
      <c r="A1576" s="5"/>
      <c r="B1576" s="5"/>
      <c r="C1576" s="5"/>
      <c r="D1576" s="5"/>
      <c r="E1576" s="6"/>
      <c r="F1576" s="6"/>
      <c r="G1576" s="18"/>
      <c r="I1576" s="16"/>
      <c r="J1576" s="9"/>
      <c r="K1576" s="10"/>
      <c r="L1576" s="6"/>
      <c r="M1576" s="11"/>
      <c r="N1576" s="6"/>
      <c r="O1576" s="6"/>
      <c r="P1576" s="10"/>
      <c r="Q1576" s="6"/>
      <c r="R1576" s="6"/>
      <c r="S1576" s="6"/>
      <c r="T1576" s="6"/>
      <c r="U1576" s="9"/>
      <c r="AI1576" s="6"/>
      <c r="AJ1576" s="12"/>
      <c r="AL1576" s="13"/>
    </row>
    <row r="1577">
      <c r="A1577" s="5"/>
      <c r="B1577" s="5"/>
      <c r="C1577" s="5"/>
      <c r="D1577" s="5"/>
      <c r="E1577" s="6"/>
      <c r="F1577" s="6"/>
      <c r="G1577" s="18"/>
      <c r="I1577" s="16"/>
      <c r="J1577" s="9"/>
      <c r="K1577" s="10"/>
      <c r="L1577" s="6"/>
      <c r="M1577" s="11"/>
      <c r="N1577" s="6"/>
      <c r="O1577" s="6"/>
      <c r="P1577" s="10"/>
      <c r="Q1577" s="6"/>
      <c r="R1577" s="6"/>
      <c r="S1577" s="6"/>
      <c r="T1577" s="6"/>
      <c r="U1577" s="9"/>
      <c r="AI1577" s="6"/>
      <c r="AJ1577" s="12"/>
      <c r="AL1577" s="13"/>
    </row>
    <row r="1578">
      <c r="A1578" s="5"/>
      <c r="B1578" s="5"/>
      <c r="C1578" s="5"/>
      <c r="D1578" s="5"/>
      <c r="E1578" s="6"/>
      <c r="F1578" s="6"/>
      <c r="G1578" s="18"/>
      <c r="I1578" s="16"/>
      <c r="J1578" s="9"/>
      <c r="K1578" s="10"/>
      <c r="L1578" s="6"/>
      <c r="M1578" s="11"/>
      <c r="N1578" s="6"/>
      <c r="O1578" s="6"/>
      <c r="P1578" s="10"/>
      <c r="Q1578" s="6"/>
      <c r="R1578" s="6"/>
      <c r="S1578" s="6"/>
      <c r="T1578" s="6"/>
      <c r="U1578" s="9"/>
      <c r="AI1578" s="6"/>
      <c r="AJ1578" s="12"/>
      <c r="AL1578" s="13"/>
    </row>
    <row r="1579">
      <c r="A1579" s="5"/>
      <c r="B1579" s="5"/>
      <c r="C1579" s="5"/>
      <c r="D1579" s="5"/>
      <c r="E1579" s="6"/>
      <c r="F1579" s="6"/>
      <c r="G1579" s="18"/>
      <c r="I1579" s="16"/>
      <c r="J1579" s="9"/>
      <c r="K1579" s="10"/>
      <c r="L1579" s="6"/>
      <c r="M1579" s="11"/>
      <c r="N1579" s="6"/>
      <c r="O1579" s="6"/>
      <c r="P1579" s="10"/>
      <c r="Q1579" s="6"/>
      <c r="R1579" s="6"/>
      <c r="S1579" s="6"/>
      <c r="T1579" s="6"/>
      <c r="U1579" s="9"/>
      <c r="AI1579" s="6"/>
      <c r="AJ1579" s="12"/>
      <c r="AL1579" s="13"/>
    </row>
    <row r="1580">
      <c r="A1580" s="5"/>
      <c r="B1580" s="5"/>
      <c r="C1580" s="5"/>
      <c r="D1580" s="5"/>
      <c r="E1580" s="6"/>
      <c r="F1580" s="6"/>
      <c r="G1580" s="18"/>
      <c r="I1580" s="16"/>
      <c r="J1580" s="9"/>
      <c r="K1580" s="10"/>
      <c r="L1580" s="6"/>
      <c r="M1580" s="11"/>
      <c r="N1580" s="6"/>
      <c r="O1580" s="6"/>
      <c r="P1580" s="10"/>
      <c r="Q1580" s="6"/>
      <c r="R1580" s="6"/>
      <c r="S1580" s="6"/>
      <c r="T1580" s="6"/>
      <c r="U1580" s="9"/>
      <c r="AI1580" s="6"/>
      <c r="AJ1580" s="12"/>
      <c r="AL1580" s="13"/>
    </row>
    <row r="1581">
      <c r="A1581" s="5"/>
      <c r="B1581" s="5"/>
      <c r="C1581" s="5"/>
      <c r="D1581" s="5"/>
      <c r="E1581" s="6"/>
      <c r="F1581" s="6"/>
      <c r="G1581" s="18"/>
      <c r="I1581" s="16"/>
      <c r="J1581" s="9"/>
      <c r="K1581" s="10"/>
      <c r="L1581" s="6"/>
      <c r="M1581" s="11"/>
      <c r="N1581" s="6"/>
      <c r="O1581" s="6"/>
      <c r="P1581" s="10"/>
      <c r="Q1581" s="6"/>
      <c r="R1581" s="6"/>
      <c r="S1581" s="6"/>
      <c r="T1581" s="6"/>
      <c r="U1581" s="9"/>
      <c r="AI1581" s="6"/>
      <c r="AJ1581" s="12"/>
      <c r="AL1581" s="13"/>
    </row>
    <row r="1582">
      <c r="A1582" s="5"/>
      <c r="B1582" s="5"/>
      <c r="C1582" s="5"/>
      <c r="D1582" s="5"/>
      <c r="E1582" s="6"/>
      <c r="F1582" s="6"/>
      <c r="G1582" s="18"/>
      <c r="I1582" s="16"/>
      <c r="J1582" s="9"/>
      <c r="K1582" s="10"/>
      <c r="L1582" s="6"/>
      <c r="M1582" s="11"/>
      <c r="N1582" s="6"/>
      <c r="O1582" s="6"/>
      <c r="P1582" s="10"/>
      <c r="Q1582" s="6"/>
      <c r="R1582" s="6"/>
      <c r="S1582" s="6"/>
      <c r="T1582" s="6"/>
      <c r="U1582" s="9"/>
      <c r="AI1582" s="6"/>
      <c r="AJ1582" s="12"/>
      <c r="AL1582" s="13"/>
    </row>
    <row r="1583">
      <c r="A1583" s="5"/>
      <c r="B1583" s="5"/>
      <c r="C1583" s="5"/>
      <c r="D1583" s="5"/>
      <c r="E1583" s="6"/>
      <c r="F1583" s="6"/>
      <c r="G1583" s="18"/>
      <c r="I1583" s="16"/>
      <c r="J1583" s="9"/>
      <c r="K1583" s="10"/>
      <c r="L1583" s="6"/>
      <c r="M1583" s="11"/>
      <c r="N1583" s="6"/>
      <c r="O1583" s="6"/>
      <c r="P1583" s="10"/>
      <c r="Q1583" s="6"/>
      <c r="R1583" s="6"/>
      <c r="S1583" s="6"/>
      <c r="T1583" s="6"/>
      <c r="U1583" s="9"/>
      <c r="AI1583" s="6"/>
      <c r="AJ1583" s="12"/>
      <c r="AL1583" s="13"/>
    </row>
    <row r="1584">
      <c r="A1584" s="5"/>
      <c r="B1584" s="5"/>
      <c r="C1584" s="5"/>
      <c r="D1584" s="5"/>
      <c r="E1584" s="6"/>
      <c r="F1584" s="6"/>
      <c r="G1584" s="18"/>
      <c r="I1584" s="16"/>
      <c r="J1584" s="9"/>
      <c r="K1584" s="10"/>
      <c r="L1584" s="6"/>
      <c r="M1584" s="11"/>
      <c r="N1584" s="6"/>
      <c r="O1584" s="6"/>
      <c r="P1584" s="10"/>
      <c r="Q1584" s="6"/>
      <c r="R1584" s="6"/>
      <c r="S1584" s="6"/>
      <c r="T1584" s="6"/>
      <c r="U1584" s="9"/>
      <c r="AI1584" s="6"/>
      <c r="AJ1584" s="12"/>
      <c r="AL1584" s="13"/>
    </row>
    <row r="1585">
      <c r="A1585" s="5"/>
      <c r="B1585" s="5"/>
      <c r="C1585" s="5"/>
      <c r="D1585" s="5"/>
      <c r="E1585" s="6"/>
      <c r="F1585" s="6"/>
      <c r="G1585" s="18"/>
      <c r="I1585" s="16"/>
      <c r="J1585" s="9"/>
      <c r="K1585" s="10"/>
      <c r="L1585" s="6"/>
      <c r="M1585" s="11"/>
      <c r="N1585" s="6"/>
      <c r="O1585" s="6"/>
      <c r="P1585" s="10"/>
      <c r="Q1585" s="6"/>
      <c r="R1585" s="6"/>
      <c r="S1585" s="6"/>
      <c r="T1585" s="6"/>
      <c r="U1585" s="9"/>
      <c r="AI1585" s="6"/>
      <c r="AJ1585" s="12"/>
      <c r="AL1585" s="13"/>
    </row>
    <row r="1586">
      <c r="A1586" s="5"/>
      <c r="B1586" s="5"/>
      <c r="C1586" s="5"/>
      <c r="D1586" s="5"/>
      <c r="E1586" s="6"/>
      <c r="F1586" s="6"/>
      <c r="G1586" s="18"/>
      <c r="I1586" s="16"/>
      <c r="J1586" s="9"/>
      <c r="K1586" s="10"/>
      <c r="L1586" s="6"/>
      <c r="M1586" s="11"/>
      <c r="N1586" s="6"/>
      <c r="O1586" s="6"/>
      <c r="P1586" s="10"/>
      <c r="Q1586" s="6"/>
      <c r="R1586" s="6"/>
      <c r="S1586" s="6"/>
      <c r="T1586" s="6"/>
      <c r="U1586" s="9"/>
      <c r="AI1586" s="6"/>
      <c r="AJ1586" s="12"/>
      <c r="AL1586" s="13"/>
    </row>
    <row r="1587">
      <c r="A1587" s="5"/>
      <c r="B1587" s="5"/>
      <c r="C1587" s="5"/>
      <c r="D1587" s="5"/>
      <c r="E1587" s="6"/>
      <c r="F1587" s="6"/>
      <c r="G1587" s="18"/>
      <c r="I1587" s="16"/>
      <c r="J1587" s="9"/>
      <c r="K1587" s="10"/>
      <c r="L1587" s="6"/>
      <c r="M1587" s="11"/>
      <c r="N1587" s="6"/>
      <c r="O1587" s="6"/>
      <c r="P1587" s="10"/>
      <c r="Q1587" s="6"/>
      <c r="R1587" s="6"/>
      <c r="S1587" s="6"/>
      <c r="T1587" s="6"/>
      <c r="U1587" s="9"/>
      <c r="AI1587" s="6"/>
      <c r="AJ1587" s="12"/>
      <c r="AL1587" s="13"/>
    </row>
    <row r="1588">
      <c r="A1588" s="5"/>
      <c r="B1588" s="5"/>
      <c r="C1588" s="5"/>
      <c r="D1588" s="5"/>
      <c r="E1588" s="6"/>
      <c r="F1588" s="6"/>
      <c r="G1588" s="18"/>
      <c r="I1588" s="16"/>
      <c r="J1588" s="9"/>
      <c r="K1588" s="10"/>
      <c r="L1588" s="6"/>
      <c r="M1588" s="11"/>
      <c r="N1588" s="6"/>
      <c r="O1588" s="6"/>
      <c r="P1588" s="10"/>
      <c r="Q1588" s="6"/>
      <c r="R1588" s="6"/>
      <c r="S1588" s="6"/>
      <c r="T1588" s="6"/>
      <c r="U1588" s="9"/>
      <c r="AI1588" s="6"/>
      <c r="AJ1588" s="12"/>
      <c r="AL1588" s="13"/>
    </row>
    <row r="1589">
      <c r="A1589" s="5"/>
      <c r="B1589" s="5"/>
      <c r="C1589" s="5"/>
      <c r="D1589" s="5"/>
      <c r="E1589" s="6"/>
      <c r="F1589" s="6"/>
      <c r="G1589" s="18"/>
      <c r="I1589" s="16"/>
      <c r="J1589" s="9"/>
      <c r="K1589" s="10"/>
      <c r="L1589" s="6"/>
      <c r="M1589" s="11"/>
      <c r="N1589" s="6"/>
      <c r="O1589" s="6"/>
      <c r="P1589" s="10"/>
      <c r="Q1589" s="6"/>
      <c r="R1589" s="6"/>
      <c r="S1589" s="6"/>
      <c r="T1589" s="6"/>
      <c r="U1589" s="9"/>
      <c r="AI1589" s="6"/>
      <c r="AJ1589" s="12"/>
      <c r="AL1589" s="13"/>
    </row>
    <row r="1590">
      <c r="A1590" s="5"/>
      <c r="B1590" s="5"/>
      <c r="C1590" s="5"/>
      <c r="D1590" s="5"/>
      <c r="E1590" s="6"/>
      <c r="F1590" s="6"/>
      <c r="G1590" s="18"/>
      <c r="I1590" s="16"/>
      <c r="J1590" s="9"/>
      <c r="K1590" s="10"/>
      <c r="L1590" s="6"/>
      <c r="M1590" s="11"/>
      <c r="N1590" s="6"/>
      <c r="O1590" s="6"/>
      <c r="P1590" s="10"/>
      <c r="Q1590" s="6"/>
      <c r="R1590" s="6"/>
      <c r="S1590" s="6"/>
      <c r="T1590" s="6"/>
      <c r="U1590" s="9"/>
      <c r="AI1590" s="6"/>
      <c r="AJ1590" s="12"/>
      <c r="AL1590" s="13"/>
    </row>
    <row r="1591">
      <c r="A1591" s="5"/>
      <c r="B1591" s="5"/>
      <c r="C1591" s="5"/>
      <c r="D1591" s="5"/>
      <c r="E1591" s="6"/>
      <c r="F1591" s="6"/>
      <c r="G1591" s="18"/>
      <c r="I1591" s="16"/>
      <c r="J1591" s="9"/>
      <c r="K1591" s="10"/>
      <c r="L1591" s="6"/>
      <c r="M1591" s="11"/>
      <c r="N1591" s="6"/>
      <c r="O1591" s="6"/>
      <c r="P1591" s="10"/>
      <c r="Q1591" s="6"/>
      <c r="R1591" s="6"/>
      <c r="S1591" s="6"/>
      <c r="T1591" s="6"/>
      <c r="U1591" s="9"/>
      <c r="AI1591" s="6"/>
      <c r="AJ1591" s="12"/>
      <c r="AL1591" s="13"/>
    </row>
    <row r="1592">
      <c r="A1592" s="5"/>
      <c r="B1592" s="5"/>
      <c r="C1592" s="5"/>
      <c r="D1592" s="5"/>
      <c r="E1592" s="6"/>
      <c r="F1592" s="6"/>
      <c r="G1592" s="18"/>
      <c r="I1592" s="16"/>
      <c r="J1592" s="9"/>
      <c r="K1592" s="10"/>
      <c r="L1592" s="6"/>
      <c r="M1592" s="11"/>
      <c r="N1592" s="6"/>
      <c r="O1592" s="6"/>
      <c r="P1592" s="10"/>
      <c r="Q1592" s="6"/>
      <c r="R1592" s="6"/>
      <c r="S1592" s="6"/>
      <c r="T1592" s="6"/>
      <c r="U1592" s="9"/>
      <c r="AI1592" s="6"/>
      <c r="AJ1592" s="12"/>
      <c r="AL1592" s="13"/>
    </row>
    <row r="1593">
      <c r="A1593" s="5"/>
      <c r="B1593" s="5"/>
      <c r="C1593" s="5"/>
      <c r="D1593" s="5"/>
      <c r="E1593" s="6"/>
      <c r="F1593" s="6"/>
      <c r="G1593" s="18"/>
      <c r="I1593" s="16"/>
      <c r="J1593" s="9"/>
      <c r="K1593" s="10"/>
      <c r="L1593" s="6"/>
      <c r="M1593" s="11"/>
      <c r="N1593" s="6"/>
      <c r="O1593" s="6"/>
      <c r="P1593" s="10"/>
      <c r="Q1593" s="6"/>
      <c r="R1593" s="6"/>
      <c r="S1593" s="6"/>
      <c r="T1593" s="6"/>
      <c r="U1593" s="9"/>
      <c r="AI1593" s="6"/>
      <c r="AJ1593" s="12"/>
      <c r="AL1593" s="13"/>
    </row>
    <row r="1594">
      <c r="A1594" s="5"/>
      <c r="B1594" s="5"/>
      <c r="C1594" s="5"/>
      <c r="D1594" s="5"/>
      <c r="E1594" s="6"/>
      <c r="F1594" s="6"/>
      <c r="G1594" s="18"/>
      <c r="I1594" s="16"/>
      <c r="J1594" s="9"/>
      <c r="K1594" s="10"/>
      <c r="L1594" s="6"/>
      <c r="M1594" s="11"/>
      <c r="N1594" s="6"/>
      <c r="O1594" s="6"/>
      <c r="P1594" s="10"/>
      <c r="Q1594" s="6"/>
      <c r="R1594" s="6"/>
      <c r="S1594" s="6"/>
      <c r="T1594" s="6"/>
      <c r="U1594" s="9"/>
      <c r="AI1594" s="6"/>
      <c r="AJ1594" s="12"/>
      <c r="AL1594" s="13"/>
    </row>
    <row r="1595">
      <c r="A1595" s="5"/>
      <c r="B1595" s="5"/>
      <c r="C1595" s="5"/>
      <c r="D1595" s="5"/>
      <c r="E1595" s="6"/>
      <c r="F1595" s="6"/>
      <c r="G1595" s="18"/>
      <c r="I1595" s="16"/>
      <c r="J1595" s="9"/>
      <c r="K1595" s="10"/>
      <c r="L1595" s="6"/>
      <c r="M1595" s="11"/>
      <c r="N1595" s="6"/>
      <c r="O1595" s="6"/>
      <c r="P1595" s="10"/>
      <c r="Q1595" s="6"/>
      <c r="R1595" s="6"/>
      <c r="S1595" s="6"/>
      <c r="T1595" s="6"/>
      <c r="U1595" s="9"/>
      <c r="AI1595" s="6"/>
      <c r="AJ1595" s="12"/>
      <c r="AL1595" s="13"/>
    </row>
    <row r="1596">
      <c r="A1596" s="5"/>
      <c r="B1596" s="5"/>
      <c r="C1596" s="5"/>
      <c r="D1596" s="5"/>
      <c r="E1596" s="6"/>
      <c r="F1596" s="6"/>
      <c r="G1596" s="18"/>
      <c r="I1596" s="16"/>
      <c r="J1596" s="9"/>
      <c r="K1596" s="10"/>
      <c r="L1596" s="6"/>
      <c r="M1596" s="11"/>
      <c r="N1596" s="6"/>
      <c r="O1596" s="6"/>
      <c r="P1596" s="10"/>
      <c r="Q1596" s="6"/>
      <c r="R1596" s="6"/>
      <c r="S1596" s="6"/>
      <c r="T1596" s="6"/>
      <c r="U1596" s="9"/>
      <c r="AI1596" s="6"/>
      <c r="AJ1596" s="12"/>
      <c r="AL1596" s="13"/>
    </row>
    <row r="1597">
      <c r="A1597" s="5"/>
      <c r="B1597" s="5"/>
      <c r="C1597" s="5"/>
      <c r="D1597" s="5"/>
      <c r="E1597" s="6"/>
      <c r="F1597" s="6"/>
      <c r="G1597" s="18"/>
      <c r="I1597" s="16"/>
      <c r="J1597" s="9"/>
      <c r="K1597" s="10"/>
      <c r="L1597" s="6"/>
      <c r="M1597" s="11"/>
      <c r="N1597" s="6"/>
      <c r="O1597" s="6"/>
      <c r="P1597" s="10"/>
      <c r="Q1597" s="6"/>
      <c r="R1597" s="6"/>
      <c r="S1597" s="6"/>
      <c r="T1597" s="6"/>
      <c r="U1597" s="9"/>
      <c r="AI1597" s="6"/>
      <c r="AJ1597" s="12"/>
      <c r="AL1597" s="13"/>
    </row>
    <row r="1598">
      <c r="A1598" s="5"/>
      <c r="B1598" s="5"/>
      <c r="C1598" s="5"/>
      <c r="D1598" s="5"/>
      <c r="E1598" s="6"/>
      <c r="F1598" s="6"/>
      <c r="G1598" s="18"/>
      <c r="I1598" s="16"/>
      <c r="J1598" s="9"/>
      <c r="K1598" s="10"/>
      <c r="L1598" s="6"/>
      <c r="M1598" s="11"/>
      <c r="N1598" s="6"/>
      <c r="O1598" s="6"/>
      <c r="P1598" s="10"/>
      <c r="Q1598" s="6"/>
      <c r="R1598" s="6"/>
      <c r="S1598" s="6"/>
      <c r="T1598" s="6"/>
      <c r="U1598" s="9"/>
      <c r="AI1598" s="6"/>
      <c r="AJ1598" s="12"/>
      <c r="AL1598" s="13"/>
    </row>
    <row r="1599">
      <c r="A1599" s="5"/>
      <c r="B1599" s="5"/>
      <c r="C1599" s="5"/>
      <c r="D1599" s="5"/>
      <c r="E1599" s="6"/>
      <c r="F1599" s="6"/>
      <c r="G1599" s="18"/>
      <c r="I1599" s="16"/>
      <c r="J1599" s="9"/>
      <c r="K1599" s="10"/>
      <c r="L1599" s="6"/>
      <c r="M1599" s="11"/>
      <c r="N1599" s="6"/>
      <c r="O1599" s="6"/>
      <c r="P1599" s="10"/>
      <c r="Q1599" s="6"/>
      <c r="R1599" s="6"/>
      <c r="S1599" s="6"/>
      <c r="T1599" s="6"/>
      <c r="U1599" s="9"/>
      <c r="AI1599" s="6"/>
      <c r="AJ1599" s="12"/>
      <c r="AL1599" s="13"/>
    </row>
    <row r="1600">
      <c r="A1600" s="5"/>
      <c r="B1600" s="5"/>
      <c r="C1600" s="5"/>
      <c r="D1600" s="5"/>
      <c r="E1600" s="6"/>
      <c r="F1600" s="6"/>
      <c r="G1600" s="18"/>
      <c r="I1600" s="16"/>
      <c r="J1600" s="9"/>
      <c r="K1600" s="10"/>
      <c r="L1600" s="6"/>
      <c r="M1600" s="11"/>
      <c r="N1600" s="6"/>
      <c r="O1600" s="6"/>
      <c r="P1600" s="10"/>
      <c r="Q1600" s="6"/>
      <c r="R1600" s="6"/>
      <c r="S1600" s="6"/>
      <c r="T1600" s="6"/>
      <c r="U1600" s="9"/>
      <c r="AI1600" s="6"/>
      <c r="AJ1600" s="12"/>
      <c r="AL1600" s="13"/>
    </row>
    <row r="1601">
      <c r="A1601" s="5"/>
      <c r="B1601" s="5"/>
      <c r="C1601" s="5"/>
      <c r="D1601" s="5"/>
      <c r="E1601" s="6"/>
      <c r="F1601" s="6"/>
      <c r="G1601" s="18"/>
      <c r="I1601" s="16"/>
      <c r="J1601" s="9"/>
      <c r="K1601" s="10"/>
      <c r="L1601" s="6"/>
      <c r="M1601" s="11"/>
      <c r="N1601" s="6"/>
      <c r="O1601" s="6"/>
      <c r="P1601" s="10"/>
      <c r="Q1601" s="6"/>
      <c r="R1601" s="6"/>
      <c r="S1601" s="6"/>
      <c r="T1601" s="6"/>
      <c r="U1601" s="9"/>
      <c r="AI1601" s="6"/>
      <c r="AJ1601" s="12"/>
      <c r="AL1601" s="13"/>
    </row>
    <row r="1602">
      <c r="A1602" s="5"/>
      <c r="B1602" s="5"/>
      <c r="C1602" s="5"/>
      <c r="D1602" s="5"/>
      <c r="E1602" s="6"/>
      <c r="F1602" s="6"/>
      <c r="G1602" s="18"/>
      <c r="I1602" s="16"/>
      <c r="J1602" s="9"/>
      <c r="K1602" s="10"/>
      <c r="L1602" s="6"/>
      <c r="M1602" s="11"/>
      <c r="N1602" s="6"/>
      <c r="O1602" s="6"/>
      <c r="P1602" s="10"/>
      <c r="Q1602" s="6"/>
      <c r="R1602" s="6"/>
      <c r="S1602" s="6"/>
      <c r="T1602" s="6"/>
      <c r="U1602" s="9"/>
      <c r="AI1602" s="6"/>
      <c r="AJ1602" s="12"/>
      <c r="AL1602" s="13"/>
    </row>
    <row r="1603">
      <c r="A1603" s="5"/>
      <c r="B1603" s="5"/>
      <c r="C1603" s="5"/>
      <c r="D1603" s="5"/>
      <c r="E1603" s="6"/>
      <c r="F1603" s="6"/>
      <c r="G1603" s="18"/>
      <c r="I1603" s="16"/>
      <c r="J1603" s="9"/>
      <c r="K1603" s="10"/>
      <c r="L1603" s="6"/>
      <c r="M1603" s="11"/>
      <c r="N1603" s="6"/>
      <c r="O1603" s="6"/>
      <c r="P1603" s="10"/>
      <c r="Q1603" s="6"/>
      <c r="R1603" s="6"/>
      <c r="S1603" s="6"/>
      <c r="T1603" s="6"/>
      <c r="U1603" s="9"/>
      <c r="AI1603" s="6"/>
      <c r="AJ1603" s="12"/>
      <c r="AL1603" s="13"/>
    </row>
    <row r="1604">
      <c r="A1604" s="5"/>
      <c r="B1604" s="5"/>
      <c r="C1604" s="5"/>
      <c r="D1604" s="5"/>
      <c r="E1604" s="6"/>
      <c r="F1604" s="6"/>
      <c r="G1604" s="18"/>
      <c r="I1604" s="16"/>
      <c r="J1604" s="9"/>
      <c r="K1604" s="10"/>
      <c r="L1604" s="6"/>
      <c r="M1604" s="11"/>
      <c r="N1604" s="6"/>
      <c r="O1604" s="6"/>
      <c r="P1604" s="10"/>
      <c r="Q1604" s="6"/>
      <c r="R1604" s="6"/>
      <c r="S1604" s="6"/>
      <c r="T1604" s="6"/>
      <c r="U1604" s="9"/>
      <c r="AI1604" s="6"/>
      <c r="AJ1604" s="12"/>
      <c r="AL1604" s="13"/>
    </row>
    <row r="1605">
      <c r="A1605" s="5"/>
      <c r="B1605" s="5"/>
      <c r="C1605" s="5"/>
      <c r="D1605" s="5"/>
      <c r="E1605" s="6"/>
      <c r="F1605" s="6"/>
      <c r="G1605" s="18"/>
      <c r="I1605" s="16"/>
      <c r="J1605" s="9"/>
      <c r="K1605" s="10"/>
      <c r="L1605" s="6"/>
      <c r="M1605" s="11"/>
      <c r="N1605" s="6"/>
      <c r="O1605" s="6"/>
      <c r="P1605" s="10"/>
      <c r="Q1605" s="6"/>
      <c r="R1605" s="6"/>
      <c r="S1605" s="6"/>
      <c r="T1605" s="6"/>
      <c r="U1605" s="9"/>
      <c r="AI1605" s="6"/>
      <c r="AJ1605" s="12"/>
      <c r="AL1605" s="13"/>
    </row>
    <row r="1606">
      <c r="A1606" s="5"/>
      <c r="B1606" s="5"/>
      <c r="C1606" s="5"/>
      <c r="D1606" s="5"/>
      <c r="E1606" s="6"/>
      <c r="F1606" s="6"/>
      <c r="G1606" s="18"/>
      <c r="I1606" s="16"/>
      <c r="J1606" s="9"/>
      <c r="K1606" s="10"/>
      <c r="L1606" s="6"/>
      <c r="M1606" s="11"/>
      <c r="N1606" s="6"/>
      <c r="O1606" s="6"/>
      <c r="P1606" s="10"/>
      <c r="Q1606" s="6"/>
      <c r="R1606" s="6"/>
      <c r="S1606" s="6"/>
      <c r="T1606" s="6"/>
      <c r="U1606" s="9"/>
      <c r="AI1606" s="6"/>
      <c r="AJ1606" s="12"/>
      <c r="AL1606" s="13"/>
    </row>
    <row r="1607">
      <c r="A1607" s="5"/>
      <c r="B1607" s="5"/>
      <c r="C1607" s="5"/>
      <c r="D1607" s="5"/>
      <c r="E1607" s="6"/>
      <c r="F1607" s="6"/>
      <c r="G1607" s="18"/>
      <c r="I1607" s="16"/>
      <c r="J1607" s="9"/>
      <c r="K1607" s="10"/>
      <c r="L1607" s="6"/>
      <c r="M1607" s="11"/>
      <c r="N1607" s="6"/>
      <c r="O1607" s="6"/>
      <c r="P1607" s="10"/>
      <c r="Q1607" s="6"/>
      <c r="R1607" s="6"/>
      <c r="S1607" s="6"/>
      <c r="T1607" s="6"/>
      <c r="U1607" s="9"/>
      <c r="AI1607" s="6"/>
      <c r="AJ1607" s="12"/>
      <c r="AL1607" s="13"/>
    </row>
    <row r="1608">
      <c r="A1608" s="5"/>
      <c r="B1608" s="5"/>
      <c r="C1608" s="5"/>
      <c r="D1608" s="5"/>
      <c r="E1608" s="6"/>
      <c r="F1608" s="6"/>
      <c r="G1608" s="18"/>
      <c r="I1608" s="16"/>
      <c r="J1608" s="9"/>
      <c r="K1608" s="10"/>
      <c r="L1608" s="6"/>
      <c r="M1608" s="11"/>
      <c r="N1608" s="6"/>
      <c r="O1608" s="6"/>
      <c r="P1608" s="10"/>
      <c r="Q1608" s="6"/>
      <c r="R1608" s="6"/>
      <c r="S1608" s="6"/>
      <c r="T1608" s="6"/>
      <c r="U1608" s="9"/>
      <c r="AI1608" s="6"/>
      <c r="AJ1608" s="12"/>
      <c r="AL1608" s="13"/>
    </row>
    <row r="1609">
      <c r="A1609" s="5"/>
      <c r="B1609" s="5"/>
      <c r="C1609" s="5"/>
      <c r="D1609" s="5"/>
      <c r="E1609" s="6"/>
      <c r="F1609" s="6"/>
      <c r="G1609" s="18"/>
      <c r="I1609" s="16"/>
      <c r="J1609" s="9"/>
      <c r="K1609" s="10"/>
      <c r="L1609" s="6"/>
      <c r="M1609" s="11"/>
      <c r="N1609" s="6"/>
      <c r="O1609" s="6"/>
      <c r="P1609" s="10"/>
      <c r="Q1609" s="6"/>
      <c r="R1609" s="6"/>
      <c r="S1609" s="6"/>
      <c r="T1609" s="6"/>
      <c r="U1609" s="9"/>
      <c r="AI1609" s="6"/>
      <c r="AJ1609" s="12"/>
      <c r="AL1609" s="13"/>
    </row>
    <row r="1610">
      <c r="A1610" s="5"/>
      <c r="B1610" s="5"/>
      <c r="C1610" s="5"/>
      <c r="D1610" s="5"/>
      <c r="E1610" s="6"/>
      <c r="F1610" s="6"/>
      <c r="G1610" s="18"/>
      <c r="I1610" s="16"/>
      <c r="J1610" s="9"/>
      <c r="K1610" s="10"/>
      <c r="L1610" s="6"/>
      <c r="M1610" s="11"/>
      <c r="N1610" s="6"/>
      <c r="O1610" s="6"/>
      <c r="P1610" s="10"/>
      <c r="Q1610" s="6"/>
      <c r="R1610" s="6"/>
      <c r="S1610" s="6"/>
      <c r="T1610" s="6"/>
      <c r="U1610" s="9"/>
      <c r="AI1610" s="6"/>
      <c r="AJ1610" s="12"/>
      <c r="AL1610" s="13"/>
    </row>
    <row r="1611">
      <c r="A1611" s="5"/>
      <c r="B1611" s="5"/>
      <c r="C1611" s="5"/>
      <c r="D1611" s="5"/>
      <c r="E1611" s="6"/>
      <c r="F1611" s="6"/>
      <c r="G1611" s="18"/>
      <c r="I1611" s="16"/>
      <c r="J1611" s="9"/>
      <c r="K1611" s="10"/>
      <c r="L1611" s="6"/>
      <c r="M1611" s="11"/>
      <c r="N1611" s="6"/>
      <c r="O1611" s="6"/>
      <c r="P1611" s="10"/>
      <c r="Q1611" s="6"/>
      <c r="R1611" s="6"/>
      <c r="S1611" s="6"/>
      <c r="T1611" s="6"/>
      <c r="U1611" s="9"/>
      <c r="AI1611" s="6"/>
      <c r="AJ1611" s="12"/>
      <c r="AL1611" s="13"/>
    </row>
    <row r="1612">
      <c r="A1612" s="5"/>
      <c r="B1612" s="5"/>
      <c r="C1612" s="5"/>
      <c r="D1612" s="5"/>
      <c r="E1612" s="6"/>
      <c r="F1612" s="6"/>
      <c r="G1612" s="18"/>
      <c r="I1612" s="16"/>
      <c r="J1612" s="9"/>
      <c r="K1612" s="10"/>
      <c r="L1612" s="6"/>
      <c r="M1612" s="11"/>
      <c r="N1612" s="6"/>
      <c r="O1612" s="6"/>
      <c r="P1612" s="10"/>
      <c r="Q1612" s="6"/>
      <c r="R1612" s="6"/>
      <c r="S1612" s="6"/>
      <c r="T1612" s="6"/>
      <c r="U1612" s="9"/>
      <c r="AI1612" s="6"/>
      <c r="AJ1612" s="12"/>
      <c r="AL1612" s="13"/>
    </row>
    <row r="1613">
      <c r="A1613" s="5"/>
      <c r="B1613" s="5"/>
      <c r="C1613" s="5"/>
      <c r="D1613" s="5"/>
      <c r="E1613" s="6"/>
      <c r="F1613" s="6"/>
      <c r="G1613" s="18"/>
      <c r="I1613" s="16"/>
      <c r="J1613" s="9"/>
      <c r="K1613" s="10"/>
      <c r="L1613" s="6"/>
      <c r="M1613" s="11"/>
      <c r="N1613" s="6"/>
      <c r="O1613" s="6"/>
      <c r="P1613" s="10"/>
      <c r="Q1613" s="6"/>
      <c r="R1613" s="6"/>
      <c r="S1613" s="6"/>
      <c r="T1613" s="6"/>
      <c r="U1613" s="9"/>
      <c r="AI1613" s="6"/>
      <c r="AJ1613" s="12"/>
      <c r="AL1613" s="13"/>
    </row>
    <row r="1614">
      <c r="A1614" s="5"/>
      <c r="B1614" s="5"/>
      <c r="C1614" s="5"/>
      <c r="D1614" s="5"/>
      <c r="E1614" s="6"/>
      <c r="F1614" s="6"/>
      <c r="G1614" s="18"/>
      <c r="I1614" s="16"/>
      <c r="J1614" s="9"/>
      <c r="K1614" s="10"/>
      <c r="L1614" s="6"/>
      <c r="M1614" s="11"/>
      <c r="N1614" s="6"/>
      <c r="O1614" s="6"/>
      <c r="P1614" s="10"/>
      <c r="Q1614" s="6"/>
      <c r="R1614" s="6"/>
      <c r="S1614" s="6"/>
      <c r="T1614" s="6"/>
      <c r="U1614" s="9"/>
      <c r="AI1614" s="6"/>
      <c r="AJ1614" s="12"/>
      <c r="AL1614" s="13"/>
    </row>
    <row r="1615">
      <c r="A1615" s="5"/>
      <c r="B1615" s="5"/>
      <c r="C1615" s="5"/>
      <c r="D1615" s="5"/>
      <c r="E1615" s="6"/>
      <c r="F1615" s="6"/>
      <c r="G1615" s="18"/>
      <c r="I1615" s="16"/>
      <c r="J1615" s="9"/>
      <c r="K1615" s="10"/>
      <c r="L1615" s="6"/>
      <c r="M1615" s="11"/>
      <c r="N1615" s="6"/>
      <c r="O1615" s="6"/>
      <c r="P1615" s="10"/>
      <c r="Q1615" s="6"/>
      <c r="R1615" s="6"/>
      <c r="S1615" s="6"/>
      <c r="T1615" s="6"/>
      <c r="U1615" s="9"/>
      <c r="AI1615" s="6"/>
      <c r="AJ1615" s="12"/>
      <c r="AL1615" s="13"/>
    </row>
    <row r="1616">
      <c r="A1616" s="5"/>
      <c r="B1616" s="5"/>
      <c r="C1616" s="5"/>
      <c r="D1616" s="5"/>
      <c r="E1616" s="6"/>
      <c r="F1616" s="6"/>
      <c r="G1616" s="18"/>
      <c r="I1616" s="16"/>
      <c r="J1616" s="9"/>
      <c r="K1616" s="10"/>
      <c r="L1616" s="6"/>
      <c r="M1616" s="11"/>
      <c r="N1616" s="6"/>
      <c r="O1616" s="6"/>
      <c r="P1616" s="10"/>
      <c r="Q1616" s="6"/>
      <c r="R1616" s="6"/>
      <c r="S1616" s="6"/>
      <c r="T1616" s="6"/>
      <c r="U1616" s="9"/>
      <c r="AI1616" s="6"/>
      <c r="AJ1616" s="12"/>
      <c r="AL1616" s="13"/>
    </row>
    <row r="1617">
      <c r="A1617" s="5"/>
      <c r="B1617" s="5"/>
      <c r="C1617" s="5"/>
      <c r="D1617" s="5"/>
      <c r="E1617" s="6"/>
      <c r="F1617" s="6"/>
      <c r="G1617" s="18"/>
      <c r="I1617" s="16"/>
      <c r="J1617" s="9"/>
      <c r="K1617" s="10"/>
      <c r="L1617" s="6"/>
      <c r="M1617" s="11"/>
      <c r="N1617" s="6"/>
      <c r="O1617" s="6"/>
      <c r="P1617" s="10"/>
      <c r="Q1617" s="6"/>
      <c r="R1617" s="6"/>
      <c r="S1617" s="6"/>
      <c r="T1617" s="6"/>
      <c r="U1617" s="9"/>
      <c r="AI1617" s="6"/>
      <c r="AJ1617" s="12"/>
      <c r="AL1617" s="13"/>
    </row>
    <row r="1618">
      <c r="A1618" s="5"/>
      <c r="B1618" s="5"/>
      <c r="C1618" s="5"/>
      <c r="D1618" s="5"/>
      <c r="E1618" s="6"/>
      <c r="F1618" s="6"/>
      <c r="G1618" s="18"/>
      <c r="I1618" s="16"/>
      <c r="J1618" s="9"/>
      <c r="K1618" s="10"/>
      <c r="L1618" s="6"/>
      <c r="M1618" s="11"/>
      <c r="N1618" s="6"/>
      <c r="O1618" s="6"/>
      <c r="P1618" s="10"/>
      <c r="Q1618" s="6"/>
      <c r="R1618" s="6"/>
      <c r="S1618" s="6"/>
      <c r="T1618" s="6"/>
      <c r="U1618" s="9"/>
      <c r="AI1618" s="6"/>
      <c r="AJ1618" s="12"/>
      <c r="AL1618" s="13"/>
    </row>
    <row r="1619">
      <c r="A1619" s="5"/>
      <c r="B1619" s="5"/>
      <c r="C1619" s="5"/>
      <c r="D1619" s="5"/>
      <c r="E1619" s="6"/>
      <c r="F1619" s="6"/>
      <c r="G1619" s="18"/>
      <c r="I1619" s="16"/>
      <c r="J1619" s="9"/>
      <c r="K1619" s="10"/>
      <c r="L1619" s="6"/>
      <c r="M1619" s="11"/>
      <c r="N1619" s="6"/>
      <c r="O1619" s="6"/>
      <c r="P1619" s="10"/>
      <c r="Q1619" s="6"/>
      <c r="R1619" s="6"/>
      <c r="S1619" s="6"/>
      <c r="T1619" s="6"/>
      <c r="U1619" s="9"/>
      <c r="AI1619" s="6"/>
      <c r="AJ1619" s="12"/>
      <c r="AL1619" s="13"/>
    </row>
    <row r="1620">
      <c r="A1620" s="5"/>
      <c r="B1620" s="5"/>
      <c r="C1620" s="5"/>
      <c r="D1620" s="5"/>
      <c r="E1620" s="6"/>
      <c r="F1620" s="6"/>
      <c r="G1620" s="18"/>
      <c r="I1620" s="16"/>
      <c r="J1620" s="9"/>
      <c r="K1620" s="10"/>
      <c r="L1620" s="6"/>
      <c r="M1620" s="11"/>
      <c r="N1620" s="6"/>
      <c r="O1620" s="6"/>
      <c r="P1620" s="10"/>
      <c r="Q1620" s="6"/>
      <c r="R1620" s="6"/>
      <c r="S1620" s="6"/>
      <c r="T1620" s="6"/>
      <c r="U1620" s="9"/>
      <c r="AI1620" s="6"/>
      <c r="AJ1620" s="12"/>
      <c r="AL1620" s="13"/>
    </row>
    <row r="1621">
      <c r="A1621" s="5"/>
      <c r="B1621" s="5"/>
      <c r="C1621" s="5"/>
      <c r="D1621" s="5"/>
      <c r="E1621" s="6"/>
      <c r="F1621" s="6"/>
      <c r="G1621" s="18"/>
      <c r="I1621" s="16"/>
      <c r="J1621" s="9"/>
      <c r="K1621" s="10"/>
      <c r="L1621" s="6"/>
      <c r="M1621" s="11"/>
      <c r="N1621" s="6"/>
      <c r="O1621" s="6"/>
      <c r="P1621" s="10"/>
      <c r="Q1621" s="6"/>
      <c r="R1621" s="6"/>
      <c r="S1621" s="6"/>
      <c r="T1621" s="6"/>
      <c r="U1621" s="9"/>
      <c r="AI1621" s="6"/>
      <c r="AJ1621" s="12"/>
      <c r="AL1621" s="13"/>
    </row>
    <row r="1622">
      <c r="A1622" s="5"/>
      <c r="B1622" s="5"/>
      <c r="C1622" s="5"/>
      <c r="D1622" s="5"/>
      <c r="E1622" s="6"/>
      <c r="F1622" s="6"/>
      <c r="G1622" s="18"/>
      <c r="I1622" s="16"/>
      <c r="J1622" s="9"/>
      <c r="K1622" s="10"/>
      <c r="L1622" s="6"/>
      <c r="M1622" s="11"/>
      <c r="N1622" s="6"/>
      <c r="O1622" s="6"/>
      <c r="P1622" s="10"/>
      <c r="Q1622" s="6"/>
      <c r="R1622" s="6"/>
      <c r="S1622" s="6"/>
      <c r="T1622" s="6"/>
      <c r="U1622" s="9"/>
      <c r="AI1622" s="6"/>
      <c r="AJ1622" s="12"/>
      <c r="AL1622" s="13"/>
    </row>
    <row r="1623">
      <c r="A1623" s="5"/>
      <c r="B1623" s="5"/>
      <c r="C1623" s="5"/>
      <c r="D1623" s="5"/>
      <c r="E1623" s="6"/>
      <c r="F1623" s="6"/>
      <c r="G1623" s="18"/>
      <c r="I1623" s="16"/>
      <c r="J1623" s="9"/>
      <c r="K1623" s="10"/>
      <c r="L1623" s="6"/>
      <c r="M1623" s="11"/>
      <c r="N1623" s="6"/>
      <c r="O1623" s="6"/>
      <c r="P1623" s="10"/>
      <c r="Q1623" s="6"/>
      <c r="R1623" s="6"/>
      <c r="S1623" s="6"/>
      <c r="T1623" s="6"/>
      <c r="U1623" s="9"/>
      <c r="AI1623" s="6"/>
      <c r="AJ1623" s="12"/>
      <c r="AL1623" s="13"/>
    </row>
    <row r="1624">
      <c r="A1624" s="5"/>
      <c r="B1624" s="5"/>
      <c r="C1624" s="5"/>
      <c r="D1624" s="5"/>
      <c r="E1624" s="6"/>
      <c r="F1624" s="6"/>
      <c r="G1624" s="18"/>
      <c r="I1624" s="16"/>
      <c r="J1624" s="9"/>
      <c r="K1624" s="10"/>
      <c r="L1624" s="6"/>
      <c r="M1624" s="11"/>
      <c r="N1624" s="6"/>
      <c r="O1624" s="6"/>
      <c r="P1624" s="10"/>
      <c r="Q1624" s="6"/>
      <c r="R1624" s="6"/>
      <c r="S1624" s="6"/>
      <c r="T1624" s="6"/>
      <c r="U1624" s="9"/>
      <c r="AI1624" s="6"/>
      <c r="AJ1624" s="12"/>
      <c r="AL1624" s="13"/>
    </row>
    <row r="1625">
      <c r="A1625" s="5"/>
      <c r="B1625" s="5"/>
      <c r="C1625" s="5"/>
      <c r="D1625" s="5"/>
      <c r="E1625" s="6"/>
      <c r="F1625" s="6"/>
      <c r="G1625" s="18"/>
      <c r="I1625" s="16"/>
      <c r="J1625" s="9"/>
      <c r="K1625" s="10"/>
      <c r="L1625" s="6"/>
      <c r="M1625" s="11"/>
      <c r="N1625" s="6"/>
      <c r="O1625" s="6"/>
      <c r="P1625" s="10"/>
      <c r="Q1625" s="6"/>
      <c r="R1625" s="6"/>
      <c r="S1625" s="6"/>
      <c r="T1625" s="6"/>
      <c r="U1625" s="9"/>
      <c r="AI1625" s="6"/>
      <c r="AJ1625" s="12"/>
      <c r="AL1625" s="13"/>
    </row>
    <row r="1626">
      <c r="A1626" s="5"/>
      <c r="B1626" s="5"/>
      <c r="C1626" s="5"/>
      <c r="D1626" s="5"/>
      <c r="E1626" s="6"/>
      <c r="F1626" s="6"/>
      <c r="G1626" s="18"/>
      <c r="I1626" s="16"/>
      <c r="J1626" s="9"/>
      <c r="K1626" s="10"/>
      <c r="L1626" s="6"/>
      <c r="M1626" s="11"/>
      <c r="N1626" s="6"/>
      <c r="O1626" s="6"/>
      <c r="P1626" s="10"/>
      <c r="Q1626" s="6"/>
      <c r="R1626" s="6"/>
      <c r="S1626" s="6"/>
      <c r="T1626" s="6"/>
      <c r="U1626" s="9"/>
      <c r="AI1626" s="6"/>
      <c r="AJ1626" s="12"/>
      <c r="AL1626" s="13"/>
    </row>
    <row r="1627">
      <c r="A1627" s="5"/>
      <c r="B1627" s="5"/>
      <c r="C1627" s="5"/>
      <c r="D1627" s="5"/>
      <c r="E1627" s="6"/>
      <c r="F1627" s="6"/>
      <c r="G1627" s="18"/>
      <c r="I1627" s="16"/>
      <c r="J1627" s="9"/>
      <c r="K1627" s="10"/>
      <c r="L1627" s="6"/>
      <c r="M1627" s="11"/>
      <c r="N1627" s="6"/>
      <c r="O1627" s="6"/>
      <c r="P1627" s="10"/>
      <c r="Q1627" s="6"/>
      <c r="R1627" s="6"/>
      <c r="S1627" s="6"/>
      <c r="T1627" s="6"/>
      <c r="U1627" s="9"/>
      <c r="AI1627" s="6"/>
      <c r="AJ1627" s="12"/>
      <c r="AL1627" s="13"/>
    </row>
    <row r="1628">
      <c r="A1628" s="5"/>
      <c r="B1628" s="5"/>
      <c r="C1628" s="5"/>
      <c r="D1628" s="5"/>
      <c r="E1628" s="6"/>
      <c r="F1628" s="6"/>
      <c r="G1628" s="18"/>
      <c r="I1628" s="16"/>
      <c r="J1628" s="9"/>
      <c r="K1628" s="10"/>
      <c r="L1628" s="6"/>
      <c r="M1628" s="11"/>
      <c r="N1628" s="6"/>
      <c r="O1628" s="6"/>
      <c r="P1628" s="10"/>
      <c r="Q1628" s="6"/>
      <c r="R1628" s="6"/>
      <c r="S1628" s="6"/>
      <c r="T1628" s="6"/>
      <c r="U1628" s="9"/>
      <c r="AI1628" s="6"/>
      <c r="AJ1628" s="12"/>
      <c r="AL1628" s="13"/>
    </row>
    <row r="1629">
      <c r="A1629" s="5"/>
      <c r="B1629" s="5"/>
      <c r="C1629" s="5"/>
      <c r="D1629" s="5"/>
      <c r="E1629" s="6"/>
      <c r="F1629" s="6"/>
      <c r="G1629" s="18"/>
      <c r="I1629" s="16"/>
      <c r="J1629" s="9"/>
      <c r="K1629" s="10"/>
      <c r="L1629" s="6"/>
      <c r="M1629" s="11"/>
      <c r="N1629" s="6"/>
      <c r="O1629" s="6"/>
      <c r="P1629" s="10"/>
      <c r="Q1629" s="6"/>
      <c r="R1629" s="6"/>
      <c r="S1629" s="6"/>
      <c r="T1629" s="6"/>
      <c r="U1629" s="9"/>
      <c r="AI1629" s="6"/>
      <c r="AJ1629" s="12"/>
      <c r="AL1629" s="13"/>
    </row>
    <row r="1630">
      <c r="A1630" s="5"/>
      <c r="B1630" s="5"/>
      <c r="C1630" s="5"/>
      <c r="D1630" s="5"/>
      <c r="E1630" s="6"/>
      <c r="F1630" s="6"/>
      <c r="G1630" s="18"/>
      <c r="I1630" s="16"/>
      <c r="J1630" s="9"/>
      <c r="K1630" s="10"/>
      <c r="L1630" s="6"/>
      <c r="M1630" s="11"/>
      <c r="N1630" s="6"/>
      <c r="O1630" s="6"/>
      <c r="P1630" s="10"/>
      <c r="Q1630" s="6"/>
      <c r="R1630" s="6"/>
      <c r="S1630" s="6"/>
      <c r="T1630" s="6"/>
      <c r="U1630" s="9"/>
      <c r="AI1630" s="6"/>
      <c r="AJ1630" s="12"/>
      <c r="AL1630" s="13"/>
    </row>
    <row r="1631">
      <c r="A1631" s="5"/>
      <c r="B1631" s="5"/>
      <c r="C1631" s="5"/>
      <c r="D1631" s="5"/>
      <c r="E1631" s="6"/>
      <c r="F1631" s="6"/>
      <c r="G1631" s="18"/>
      <c r="I1631" s="16"/>
      <c r="J1631" s="9"/>
      <c r="K1631" s="10"/>
      <c r="L1631" s="6"/>
      <c r="M1631" s="11"/>
      <c r="N1631" s="6"/>
      <c r="O1631" s="6"/>
      <c r="P1631" s="10"/>
      <c r="Q1631" s="6"/>
      <c r="R1631" s="6"/>
      <c r="S1631" s="6"/>
      <c r="T1631" s="6"/>
      <c r="U1631" s="9"/>
      <c r="AI1631" s="6"/>
      <c r="AJ1631" s="12"/>
      <c r="AL1631" s="13"/>
    </row>
    <row r="1632">
      <c r="A1632" s="5"/>
      <c r="B1632" s="5"/>
      <c r="C1632" s="5"/>
      <c r="D1632" s="5"/>
      <c r="E1632" s="6"/>
      <c r="F1632" s="6"/>
      <c r="G1632" s="18"/>
      <c r="I1632" s="16"/>
      <c r="J1632" s="9"/>
      <c r="K1632" s="10"/>
      <c r="L1632" s="6"/>
      <c r="M1632" s="11"/>
      <c r="N1632" s="6"/>
      <c r="O1632" s="6"/>
      <c r="P1632" s="10"/>
      <c r="Q1632" s="6"/>
      <c r="R1632" s="6"/>
      <c r="S1632" s="6"/>
      <c r="T1632" s="6"/>
      <c r="U1632" s="9"/>
      <c r="AI1632" s="6"/>
      <c r="AJ1632" s="12"/>
      <c r="AL1632" s="13"/>
    </row>
    <row r="1633">
      <c r="A1633" s="5"/>
      <c r="B1633" s="5"/>
      <c r="C1633" s="5"/>
      <c r="D1633" s="5"/>
      <c r="E1633" s="6"/>
      <c r="F1633" s="6"/>
      <c r="G1633" s="18"/>
      <c r="I1633" s="16"/>
      <c r="J1633" s="9"/>
      <c r="K1633" s="10"/>
      <c r="L1633" s="6"/>
      <c r="M1633" s="11"/>
      <c r="N1633" s="6"/>
      <c r="O1633" s="6"/>
      <c r="P1633" s="10"/>
      <c r="Q1633" s="6"/>
      <c r="R1633" s="6"/>
      <c r="S1633" s="6"/>
      <c r="T1633" s="6"/>
      <c r="U1633" s="9"/>
      <c r="AI1633" s="6"/>
      <c r="AJ1633" s="12"/>
      <c r="AL1633" s="13"/>
    </row>
    <row r="1634">
      <c r="A1634" s="5"/>
      <c r="B1634" s="5"/>
      <c r="C1634" s="5"/>
      <c r="D1634" s="5"/>
      <c r="E1634" s="6"/>
      <c r="F1634" s="6"/>
      <c r="G1634" s="18"/>
      <c r="I1634" s="16"/>
      <c r="J1634" s="9"/>
      <c r="K1634" s="10"/>
      <c r="L1634" s="6"/>
      <c r="M1634" s="11"/>
      <c r="N1634" s="6"/>
      <c r="O1634" s="6"/>
      <c r="P1634" s="10"/>
      <c r="Q1634" s="6"/>
      <c r="R1634" s="6"/>
      <c r="S1634" s="6"/>
      <c r="T1634" s="6"/>
      <c r="U1634" s="9"/>
      <c r="AI1634" s="6"/>
      <c r="AJ1634" s="12"/>
      <c r="AL1634" s="13"/>
    </row>
    <row r="1635">
      <c r="A1635" s="5"/>
      <c r="B1635" s="5"/>
      <c r="C1635" s="5"/>
      <c r="D1635" s="5"/>
      <c r="E1635" s="6"/>
      <c r="F1635" s="6"/>
      <c r="G1635" s="18"/>
      <c r="I1635" s="16"/>
      <c r="J1635" s="9"/>
      <c r="K1635" s="10"/>
      <c r="L1635" s="6"/>
      <c r="M1635" s="11"/>
      <c r="N1635" s="6"/>
      <c r="O1635" s="6"/>
      <c r="P1635" s="10"/>
      <c r="Q1635" s="6"/>
      <c r="R1635" s="6"/>
      <c r="S1635" s="6"/>
      <c r="T1635" s="6"/>
      <c r="U1635" s="9"/>
      <c r="AI1635" s="6"/>
      <c r="AJ1635" s="12"/>
      <c r="AL1635" s="13"/>
    </row>
    <row r="1636">
      <c r="A1636" s="5"/>
      <c r="B1636" s="5"/>
      <c r="C1636" s="5"/>
      <c r="D1636" s="5"/>
      <c r="E1636" s="6"/>
      <c r="F1636" s="6"/>
      <c r="G1636" s="18"/>
      <c r="I1636" s="16"/>
      <c r="J1636" s="9"/>
      <c r="K1636" s="10"/>
      <c r="L1636" s="6"/>
      <c r="M1636" s="11"/>
      <c r="N1636" s="6"/>
      <c r="O1636" s="6"/>
      <c r="P1636" s="10"/>
      <c r="Q1636" s="6"/>
      <c r="R1636" s="6"/>
      <c r="S1636" s="6"/>
      <c r="T1636" s="6"/>
      <c r="U1636" s="9"/>
      <c r="AI1636" s="6"/>
      <c r="AJ1636" s="12"/>
      <c r="AL1636" s="13"/>
    </row>
    <row r="1637">
      <c r="A1637" s="5"/>
      <c r="B1637" s="5"/>
      <c r="C1637" s="5"/>
      <c r="D1637" s="5"/>
      <c r="E1637" s="6"/>
      <c r="F1637" s="6"/>
      <c r="G1637" s="18"/>
      <c r="I1637" s="16"/>
      <c r="J1637" s="9"/>
      <c r="K1637" s="10"/>
      <c r="L1637" s="6"/>
      <c r="M1637" s="11"/>
      <c r="N1637" s="6"/>
      <c r="O1637" s="6"/>
      <c r="P1637" s="10"/>
      <c r="Q1637" s="6"/>
      <c r="R1637" s="6"/>
      <c r="S1637" s="6"/>
      <c r="T1637" s="6"/>
      <c r="U1637" s="9"/>
      <c r="AI1637" s="6"/>
      <c r="AJ1637" s="12"/>
      <c r="AL1637" s="13"/>
    </row>
    <row r="1638">
      <c r="A1638" s="5"/>
      <c r="B1638" s="5"/>
      <c r="C1638" s="5"/>
      <c r="D1638" s="5"/>
      <c r="E1638" s="6"/>
      <c r="F1638" s="6"/>
      <c r="G1638" s="18"/>
      <c r="I1638" s="16"/>
      <c r="J1638" s="9"/>
      <c r="K1638" s="10"/>
      <c r="L1638" s="6"/>
      <c r="M1638" s="11"/>
      <c r="N1638" s="6"/>
      <c r="O1638" s="6"/>
      <c r="P1638" s="10"/>
      <c r="Q1638" s="6"/>
      <c r="R1638" s="6"/>
      <c r="S1638" s="6"/>
      <c r="T1638" s="6"/>
      <c r="U1638" s="9"/>
      <c r="AI1638" s="6"/>
      <c r="AJ1638" s="12"/>
      <c r="AL1638" s="13"/>
    </row>
    <row r="1639">
      <c r="A1639" s="5"/>
      <c r="B1639" s="5"/>
      <c r="C1639" s="5"/>
      <c r="D1639" s="5"/>
      <c r="E1639" s="6"/>
      <c r="F1639" s="6"/>
      <c r="G1639" s="18"/>
      <c r="I1639" s="16"/>
      <c r="J1639" s="9"/>
      <c r="K1639" s="10"/>
      <c r="L1639" s="6"/>
      <c r="M1639" s="11"/>
      <c r="N1639" s="6"/>
      <c r="O1639" s="6"/>
      <c r="P1639" s="10"/>
      <c r="Q1639" s="6"/>
      <c r="R1639" s="6"/>
      <c r="S1639" s="6"/>
      <c r="T1639" s="6"/>
      <c r="U1639" s="9"/>
      <c r="AI1639" s="6"/>
      <c r="AJ1639" s="12"/>
      <c r="AL1639" s="13"/>
    </row>
    <row r="1640">
      <c r="A1640" s="5"/>
      <c r="B1640" s="5"/>
      <c r="C1640" s="5"/>
      <c r="D1640" s="5"/>
      <c r="E1640" s="6"/>
      <c r="F1640" s="6"/>
      <c r="G1640" s="18"/>
      <c r="I1640" s="16"/>
      <c r="J1640" s="9"/>
      <c r="K1640" s="10"/>
      <c r="L1640" s="6"/>
      <c r="M1640" s="11"/>
      <c r="N1640" s="6"/>
      <c r="O1640" s="6"/>
      <c r="P1640" s="10"/>
      <c r="Q1640" s="6"/>
      <c r="R1640" s="6"/>
      <c r="S1640" s="6"/>
      <c r="T1640" s="6"/>
      <c r="U1640" s="9"/>
      <c r="AI1640" s="6"/>
      <c r="AJ1640" s="12"/>
      <c r="AL1640" s="13"/>
    </row>
    <row r="1641">
      <c r="A1641" s="5"/>
      <c r="B1641" s="5"/>
      <c r="C1641" s="5"/>
      <c r="D1641" s="5"/>
      <c r="E1641" s="6"/>
      <c r="F1641" s="6"/>
      <c r="G1641" s="18"/>
      <c r="I1641" s="16"/>
      <c r="J1641" s="9"/>
      <c r="K1641" s="10"/>
      <c r="L1641" s="6"/>
      <c r="M1641" s="11"/>
      <c r="N1641" s="6"/>
      <c r="O1641" s="6"/>
      <c r="P1641" s="10"/>
      <c r="Q1641" s="6"/>
      <c r="R1641" s="6"/>
      <c r="S1641" s="6"/>
      <c r="T1641" s="6"/>
      <c r="U1641" s="9"/>
      <c r="AI1641" s="6"/>
      <c r="AJ1641" s="12"/>
      <c r="AL1641" s="13"/>
    </row>
    <row r="1642">
      <c r="A1642" s="5"/>
      <c r="B1642" s="5"/>
      <c r="C1642" s="5"/>
      <c r="D1642" s="5"/>
      <c r="E1642" s="6"/>
      <c r="F1642" s="6"/>
      <c r="G1642" s="18"/>
      <c r="I1642" s="16"/>
      <c r="J1642" s="9"/>
      <c r="K1642" s="10"/>
      <c r="L1642" s="6"/>
      <c r="M1642" s="11"/>
      <c r="N1642" s="6"/>
      <c r="O1642" s="6"/>
      <c r="P1642" s="10"/>
      <c r="Q1642" s="6"/>
      <c r="R1642" s="6"/>
      <c r="S1642" s="6"/>
      <c r="T1642" s="6"/>
      <c r="U1642" s="9"/>
      <c r="AI1642" s="6"/>
      <c r="AJ1642" s="12"/>
      <c r="AL1642" s="13"/>
    </row>
    <row r="1643">
      <c r="A1643" s="5"/>
      <c r="B1643" s="5"/>
      <c r="C1643" s="5"/>
      <c r="D1643" s="5"/>
      <c r="E1643" s="6"/>
      <c r="F1643" s="6"/>
      <c r="G1643" s="18"/>
      <c r="I1643" s="16"/>
      <c r="J1643" s="9"/>
      <c r="K1643" s="10"/>
      <c r="L1643" s="6"/>
      <c r="M1643" s="11"/>
      <c r="N1643" s="6"/>
      <c r="O1643" s="6"/>
      <c r="P1643" s="10"/>
      <c r="Q1643" s="6"/>
      <c r="R1643" s="6"/>
      <c r="S1643" s="6"/>
      <c r="T1643" s="6"/>
      <c r="U1643" s="9"/>
      <c r="AI1643" s="6"/>
      <c r="AJ1643" s="12"/>
      <c r="AL1643" s="13"/>
    </row>
    <row r="1644">
      <c r="A1644" s="5"/>
      <c r="B1644" s="5"/>
      <c r="C1644" s="5"/>
      <c r="D1644" s="5"/>
      <c r="E1644" s="6"/>
      <c r="F1644" s="6"/>
      <c r="G1644" s="18"/>
      <c r="I1644" s="16"/>
      <c r="J1644" s="9"/>
      <c r="K1644" s="10"/>
      <c r="L1644" s="6"/>
      <c r="M1644" s="11"/>
      <c r="N1644" s="6"/>
      <c r="O1644" s="6"/>
      <c r="P1644" s="10"/>
      <c r="Q1644" s="6"/>
      <c r="R1644" s="6"/>
      <c r="S1644" s="6"/>
      <c r="T1644" s="6"/>
      <c r="U1644" s="9"/>
      <c r="AI1644" s="6"/>
      <c r="AJ1644" s="12"/>
      <c r="AL1644" s="13"/>
    </row>
    <row r="1645">
      <c r="A1645" s="5"/>
      <c r="B1645" s="5"/>
      <c r="C1645" s="5"/>
      <c r="D1645" s="5"/>
      <c r="E1645" s="6"/>
      <c r="F1645" s="6"/>
      <c r="G1645" s="18"/>
      <c r="I1645" s="16"/>
      <c r="J1645" s="9"/>
      <c r="K1645" s="10"/>
      <c r="L1645" s="6"/>
      <c r="M1645" s="11"/>
      <c r="N1645" s="6"/>
      <c r="O1645" s="6"/>
      <c r="P1645" s="10"/>
      <c r="Q1645" s="6"/>
      <c r="R1645" s="6"/>
      <c r="S1645" s="6"/>
      <c r="T1645" s="6"/>
      <c r="U1645" s="9"/>
      <c r="AI1645" s="6"/>
      <c r="AJ1645" s="12"/>
      <c r="AL1645" s="13"/>
    </row>
    <row r="1646">
      <c r="A1646" s="5"/>
      <c r="B1646" s="5"/>
      <c r="C1646" s="5"/>
      <c r="D1646" s="5"/>
      <c r="E1646" s="6"/>
      <c r="F1646" s="6"/>
      <c r="G1646" s="18"/>
      <c r="I1646" s="16"/>
      <c r="J1646" s="9"/>
      <c r="K1646" s="10"/>
      <c r="L1646" s="6"/>
      <c r="M1646" s="11"/>
      <c r="N1646" s="6"/>
      <c r="O1646" s="6"/>
      <c r="P1646" s="10"/>
      <c r="Q1646" s="6"/>
      <c r="R1646" s="6"/>
      <c r="S1646" s="6"/>
      <c r="T1646" s="6"/>
      <c r="U1646" s="9"/>
      <c r="AI1646" s="6"/>
      <c r="AJ1646" s="12"/>
      <c r="AL1646" s="13"/>
    </row>
    <row r="1647">
      <c r="A1647" s="5"/>
      <c r="B1647" s="5"/>
      <c r="C1647" s="5"/>
      <c r="D1647" s="5"/>
      <c r="E1647" s="6"/>
      <c r="F1647" s="6"/>
      <c r="G1647" s="18"/>
      <c r="I1647" s="16"/>
      <c r="J1647" s="9"/>
      <c r="K1647" s="10"/>
      <c r="L1647" s="6"/>
      <c r="M1647" s="11"/>
      <c r="N1647" s="6"/>
      <c r="O1647" s="6"/>
      <c r="P1647" s="10"/>
      <c r="Q1647" s="6"/>
      <c r="R1647" s="6"/>
      <c r="S1647" s="6"/>
      <c r="T1647" s="6"/>
      <c r="U1647" s="9"/>
      <c r="AI1647" s="6"/>
      <c r="AJ1647" s="12"/>
      <c r="AL1647" s="13"/>
    </row>
    <row r="1648">
      <c r="A1648" s="5"/>
      <c r="B1648" s="5"/>
      <c r="C1648" s="5"/>
      <c r="D1648" s="5"/>
      <c r="E1648" s="6"/>
      <c r="F1648" s="6"/>
      <c r="G1648" s="18"/>
      <c r="I1648" s="16"/>
      <c r="J1648" s="9"/>
      <c r="K1648" s="10"/>
      <c r="L1648" s="6"/>
      <c r="M1648" s="11"/>
      <c r="N1648" s="6"/>
      <c r="O1648" s="6"/>
      <c r="P1648" s="10"/>
      <c r="Q1648" s="6"/>
      <c r="R1648" s="6"/>
      <c r="S1648" s="6"/>
      <c r="T1648" s="6"/>
      <c r="U1648" s="9"/>
      <c r="AI1648" s="6"/>
      <c r="AJ1648" s="12"/>
      <c r="AL1648" s="13"/>
    </row>
    <row r="1649">
      <c r="A1649" s="5"/>
      <c r="B1649" s="5"/>
      <c r="C1649" s="5"/>
      <c r="D1649" s="5"/>
      <c r="E1649" s="6"/>
      <c r="F1649" s="6"/>
      <c r="G1649" s="18"/>
      <c r="I1649" s="16"/>
      <c r="J1649" s="9"/>
      <c r="K1649" s="10"/>
      <c r="L1649" s="6"/>
      <c r="M1649" s="11"/>
      <c r="N1649" s="6"/>
      <c r="O1649" s="6"/>
      <c r="P1649" s="10"/>
      <c r="Q1649" s="6"/>
      <c r="R1649" s="6"/>
      <c r="S1649" s="6"/>
      <c r="T1649" s="6"/>
      <c r="U1649" s="9"/>
      <c r="AI1649" s="6"/>
      <c r="AJ1649" s="12"/>
      <c r="AL1649" s="13"/>
    </row>
    <row r="1650">
      <c r="A1650" s="5"/>
      <c r="B1650" s="5"/>
      <c r="C1650" s="5"/>
      <c r="D1650" s="5"/>
      <c r="E1650" s="6"/>
      <c r="F1650" s="6"/>
      <c r="G1650" s="18"/>
      <c r="I1650" s="16"/>
      <c r="J1650" s="9"/>
      <c r="K1650" s="10"/>
      <c r="L1650" s="6"/>
      <c r="M1650" s="11"/>
      <c r="N1650" s="6"/>
      <c r="O1650" s="6"/>
      <c r="P1650" s="10"/>
      <c r="Q1650" s="6"/>
      <c r="R1650" s="6"/>
      <c r="S1650" s="6"/>
      <c r="T1650" s="6"/>
      <c r="U1650" s="9"/>
      <c r="AI1650" s="6"/>
      <c r="AJ1650" s="12"/>
      <c r="AL1650" s="13"/>
    </row>
    <row r="1651">
      <c r="A1651" s="5"/>
      <c r="B1651" s="5"/>
      <c r="C1651" s="5"/>
      <c r="D1651" s="5"/>
      <c r="E1651" s="6"/>
      <c r="F1651" s="6"/>
      <c r="G1651" s="18"/>
      <c r="I1651" s="16"/>
      <c r="J1651" s="9"/>
      <c r="K1651" s="10"/>
      <c r="L1651" s="6"/>
      <c r="M1651" s="11"/>
      <c r="N1651" s="6"/>
      <c r="O1651" s="6"/>
      <c r="P1651" s="10"/>
      <c r="Q1651" s="6"/>
      <c r="R1651" s="6"/>
      <c r="S1651" s="6"/>
      <c r="T1651" s="6"/>
      <c r="U1651" s="9"/>
      <c r="AI1651" s="6"/>
      <c r="AJ1651" s="12"/>
      <c r="AL1651" s="13"/>
    </row>
    <row r="1652">
      <c r="A1652" s="5"/>
      <c r="B1652" s="5"/>
      <c r="C1652" s="5"/>
      <c r="D1652" s="5"/>
      <c r="E1652" s="6"/>
      <c r="F1652" s="6"/>
      <c r="G1652" s="18"/>
      <c r="I1652" s="16"/>
      <c r="J1652" s="9"/>
      <c r="K1652" s="10"/>
      <c r="L1652" s="6"/>
      <c r="M1652" s="11"/>
      <c r="N1652" s="6"/>
      <c r="O1652" s="6"/>
      <c r="P1652" s="10"/>
      <c r="Q1652" s="6"/>
      <c r="R1652" s="6"/>
      <c r="S1652" s="6"/>
      <c r="T1652" s="6"/>
      <c r="U1652" s="9"/>
      <c r="AI1652" s="6"/>
      <c r="AJ1652" s="12"/>
      <c r="AL1652" s="13"/>
    </row>
    <row r="1653">
      <c r="A1653" s="5"/>
      <c r="B1653" s="5"/>
      <c r="C1653" s="5"/>
      <c r="D1653" s="5"/>
      <c r="E1653" s="6"/>
      <c r="F1653" s="6"/>
      <c r="G1653" s="18"/>
      <c r="I1653" s="16"/>
      <c r="J1653" s="9"/>
      <c r="K1653" s="10"/>
      <c r="L1653" s="6"/>
      <c r="M1653" s="11"/>
      <c r="N1653" s="6"/>
      <c r="O1653" s="6"/>
      <c r="P1653" s="10"/>
      <c r="Q1653" s="6"/>
      <c r="R1653" s="6"/>
      <c r="S1653" s="6"/>
      <c r="T1653" s="6"/>
      <c r="U1653" s="9"/>
      <c r="AI1653" s="6"/>
      <c r="AJ1653" s="12"/>
      <c r="AL1653" s="13"/>
    </row>
    <row r="1654">
      <c r="A1654" s="5"/>
      <c r="B1654" s="5"/>
      <c r="C1654" s="5"/>
      <c r="D1654" s="5"/>
      <c r="E1654" s="6"/>
      <c r="F1654" s="6"/>
      <c r="G1654" s="18"/>
      <c r="I1654" s="16"/>
      <c r="J1654" s="9"/>
      <c r="K1654" s="10"/>
      <c r="L1654" s="6"/>
      <c r="M1654" s="11"/>
      <c r="N1654" s="6"/>
      <c r="O1654" s="6"/>
      <c r="P1654" s="10"/>
      <c r="Q1654" s="6"/>
      <c r="R1654" s="6"/>
      <c r="S1654" s="6"/>
      <c r="T1654" s="6"/>
      <c r="U1654" s="9"/>
      <c r="AI1654" s="6"/>
      <c r="AJ1654" s="12"/>
      <c r="AL1654" s="13"/>
    </row>
    <row r="1655">
      <c r="A1655" s="5"/>
      <c r="B1655" s="5"/>
      <c r="C1655" s="5"/>
      <c r="D1655" s="5"/>
      <c r="E1655" s="6"/>
      <c r="F1655" s="6"/>
      <c r="G1655" s="18"/>
      <c r="I1655" s="16"/>
      <c r="J1655" s="9"/>
      <c r="K1655" s="10"/>
      <c r="L1655" s="6"/>
      <c r="M1655" s="11"/>
      <c r="N1655" s="6"/>
      <c r="O1655" s="6"/>
      <c r="P1655" s="10"/>
      <c r="Q1655" s="6"/>
      <c r="R1655" s="6"/>
      <c r="S1655" s="6"/>
      <c r="T1655" s="6"/>
      <c r="U1655" s="9"/>
      <c r="AI1655" s="6"/>
      <c r="AJ1655" s="12"/>
      <c r="AL1655" s="13"/>
    </row>
    <row r="1656">
      <c r="A1656" s="5"/>
      <c r="B1656" s="5"/>
      <c r="C1656" s="5"/>
      <c r="D1656" s="5"/>
      <c r="E1656" s="6"/>
      <c r="F1656" s="6"/>
      <c r="G1656" s="18"/>
      <c r="I1656" s="16"/>
      <c r="J1656" s="9"/>
      <c r="K1656" s="10"/>
      <c r="L1656" s="6"/>
      <c r="M1656" s="11"/>
      <c r="N1656" s="6"/>
      <c r="O1656" s="6"/>
      <c r="P1656" s="10"/>
      <c r="Q1656" s="6"/>
      <c r="R1656" s="6"/>
      <c r="S1656" s="6"/>
      <c r="T1656" s="6"/>
      <c r="U1656" s="9"/>
      <c r="AI1656" s="6"/>
      <c r="AJ1656" s="12"/>
      <c r="AL1656" s="13"/>
    </row>
    <row r="1657">
      <c r="A1657" s="5"/>
      <c r="B1657" s="5"/>
      <c r="C1657" s="5"/>
      <c r="D1657" s="5"/>
      <c r="E1657" s="6"/>
      <c r="F1657" s="6"/>
      <c r="G1657" s="18"/>
      <c r="I1657" s="16"/>
      <c r="J1657" s="9"/>
      <c r="K1657" s="10"/>
      <c r="L1657" s="6"/>
      <c r="M1657" s="11"/>
      <c r="N1657" s="6"/>
      <c r="O1657" s="6"/>
      <c r="P1657" s="10"/>
      <c r="Q1657" s="6"/>
      <c r="R1657" s="6"/>
      <c r="S1657" s="6"/>
      <c r="T1657" s="6"/>
      <c r="U1657" s="9"/>
      <c r="AI1657" s="6"/>
      <c r="AJ1657" s="12"/>
      <c r="AL1657" s="13"/>
    </row>
    <row r="1658">
      <c r="A1658" s="5"/>
      <c r="B1658" s="5"/>
      <c r="C1658" s="5"/>
      <c r="D1658" s="5"/>
      <c r="E1658" s="6"/>
      <c r="F1658" s="6"/>
      <c r="G1658" s="18"/>
      <c r="I1658" s="16"/>
      <c r="J1658" s="9"/>
      <c r="K1658" s="10"/>
      <c r="L1658" s="6"/>
      <c r="M1658" s="11"/>
      <c r="N1658" s="6"/>
      <c r="O1658" s="6"/>
      <c r="P1658" s="10"/>
      <c r="Q1658" s="6"/>
      <c r="R1658" s="6"/>
      <c r="S1658" s="6"/>
      <c r="T1658" s="6"/>
      <c r="U1658" s="9"/>
      <c r="AI1658" s="6"/>
      <c r="AJ1658" s="12"/>
      <c r="AL1658" s="13"/>
    </row>
    <row r="1659">
      <c r="A1659" s="5"/>
      <c r="B1659" s="5"/>
      <c r="C1659" s="5"/>
      <c r="D1659" s="5"/>
      <c r="E1659" s="6"/>
      <c r="F1659" s="6"/>
      <c r="G1659" s="18"/>
      <c r="I1659" s="16"/>
      <c r="J1659" s="9"/>
      <c r="K1659" s="10"/>
      <c r="L1659" s="6"/>
      <c r="M1659" s="11"/>
      <c r="N1659" s="6"/>
      <c r="O1659" s="6"/>
      <c r="P1659" s="10"/>
      <c r="Q1659" s="6"/>
      <c r="R1659" s="6"/>
      <c r="S1659" s="6"/>
      <c r="T1659" s="6"/>
      <c r="U1659" s="9"/>
      <c r="AI1659" s="6"/>
      <c r="AJ1659" s="12"/>
      <c r="AL1659" s="13"/>
    </row>
    <row r="1660">
      <c r="A1660" s="5"/>
      <c r="B1660" s="5"/>
      <c r="C1660" s="5"/>
      <c r="D1660" s="5"/>
      <c r="E1660" s="6"/>
      <c r="F1660" s="6"/>
      <c r="G1660" s="18"/>
      <c r="I1660" s="16"/>
      <c r="J1660" s="9"/>
      <c r="K1660" s="10"/>
      <c r="L1660" s="6"/>
      <c r="M1660" s="11"/>
      <c r="N1660" s="6"/>
      <c r="O1660" s="6"/>
      <c r="P1660" s="10"/>
      <c r="Q1660" s="6"/>
      <c r="R1660" s="6"/>
      <c r="S1660" s="6"/>
      <c r="T1660" s="6"/>
      <c r="U1660" s="9"/>
      <c r="AI1660" s="6"/>
      <c r="AJ1660" s="12"/>
      <c r="AL1660" s="13"/>
    </row>
    <row r="1661">
      <c r="A1661" s="5"/>
      <c r="B1661" s="5"/>
      <c r="C1661" s="5"/>
      <c r="D1661" s="5"/>
      <c r="E1661" s="6"/>
      <c r="F1661" s="6"/>
      <c r="G1661" s="18"/>
      <c r="I1661" s="16"/>
      <c r="J1661" s="9"/>
      <c r="K1661" s="10"/>
      <c r="L1661" s="6"/>
      <c r="M1661" s="11"/>
      <c r="N1661" s="6"/>
      <c r="O1661" s="6"/>
      <c r="P1661" s="10"/>
      <c r="Q1661" s="6"/>
      <c r="R1661" s="6"/>
      <c r="S1661" s="6"/>
      <c r="T1661" s="6"/>
      <c r="U1661" s="9"/>
      <c r="AI1661" s="6"/>
      <c r="AJ1661" s="12"/>
      <c r="AL1661" s="13"/>
    </row>
    <row r="1662">
      <c r="A1662" s="5"/>
      <c r="B1662" s="5"/>
      <c r="C1662" s="5"/>
      <c r="D1662" s="5"/>
      <c r="E1662" s="6"/>
      <c r="F1662" s="6"/>
      <c r="G1662" s="18"/>
      <c r="I1662" s="16"/>
      <c r="J1662" s="9"/>
      <c r="K1662" s="10"/>
      <c r="L1662" s="6"/>
      <c r="M1662" s="11"/>
      <c r="N1662" s="6"/>
      <c r="O1662" s="6"/>
      <c r="P1662" s="10"/>
      <c r="Q1662" s="6"/>
      <c r="R1662" s="6"/>
      <c r="S1662" s="6"/>
      <c r="T1662" s="6"/>
      <c r="U1662" s="9"/>
      <c r="AI1662" s="6"/>
      <c r="AJ1662" s="12"/>
      <c r="AL1662" s="13"/>
    </row>
    <row r="1663">
      <c r="A1663" s="5"/>
      <c r="B1663" s="5"/>
      <c r="C1663" s="5"/>
      <c r="D1663" s="5"/>
      <c r="E1663" s="6"/>
      <c r="F1663" s="6"/>
      <c r="G1663" s="18"/>
      <c r="I1663" s="16"/>
      <c r="J1663" s="9"/>
      <c r="K1663" s="10"/>
      <c r="L1663" s="6"/>
      <c r="M1663" s="11"/>
      <c r="N1663" s="6"/>
      <c r="O1663" s="6"/>
      <c r="P1663" s="10"/>
      <c r="Q1663" s="6"/>
      <c r="R1663" s="6"/>
      <c r="S1663" s="6"/>
      <c r="T1663" s="6"/>
      <c r="U1663" s="9"/>
      <c r="AI1663" s="6"/>
      <c r="AJ1663" s="12"/>
      <c r="AL1663" s="13"/>
    </row>
    <row r="1664">
      <c r="A1664" s="5"/>
      <c r="B1664" s="5"/>
      <c r="C1664" s="5"/>
      <c r="D1664" s="5"/>
      <c r="E1664" s="6"/>
      <c r="F1664" s="6"/>
      <c r="G1664" s="18"/>
      <c r="I1664" s="16"/>
      <c r="J1664" s="9"/>
      <c r="K1664" s="10"/>
      <c r="L1664" s="6"/>
      <c r="M1664" s="11"/>
      <c r="N1664" s="6"/>
      <c r="O1664" s="6"/>
      <c r="P1664" s="10"/>
      <c r="Q1664" s="6"/>
      <c r="R1664" s="6"/>
      <c r="S1664" s="6"/>
      <c r="T1664" s="6"/>
      <c r="U1664" s="9"/>
      <c r="AI1664" s="6"/>
      <c r="AJ1664" s="12"/>
      <c r="AL1664" s="13"/>
    </row>
    <row r="1665">
      <c r="A1665" s="5"/>
      <c r="B1665" s="5"/>
      <c r="C1665" s="5"/>
      <c r="D1665" s="5"/>
      <c r="E1665" s="6"/>
      <c r="F1665" s="6"/>
      <c r="G1665" s="18"/>
      <c r="I1665" s="16"/>
      <c r="J1665" s="9"/>
      <c r="K1665" s="10"/>
      <c r="L1665" s="6"/>
      <c r="M1665" s="11"/>
      <c r="N1665" s="6"/>
      <c r="O1665" s="6"/>
      <c r="P1665" s="10"/>
      <c r="Q1665" s="6"/>
      <c r="R1665" s="6"/>
      <c r="S1665" s="6"/>
      <c r="T1665" s="6"/>
      <c r="U1665" s="9"/>
      <c r="AI1665" s="6"/>
      <c r="AJ1665" s="12"/>
      <c r="AL1665" s="13"/>
    </row>
    <row r="1666">
      <c r="A1666" s="5"/>
      <c r="B1666" s="5"/>
      <c r="C1666" s="5"/>
      <c r="D1666" s="5"/>
      <c r="E1666" s="6"/>
      <c r="F1666" s="6"/>
      <c r="G1666" s="18"/>
      <c r="I1666" s="16"/>
      <c r="J1666" s="9"/>
      <c r="K1666" s="10"/>
      <c r="L1666" s="6"/>
      <c r="M1666" s="11"/>
      <c r="N1666" s="6"/>
      <c r="O1666" s="6"/>
      <c r="P1666" s="10"/>
      <c r="Q1666" s="6"/>
      <c r="R1666" s="6"/>
      <c r="S1666" s="6"/>
      <c r="T1666" s="6"/>
      <c r="U1666" s="9"/>
      <c r="AI1666" s="6"/>
      <c r="AJ1666" s="12"/>
      <c r="AL1666" s="13"/>
    </row>
    <row r="1667">
      <c r="A1667" s="5"/>
      <c r="B1667" s="5"/>
      <c r="C1667" s="5"/>
      <c r="D1667" s="5"/>
      <c r="E1667" s="6"/>
      <c r="F1667" s="6"/>
      <c r="G1667" s="18"/>
      <c r="I1667" s="16"/>
      <c r="J1667" s="9"/>
      <c r="K1667" s="10"/>
      <c r="L1667" s="6"/>
      <c r="M1667" s="11"/>
      <c r="N1667" s="6"/>
      <c r="O1667" s="6"/>
      <c r="P1667" s="10"/>
      <c r="Q1667" s="6"/>
      <c r="R1667" s="6"/>
      <c r="S1667" s="6"/>
      <c r="T1667" s="6"/>
      <c r="U1667" s="9"/>
      <c r="AI1667" s="6"/>
      <c r="AJ1667" s="12"/>
      <c r="AL1667" s="13"/>
    </row>
    <row r="1668">
      <c r="A1668" s="5"/>
      <c r="B1668" s="5"/>
      <c r="C1668" s="5"/>
      <c r="D1668" s="5"/>
      <c r="E1668" s="6"/>
      <c r="F1668" s="6"/>
      <c r="G1668" s="18"/>
      <c r="I1668" s="16"/>
      <c r="J1668" s="9"/>
      <c r="K1668" s="10"/>
      <c r="L1668" s="6"/>
      <c r="M1668" s="11"/>
      <c r="N1668" s="6"/>
      <c r="O1668" s="6"/>
      <c r="P1668" s="10"/>
      <c r="Q1668" s="6"/>
      <c r="R1668" s="6"/>
      <c r="S1668" s="6"/>
      <c r="T1668" s="6"/>
      <c r="U1668" s="9"/>
      <c r="AI1668" s="6"/>
      <c r="AJ1668" s="12"/>
      <c r="AL1668" s="13"/>
    </row>
    <row r="1669">
      <c r="A1669" s="5"/>
      <c r="B1669" s="5"/>
      <c r="C1669" s="5"/>
      <c r="D1669" s="5"/>
      <c r="E1669" s="6"/>
      <c r="F1669" s="6"/>
      <c r="G1669" s="18"/>
      <c r="I1669" s="16"/>
      <c r="J1669" s="9"/>
      <c r="K1669" s="10"/>
      <c r="L1669" s="6"/>
      <c r="M1669" s="11"/>
      <c r="N1669" s="6"/>
      <c r="O1669" s="6"/>
      <c r="P1669" s="10"/>
      <c r="Q1669" s="6"/>
      <c r="R1669" s="6"/>
      <c r="S1669" s="6"/>
      <c r="T1669" s="6"/>
      <c r="U1669" s="9"/>
      <c r="AI1669" s="6"/>
      <c r="AJ1669" s="12"/>
      <c r="AL1669" s="13"/>
    </row>
    <row r="1670">
      <c r="A1670" s="5"/>
      <c r="B1670" s="5"/>
      <c r="C1670" s="5"/>
      <c r="D1670" s="5"/>
      <c r="E1670" s="6"/>
      <c r="F1670" s="6"/>
      <c r="G1670" s="18"/>
      <c r="I1670" s="16"/>
      <c r="J1670" s="9"/>
      <c r="K1670" s="10"/>
      <c r="L1670" s="6"/>
      <c r="M1670" s="11"/>
      <c r="N1670" s="6"/>
      <c r="O1670" s="6"/>
      <c r="P1670" s="10"/>
      <c r="Q1670" s="6"/>
      <c r="R1670" s="6"/>
      <c r="S1670" s="6"/>
      <c r="T1670" s="6"/>
      <c r="U1670" s="9"/>
      <c r="AI1670" s="6"/>
      <c r="AJ1670" s="12"/>
      <c r="AL1670" s="13"/>
    </row>
    <row r="1671">
      <c r="A1671" s="5"/>
      <c r="B1671" s="5"/>
      <c r="C1671" s="5"/>
      <c r="D1671" s="5"/>
      <c r="E1671" s="6"/>
      <c r="F1671" s="6"/>
      <c r="G1671" s="18"/>
      <c r="I1671" s="16"/>
      <c r="J1671" s="9"/>
      <c r="K1671" s="10"/>
      <c r="L1671" s="6"/>
      <c r="M1671" s="11"/>
      <c r="N1671" s="6"/>
      <c r="O1671" s="6"/>
      <c r="P1671" s="10"/>
      <c r="Q1671" s="6"/>
      <c r="R1671" s="6"/>
      <c r="S1671" s="6"/>
      <c r="T1671" s="6"/>
      <c r="U1671" s="9"/>
      <c r="AI1671" s="6"/>
      <c r="AJ1671" s="12"/>
      <c r="AL1671" s="13"/>
    </row>
    <row r="1672">
      <c r="A1672" s="5"/>
      <c r="B1672" s="5"/>
      <c r="C1672" s="5"/>
      <c r="D1672" s="5"/>
      <c r="E1672" s="6"/>
      <c r="F1672" s="6"/>
      <c r="G1672" s="18"/>
      <c r="I1672" s="16"/>
      <c r="J1672" s="9"/>
      <c r="K1672" s="10"/>
      <c r="L1672" s="6"/>
      <c r="M1672" s="11"/>
      <c r="N1672" s="6"/>
      <c r="O1672" s="6"/>
      <c r="P1672" s="10"/>
      <c r="Q1672" s="6"/>
      <c r="R1672" s="6"/>
      <c r="S1672" s="6"/>
      <c r="T1672" s="6"/>
      <c r="U1672" s="9"/>
      <c r="AI1672" s="6"/>
      <c r="AJ1672" s="12"/>
      <c r="AL1672" s="13"/>
    </row>
    <row r="1673">
      <c r="A1673" s="5"/>
      <c r="B1673" s="5"/>
      <c r="C1673" s="5"/>
      <c r="D1673" s="5"/>
      <c r="E1673" s="6"/>
      <c r="F1673" s="6"/>
      <c r="G1673" s="18"/>
      <c r="I1673" s="16"/>
      <c r="J1673" s="9"/>
      <c r="K1673" s="10"/>
      <c r="L1673" s="6"/>
      <c r="M1673" s="11"/>
      <c r="N1673" s="6"/>
      <c r="O1673" s="6"/>
      <c r="P1673" s="10"/>
      <c r="Q1673" s="6"/>
      <c r="R1673" s="6"/>
      <c r="S1673" s="6"/>
      <c r="T1673" s="6"/>
      <c r="U1673" s="9"/>
      <c r="AI1673" s="6"/>
      <c r="AJ1673" s="12"/>
      <c r="AL1673" s="13"/>
    </row>
    <row r="1674">
      <c r="A1674" s="5"/>
      <c r="B1674" s="5"/>
      <c r="C1674" s="5"/>
      <c r="D1674" s="5"/>
      <c r="E1674" s="6"/>
      <c r="F1674" s="6"/>
      <c r="G1674" s="18"/>
      <c r="I1674" s="16"/>
      <c r="J1674" s="9"/>
      <c r="K1674" s="10"/>
      <c r="L1674" s="6"/>
      <c r="M1674" s="11"/>
      <c r="N1674" s="6"/>
      <c r="O1674" s="6"/>
      <c r="P1674" s="10"/>
      <c r="Q1674" s="6"/>
      <c r="R1674" s="6"/>
      <c r="S1674" s="6"/>
      <c r="T1674" s="6"/>
      <c r="U1674" s="9"/>
      <c r="AI1674" s="6"/>
      <c r="AJ1674" s="12"/>
      <c r="AL1674" s="13"/>
    </row>
    <row r="1675">
      <c r="A1675" s="5"/>
      <c r="B1675" s="5"/>
      <c r="C1675" s="5"/>
      <c r="D1675" s="5"/>
      <c r="E1675" s="6"/>
      <c r="F1675" s="6"/>
      <c r="G1675" s="18"/>
      <c r="I1675" s="16"/>
      <c r="J1675" s="9"/>
      <c r="K1675" s="10"/>
      <c r="L1675" s="6"/>
      <c r="M1675" s="11"/>
      <c r="N1675" s="6"/>
      <c r="O1675" s="6"/>
      <c r="P1675" s="10"/>
      <c r="Q1675" s="6"/>
      <c r="R1675" s="6"/>
      <c r="S1675" s="6"/>
      <c r="T1675" s="6"/>
      <c r="U1675" s="9"/>
      <c r="AI1675" s="6"/>
      <c r="AJ1675" s="12"/>
      <c r="AL1675" s="13"/>
    </row>
    <row r="1676">
      <c r="A1676" s="5"/>
      <c r="B1676" s="5"/>
      <c r="C1676" s="5"/>
      <c r="D1676" s="5"/>
      <c r="E1676" s="6"/>
      <c r="F1676" s="6"/>
      <c r="G1676" s="18"/>
      <c r="I1676" s="16"/>
      <c r="J1676" s="9"/>
      <c r="K1676" s="10"/>
      <c r="L1676" s="6"/>
      <c r="M1676" s="11"/>
      <c r="N1676" s="6"/>
      <c r="O1676" s="6"/>
      <c r="P1676" s="10"/>
      <c r="Q1676" s="6"/>
      <c r="R1676" s="6"/>
      <c r="S1676" s="6"/>
      <c r="T1676" s="6"/>
      <c r="U1676" s="9"/>
      <c r="AI1676" s="6"/>
      <c r="AJ1676" s="12"/>
      <c r="AL1676" s="13"/>
    </row>
    <row r="1677">
      <c r="A1677" s="5"/>
      <c r="B1677" s="5"/>
      <c r="C1677" s="5"/>
      <c r="D1677" s="5"/>
      <c r="E1677" s="6"/>
      <c r="F1677" s="6"/>
      <c r="G1677" s="18"/>
      <c r="I1677" s="16"/>
      <c r="J1677" s="9"/>
      <c r="K1677" s="10"/>
      <c r="L1677" s="6"/>
      <c r="M1677" s="11"/>
      <c r="N1677" s="6"/>
      <c r="O1677" s="6"/>
      <c r="P1677" s="10"/>
      <c r="Q1677" s="6"/>
      <c r="R1677" s="6"/>
      <c r="S1677" s="6"/>
      <c r="T1677" s="6"/>
      <c r="U1677" s="9"/>
      <c r="AI1677" s="6"/>
      <c r="AJ1677" s="12"/>
      <c r="AL1677" s="13"/>
    </row>
    <row r="1678">
      <c r="A1678" s="5"/>
      <c r="B1678" s="5"/>
      <c r="C1678" s="5"/>
      <c r="D1678" s="5"/>
      <c r="E1678" s="6"/>
      <c r="F1678" s="6"/>
      <c r="G1678" s="18"/>
      <c r="I1678" s="16"/>
      <c r="J1678" s="9"/>
      <c r="K1678" s="10"/>
      <c r="L1678" s="6"/>
      <c r="M1678" s="11"/>
      <c r="N1678" s="6"/>
      <c r="O1678" s="6"/>
      <c r="P1678" s="10"/>
      <c r="Q1678" s="6"/>
      <c r="R1678" s="6"/>
      <c r="S1678" s="6"/>
      <c r="T1678" s="6"/>
      <c r="U1678" s="9"/>
      <c r="AI1678" s="6"/>
      <c r="AJ1678" s="12"/>
      <c r="AL1678" s="13"/>
    </row>
    <row r="1679">
      <c r="A1679" s="5"/>
      <c r="B1679" s="5"/>
      <c r="C1679" s="5"/>
      <c r="D1679" s="5"/>
      <c r="E1679" s="6"/>
      <c r="F1679" s="6"/>
      <c r="G1679" s="18"/>
      <c r="I1679" s="16"/>
      <c r="J1679" s="9"/>
      <c r="K1679" s="10"/>
      <c r="L1679" s="6"/>
      <c r="M1679" s="11"/>
      <c r="N1679" s="6"/>
      <c r="O1679" s="6"/>
      <c r="P1679" s="10"/>
      <c r="Q1679" s="6"/>
      <c r="R1679" s="6"/>
      <c r="S1679" s="6"/>
      <c r="T1679" s="6"/>
      <c r="U1679" s="9"/>
      <c r="AI1679" s="6"/>
      <c r="AJ1679" s="12"/>
      <c r="AL1679" s="13"/>
    </row>
    <row r="1680">
      <c r="A1680" s="5"/>
      <c r="B1680" s="5"/>
      <c r="C1680" s="5"/>
      <c r="D1680" s="5"/>
      <c r="E1680" s="6"/>
      <c r="F1680" s="6"/>
      <c r="G1680" s="18"/>
      <c r="I1680" s="16"/>
      <c r="J1680" s="9"/>
      <c r="K1680" s="10"/>
      <c r="L1680" s="6"/>
      <c r="M1680" s="11"/>
      <c r="N1680" s="6"/>
      <c r="O1680" s="6"/>
      <c r="P1680" s="10"/>
      <c r="Q1680" s="6"/>
      <c r="R1680" s="6"/>
      <c r="S1680" s="6"/>
      <c r="T1680" s="6"/>
      <c r="U1680" s="9"/>
      <c r="AI1680" s="6"/>
      <c r="AJ1680" s="12"/>
      <c r="AL1680" s="13"/>
    </row>
    <row r="1681">
      <c r="A1681" s="5"/>
      <c r="B1681" s="5"/>
      <c r="C1681" s="5"/>
      <c r="D1681" s="5"/>
      <c r="E1681" s="6"/>
      <c r="F1681" s="6"/>
      <c r="G1681" s="18"/>
      <c r="I1681" s="16"/>
      <c r="J1681" s="9"/>
      <c r="K1681" s="10"/>
      <c r="L1681" s="6"/>
      <c r="M1681" s="11"/>
      <c r="N1681" s="6"/>
      <c r="O1681" s="6"/>
      <c r="P1681" s="10"/>
      <c r="Q1681" s="6"/>
      <c r="R1681" s="6"/>
      <c r="S1681" s="6"/>
      <c r="T1681" s="6"/>
      <c r="U1681" s="9"/>
      <c r="AI1681" s="6"/>
      <c r="AJ1681" s="12"/>
      <c r="AL1681" s="13"/>
    </row>
    <row r="1682">
      <c r="A1682" s="5"/>
      <c r="B1682" s="5"/>
      <c r="C1682" s="5"/>
      <c r="D1682" s="5"/>
      <c r="E1682" s="6"/>
      <c r="F1682" s="6"/>
      <c r="G1682" s="18"/>
      <c r="I1682" s="16"/>
      <c r="J1682" s="9"/>
      <c r="K1682" s="10"/>
      <c r="L1682" s="6"/>
      <c r="M1682" s="11"/>
      <c r="N1682" s="6"/>
      <c r="O1682" s="6"/>
      <c r="P1682" s="10"/>
      <c r="Q1682" s="6"/>
      <c r="R1682" s="6"/>
      <c r="S1682" s="6"/>
      <c r="T1682" s="6"/>
      <c r="U1682" s="9"/>
      <c r="AI1682" s="6"/>
      <c r="AJ1682" s="12"/>
      <c r="AL1682" s="13"/>
    </row>
    <row r="1683">
      <c r="A1683" s="5"/>
      <c r="B1683" s="5"/>
      <c r="C1683" s="5"/>
      <c r="D1683" s="5"/>
      <c r="E1683" s="6"/>
      <c r="F1683" s="6"/>
      <c r="G1683" s="18"/>
      <c r="I1683" s="16"/>
      <c r="J1683" s="9"/>
      <c r="K1683" s="10"/>
      <c r="L1683" s="6"/>
      <c r="M1683" s="11"/>
      <c r="N1683" s="6"/>
      <c r="O1683" s="6"/>
      <c r="P1683" s="10"/>
      <c r="Q1683" s="6"/>
      <c r="R1683" s="6"/>
      <c r="S1683" s="6"/>
      <c r="T1683" s="6"/>
      <c r="U1683" s="9"/>
      <c r="AI1683" s="6"/>
      <c r="AJ1683" s="12"/>
      <c r="AL1683" s="13"/>
    </row>
    <row r="1684">
      <c r="A1684" s="5"/>
      <c r="B1684" s="5"/>
      <c r="C1684" s="5"/>
      <c r="D1684" s="5"/>
      <c r="E1684" s="6"/>
      <c r="F1684" s="6"/>
      <c r="G1684" s="18"/>
      <c r="I1684" s="16"/>
      <c r="J1684" s="9"/>
      <c r="K1684" s="10"/>
      <c r="L1684" s="6"/>
      <c r="M1684" s="11"/>
      <c r="N1684" s="6"/>
      <c r="O1684" s="6"/>
      <c r="P1684" s="10"/>
      <c r="Q1684" s="6"/>
      <c r="R1684" s="6"/>
      <c r="S1684" s="6"/>
      <c r="T1684" s="6"/>
      <c r="U1684" s="9"/>
      <c r="AI1684" s="6"/>
      <c r="AJ1684" s="12"/>
      <c r="AL1684" s="13"/>
    </row>
    <row r="1685">
      <c r="A1685" s="5"/>
      <c r="B1685" s="5"/>
      <c r="C1685" s="5"/>
      <c r="D1685" s="5"/>
      <c r="E1685" s="6"/>
      <c r="F1685" s="6"/>
      <c r="G1685" s="18"/>
      <c r="I1685" s="16"/>
      <c r="J1685" s="9"/>
      <c r="K1685" s="10"/>
      <c r="L1685" s="6"/>
      <c r="M1685" s="11"/>
      <c r="N1685" s="6"/>
      <c r="O1685" s="6"/>
      <c r="P1685" s="10"/>
      <c r="Q1685" s="6"/>
      <c r="R1685" s="6"/>
      <c r="S1685" s="6"/>
      <c r="T1685" s="6"/>
      <c r="U1685" s="9"/>
      <c r="AI1685" s="6"/>
      <c r="AJ1685" s="12"/>
      <c r="AL1685" s="13"/>
    </row>
    <row r="1686">
      <c r="A1686" s="5"/>
      <c r="B1686" s="5"/>
      <c r="C1686" s="5"/>
      <c r="D1686" s="5"/>
      <c r="E1686" s="6"/>
      <c r="F1686" s="6"/>
      <c r="G1686" s="18"/>
      <c r="I1686" s="16"/>
      <c r="J1686" s="9"/>
      <c r="K1686" s="10"/>
      <c r="L1686" s="6"/>
      <c r="M1686" s="11"/>
      <c r="N1686" s="6"/>
      <c r="O1686" s="6"/>
      <c r="P1686" s="10"/>
      <c r="Q1686" s="6"/>
      <c r="R1686" s="6"/>
      <c r="S1686" s="6"/>
      <c r="T1686" s="6"/>
      <c r="U1686" s="9"/>
      <c r="AI1686" s="6"/>
      <c r="AJ1686" s="12"/>
      <c r="AL1686" s="13"/>
    </row>
    <row r="1687">
      <c r="A1687" s="5"/>
      <c r="B1687" s="5"/>
      <c r="C1687" s="5"/>
      <c r="D1687" s="5"/>
      <c r="E1687" s="6"/>
      <c r="F1687" s="6"/>
      <c r="G1687" s="18"/>
      <c r="I1687" s="16"/>
      <c r="J1687" s="9"/>
      <c r="K1687" s="10"/>
      <c r="L1687" s="6"/>
      <c r="M1687" s="11"/>
      <c r="N1687" s="6"/>
      <c r="O1687" s="6"/>
      <c r="P1687" s="10"/>
      <c r="Q1687" s="6"/>
      <c r="R1687" s="6"/>
      <c r="S1687" s="6"/>
      <c r="T1687" s="6"/>
      <c r="U1687" s="9"/>
      <c r="AI1687" s="6"/>
      <c r="AJ1687" s="12"/>
      <c r="AL1687" s="13"/>
    </row>
    <row r="1688">
      <c r="A1688" s="5"/>
      <c r="B1688" s="5"/>
      <c r="C1688" s="5"/>
      <c r="D1688" s="5"/>
      <c r="E1688" s="6"/>
      <c r="F1688" s="6"/>
      <c r="G1688" s="18"/>
      <c r="I1688" s="16"/>
      <c r="J1688" s="9"/>
      <c r="K1688" s="10"/>
      <c r="L1688" s="6"/>
      <c r="M1688" s="11"/>
      <c r="N1688" s="6"/>
      <c r="O1688" s="6"/>
      <c r="P1688" s="10"/>
      <c r="Q1688" s="6"/>
      <c r="R1688" s="6"/>
      <c r="S1688" s="6"/>
      <c r="T1688" s="6"/>
      <c r="U1688" s="9"/>
      <c r="AI1688" s="6"/>
      <c r="AJ1688" s="12"/>
      <c r="AL1688" s="13"/>
    </row>
    <row r="1689">
      <c r="A1689" s="5"/>
      <c r="B1689" s="5"/>
      <c r="C1689" s="5"/>
      <c r="D1689" s="5"/>
      <c r="E1689" s="6"/>
      <c r="F1689" s="6"/>
      <c r="G1689" s="18"/>
      <c r="I1689" s="16"/>
      <c r="J1689" s="9"/>
      <c r="K1689" s="10"/>
      <c r="L1689" s="6"/>
      <c r="M1689" s="11"/>
      <c r="N1689" s="6"/>
      <c r="O1689" s="6"/>
      <c r="P1689" s="10"/>
      <c r="Q1689" s="6"/>
      <c r="R1689" s="6"/>
      <c r="S1689" s="6"/>
      <c r="T1689" s="6"/>
      <c r="U1689" s="9"/>
      <c r="AI1689" s="6"/>
      <c r="AJ1689" s="12"/>
      <c r="AL1689" s="13"/>
    </row>
    <row r="1690">
      <c r="A1690" s="5"/>
      <c r="B1690" s="5"/>
      <c r="C1690" s="5"/>
      <c r="D1690" s="5"/>
      <c r="E1690" s="6"/>
      <c r="F1690" s="6"/>
      <c r="G1690" s="18"/>
      <c r="I1690" s="16"/>
      <c r="J1690" s="9"/>
      <c r="K1690" s="10"/>
      <c r="L1690" s="6"/>
      <c r="M1690" s="11"/>
      <c r="N1690" s="6"/>
      <c r="O1690" s="6"/>
      <c r="P1690" s="10"/>
      <c r="Q1690" s="6"/>
      <c r="R1690" s="6"/>
      <c r="S1690" s="6"/>
      <c r="T1690" s="6"/>
      <c r="U1690" s="9"/>
      <c r="AI1690" s="6"/>
      <c r="AJ1690" s="12"/>
      <c r="AL1690" s="13"/>
    </row>
    <row r="1691">
      <c r="A1691" s="5"/>
      <c r="B1691" s="5"/>
      <c r="C1691" s="5"/>
      <c r="D1691" s="5"/>
      <c r="E1691" s="6"/>
      <c r="F1691" s="6"/>
      <c r="G1691" s="18"/>
      <c r="I1691" s="16"/>
      <c r="J1691" s="9"/>
      <c r="K1691" s="10"/>
      <c r="L1691" s="6"/>
      <c r="M1691" s="11"/>
      <c r="N1691" s="6"/>
      <c r="O1691" s="6"/>
      <c r="P1691" s="10"/>
      <c r="Q1691" s="6"/>
      <c r="R1691" s="6"/>
      <c r="S1691" s="6"/>
      <c r="T1691" s="6"/>
      <c r="U1691" s="9"/>
      <c r="AI1691" s="6"/>
      <c r="AJ1691" s="12"/>
      <c r="AL1691" s="13"/>
    </row>
    <row r="1692">
      <c r="A1692" s="5"/>
      <c r="B1692" s="5"/>
      <c r="C1692" s="5"/>
      <c r="D1692" s="5"/>
      <c r="E1692" s="6"/>
      <c r="F1692" s="6"/>
      <c r="G1692" s="18"/>
      <c r="I1692" s="16"/>
      <c r="J1692" s="9"/>
      <c r="K1692" s="10"/>
      <c r="L1692" s="6"/>
      <c r="M1692" s="11"/>
      <c r="N1692" s="6"/>
      <c r="O1692" s="6"/>
      <c r="P1692" s="10"/>
      <c r="Q1692" s="6"/>
      <c r="R1692" s="6"/>
      <c r="S1692" s="6"/>
      <c r="T1692" s="6"/>
      <c r="U1692" s="9"/>
      <c r="AI1692" s="6"/>
      <c r="AJ1692" s="12"/>
      <c r="AL1692" s="13"/>
    </row>
    <row r="1693">
      <c r="A1693" s="5"/>
      <c r="B1693" s="5"/>
      <c r="C1693" s="5"/>
      <c r="D1693" s="5"/>
      <c r="E1693" s="6"/>
      <c r="F1693" s="6"/>
      <c r="G1693" s="18"/>
      <c r="I1693" s="16"/>
      <c r="J1693" s="9"/>
      <c r="K1693" s="10"/>
      <c r="L1693" s="6"/>
      <c r="M1693" s="11"/>
      <c r="N1693" s="6"/>
      <c r="O1693" s="6"/>
      <c r="P1693" s="10"/>
      <c r="Q1693" s="6"/>
      <c r="R1693" s="6"/>
      <c r="S1693" s="6"/>
      <c r="T1693" s="6"/>
      <c r="U1693" s="9"/>
      <c r="AI1693" s="6"/>
      <c r="AJ1693" s="12"/>
      <c r="AL1693" s="13"/>
    </row>
    <row r="1694">
      <c r="A1694" s="5"/>
      <c r="B1694" s="5"/>
      <c r="C1694" s="5"/>
      <c r="D1694" s="5"/>
      <c r="E1694" s="6"/>
      <c r="F1694" s="6"/>
      <c r="G1694" s="18"/>
      <c r="I1694" s="16"/>
      <c r="J1694" s="9"/>
      <c r="K1694" s="10"/>
      <c r="L1694" s="6"/>
      <c r="M1694" s="11"/>
      <c r="N1694" s="6"/>
      <c r="O1694" s="6"/>
      <c r="P1694" s="10"/>
      <c r="Q1694" s="6"/>
      <c r="R1694" s="6"/>
      <c r="S1694" s="6"/>
      <c r="T1694" s="6"/>
      <c r="U1694" s="9"/>
      <c r="AI1694" s="6"/>
      <c r="AJ1694" s="12"/>
      <c r="AL1694" s="13"/>
    </row>
    <row r="1695">
      <c r="A1695" s="5"/>
      <c r="B1695" s="5"/>
      <c r="C1695" s="5"/>
      <c r="D1695" s="5"/>
      <c r="E1695" s="6"/>
      <c r="F1695" s="6"/>
      <c r="G1695" s="18"/>
      <c r="I1695" s="16"/>
      <c r="J1695" s="9"/>
      <c r="K1695" s="10"/>
      <c r="L1695" s="6"/>
      <c r="M1695" s="11"/>
      <c r="N1695" s="6"/>
      <c r="O1695" s="6"/>
      <c r="P1695" s="10"/>
      <c r="Q1695" s="6"/>
      <c r="R1695" s="6"/>
      <c r="S1695" s="6"/>
      <c r="T1695" s="6"/>
      <c r="U1695" s="9"/>
      <c r="AI1695" s="6"/>
      <c r="AJ1695" s="12"/>
      <c r="AL1695" s="13"/>
    </row>
    <row r="1696">
      <c r="A1696" s="5"/>
      <c r="B1696" s="5"/>
      <c r="C1696" s="5"/>
      <c r="D1696" s="5"/>
      <c r="E1696" s="6"/>
      <c r="F1696" s="6"/>
      <c r="G1696" s="18"/>
      <c r="I1696" s="16"/>
      <c r="J1696" s="9"/>
      <c r="K1696" s="10"/>
      <c r="L1696" s="6"/>
      <c r="M1696" s="11"/>
      <c r="N1696" s="6"/>
      <c r="O1696" s="6"/>
      <c r="P1696" s="10"/>
      <c r="Q1696" s="6"/>
      <c r="R1696" s="6"/>
      <c r="S1696" s="6"/>
      <c r="T1696" s="6"/>
      <c r="U1696" s="9"/>
      <c r="AI1696" s="6"/>
      <c r="AJ1696" s="12"/>
      <c r="AL1696" s="13"/>
    </row>
    <row r="1697">
      <c r="A1697" s="5"/>
      <c r="B1697" s="5"/>
      <c r="C1697" s="5"/>
      <c r="D1697" s="5"/>
      <c r="E1697" s="6"/>
      <c r="F1697" s="6"/>
      <c r="G1697" s="18"/>
      <c r="I1697" s="16"/>
      <c r="J1697" s="9"/>
      <c r="K1697" s="10"/>
      <c r="L1697" s="6"/>
      <c r="M1697" s="11"/>
      <c r="N1697" s="6"/>
      <c r="O1697" s="6"/>
      <c r="P1697" s="10"/>
      <c r="Q1697" s="6"/>
      <c r="R1697" s="6"/>
      <c r="S1697" s="6"/>
      <c r="T1697" s="6"/>
      <c r="U1697" s="9"/>
      <c r="AI1697" s="6"/>
      <c r="AJ1697" s="12"/>
      <c r="AL1697" s="13"/>
    </row>
    <row r="1698">
      <c r="A1698" s="5"/>
      <c r="B1698" s="5"/>
      <c r="C1698" s="5"/>
      <c r="D1698" s="5"/>
      <c r="E1698" s="6"/>
      <c r="F1698" s="6"/>
      <c r="G1698" s="18"/>
      <c r="I1698" s="16"/>
      <c r="J1698" s="9"/>
      <c r="K1698" s="10"/>
      <c r="L1698" s="6"/>
      <c r="M1698" s="11"/>
      <c r="N1698" s="6"/>
      <c r="O1698" s="6"/>
      <c r="P1698" s="10"/>
      <c r="Q1698" s="6"/>
      <c r="R1698" s="6"/>
      <c r="S1698" s="6"/>
      <c r="T1698" s="6"/>
      <c r="U1698" s="9"/>
      <c r="AI1698" s="6"/>
      <c r="AJ1698" s="12"/>
      <c r="AL1698" s="13"/>
    </row>
    <row r="1699">
      <c r="A1699" s="5"/>
      <c r="B1699" s="5"/>
      <c r="C1699" s="5"/>
      <c r="D1699" s="5"/>
      <c r="E1699" s="6"/>
      <c r="F1699" s="6"/>
      <c r="G1699" s="18"/>
      <c r="I1699" s="16"/>
      <c r="J1699" s="9"/>
      <c r="K1699" s="10"/>
      <c r="L1699" s="6"/>
      <c r="M1699" s="11"/>
      <c r="N1699" s="6"/>
      <c r="O1699" s="6"/>
      <c r="P1699" s="10"/>
      <c r="Q1699" s="6"/>
      <c r="R1699" s="6"/>
      <c r="S1699" s="6"/>
      <c r="T1699" s="6"/>
      <c r="U1699" s="9"/>
      <c r="AI1699" s="6"/>
      <c r="AJ1699" s="12"/>
      <c r="AL1699" s="13"/>
    </row>
    <row r="1700">
      <c r="A1700" s="5"/>
      <c r="B1700" s="5"/>
      <c r="C1700" s="5"/>
      <c r="D1700" s="5"/>
      <c r="E1700" s="6"/>
      <c r="F1700" s="6"/>
      <c r="G1700" s="18"/>
      <c r="I1700" s="16"/>
      <c r="J1700" s="9"/>
      <c r="K1700" s="10"/>
      <c r="L1700" s="6"/>
      <c r="M1700" s="11"/>
      <c r="N1700" s="6"/>
      <c r="O1700" s="6"/>
      <c r="P1700" s="10"/>
      <c r="Q1700" s="6"/>
      <c r="R1700" s="6"/>
      <c r="S1700" s="6"/>
      <c r="T1700" s="6"/>
      <c r="U1700" s="9"/>
      <c r="AI1700" s="6"/>
      <c r="AJ1700" s="12"/>
      <c r="AL1700" s="13"/>
    </row>
    <row r="1701">
      <c r="A1701" s="5"/>
      <c r="B1701" s="5"/>
      <c r="C1701" s="5"/>
      <c r="D1701" s="5"/>
      <c r="E1701" s="6"/>
      <c r="F1701" s="6"/>
      <c r="G1701" s="18"/>
      <c r="I1701" s="16"/>
      <c r="J1701" s="9"/>
      <c r="K1701" s="10"/>
      <c r="L1701" s="6"/>
      <c r="M1701" s="11"/>
      <c r="N1701" s="6"/>
      <c r="O1701" s="6"/>
      <c r="P1701" s="10"/>
      <c r="Q1701" s="6"/>
      <c r="R1701" s="6"/>
      <c r="S1701" s="6"/>
      <c r="T1701" s="6"/>
      <c r="U1701" s="9"/>
      <c r="AI1701" s="6"/>
      <c r="AJ1701" s="12"/>
      <c r="AL1701" s="13"/>
    </row>
    <row r="1702">
      <c r="A1702" s="5"/>
      <c r="B1702" s="5"/>
      <c r="C1702" s="5"/>
      <c r="D1702" s="17"/>
      <c r="E1702" s="6"/>
      <c r="F1702" s="6"/>
      <c r="G1702" s="18"/>
      <c r="I1702" s="16"/>
      <c r="J1702" s="9"/>
      <c r="K1702" s="10"/>
      <c r="L1702" s="6"/>
      <c r="M1702" s="11"/>
      <c r="N1702" s="6"/>
      <c r="O1702" s="6"/>
      <c r="P1702" s="10"/>
      <c r="Q1702" s="6"/>
      <c r="R1702" s="6"/>
      <c r="S1702" s="6"/>
      <c r="T1702" s="6"/>
      <c r="U1702" s="9"/>
      <c r="AI1702" s="6"/>
      <c r="AJ1702" s="12"/>
      <c r="AL1702" s="13"/>
    </row>
    <row r="1703">
      <c r="A1703" s="5"/>
      <c r="B1703" s="5"/>
      <c r="C1703" s="5"/>
      <c r="D1703" s="17"/>
      <c r="E1703" s="6"/>
      <c r="F1703" s="6"/>
      <c r="G1703" s="18"/>
      <c r="I1703" s="16"/>
      <c r="J1703" s="9"/>
      <c r="K1703" s="10"/>
      <c r="L1703" s="6"/>
      <c r="M1703" s="11"/>
      <c r="N1703" s="6"/>
      <c r="O1703" s="6"/>
      <c r="P1703" s="10"/>
      <c r="Q1703" s="6"/>
      <c r="R1703" s="6"/>
      <c r="S1703" s="6"/>
      <c r="T1703" s="6"/>
      <c r="U1703" s="9"/>
      <c r="AI1703" s="6"/>
      <c r="AJ1703" s="12"/>
      <c r="AL1703" s="13"/>
    </row>
    <row r="1704">
      <c r="A1704" s="5"/>
      <c r="B1704" s="5"/>
      <c r="C1704" s="5"/>
      <c r="D1704" s="5"/>
      <c r="E1704" s="6"/>
      <c r="F1704" s="6"/>
      <c r="G1704" s="18"/>
      <c r="I1704" s="16"/>
      <c r="J1704" s="9"/>
      <c r="K1704" s="10"/>
      <c r="L1704" s="6"/>
      <c r="M1704" s="11"/>
      <c r="N1704" s="6"/>
      <c r="O1704" s="6"/>
      <c r="P1704" s="10"/>
      <c r="Q1704" s="6"/>
      <c r="R1704" s="6"/>
      <c r="S1704" s="6"/>
      <c r="T1704" s="6"/>
      <c r="U1704" s="9"/>
      <c r="AI1704" s="6"/>
      <c r="AJ1704" s="12"/>
      <c r="AL1704" s="13"/>
    </row>
    <row r="1705">
      <c r="A1705" s="5"/>
      <c r="B1705" s="5"/>
      <c r="C1705" s="5"/>
      <c r="D1705" s="5"/>
      <c r="E1705" s="6"/>
      <c r="F1705" s="6"/>
      <c r="G1705" s="18"/>
      <c r="I1705" s="16"/>
      <c r="J1705" s="9"/>
      <c r="K1705" s="10"/>
      <c r="L1705" s="6"/>
      <c r="M1705" s="11"/>
      <c r="N1705" s="6"/>
      <c r="O1705" s="6"/>
      <c r="P1705" s="10"/>
      <c r="Q1705" s="6"/>
      <c r="R1705" s="6"/>
      <c r="S1705" s="6"/>
      <c r="T1705" s="6"/>
      <c r="U1705" s="9"/>
      <c r="AI1705" s="6"/>
      <c r="AJ1705" s="12"/>
      <c r="AL1705" s="13"/>
    </row>
    <row r="1706">
      <c r="A1706" s="5"/>
      <c r="B1706" s="5"/>
      <c r="C1706" s="5"/>
      <c r="D1706" s="5"/>
      <c r="E1706" s="6"/>
      <c r="F1706" s="6"/>
      <c r="G1706" s="18"/>
      <c r="I1706" s="16"/>
      <c r="J1706" s="9"/>
      <c r="K1706" s="10"/>
      <c r="L1706" s="6"/>
      <c r="M1706" s="11"/>
      <c r="N1706" s="6"/>
      <c r="O1706" s="6"/>
      <c r="P1706" s="10"/>
      <c r="Q1706" s="6"/>
      <c r="R1706" s="6"/>
      <c r="S1706" s="6"/>
      <c r="T1706" s="6"/>
      <c r="U1706" s="9"/>
      <c r="AI1706" s="6"/>
      <c r="AJ1706" s="12"/>
      <c r="AL1706" s="13"/>
    </row>
    <row r="1707">
      <c r="A1707" s="5"/>
      <c r="B1707" s="5"/>
      <c r="C1707" s="5"/>
      <c r="D1707" s="5"/>
      <c r="E1707" s="6"/>
      <c r="F1707" s="6"/>
      <c r="G1707" s="18"/>
      <c r="I1707" s="16"/>
      <c r="J1707" s="9"/>
      <c r="K1707" s="10"/>
      <c r="L1707" s="6"/>
      <c r="M1707" s="11"/>
      <c r="N1707" s="6"/>
      <c r="O1707" s="6"/>
      <c r="P1707" s="10"/>
      <c r="Q1707" s="6"/>
      <c r="R1707" s="6"/>
      <c r="S1707" s="6"/>
      <c r="T1707" s="6"/>
      <c r="U1707" s="9"/>
      <c r="AI1707" s="6"/>
      <c r="AJ1707" s="12"/>
      <c r="AL1707" s="13"/>
    </row>
    <row r="1708">
      <c r="A1708" s="5"/>
      <c r="B1708" s="5"/>
      <c r="C1708" s="5"/>
      <c r="D1708" s="5"/>
      <c r="E1708" s="6"/>
      <c r="F1708" s="6"/>
      <c r="G1708" s="18"/>
      <c r="I1708" s="16"/>
      <c r="J1708" s="9"/>
      <c r="K1708" s="10"/>
      <c r="L1708" s="6"/>
      <c r="M1708" s="11"/>
      <c r="N1708" s="6"/>
      <c r="O1708" s="6"/>
      <c r="P1708" s="10"/>
      <c r="Q1708" s="6"/>
      <c r="R1708" s="6"/>
      <c r="S1708" s="6"/>
      <c r="T1708" s="6"/>
      <c r="U1708" s="9"/>
      <c r="AI1708" s="6"/>
      <c r="AJ1708" s="12"/>
      <c r="AL1708" s="13"/>
    </row>
    <row r="1709">
      <c r="A1709" s="5"/>
      <c r="B1709" s="5"/>
      <c r="C1709" s="5"/>
      <c r="D1709" s="5"/>
      <c r="E1709" s="6"/>
      <c r="F1709" s="6"/>
      <c r="G1709" s="18"/>
      <c r="I1709" s="16"/>
      <c r="J1709" s="9"/>
      <c r="K1709" s="10"/>
      <c r="L1709" s="6"/>
      <c r="M1709" s="11"/>
      <c r="N1709" s="6"/>
      <c r="O1709" s="6"/>
      <c r="P1709" s="10"/>
      <c r="Q1709" s="6"/>
      <c r="R1709" s="6"/>
      <c r="S1709" s="6"/>
      <c r="T1709" s="6"/>
      <c r="U1709" s="9"/>
      <c r="AI1709" s="6"/>
      <c r="AJ1709" s="12"/>
      <c r="AL1709" s="13"/>
    </row>
    <row r="1710">
      <c r="A1710" s="5"/>
      <c r="B1710" s="5"/>
      <c r="C1710" s="5"/>
      <c r="D1710" s="5"/>
      <c r="E1710" s="6"/>
      <c r="F1710" s="6"/>
      <c r="G1710" s="18"/>
      <c r="I1710" s="16"/>
      <c r="J1710" s="9"/>
      <c r="K1710" s="10"/>
      <c r="L1710" s="6"/>
      <c r="M1710" s="11"/>
      <c r="N1710" s="6"/>
      <c r="O1710" s="6"/>
      <c r="P1710" s="10"/>
      <c r="Q1710" s="6"/>
      <c r="R1710" s="6"/>
      <c r="S1710" s="6"/>
      <c r="T1710" s="6"/>
      <c r="U1710" s="9"/>
      <c r="AI1710" s="6"/>
      <c r="AJ1710" s="12"/>
      <c r="AL1710" s="13"/>
    </row>
    <row r="1711">
      <c r="A1711" s="5"/>
      <c r="B1711" s="5"/>
      <c r="C1711" s="5"/>
      <c r="D1711" s="5"/>
      <c r="E1711" s="6"/>
      <c r="F1711" s="6"/>
      <c r="G1711" s="18"/>
      <c r="I1711" s="16"/>
      <c r="J1711" s="9"/>
      <c r="K1711" s="10"/>
      <c r="L1711" s="6"/>
      <c r="M1711" s="11"/>
      <c r="N1711" s="6"/>
      <c r="O1711" s="6"/>
      <c r="P1711" s="10"/>
      <c r="Q1711" s="6"/>
      <c r="R1711" s="6"/>
      <c r="S1711" s="6"/>
      <c r="T1711" s="6"/>
      <c r="U1711" s="9"/>
      <c r="AI1711" s="6"/>
      <c r="AJ1711" s="12"/>
      <c r="AL1711" s="13"/>
    </row>
    <row r="1712">
      <c r="A1712" s="5"/>
      <c r="B1712" s="5"/>
      <c r="C1712" s="5"/>
      <c r="D1712" s="5"/>
      <c r="E1712" s="6"/>
      <c r="F1712" s="6"/>
      <c r="G1712" s="18"/>
      <c r="I1712" s="16"/>
      <c r="J1712" s="9"/>
      <c r="K1712" s="10"/>
      <c r="L1712" s="6"/>
      <c r="M1712" s="11"/>
      <c r="N1712" s="6"/>
      <c r="O1712" s="6"/>
      <c r="P1712" s="10"/>
      <c r="Q1712" s="6"/>
      <c r="R1712" s="6"/>
      <c r="S1712" s="6"/>
      <c r="T1712" s="6"/>
      <c r="U1712" s="9"/>
      <c r="AI1712" s="6"/>
      <c r="AJ1712" s="12"/>
      <c r="AL1712" s="13"/>
    </row>
    <row r="1713">
      <c r="A1713" s="5"/>
      <c r="B1713" s="5"/>
      <c r="C1713" s="5"/>
      <c r="D1713" s="5"/>
      <c r="E1713" s="6"/>
      <c r="F1713" s="6"/>
      <c r="G1713" s="18"/>
      <c r="I1713" s="16"/>
      <c r="J1713" s="9"/>
      <c r="K1713" s="10"/>
      <c r="L1713" s="6"/>
      <c r="M1713" s="11"/>
      <c r="N1713" s="6"/>
      <c r="O1713" s="6"/>
      <c r="P1713" s="10"/>
      <c r="Q1713" s="6"/>
      <c r="R1713" s="6"/>
      <c r="S1713" s="6"/>
      <c r="T1713" s="6"/>
      <c r="U1713" s="9"/>
      <c r="AI1713" s="6"/>
      <c r="AJ1713" s="12"/>
      <c r="AL1713" s="13"/>
    </row>
    <row r="1714">
      <c r="A1714" s="5"/>
      <c r="B1714" s="5"/>
      <c r="C1714" s="5"/>
      <c r="D1714" s="5"/>
      <c r="E1714" s="6"/>
      <c r="F1714" s="6"/>
      <c r="G1714" s="18"/>
      <c r="I1714" s="16"/>
      <c r="J1714" s="9"/>
      <c r="K1714" s="10"/>
      <c r="L1714" s="6"/>
      <c r="M1714" s="11"/>
      <c r="N1714" s="6"/>
      <c r="O1714" s="6"/>
      <c r="P1714" s="10"/>
      <c r="Q1714" s="6"/>
      <c r="R1714" s="6"/>
      <c r="S1714" s="6"/>
      <c r="T1714" s="6"/>
      <c r="U1714" s="9"/>
      <c r="AI1714" s="6"/>
      <c r="AJ1714" s="12"/>
      <c r="AL1714" s="13"/>
    </row>
    <row r="1715">
      <c r="A1715" s="5"/>
      <c r="B1715" s="5"/>
      <c r="C1715" s="5"/>
      <c r="D1715" s="5"/>
      <c r="E1715" s="6"/>
      <c r="F1715" s="6"/>
      <c r="G1715" s="18"/>
      <c r="I1715" s="16"/>
      <c r="J1715" s="9"/>
      <c r="K1715" s="10"/>
      <c r="L1715" s="6"/>
      <c r="M1715" s="11"/>
      <c r="N1715" s="6"/>
      <c r="O1715" s="6"/>
      <c r="P1715" s="10"/>
      <c r="Q1715" s="6"/>
      <c r="R1715" s="6"/>
      <c r="S1715" s="6"/>
      <c r="T1715" s="6"/>
      <c r="U1715" s="9"/>
      <c r="AI1715" s="6"/>
      <c r="AJ1715" s="12"/>
      <c r="AL1715" s="13"/>
    </row>
    <row r="1716">
      <c r="A1716" s="5"/>
      <c r="B1716" s="5"/>
      <c r="C1716" s="5"/>
      <c r="D1716" s="5"/>
      <c r="E1716" s="6"/>
      <c r="F1716" s="6"/>
      <c r="G1716" s="18"/>
      <c r="I1716" s="16"/>
      <c r="J1716" s="9"/>
      <c r="K1716" s="10"/>
      <c r="L1716" s="6"/>
      <c r="M1716" s="11"/>
      <c r="N1716" s="6"/>
      <c r="O1716" s="6"/>
      <c r="P1716" s="10"/>
      <c r="Q1716" s="6"/>
      <c r="R1716" s="6"/>
      <c r="S1716" s="6"/>
      <c r="T1716" s="6"/>
      <c r="U1716" s="9"/>
      <c r="AI1716" s="6"/>
      <c r="AJ1716" s="12"/>
      <c r="AL1716" s="13"/>
    </row>
    <row r="1717">
      <c r="A1717" s="5"/>
      <c r="B1717" s="5"/>
      <c r="C1717" s="5"/>
      <c r="D1717" s="5"/>
      <c r="E1717" s="6"/>
      <c r="F1717" s="6"/>
      <c r="G1717" s="18"/>
      <c r="I1717" s="16"/>
      <c r="J1717" s="9"/>
      <c r="K1717" s="10"/>
      <c r="L1717" s="6"/>
      <c r="M1717" s="11"/>
      <c r="N1717" s="6"/>
      <c r="O1717" s="6"/>
      <c r="P1717" s="10"/>
      <c r="Q1717" s="6"/>
      <c r="R1717" s="6"/>
      <c r="S1717" s="6"/>
      <c r="T1717" s="6"/>
      <c r="U1717" s="9"/>
      <c r="AI1717" s="6"/>
      <c r="AJ1717" s="12"/>
      <c r="AL1717" s="13"/>
    </row>
    <row r="1718">
      <c r="A1718" s="5"/>
      <c r="B1718" s="5"/>
      <c r="C1718" s="5"/>
      <c r="D1718" s="5"/>
      <c r="E1718" s="6"/>
      <c r="F1718" s="6"/>
      <c r="G1718" s="18"/>
      <c r="I1718" s="16"/>
      <c r="J1718" s="9"/>
      <c r="K1718" s="10"/>
      <c r="L1718" s="6"/>
      <c r="M1718" s="11"/>
      <c r="N1718" s="6"/>
      <c r="O1718" s="6"/>
      <c r="P1718" s="10"/>
      <c r="Q1718" s="6"/>
      <c r="R1718" s="6"/>
      <c r="S1718" s="6"/>
      <c r="T1718" s="6"/>
      <c r="U1718" s="9"/>
      <c r="AI1718" s="6"/>
      <c r="AJ1718" s="12"/>
      <c r="AL1718" s="13"/>
    </row>
    <row r="1719">
      <c r="A1719" s="5"/>
      <c r="B1719" s="5"/>
      <c r="C1719" s="5"/>
      <c r="D1719" s="5"/>
      <c r="E1719" s="6"/>
      <c r="F1719" s="6"/>
      <c r="G1719" s="18"/>
      <c r="I1719" s="16"/>
      <c r="J1719" s="9"/>
      <c r="K1719" s="10"/>
      <c r="L1719" s="6"/>
      <c r="M1719" s="11"/>
      <c r="N1719" s="6"/>
      <c r="O1719" s="6"/>
      <c r="P1719" s="10"/>
      <c r="Q1719" s="6"/>
      <c r="R1719" s="6"/>
      <c r="S1719" s="6"/>
      <c r="T1719" s="6"/>
      <c r="U1719" s="9"/>
      <c r="AI1719" s="6"/>
      <c r="AJ1719" s="12"/>
      <c r="AL1719" s="13"/>
    </row>
    <row r="1720">
      <c r="A1720" s="5"/>
      <c r="B1720" s="5"/>
      <c r="C1720" s="5"/>
      <c r="D1720" s="5"/>
      <c r="E1720" s="6"/>
      <c r="F1720" s="6"/>
      <c r="G1720" s="18"/>
      <c r="I1720" s="16"/>
      <c r="J1720" s="9"/>
      <c r="K1720" s="10"/>
      <c r="L1720" s="6"/>
      <c r="M1720" s="11"/>
      <c r="N1720" s="6"/>
      <c r="O1720" s="6"/>
      <c r="P1720" s="10"/>
      <c r="Q1720" s="6"/>
      <c r="R1720" s="6"/>
      <c r="S1720" s="6"/>
      <c r="T1720" s="6"/>
      <c r="U1720" s="9"/>
      <c r="AI1720" s="6"/>
      <c r="AJ1720" s="12"/>
      <c r="AL1720" s="13"/>
    </row>
    <row r="1721">
      <c r="A1721" s="5"/>
      <c r="B1721" s="5"/>
      <c r="C1721" s="5"/>
      <c r="D1721" s="5"/>
      <c r="E1721" s="6"/>
      <c r="F1721" s="6"/>
      <c r="G1721" s="18"/>
      <c r="I1721" s="16"/>
      <c r="J1721" s="9"/>
      <c r="K1721" s="10"/>
      <c r="L1721" s="6"/>
      <c r="M1721" s="11"/>
      <c r="N1721" s="6"/>
      <c r="O1721" s="6"/>
      <c r="P1721" s="10"/>
      <c r="Q1721" s="6"/>
      <c r="R1721" s="6"/>
      <c r="S1721" s="6"/>
      <c r="T1721" s="6"/>
      <c r="U1721" s="9"/>
      <c r="AI1721" s="6"/>
      <c r="AJ1721" s="12"/>
      <c r="AL1721" s="13"/>
    </row>
    <row r="1722">
      <c r="A1722" s="5"/>
      <c r="B1722" s="5"/>
      <c r="C1722" s="5"/>
      <c r="D1722" s="5"/>
      <c r="E1722" s="6"/>
      <c r="F1722" s="6"/>
      <c r="G1722" s="18"/>
      <c r="I1722" s="16"/>
      <c r="J1722" s="9"/>
      <c r="K1722" s="10"/>
      <c r="L1722" s="6"/>
      <c r="M1722" s="11"/>
      <c r="N1722" s="6"/>
      <c r="O1722" s="6"/>
      <c r="P1722" s="10"/>
      <c r="Q1722" s="6"/>
      <c r="R1722" s="6"/>
      <c r="S1722" s="6"/>
      <c r="T1722" s="6"/>
      <c r="U1722" s="9"/>
      <c r="AI1722" s="6"/>
      <c r="AJ1722" s="12"/>
      <c r="AL1722" s="13"/>
    </row>
    <row r="1723">
      <c r="A1723" s="5"/>
      <c r="B1723" s="5"/>
      <c r="C1723" s="5"/>
      <c r="D1723" s="5"/>
      <c r="E1723" s="6"/>
      <c r="F1723" s="6"/>
      <c r="G1723" s="18"/>
      <c r="I1723" s="16"/>
      <c r="J1723" s="9"/>
      <c r="K1723" s="10"/>
      <c r="L1723" s="6"/>
      <c r="M1723" s="11"/>
      <c r="N1723" s="6"/>
      <c r="O1723" s="6"/>
      <c r="P1723" s="10"/>
      <c r="Q1723" s="6"/>
      <c r="R1723" s="6"/>
      <c r="S1723" s="6"/>
      <c r="T1723" s="6"/>
      <c r="U1723" s="9"/>
      <c r="AI1723" s="6"/>
      <c r="AJ1723" s="12"/>
      <c r="AL1723" s="13"/>
    </row>
    <row r="1724">
      <c r="A1724" s="5"/>
      <c r="B1724" s="5"/>
      <c r="C1724" s="5"/>
      <c r="D1724" s="5"/>
      <c r="E1724" s="6"/>
      <c r="F1724" s="6"/>
      <c r="G1724" s="18"/>
      <c r="I1724" s="16"/>
      <c r="J1724" s="9"/>
      <c r="K1724" s="10"/>
      <c r="L1724" s="6"/>
      <c r="M1724" s="11"/>
      <c r="N1724" s="6"/>
      <c r="O1724" s="6"/>
      <c r="P1724" s="10"/>
      <c r="Q1724" s="6"/>
      <c r="R1724" s="6"/>
      <c r="S1724" s="6"/>
      <c r="T1724" s="6"/>
      <c r="U1724" s="9"/>
      <c r="AI1724" s="6"/>
      <c r="AJ1724" s="12"/>
      <c r="AL1724" s="13"/>
    </row>
    <row r="1725">
      <c r="A1725" s="5"/>
      <c r="B1725" s="5"/>
      <c r="C1725" s="5"/>
      <c r="D1725" s="5"/>
      <c r="E1725" s="6"/>
      <c r="F1725" s="6"/>
      <c r="G1725" s="18"/>
      <c r="I1725" s="16"/>
      <c r="J1725" s="9"/>
      <c r="K1725" s="10"/>
      <c r="L1725" s="6"/>
      <c r="M1725" s="11"/>
      <c r="N1725" s="6"/>
      <c r="O1725" s="6"/>
      <c r="P1725" s="10"/>
      <c r="Q1725" s="6"/>
      <c r="R1725" s="6"/>
      <c r="S1725" s="6"/>
      <c r="T1725" s="6"/>
      <c r="U1725" s="9"/>
      <c r="AI1725" s="6"/>
      <c r="AJ1725" s="12"/>
      <c r="AL1725" s="13"/>
    </row>
    <row r="1726">
      <c r="A1726" s="5"/>
      <c r="B1726" s="5"/>
      <c r="C1726" s="5"/>
      <c r="D1726" s="5"/>
      <c r="E1726" s="6"/>
      <c r="F1726" s="6"/>
      <c r="G1726" s="18"/>
      <c r="I1726" s="16"/>
      <c r="J1726" s="9"/>
      <c r="K1726" s="10"/>
      <c r="L1726" s="6"/>
      <c r="M1726" s="11"/>
      <c r="N1726" s="6"/>
      <c r="O1726" s="6"/>
      <c r="P1726" s="10"/>
      <c r="Q1726" s="6"/>
      <c r="R1726" s="6"/>
      <c r="S1726" s="6"/>
      <c r="T1726" s="6"/>
      <c r="U1726" s="9"/>
      <c r="AI1726" s="6"/>
      <c r="AJ1726" s="12"/>
      <c r="AL1726" s="13"/>
    </row>
    <row r="1727">
      <c r="A1727" s="5"/>
      <c r="B1727" s="5"/>
      <c r="C1727" s="5"/>
      <c r="D1727" s="5"/>
      <c r="E1727" s="6"/>
      <c r="F1727" s="6"/>
      <c r="G1727" s="18"/>
      <c r="I1727" s="16"/>
      <c r="J1727" s="9"/>
      <c r="K1727" s="10"/>
      <c r="L1727" s="6"/>
      <c r="M1727" s="11"/>
      <c r="N1727" s="6"/>
      <c r="O1727" s="6"/>
      <c r="P1727" s="10"/>
      <c r="Q1727" s="6"/>
      <c r="R1727" s="6"/>
      <c r="S1727" s="6"/>
      <c r="T1727" s="6"/>
      <c r="U1727" s="9"/>
      <c r="AI1727" s="6"/>
      <c r="AJ1727" s="12"/>
      <c r="AL1727" s="13"/>
    </row>
    <row r="1728">
      <c r="A1728" s="5"/>
      <c r="B1728" s="5"/>
      <c r="C1728" s="5"/>
      <c r="D1728" s="5"/>
      <c r="E1728" s="6"/>
      <c r="F1728" s="6"/>
      <c r="G1728" s="18"/>
      <c r="I1728" s="16"/>
      <c r="J1728" s="9"/>
      <c r="K1728" s="10"/>
      <c r="L1728" s="6"/>
      <c r="M1728" s="11"/>
      <c r="N1728" s="6"/>
      <c r="O1728" s="6"/>
      <c r="P1728" s="10"/>
      <c r="Q1728" s="6"/>
      <c r="R1728" s="6"/>
      <c r="S1728" s="6"/>
      <c r="T1728" s="6"/>
      <c r="U1728" s="9"/>
      <c r="AI1728" s="6"/>
      <c r="AJ1728" s="12"/>
      <c r="AL1728" s="13"/>
    </row>
    <row r="1729">
      <c r="A1729" s="5"/>
      <c r="B1729" s="5"/>
      <c r="C1729" s="5"/>
      <c r="D1729" s="5"/>
      <c r="E1729" s="6"/>
      <c r="F1729" s="6"/>
      <c r="G1729" s="18"/>
      <c r="I1729" s="16"/>
      <c r="J1729" s="9"/>
      <c r="K1729" s="10"/>
      <c r="L1729" s="6"/>
      <c r="M1729" s="11"/>
      <c r="N1729" s="6"/>
      <c r="O1729" s="6"/>
      <c r="P1729" s="10"/>
      <c r="Q1729" s="6"/>
      <c r="R1729" s="6"/>
      <c r="S1729" s="6"/>
      <c r="T1729" s="6"/>
      <c r="U1729" s="9"/>
      <c r="AI1729" s="6"/>
      <c r="AJ1729" s="12"/>
      <c r="AL1729" s="13"/>
    </row>
    <row r="1730">
      <c r="A1730" s="5"/>
      <c r="B1730" s="5"/>
      <c r="C1730" s="5"/>
      <c r="D1730" s="5"/>
      <c r="E1730" s="6"/>
      <c r="F1730" s="6"/>
      <c r="G1730" s="18"/>
      <c r="I1730" s="16"/>
      <c r="J1730" s="9"/>
      <c r="K1730" s="10"/>
      <c r="L1730" s="6"/>
      <c r="M1730" s="11"/>
      <c r="N1730" s="6"/>
      <c r="O1730" s="6"/>
      <c r="P1730" s="10"/>
      <c r="Q1730" s="6"/>
      <c r="R1730" s="6"/>
      <c r="S1730" s="6"/>
      <c r="T1730" s="6"/>
      <c r="U1730" s="9"/>
      <c r="AI1730" s="6"/>
      <c r="AJ1730" s="12"/>
      <c r="AL1730" s="13"/>
    </row>
    <row r="1731">
      <c r="A1731" s="5"/>
      <c r="B1731" s="5"/>
      <c r="C1731" s="5"/>
      <c r="D1731" s="5"/>
      <c r="E1731" s="6"/>
      <c r="F1731" s="6"/>
      <c r="G1731" s="18"/>
      <c r="I1731" s="16"/>
      <c r="J1731" s="9"/>
      <c r="K1731" s="10"/>
      <c r="L1731" s="6"/>
      <c r="M1731" s="11"/>
      <c r="N1731" s="6"/>
      <c r="O1731" s="6"/>
      <c r="P1731" s="10"/>
      <c r="Q1731" s="6"/>
      <c r="R1731" s="6"/>
      <c r="S1731" s="6"/>
      <c r="T1731" s="6"/>
      <c r="U1731" s="9"/>
      <c r="AI1731" s="6"/>
      <c r="AJ1731" s="12"/>
      <c r="AL1731" s="13"/>
    </row>
    <row r="1732">
      <c r="A1732" s="5"/>
      <c r="B1732" s="5"/>
      <c r="C1732" s="5"/>
      <c r="D1732" s="5"/>
      <c r="E1732" s="6"/>
      <c r="F1732" s="6"/>
      <c r="G1732" s="18"/>
      <c r="I1732" s="16"/>
      <c r="J1732" s="9"/>
      <c r="K1732" s="10"/>
      <c r="L1732" s="6"/>
      <c r="M1732" s="11"/>
      <c r="N1732" s="6"/>
      <c r="O1732" s="6"/>
      <c r="P1732" s="10"/>
      <c r="Q1732" s="6"/>
      <c r="R1732" s="6"/>
      <c r="S1732" s="6"/>
      <c r="T1732" s="6"/>
      <c r="U1732" s="9"/>
      <c r="AI1732" s="6"/>
      <c r="AJ1732" s="12"/>
      <c r="AL1732" s="13"/>
    </row>
    <row r="1733">
      <c r="A1733" s="5"/>
      <c r="B1733" s="5"/>
      <c r="C1733" s="5"/>
      <c r="D1733" s="5"/>
      <c r="E1733" s="6"/>
      <c r="F1733" s="6"/>
      <c r="G1733" s="18"/>
      <c r="I1733" s="16"/>
      <c r="J1733" s="9"/>
      <c r="K1733" s="10"/>
      <c r="L1733" s="6"/>
      <c r="M1733" s="11"/>
      <c r="N1733" s="6"/>
      <c r="O1733" s="6"/>
      <c r="P1733" s="10"/>
      <c r="Q1733" s="6"/>
      <c r="R1733" s="6"/>
      <c r="S1733" s="6"/>
      <c r="T1733" s="6"/>
      <c r="U1733" s="9"/>
      <c r="AI1733" s="6"/>
      <c r="AJ1733" s="12"/>
      <c r="AL1733" s="13"/>
    </row>
    <row r="1734">
      <c r="A1734" s="5"/>
      <c r="B1734" s="5"/>
      <c r="C1734" s="5"/>
      <c r="D1734" s="5"/>
      <c r="E1734" s="6"/>
      <c r="F1734" s="6"/>
      <c r="G1734" s="18"/>
      <c r="I1734" s="16"/>
      <c r="J1734" s="9"/>
      <c r="K1734" s="10"/>
      <c r="L1734" s="6"/>
      <c r="M1734" s="11"/>
      <c r="N1734" s="6"/>
      <c r="O1734" s="6"/>
      <c r="P1734" s="10"/>
      <c r="Q1734" s="6"/>
      <c r="R1734" s="6"/>
      <c r="S1734" s="6"/>
      <c r="T1734" s="6"/>
      <c r="U1734" s="9"/>
      <c r="AI1734" s="6"/>
      <c r="AJ1734" s="12"/>
      <c r="AL1734" s="13"/>
    </row>
    <row r="1735">
      <c r="A1735" s="5"/>
      <c r="B1735" s="5"/>
      <c r="C1735" s="5"/>
      <c r="D1735" s="5"/>
      <c r="E1735" s="6"/>
      <c r="F1735" s="6"/>
      <c r="G1735" s="18"/>
      <c r="I1735" s="16"/>
      <c r="J1735" s="9"/>
      <c r="K1735" s="10"/>
      <c r="L1735" s="6"/>
      <c r="M1735" s="11"/>
      <c r="N1735" s="6"/>
      <c r="O1735" s="6"/>
      <c r="P1735" s="10"/>
      <c r="Q1735" s="6"/>
      <c r="R1735" s="6"/>
      <c r="S1735" s="6"/>
      <c r="T1735" s="6"/>
      <c r="U1735" s="9"/>
      <c r="AI1735" s="6"/>
      <c r="AJ1735" s="12"/>
      <c r="AL1735" s="13"/>
    </row>
    <row r="1736">
      <c r="A1736" s="5"/>
      <c r="B1736" s="5"/>
      <c r="C1736" s="5"/>
      <c r="D1736" s="5"/>
      <c r="E1736" s="6"/>
      <c r="F1736" s="6"/>
      <c r="G1736" s="18"/>
      <c r="I1736" s="16"/>
      <c r="J1736" s="9"/>
      <c r="K1736" s="10"/>
      <c r="L1736" s="6"/>
      <c r="M1736" s="11"/>
      <c r="N1736" s="6"/>
      <c r="O1736" s="6"/>
      <c r="P1736" s="10"/>
      <c r="Q1736" s="6"/>
      <c r="R1736" s="6"/>
      <c r="S1736" s="6"/>
      <c r="T1736" s="6"/>
      <c r="U1736" s="9"/>
      <c r="AI1736" s="6"/>
      <c r="AJ1736" s="12"/>
      <c r="AL1736" s="13"/>
    </row>
    <row r="1737">
      <c r="A1737" s="5"/>
      <c r="B1737" s="5"/>
      <c r="C1737" s="5"/>
      <c r="D1737" s="5"/>
      <c r="E1737" s="6"/>
      <c r="F1737" s="6"/>
      <c r="G1737" s="18"/>
      <c r="I1737" s="16"/>
      <c r="J1737" s="9"/>
      <c r="K1737" s="10"/>
      <c r="L1737" s="6"/>
      <c r="M1737" s="11"/>
      <c r="N1737" s="6"/>
      <c r="O1737" s="6"/>
      <c r="P1737" s="10"/>
      <c r="Q1737" s="6"/>
      <c r="R1737" s="6"/>
      <c r="S1737" s="6"/>
      <c r="T1737" s="6"/>
      <c r="U1737" s="9"/>
      <c r="AI1737" s="6"/>
      <c r="AJ1737" s="12"/>
      <c r="AL1737" s="13"/>
    </row>
    <row r="1738">
      <c r="A1738" s="5"/>
      <c r="B1738" s="5"/>
      <c r="C1738" s="5"/>
      <c r="D1738" s="5"/>
      <c r="E1738" s="6"/>
      <c r="F1738" s="6"/>
      <c r="G1738" s="18"/>
      <c r="I1738" s="16"/>
      <c r="J1738" s="9"/>
      <c r="K1738" s="10"/>
      <c r="L1738" s="6"/>
      <c r="M1738" s="11"/>
      <c r="N1738" s="6"/>
      <c r="O1738" s="6"/>
      <c r="P1738" s="10"/>
      <c r="Q1738" s="6"/>
      <c r="R1738" s="6"/>
      <c r="S1738" s="6"/>
      <c r="T1738" s="6"/>
      <c r="U1738" s="9"/>
      <c r="AI1738" s="6"/>
      <c r="AJ1738" s="12"/>
      <c r="AL1738" s="13"/>
    </row>
    <row r="1739">
      <c r="A1739" s="5"/>
      <c r="B1739" s="5"/>
      <c r="C1739" s="5"/>
      <c r="D1739" s="5"/>
      <c r="E1739" s="6"/>
      <c r="F1739" s="6"/>
      <c r="G1739" s="18"/>
      <c r="I1739" s="16"/>
      <c r="J1739" s="9"/>
      <c r="K1739" s="10"/>
      <c r="L1739" s="6"/>
      <c r="M1739" s="11"/>
      <c r="N1739" s="6"/>
      <c r="O1739" s="6"/>
      <c r="P1739" s="10"/>
      <c r="Q1739" s="6"/>
      <c r="R1739" s="6"/>
      <c r="S1739" s="6"/>
      <c r="T1739" s="6"/>
      <c r="U1739" s="9"/>
      <c r="AI1739" s="6"/>
      <c r="AJ1739" s="12"/>
      <c r="AL1739" s="13"/>
    </row>
    <row r="1740">
      <c r="A1740" s="5"/>
      <c r="B1740" s="5"/>
      <c r="C1740" s="5"/>
      <c r="D1740" s="5"/>
      <c r="E1740" s="6"/>
      <c r="F1740" s="6"/>
      <c r="G1740" s="18"/>
      <c r="I1740" s="16"/>
      <c r="J1740" s="9"/>
      <c r="K1740" s="10"/>
      <c r="L1740" s="6"/>
      <c r="M1740" s="11"/>
      <c r="N1740" s="6"/>
      <c r="O1740" s="6"/>
      <c r="P1740" s="10"/>
      <c r="Q1740" s="6"/>
      <c r="R1740" s="6"/>
      <c r="S1740" s="6"/>
      <c r="T1740" s="6"/>
      <c r="U1740" s="9"/>
      <c r="AI1740" s="6"/>
      <c r="AJ1740" s="12"/>
      <c r="AL1740" s="13"/>
    </row>
    <row r="1741">
      <c r="A1741" s="5"/>
      <c r="B1741" s="5"/>
      <c r="C1741" s="5"/>
      <c r="D1741" s="5"/>
      <c r="E1741" s="6"/>
      <c r="F1741" s="6"/>
      <c r="G1741" s="18"/>
      <c r="I1741" s="16"/>
      <c r="J1741" s="9"/>
      <c r="K1741" s="10"/>
      <c r="L1741" s="6"/>
      <c r="M1741" s="11"/>
      <c r="N1741" s="6"/>
      <c r="O1741" s="6"/>
      <c r="P1741" s="10"/>
      <c r="Q1741" s="6"/>
      <c r="R1741" s="6"/>
      <c r="S1741" s="6"/>
      <c r="T1741" s="6"/>
      <c r="U1741" s="9"/>
      <c r="AI1741" s="6"/>
      <c r="AJ1741" s="12"/>
      <c r="AL1741" s="13"/>
    </row>
    <row r="1742">
      <c r="A1742" s="5"/>
      <c r="B1742" s="5"/>
      <c r="C1742" s="5"/>
      <c r="D1742" s="5"/>
      <c r="E1742" s="6"/>
      <c r="F1742" s="6"/>
      <c r="G1742" s="18"/>
      <c r="I1742" s="16"/>
      <c r="J1742" s="9"/>
      <c r="K1742" s="10"/>
      <c r="L1742" s="6"/>
      <c r="M1742" s="11"/>
      <c r="N1742" s="6"/>
      <c r="O1742" s="6"/>
      <c r="P1742" s="10"/>
      <c r="Q1742" s="6"/>
      <c r="R1742" s="6"/>
      <c r="S1742" s="6"/>
      <c r="T1742" s="6"/>
      <c r="U1742" s="9"/>
      <c r="AI1742" s="6"/>
      <c r="AJ1742" s="12"/>
      <c r="AL1742" s="13"/>
    </row>
    <row r="1743">
      <c r="A1743" s="5"/>
      <c r="B1743" s="5"/>
      <c r="C1743" s="5"/>
      <c r="D1743" s="5"/>
      <c r="E1743" s="6"/>
      <c r="F1743" s="6"/>
      <c r="G1743" s="18"/>
      <c r="I1743" s="16"/>
      <c r="J1743" s="9"/>
      <c r="K1743" s="10"/>
      <c r="L1743" s="6"/>
      <c r="M1743" s="11"/>
      <c r="N1743" s="6"/>
      <c r="O1743" s="6"/>
      <c r="P1743" s="10"/>
      <c r="Q1743" s="6"/>
      <c r="R1743" s="6"/>
      <c r="S1743" s="6"/>
      <c r="T1743" s="6"/>
      <c r="U1743" s="9"/>
      <c r="AI1743" s="6"/>
      <c r="AJ1743" s="12"/>
      <c r="AL1743" s="13"/>
    </row>
    <row r="1744">
      <c r="A1744" s="5"/>
      <c r="B1744" s="5"/>
      <c r="C1744" s="5"/>
      <c r="D1744" s="5"/>
      <c r="E1744" s="6"/>
      <c r="F1744" s="6"/>
      <c r="G1744" s="18"/>
      <c r="I1744" s="16"/>
      <c r="J1744" s="9"/>
      <c r="K1744" s="10"/>
      <c r="L1744" s="6"/>
      <c r="M1744" s="11"/>
      <c r="N1744" s="6"/>
      <c r="O1744" s="6"/>
      <c r="P1744" s="10"/>
      <c r="Q1744" s="6"/>
      <c r="R1744" s="6"/>
      <c r="S1744" s="6"/>
      <c r="T1744" s="6"/>
      <c r="U1744" s="9"/>
      <c r="AI1744" s="6"/>
      <c r="AJ1744" s="12"/>
      <c r="AL1744" s="13"/>
    </row>
    <row r="1745">
      <c r="A1745" s="5"/>
      <c r="B1745" s="5"/>
      <c r="C1745" s="5"/>
      <c r="D1745" s="5"/>
      <c r="E1745" s="6"/>
      <c r="F1745" s="6"/>
      <c r="G1745" s="18"/>
      <c r="I1745" s="16"/>
      <c r="J1745" s="9"/>
      <c r="K1745" s="10"/>
      <c r="L1745" s="6"/>
      <c r="M1745" s="11"/>
      <c r="N1745" s="6"/>
      <c r="O1745" s="6"/>
      <c r="P1745" s="10"/>
      <c r="Q1745" s="6"/>
      <c r="R1745" s="6"/>
      <c r="S1745" s="6"/>
      <c r="T1745" s="6"/>
      <c r="U1745" s="9"/>
      <c r="AI1745" s="6"/>
      <c r="AJ1745" s="12"/>
      <c r="AL1745" s="13"/>
    </row>
    <row r="1746">
      <c r="A1746" s="5"/>
      <c r="B1746" s="5"/>
      <c r="C1746" s="5"/>
      <c r="D1746" s="5"/>
      <c r="E1746" s="6"/>
      <c r="F1746" s="6"/>
      <c r="G1746" s="18"/>
      <c r="I1746" s="16"/>
      <c r="J1746" s="9"/>
      <c r="K1746" s="10"/>
      <c r="L1746" s="6"/>
      <c r="M1746" s="11"/>
      <c r="N1746" s="6"/>
      <c r="O1746" s="6"/>
      <c r="P1746" s="10"/>
      <c r="Q1746" s="6"/>
      <c r="R1746" s="6"/>
      <c r="S1746" s="6"/>
      <c r="T1746" s="6"/>
      <c r="U1746" s="9"/>
      <c r="AI1746" s="6"/>
      <c r="AJ1746" s="12"/>
      <c r="AL1746" s="13"/>
    </row>
    <row r="1747">
      <c r="A1747" s="5"/>
      <c r="B1747" s="5"/>
      <c r="C1747" s="5"/>
      <c r="D1747" s="5"/>
      <c r="E1747" s="6"/>
      <c r="F1747" s="6"/>
      <c r="G1747" s="18"/>
      <c r="I1747" s="16"/>
      <c r="J1747" s="9"/>
      <c r="K1747" s="10"/>
      <c r="L1747" s="6"/>
      <c r="M1747" s="11"/>
      <c r="N1747" s="6"/>
      <c r="O1747" s="6"/>
      <c r="P1747" s="10"/>
      <c r="Q1747" s="6"/>
      <c r="R1747" s="6"/>
      <c r="S1747" s="6"/>
      <c r="T1747" s="6"/>
      <c r="U1747" s="9"/>
      <c r="AI1747" s="6"/>
      <c r="AJ1747" s="12"/>
      <c r="AL1747" s="13"/>
    </row>
    <row r="1748">
      <c r="A1748" s="5"/>
      <c r="B1748" s="5"/>
      <c r="C1748" s="5"/>
      <c r="D1748" s="5"/>
      <c r="E1748" s="6"/>
      <c r="F1748" s="6"/>
      <c r="G1748" s="18"/>
      <c r="I1748" s="16"/>
      <c r="J1748" s="9"/>
      <c r="K1748" s="10"/>
      <c r="L1748" s="6"/>
      <c r="M1748" s="11"/>
      <c r="N1748" s="6"/>
      <c r="O1748" s="6"/>
      <c r="P1748" s="10"/>
      <c r="Q1748" s="6"/>
      <c r="R1748" s="6"/>
      <c r="S1748" s="6"/>
      <c r="T1748" s="6"/>
      <c r="U1748" s="9"/>
      <c r="AI1748" s="6"/>
      <c r="AJ1748" s="12"/>
      <c r="AL1748" s="13"/>
    </row>
    <row r="1749">
      <c r="A1749" s="5"/>
      <c r="B1749" s="5"/>
      <c r="C1749" s="5"/>
      <c r="D1749" s="5"/>
      <c r="E1749" s="6"/>
      <c r="F1749" s="6"/>
      <c r="G1749" s="18"/>
      <c r="I1749" s="16"/>
      <c r="J1749" s="9"/>
      <c r="K1749" s="10"/>
      <c r="L1749" s="6"/>
      <c r="M1749" s="11"/>
      <c r="N1749" s="6"/>
      <c r="O1749" s="6"/>
      <c r="P1749" s="10"/>
      <c r="Q1749" s="6"/>
      <c r="R1749" s="6"/>
      <c r="S1749" s="6"/>
      <c r="T1749" s="6"/>
      <c r="U1749" s="9"/>
      <c r="AI1749" s="6"/>
      <c r="AJ1749" s="12"/>
      <c r="AL1749" s="13"/>
    </row>
    <row r="1750">
      <c r="A1750" s="5"/>
      <c r="B1750" s="5"/>
      <c r="C1750" s="5"/>
      <c r="D1750" s="5"/>
      <c r="E1750" s="6"/>
      <c r="F1750" s="6"/>
      <c r="G1750" s="18"/>
      <c r="I1750" s="16"/>
      <c r="J1750" s="9"/>
      <c r="K1750" s="10"/>
      <c r="L1750" s="6"/>
      <c r="M1750" s="11"/>
      <c r="N1750" s="6"/>
      <c r="O1750" s="6"/>
      <c r="P1750" s="10"/>
      <c r="Q1750" s="6"/>
      <c r="R1750" s="6"/>
      <c r="S1750" s="6"/>
      <c r="T1750" s="6"/>
      <c r="U1750" s="9"/>
      <c r="AI1750" s="6"/>
      <c r="AJ1750" s="12"/>
      <c r="AL1750" s="13"/>
    </row>
    <row r="1751">
      <c r="A1751" s="5"/>
      <c r="B1751" s="5"/>
      <c r="C1751" s="5"/>
      <c r="D1751" s="5"/>
      <c r="E1751" s="6"/>
      <c r="F1751" s="6"/>
      <c r="G1751" s="18"/>
      <c r="I1751" s="16"/>
      <c r="J1751" s="9"/>
      <c r="K1751" s="10"/>
      <c r="L1751" s="6"/>
      <c r="M1751" s="11"/>
      <c r="N1751" s="6"/>
      <c r="O1751" s="6"/>
      <c r="P1751" s="10"/>
      <c r="Q1751" s="6"/>
      <c r="R1751" s="6"/>
      <c r="S1751" s="6"/>
      <c r="T1751" s="6"/>
      <c r="U1751" s="9"/>
      <c r="AI1751" s="6"/>
      <c r="AJ1751" s="12"/>
      <c r="AL1751" s="13"/>
    </row>
    <row r="1752">
      <c r="A1752" s="5"/>
      <c r="B1752" s="5"/>
      <c r="C1752" s="5"/>
      <c r="D1752" s="5"/>
      <c r="E1752" s="6"/>
      <c r="F1752" s="6"/>
      <c r="G1752" s="18"/>
      <c r="I1752" s="16"/>
      <c r="J1752" s="9"/>
      <c r="K1752" s="10"/>
      <c r="L1752" s="6"/>
      <c r="M1752" s="11"/>
      <c r="N1752" s="6"/>
      <c r="O1752" s="6"/>
      <c r="P1752" s="10"/>
      <c r="Q1752" s="6"/>
      <c r="R1752" s="6"/>
      <c r="S1752" s="6"/>
      <c r="T1752" s="6"/>
      <c r="U1752" s="9"/>
      <c r="AI1752" s="6"/>
      <c r="AJ1752" s="12"/>
      <c r="AL1752" s="13"/>
    </row>
    <row r="1753">
      <c r="A1753" s="5"/>
      <c r="B1753" s="5"/>
      <c r="C1753" s="5"/>
      <c r="D1753" s="5"/>
      <c r="E1753" s="6"/>
      <c r="F1753" s="6"/>
      <c r="G1753" s="18"/>
      <c r="I1753" s="16"/>
      <c r="J1753" s="9"/>
      <c r="K1753" s="10"/>
      <c r="L1753" s="6"/>
      <c r="M1753" s="11"/>
      <c r="N1753" s="6"/>
      <c r="O1753" s="6"/>
      <c r="P1753" s="10"/>
      <c r="Q1753" s="6"/>
      <c r="R1753" s="6"/>
      <c r="S1753" s="6"/>
      <c r="T1753" s="6"/>
      <c r="U1753" s="9"/>
      <c r="AI1753" s="6"/>
      <c r="AJ1753" s="12"/>
      <c r="AL1753" s="13"/>
    </row>
    <row r="1754">
      <c r="A1754" s="5"/>
      <c r="B1754" s="5"/>
      <c r="C1754" s="5"/>
      <c r="D1754" s="5"/>
      <c r="E1754" s="6"/>
      <c r="F1754" s="6"/>
      <c r="G1754" s="18"/>
      <c r="I1754" s="16"/>
      <c r="J1754" s="9"/>
      <c r="K1754" s="10"/>
      <c r="L1754" s="6"/>
      <c r="M1754" s="11"/>
      <c r="N1754" s="6"/>
      <c r="O1754" s="6"/>
      <c r="P1754" s="10"/>
      <c r="Q1754" s="6"/>
      <c r="R1754" s="6"/>
      <c r="S1754" s="6"/>
      <c r="T1754" s="6"/>
      <c r="U1754" s="9"/>
      <c r="AI1754" s="6"/>
      <c r="AJ1754" s="12"/>
      <c r="AL1754" s="13"/>
    </row>
    <row r="1755">
      <c r="A1755" s="5"/>
      <c r="B1755" s="5"/>
      <c r="C1755" s="5"/>
      <c r="D1755" s="5"/>
      <c r="E1755" s="6"/>
      <c r="F1755" s="6"/>
      <c r="G1755" s="18"/>
      <c r="I1755" s="16"/>
      <c r="J1755" s="9"/>
      <c r="K1755" s="10"/>
      <c r="L1755" s="6"/>
      <c r="M1755" s="11"/>
      <c r="N1755" s="6"/>
      <c r="O1755" s="6"/>
      <c r="P1755" s="10"/>
      <c r="Q1755" s="6"/>
      <c r="R1755" s="6"/>
      <c r="S1755" s="6"/>
      <c r="T1755" s="6"/>
      <c r="U1755" s="9"/>
      <c r="AI1755" s="6"/>
      <c r="AJ1755" s="12"/>
      <c r="AL1755" s="13"/>
    </row>
    <row r="1756">
      <c r="A1756" s="5"/>
      <c r="B1756" s="5"/>
      <c r="C1756" s="5"/>
      <c r="D1756" s="5"/>
      <c r="E1756" s="6"/>
      <c r="F1756" s="6"/>
      <c r="G1756" s="18"/>
      <c r="I1756" s="16"/>
      <c r="J1756" s="9"/>
      <c r="K1756" s="10"/>
      <c r="L1756" s="6"/>
      <c r="M1756" s="11"/>
      <c r="N1756" s="6"/>
      <c r="O1756" s="6"/>
      <c r="P1756" s="10"/>
      <c r="Q1756" s="6"/>
      <c r="R1756" s="6"/>
      <c r="S1756" s="6"/>
      <c r="T1756" s="6"/>
      <c r="U1756" s="9"/>
      <c r="AI1756" s="6"/>
      <c r="AJ1756" s="12"/>
      <c r="AL1756" s="13"/>
    </row>
    <row r="1757">
      <c r="A1757" s="5"/>
      <c r="B1757" s="5"/>
      <c r="C1757" s="5"/>
      <c r="D1757" s="5"/>
      <c r="E1757" s="6"/>
      <c r="F1757" s="6"/>
      <c r="G1757" s="18"/>
      <c r="I1757" s="16"/>
      <c r="J1757" s="9"/>
      <c r="K1757" s="10"/>
      <c r="L1757" s="6"/>
      <c r="M1757" s="11"/>
      <c r="N1757" s="6"/>
      <c r="O1757" s="6"/>
      <c r="P1757" s="10"/>
      <c r="Q1757" s="6"/>
      <c r="R1757" s="6"/>
      <c r="S1757" s="6"/>
      <c r="T1757" s="6"/>
      <c r="U1757" s="9"/>
      <c r="AI1757" s="6"/>
      <c r="AJ1757" s="12"/>
      <c r="AL1757" s="13"/>
    </row>
    <row r="1758">
      <c r="A1758" s="5"/>
      <c r="B1758" s="5"/>
      <c r="C1758" s="5"/>
      <c r="D1758" s="5"/>
      <c r="E1758" s="6"/>
      <c r="F1758" s="6"/>
      <c r="G1758" s="18"/>
      <c r="I1758" s="16"/>
      <c r="J1758" s="9"/>
      <c r="K1758" s="10"/>
      <c r="L1758" s="6"/>
      <c r="M1758" s="11"/>
      <c r="N1758" s="6"/>
      <c r="O1758" s="6"/>
      <c r="P1758" s="10"/>
      <c r="Q1758" s="6"/>
      <c r="R1758" s="6"/>
      <c r="S1758" s="6"/>
      <c r="T1758" s="6"/>
      <c r="U1758" s="9"/>
      <c r="AI1758" s="6"/>
      <c r="AJ1758" s="12"/>
      <c r="AL1758" s="13"/>
    </row>
    <row r="1759">
      <c r="A1759" s="5"/>
      <c r="B1759" s="5"/>
      <c r="C1759" s="5"/>
      <c r="D1759" s="5"/>
      <c r="E1759" s="6"/>
      <c r="F1759" s="6"/>
      <c r="G1759" s="18"/>
      <c r="I1759" s="16"/>
      <c r="J1759" s="9"/>
      <c r="K1759" s="10"/>
      <c r="L1759" s="6"/>
      <c r="M1759" s="11"/>
      <c r="N1759" s="6"/>
      <c r="O1759" s="6"/>
      <c r="P1759" s="10"/>
      <c r="Q1759" s="6"/>
      <c r="R1759" s="6"/>
      <c r="S1759" s="6"/>
      <c r="T1759" s="6"/>
      <c r="U1759" s="9"/>
      <c r="AI1759" s="6"/>
      <c r="AJ1759" s="12"/>
      <c r="AL1759" s="13"/>
    </row>
    <row r="1760">
      <c r="A1760" s="5"/>
      <c r="B1760" s="5"/>
      <c r="C1760" s="5"/>
      <c r="D1760" s="5"/>
      <c r="E1760" s="6"/>
      <c r="F1760" s="6"/>
      <c r="G1760" s="18"/>
      <c r="I1760" s="16"/>
      <c r="J1760" s="9"/>
      <c r="K1760" s="10"/>
      <c r="L1760" s="6"/>
      <c r="M1760" s="11"/>
      <c r="N1760" s="6"/>
      <c r="O1760" s="6"/>
      <c r="P1760" s="10"/>
      <c r="Q1760" s="6"/>
      <c r="R1760" s="6"/>
      <c r="S1760" s="6"/>
      <c r="T1760" s="6"/>
      <c r="U1760" s="9"/>
      <c r="AI1760" s="6"/>
      <c r="AJ1760" s="12"/>
      <c r="AL1760" s="13"/>
    </row>
    <row r="1761">
      <c r="A1761" s="5"/>
      <c r="B1761" s="5"/>
      <c r="C1761" s="5"/>
      <c r="D1761" s="5"/>
      <c r="E1761" s="6"/>
      <c r="F1761" s="6"/>
      <c r="G1761" s="18"/>
      <c r="I1761" s="16"/>
      <c r="J1761" s="9"/>
      <c r="K1761" s="10"/>
      <c r="L1761" s="6"/>
      <c r="M1761" s="11"/>
      <c r="N1761" s="6"/>
      <c r="O1761" s="6"/>
      <c r="P1761" s="10"/>
      <c r="Q1761" s="6"/>
      <c r="R1761" s="6"/>
      <c r="S1761" s="6"/>
      <c r="T1761" s="6"/>
      <c r="U1761" s="9"/>
      <c r="AI1761" s="6"/>
      <c r="AJ1761" s="12"/>
      <c r="AL1761" s="13"/>
    </row>
    <row r="1762">
      <c r="A1762" s="5"/>
      <c r="B1762" s="5"/>
      <c r="C1762" s="5"/>
      <c r="D1762" s="5"/>
      <c r="E1762" s="6"/>
      <c r="F1762" s="6"/>
      <c r="G1762" s="18"/>
      <c r="I1762" s="16"/>
      <c r="J1762" s="9"/>
      <c r="K1762" s="10"/>
      <c r="L1762" s="6"/>
      <c r="M1762" s="11"/>
      <c r="N1762" s="6"/>
      <c r="O1762" s="6"/>
      <c r="P1762" s="10"/>
      <c r="Q1762" s="6"/>
      <c r="R1762" s="6"/>
      <c r="S1762" s="6"/>
      <c r="T1762" s="6"/>
      <c r="U1762" s="9"/>
      <c r="AI1762" s="6"/>
      <c r="AJ1762" s="12"/>
      <c r="AL1762" s="13"/>
    </row>
    <row r="1763">
      <c r="A1763" s="5"/>
      <c r="B1763" s="5"/>
      <c r="C1763" s="5"/>
      <c r="D1763" s="5"/>
      <c r="E1763" s="6"/>
      <c r="F1763" s="6"/>
      <c r="G1763" s="18"/>
      <c r="I1763" s="16"/>
      <c r="J1763" s="9"/>
      <c r="K1763" s="10"/>
      <c r="L1763" s="6"/>
      <c r="M1763" s="11"/>
      <c r="N1763" s="6"/>
      <c r="O1763" s="6"/>
      <c r="P1763" s="10"/>
      <c r="Q1763" s="6"/>
      <c r="R1763" s="6"/>
      <c r="S1763" s="6"/>
      <c r="T1763" s="6"/>
      <c r="U1763" s="9"/>
      <c r="AI1763" s="6"/>
      <c r="AJ1763" s="12"/>
      <c r="AL1763" s="13"/>
    </row>
    <row r="1764">
      <c r="A1764" s="5"/>
      <c r="B1764" s="5"/>
      <c r="C1764" s="5"/>
      <c r="D1764" s="5"/>
      <c r="E1764" s="6"/>
      <c r="F1764" s="6"/>
      <c r="G1764" s="18"/>
      <c r="I1764" s="16"/>
      <c r="J1764" s="9"/>
      <c r="K1764" s="10"/>
      <c r="L1764" s="6"/>
      <c r="M1764" s="11"/>
      <c r="N1764" s="6"/>
      <c r="O1764" s="6"/>
      <c r="P1764" s="10"/>
      <c r="Q1764" s="6"/>
      <c r="R1764" s="6"/>
      <c r="S1764" s="6"/>
      <c r="T1764" s="6"/>
      <c r="U1764" s="9"/>
      <c r="AI1764" s="6"/>
      <c r="AJ1764" s="12"/>
      <c r="AL1764" s="13"/>
    </row>
    <row r="1765">
      <c r="A1765" s="5"/>
      <c r="B1765" s="5"/>
      <c r="C1765" s="5"/>
      <c r="D1765" s="5"/>
      <c r="E1765" s="6"/>
      <c r="F1765" s="6"/>
      <c r="G1765" s="18"/>
      <c r="I1765" s="16"/>
      <c r="J1765" s="9"/>
      <c r="K1765" s="10"/>
      <c r="L1765" s="6"/>
      <c r="M1765" s="11"/>
      <c r="N1765" s="6"/>
      <c r="O1765" s="6"/>
      <c r="P1765" s="10"/>
      <c r="Q1765" s="6"/>
      <c r="R1765" s="6"/>
      <c r="S1765" s="6"/>
      <c r="T1765" s="6"/>
      <c r="U1765" s="9"/>
      <c r="AI1765" s="6"/>
      <c r="AJ1765" s="12"/>
      <c r="AL1765" s="13"/>
    </row>
    <row r="1766">
      <c r="A1766" s="5"/>
      <c r="B1766" s="5"/>
      <c r="C1766" s="5"/>
      <c r="D1766" s="5"/>
      <c r="E1766" s="6"/>
      <c r="F1766" s="6"/>
      <c r="G1766" s="18"/>
      <c r="I1766" s="16"/>
      <c r="J1766" s="9"/>
      <c r="K1766" s="10"/>
      <c r="L1766" s="6"/>
      <c r="M1766" s="11"/>
      <c r="N1766" s="6"/>
      <c r="O1766" s="6"/>
      <c r="P1766" s="10"/>
      <c r="Q1766" s="6"/>
      <c r="R1766" s="6"/>
      <c r="S1766" s="6"/>
      <c r="T1766" s="6"/>
      <c r="U1766" s="9"/>
      <c r="AI1766" s="6"/>
      <c r="AJ1766" s="12"/>
      <c r="AL1766" s="13"/>
    </row>
    <row r="1767">
      <c r="A1767" s="5"/>
      <c r="B1767" s="5"/>
      <c r="C1767" s="5"/>
      <c r="D1767" s="5"/>
      <c r="E1767" s="6"/>
      <c r="F1767" s="6"/>
      <c r="G1767" s="18"/>
      <c r="I1767" s="16"/>
      <c r="J1767" s="9"/>
      <c r="K1767" s="10"/>
      <c r="L1767" s="6"/>
      <c r="M1767" s="11"/>
      <c r="N1767" s="6"/>
      <c r="O1767" s="6"/>
      <c r="P1767" s="10"/>
      <c r="Q1767" s="6"/>
      <c r="R1767" s="6"/>
      <c r="S1767" s="6"/>
      <c r="T1767" s="6"/>
      <c r="U1767" s="9"/>
      <c r="AI1767" s="6"/>
      <c r="AJ1767" s="12"/>
      <c r="AL1767" s="13"/>
    </row>
    <row r="1768">
      <c r="A1768" s="5"/>
      <c r="B1768" s="5"/>
      <c r="C1768" s="5"/>
      <c r="D1768" s="5"/>
      <c r="E1768" s="6"/>
      <c r="F1768" s="6"/>
      <c r="G1768" s="18"/>
      <c r="I1768" s="16"/>
      <c r="J1768" s="9"/>
      <c r="K1768" s="10"/>
      <c r="L1768" s="6"/>
      <c r="M1768" s="11"/>
      <c r="N1768" s="6"/>
      <c r="O1768" s="6"/>
      <c r="P1768" s="10"/>
      <c r="Q1768" s="6"/>
      <c r="R1768" s="6"/>
      <c r="S1768" s="6"/>
      <c r="T1768" s="6"/>
      <c r="U1768" s="9"/>
      <c r="AI1768" s="6"/>
      <c r="AJ1768" s="12"/>
      <c r="AL1768" s="13"/>
    </row>
    <row r="1769">
      <c r="A1769" s="5"/>
      <c r="B1769" s="5"/>
      <c r="C1769" s="5"/>
      <c r="D1769" s="5"/>
      <c r="E1769" s="6"/>
      <c r="F1769" s="6"/>
      <c r="G1769" s="18"/>
      <c r="I1769" s="16"/>
      <c r="J1769" s="9"/>
      <c r="K1769" s="10"/>
      <c r="L1769" s="6"/>
      <c r="M1769" s="11"/>
      <c r="N1769" s="6"/>
      <c r="O1769" s="6"/>
      <c r="P1769" s="10"/>
      <c r="Q1769" s="6"/>
      <c r="R1769" s="6"/>
      <c r="S1769" s="6"/>
      <c r="T1769" s="6"/>
      <c r="U1769" s="9"/>
      <c r="AI1769" s="6"/>
      <c r="AJ1769" s="12"/>
      <c r="AL1769" s="13"/>
    </row>
    <row r="1770">
      <c r="A1770" s="5"/>
      <c r="B1770" s="5"/>
      <c r="C1770" s="5"/>
      <c r="D1770" s="5"/>
      <c r="E1770" s="6"/>
      <c r="F1770" s="6"/>
      <c r="G1770" s="18"/>
      <c r="I1770" s="16"/>
      <c r="J1770" s="9"/>
      <c r="K1770" s="10"/>
      <c r="L1770" s="6"/>
      <c r="M1770" s="11"/>
      <c r="N1770" s="6"/>
      <c r="O1770" s="6"/>
      <c r="P1770" s="10"/>
      <c r="Q1770" s="6"/>
      <c r="R1770" s="6"/>
      <c r="S1770" s="6"/>
      <c r="T1770" s="6"/>
      <c r="U1770" s="9"/>
      <c r="AI1770" s="6"/>
      <c r="AJ1770" s="12"/>
      <c r="AL1770" s="13"/>
    </row>
    <row r="1771">
      <c r="A1771" s="5"/>
      <c r="B1771" s="5"/>
      <c r="C1771" s="5"/>
      <c r="D1771" s="5"/>
      <c r="E1771" s="6"/>
      <c r="F1771" s="6"/>
      <c r="G1771" s="18"/>
      <c r="I1771" s="16"/>
      <c r="J1771" s="9"/>
      <c r="K1771" s="10"/>
      <c r="L1771" s="6"/>
      <c r="M1771" s="11"/>
      <c r="N1771" s="6"/>
      <c r="O1771" s="6"/>
      <c r="P1771" s="10"/>
      <c r="Q1771" s="6"/>
      <c r="R1771" s="6"/>
      <c r="S1771" s="6"/>
      <c r="T1771" s="6"/>
      <c r="U1771" s="9"/>
      <c r="AI1771" s="6"/>
      <c r="AJ1771" s="12"/>
      <c r="AL1771" s="13"/>
    </row>
    <row r="1772">
      <c r="A1772" s="5"/>
      <c r="B1772" s="5"/>
      <c r="C1772" s="5"/>
      <c r="D1772" s="5"/>
      <c r="E1772" s="6"/>
      <c r="F1772" s="6"/>
      <c r="G1772" s="18"/>
      <c r="I1772" s="16"/>
      <c r="J1772" s="9"/>
      <c r="K1772" s="10"/>
      <c r="L1772" s="6"/>
      <c r="M1772" s="11"/>
      <c r="N1772" s="6"/>
      <c r="O1772" s="6"/>
      <c r="P1772" s="10"/>
      <c r="Q1772" s="6"/>
      <c r="R1772" s="6"/>
      <c r="S1772" s="6"/>
      <c r="T1772" s="6"/>
      <c r="U1772" s="9"/>
      <c r="AI1772" s="6"/>
      <c r="AJ1772" s="12"/>
      <c r="AL1772" s="13"/>
    </row>
    <row r="1773">
      <c r="A1773" s="5"/>
      <c r="B1773" s="5"/>
      <c r="C1773" s="5"/>
      <c r="D1773" s="5"/>
      <c r="E1773" s="6"/>
      <c r="F1773" s="6"/>
      <c r="G1773" s="18"/>
      <c r="I1773" s="16"/>
      <c r="J1773" s="9"/>
      <c r="K1773" s="10"/>
      <c r="L1773" s="6"/>
      <c r="M1773" s="11"/>
      <c r="N1773" s="6"/>
      <c r="O1773" s="6"/>
      <c r="P1773" s="10"/>
      <c r="Q1773" s="6"/>
      <c r="R1773" s="6"/>
      <c r="S1773" s="6"/>
      <c r="T1773" s="6"/>
      <c r="U1773" s="9"/>
      <c r="AI1773" s="6"/>
      <c r="AJ1773" s="12"/>
      <c r="AL1773" s="13"/>
    </row>
    <row r="1774">
      <c r="A1774" s="5"/>
      <c r="B1774" s="5"/>
      <c r="C1774" s="5"/>
      <c r="D1774" s="5"/>
      <c r="E1774" s="6"/>
      <c r="F1774" s="6"/>
      <c r="G1774" s="18"/>
      <c r="I1774" s="16"/>
      <c r="J1774" s="9"/>
      <c r="K1774" s="10"/>
      <c r="L1774" s="6"/>
      <c r="M1774" s="11"/>
      <c r="N1774" s="6"/>
      <c r="O1774" s="6"/>
      <c r="P1774" s="10"/>
      <c r="Q1774" s="6"/>
      <c r="R1774" s="6"/>
      <c r="S1774" s="6"/>
      <c r="T1774" s="6"/>
      <c r="U1774" s="9"/>
      <c r="AI1774" s="6"/>
      <c r="AJ1774" s="12"/>
      <c r="AL1774" s="13"/>
    </row>
    <row r="1775">
      <c r="A1775" s="5"/>
      <c r="B1775" s="5"/>
      <c r="C1775" s="5"/>
      <c r="D1775" s="5"/>
      <c r="E1775" s="6"/>
      <c r="F1775" s="6"/>
      <c r="G1775" s="18"/>
      <c r="I1775" s="16"/>
      <c r="J1775" s="9"/>
      <c r="K1775" s="10"/>
      <c r="L1775" s="6"/>
      <c r="M1775" s="11"/>
      <c r="N1775" s="6"/>
      <c r="O1775" s="6"/>
      <c r="P1775" s="10"/>
      <c r="Q1775" s="6"/>
      <c r="R1775" s="6"/>
      <c r="S1775" s="6"/>
      <c r="T1775" s="6"/>
      <c r="U1775" s="9"/>
      <c r="AI1775" s="6"/>
      <c r="AJ1775" s="12"/>
      <c r="AL1775" s="13"/>
    </row>
    <row r="1776">
      <c r="A1776" s="5"/>
      <c r="B1776" s="5"/>
      <c r="C1776" s="5"/>
      <c r="D1776" s="5"/>
      <c r="E1776" s="6"/>
      <c r="F1776" s="6"/>
      <c r="G1776" s="18"/>
      <c r="I1776" s="16"/>
      <c r="J1776" s="9"/>
      <c r="K1776" s="10"/>
      <c r="L1776" s="6"/>
      <c r="M1776" s="11"/>
      <c r="N1776" s="6"/>
      <c r="O1776" s="6"/>
      <c r="P1776" s="10"/>
      <c r="Q1776" s="6"/>
      <c r="R1776" s="6"/>
      <c r="S1776" s="6"/>
      <c r="T1776" s="6"/>
      <c r="U1776" s="9"/>
      <c r="AI1776" s="6"/>
      <c r="AJ1776" s="12"/>
      <c r="AL1776" s="13"/>
    </row>
    <row r="1777">
      <c r="A1777" s="5"/>
      <c r="B1777" s="5"/>
      <c r="C1777" s="5"/>
      <c r="D1777" s="5"/>
      <c r="E1777" s="6"/>
      <c r="F1777" s="6"/>
      <c r="G1777" s="18"/>
      <c r="I1777" s="16"/>
      <c r="J1777" s="9"/>
      <c r="K1777" s="10"/>
      <c r="L1777" s="6"/>
      <c r="M1777" s="11"/>
      <c r="N1777" s="6"/>
      <c r="O1777" s="6"/>
      <c r="P1777" s="10"/>
      <c r="Q1777" s="6"/>
      <c r="R1777" s="6"/>
      <c r="S1777" s="6"/>
      <c r="T1777" s="6"/>
      <c r="U1777" s="9"/>
      <c r="AI1777" s="6"/>
      <c r="AJ1777" s="12"/>
      <c r="AL1777" s="13"/>
    </row>
    <row r="1778">
      <c r="A1778" s="5"/>
      <c r="B1778" s="5"/>
      <c r="C1778" s="5"/>
      <c r="D1778" s="5"/>
      <c r="E1778" s="6"/>
      <c r="F1778" s="6"/>
      <c r="G1778" s="18"/>
      <c r="I1778" s="16"/>
      <c r="J1778" s="9"/>
      <c r="K1778" s="10"/>
      <c r="L1778" s="6"/>
      <c r="M1778" s="11"/>
      <c r="N1778" s="6"/>
      <c r="O1778" s="6"/>
      <c r="P1778" s="10"/>
      <c r="Q1778" s="6"/>
      <c r="R1778" s="6"/>
      <c r="S1778" s="6"/>
      <c r="T1778" s="6"/>
      <c r="U1778" s="9"/>
      <c r="AI1778" s="6"/>
      <c r="AJ1778" s="12"/>
      <c r="AL1778" s="13"/>
    </row>
    <row r="1779">
      <c r="A1779" s="5"/>
      <c r="B1779" s="5"/>
      <c r="C1779" s="5"/>
      <c r="D1779" s="5"/>
      <c r="E1779" s="6"/>
      <c r="F1779" s="6"/>
      <c r="G1779" s="18"/>
      <c r="I1779" s="16"/>
      <c r="J1779" s="9"/>
      <c r="K1779" s="10"/>
      <c r="L1779" s="6"/>
      <c r="M1779" s="11"/>
      <c r="N1779" s="6"/>
      <c r="O1779" s="6"/>
      <c r="P1779" s="10"/>
      <c r="Q1779" s="6"/>
      <c r="R1779" s="6"/>
      <c r="S1779" s="6"/>
      <c r="T1779" s="6"/>
      <c r="U1779" s="9"/>
      <c r="AI1779" s="6"/>
      <c r="AJ1779" s="12"/>
      <c r="AL1779" s="13"/>
    </row>
    <row r="1780">
      <c r="A1780" s="5"/>
      <c r="B1780" s="5"/>
      <c r="C1780" s="5"/>
      <c r="D1780" s="5"/>
      <c r="E1780" s="6"/>
      <c r="F1780" s="6"/>
      <c r="G1780" s="18"/>
      <c r="I1780" s="16"/>
      <c r="J1780" s="9"/>
      <c r="K1780" s="10"/>
      <c r="L1780" s="6"/>
      <c r="M1780" s="11"/>
      <c r="N1780" s="6"/>
      <c r="O1780" s="6"/>
      <c r="P1780" s="10"/>
      <c r="Q1780" s="6"/>
      <c r="R1780" s="6"/>
      <c r="S1780" s="6"/>
      <c r="T1780" s="6"/>
      <c r="U1780" s="9"/>
      <c r="AI1780" s="6"/>
      <c r="AJ1780" s="12"/>
      <c r="AL1780" s="13"/>
    </row>
    <row r="1781">
      <c r="A1781" s="5"/>
      <c r="B1781" s="5"/>
      <c r="C1781" s="5"/>
      <c r="D1781" s="5"/>
      <c r="E1781" s="6"/>
      <c r="F1781" s="6"/>
      <c r="G1781" s="18"/>
      <c r="I1781" s="16"/>
      <c r="J1781" s="9"/>
      <c r="K1781" s="10"/>
      <c r="L1781" s="6"/>
      <c r="M1781" s="11"/>
      <c r="N1781" s="6"/>
      <c r="O1781" s="6"/>
      <c r="P1781" s="10"/>
      <c r="Q1781" s="6"/>
      <c r="R1781" s="6"/>
      <c r="S1781" s="6"/>
      <c r="T1781" s="6"/>
      <c r="U1781" s="9"/>
      <c r="AI1781" s="6"/>
      <c r="AJ1781" s="12"/>
      <c r="AL1781" s="13"/>
    </row>
    <row r="1782">
      <c r="A1782" s="5"/>
      <c r="B1782" s="5"/>
      <c r="C1782" s="5"/>
      <c r="D1782" s="5"/>
      <c r="E1782" s="6"/>
      <c r="F1782" s="6"/>
      <c r="G1782" s="18"/>
      <c r="I1782" s="16"/>
      <c r="J1782" s="9"/>
      <c r="K1782" s="10"/>
      <c r="L1782" s="6"/>
      <c r="M1782" s="11"/>
      <c r="N1782" s="6"/>
      <c r="O1782" s="6"/>
      <c r="P1782" s="10"/>
      <c r="Q1782" s="6"/>
      <c r="R1782" s="6"/>
      <c r="S1782" s="6"/>
      <c r="T1782" s="6"/>
      <c r="U1782" s="9"/>
      <c r="AI1782" s="6"/>
      <c r="AJ1782" s="12"/>
      <c r="AL1782" s="13"/>
    </row>
    <row r="1783">
      <c r="A1783" s="5"/>
      <c r="B1783" s="5"/>
      <c r="C1783" s="5"/>
      <c r="D1783" s="5"/>
      <c r="E1783" s="6"/>
      <c r="F1783" s="6"/>
      <c r="G1783" s="18"/>
      <c r="I1783" s="16"/>
      <c r="J1783" s="9"/>
      <c r="K1783" s="10"/>
      <c r="L1783" s="6"/>
      <c r="M1783" s="11"/>
      <c r="N1783" s="6"/>
      <c r="O1783" s="6"/>
      <c r="P1783" s="10"/>
      <c r="Q1783" s="6"/>
      <c r="R1783" s="6"/>
      <c r="S1783" s="6"/>
      <c r="T1783" s="6"/>
      <c r="U1783" s="9"/>
      <c r="AI1783" s="6"/>
      <c r="AJ1783" s="12"/>
      <c r="AL1783" s="13"/>
    </row>
    <row r="1784">
      <c r="A1784" s="5"/>
      <c r="B1784" s="5"/>
      <c r="C1784" s="5"/>
      <c r="D1784" s="5"/>
      <c r="E1784" s="6"/>
      <c r="F1784" s="6"/>
      <c r="G1784" s="18"/>
      <c r="I1784" s="16"/>
      <c r="J1784" s="9"/>
      <c r="K1784" s="10"/>
      <c r="L1784" s="6"/>
      <c r="M1784" s="11"/>
      <c r="N1784" s="6"/>
      <c r="O1784" s="6"/>
      <c r="P1784" s="10"/>
      <c r="Q1784" s="6"/>
      <c r="R1784" s="6"/>
      <c r="S1784" s="6"/>
      <c r="T1784" s="6"/>
      <c r="U1784" s="9"/>
      <c r="AI1784" s="6"/>
      <c r="AJ1784" s="12"/>
      <c r="AL1784" s="13"/>
    </row>
    <row r="1785">
      <c r="A1785" s="5"/>
      <c r="B1785" s="5"/>
      <c r="C1785" s="5"/>
      <c r="D1785" s="5"/>
      <c r="E1785" s="6"/>
      <c r="F1785" s="6"/>
      <c r="G1785" s="18"/>
      <c r="I1785" s="16"/>
      <c r="J1785" s="9"/>
      <c r="K1785" s="10"/>
      <c r="L1785" s="6"/>
      <c r="M1785" s="11"/>
      <c r="N1785" s="6"/>
      <c r="O1785" s="6"/>
      <c r="P1785" s="10"/>
      <c r="Q1785" s="6"/>
      <c r="R1785" s="6"/>
      <c r="S1785" s="6"/>
      <c r="T1785" s="6"/>
      <c r="U1785" s="9"/>
      <c r="AI1785" s="6"/>
      <c r="AJ1785" s="12"/>
      <c r="AL1785" s="13"/>
    </row>
    <row r="1786">
      <c r="A1786" s="5"/>
      <c r="B1786" s="5"/>
      <c r="C1786" s="5"/>
      <c r="D1786" s="5"/>
      <c r="E1786" s="6"/>
      <c r="F1786" s="6"/>
      <c r="G1786" s="18"/>
      <c r="I1786" s="16"/>
      <c r="J1786" s="9"/>
      <c r="K1786" s="10"/>
      <c r="L1786" s="6"/>
      <c r="M1786" s="11"/>
      <c r="N1786" s="6"/>
      <c r="O1786" s="6"/>
      <c r="P1786" s="10"/>
      <c r="Q1786" s="6"/>
      <c r="R1786" s="6"/>
      <c r="S1786" s="6"/>
      <c r="T1786" s="6"/>
      <c r="U1786" s="9"/>
      <c r="AI1786" s="6"/>
      <c r="AJ1786" s="12"/>
      <c r="AL1786" s="13"/>
    </row>
    <row r="1787">
      <c r="A1787" s="5"/>
      <c r="B1787" s="5"/>
      <c r="C1787" s="5"/>
      <c r="D1787" s="5"/>
      <c r="E1787" s="6"/>
      <c r="F1787" s="6"/>
      <c r="G1787" s="18"/>
      <c r="I1787" s="16"/>
      <c r="J1787" s="9"/>
      <c r="K1787" s="10"/>
      <c r="L1787" s="6"/>
      <c r="M1787" s="11"/>
      <c r="N1787" s="6"/>
      <c r="O1787" s="6"/>
      <c r="P1787" s="10"/>
      <c r="Q1787" s="6"/>
      <c r="R1787" s="6"/>
      <c r="S1787" s="6"/>
      <c r="T1787" s="6"/>
      <c r="U1787" s="9"/>
      <c r="AI1787" s="6"/>
      <c r="AJ1787" s="12"/>
      <c r="AL1787" s="13"/>
    </row>
    <row r="1788">
      <c r="A1788" s="5"/>
      <c r="B1788" s="5"/>
      <c r="C1788" s="5"/>
      <c r="D1788" s="5"/>
      <c r="E1788" s="6"/>
      <c r="F1788" s="6"/>
      <c r="G1788" s="18"/>
      <c r="I1788" s="16"/>
      <c r="J1788" s="9"/>
      <c r="K1788" s="10"/>
      <c r="L1788" s="6"/>
      <c r="M1788" s="11"/>
      <c r="N1788" s="6"/>
      <c r="O1788" s="6"/>
      <c r="P1788" s="10"/>
      <c r="Q1788" s="6"/>
      <c r="R1788" s="6"/>
      <c r="S1788" s="6"/>
      <c r="T1788" s="6"/>
      <c r="U1788" s="9"/>
      <c r="AI1788" s="6"/>
      <c r="AJ1788" s="12"/>
      <c r="AL1788" s="13"/>
    </row>
    <row r="1789">
      <c r="A1789" s="5"/>
      <c r="B1789" s="5"/>
      <c r="C1789" s="5"/>
      <c r="D1789" s="5"/>
      <c r="E1789" s="6"/>
      <c r="F1789" s="6"/>
      <c r="G1789" s="18"/>
      <c r="I1789" s="16"/>
      <c r="J1789" s="9"/>
      <c r="K1789" s="10"/>
      <c r="L1789" s="6"/>
      <c r="M1789" s="11"/>
      <c r="N1789" s="6"/>
      <c r="O1789" s="6"/>
      <c r="P1789" s="10"/>
      <c r="Q1789" s="6"/>
      <c r="R1789" s="6"/>
      <c r="S1789" s="6"/>
      <c r="T1789" s="6"/>
      <c r="U1789" s="9"/>
      <c r="AI1789" s="6"/>
      <c r="AJ1789" s="12"/>
      <c r="AL1789" s="13"/>
    </row>
    <row r="1790">
      <c r="A1790" s="5"/>
      <c r="B1790" s="5"/>
      <c r="C1790" s="5"/>
      <c r="D1790" s="5"/>
      <c r="E1790" s="6"/>
      <c r="F1790" s="6"/>
      <c r="G1790" s="18"/>
      <c r="I1790" s="16"/>
      <c r="J1790" s="9"/>
      <c r="K1790" s="10"/>
      <c r="L1790" s="6"/>
      <c r="M1790" s="11"/>
      <c r="N1790" s="6"/>
      <c r="O1790" s="6"/>
      <c r="P1790" s="10"/>
      <c r="Q1790" s="6"/>
      <c r="R1790" s="6"/>
      <c r="S1790" s="6"/>
      <c r="T1790" s="6"/>
      <c r="U1790" s="9"/>
      <c r="AI1790" s="6"/>
      <c r="AJ1790" s="12"/>
      <c r="AL1790" s="13"/>
    </row>
    <row r="1791">
      <c r="A1791" s="5"/>
      <c r="B1791" s="5"/>
      <c r="C1791" s="5"/>
      <c r="D1791" s="5"/>
      <c r="E1791" s="6"/>
      <c r="F1791" s="6"/>
      <c r="G1791" s="18"/>
      <c r="I1791" s="16"/>
      <c r="J1791" s="9"/>
      <c r="K1791" s="10"/>
      <c r="L1791" s="6"/>
      <c r="M1791" s="11"/>
      <c r="N1791" s="6"/>
      <c r="O1791" s="6"/>
      <c r="P1791" s="10"/>
      <c r="Q1791" s="6"/>
      <c r="R1791" s="6"/>
      <c r="S1791" s="6"/>
      <c r="T1791" s="6"/>
      <c r="U1791" s="9"/>
      <c r="AI1791" s="6"/>
      <c r="AJ1791" s="12"/>
      <c r="AL1791" s="13"/>
    </row>
    <row r="1792">
      <c r="A1792" s="5"/>
      <c r="B1792" s="5"/>
      <c r="C1792" s="5"/>
      <c r="D1792" s="5"/>
      <c r="E1792" s="6"/>
      <c r="F1792" s="6"/>
      <c r="G1792" s="18"/>
      <c r="I1792" s="16"/>
      <c r="J1792" s="9"/>
      <c r="K1792" s="10"/>
      <c r="L1792" s="6"/>
      <c r="M1792" s="11"/>
      <c r="N1792" s="6"/>
      <c r="O1792" s="6"/>
      <c r="P1792" s="10"/>
      <c r="Q1792" s="6"/>
      <c r="R1792" s="6"/>
      <c r="S1792" s="6"/>
      <c r="T1792" s="6"/>
      <c r="U1792" s="9"/>
      <c r="AI1792" s="6"/>
      <c r="AJ1792" s="12"/>
      <c r="AL1792" s="13"/>
    </row>
    <row r="1793">
      <c r="A1793" s="5"/>
      <c r="B1793" s="5"/>
      <c r="C1793" s="5"/>
      <c r="D1793" s="5"/>
      <c r="E1793" s="6"/>
      <c r="F1793" s="6"/>
      <c r="G1793" s="18"/>
      <c r="I1793" s="16"/>
      <c r="J1793" s="9"/>
      <c r="K1793" s="10"/>
      <c r="L1793" s="6"/>
      <c r="M1793" s="11"/>
      <c r="N1793" s="6"/>
      <c r="O1793" s="6"/>
      <c r="P1793" s="10"/>
      <c r="Q1793" s="6"/>
      <c r="R1793" s="6"/>
      <c r="S1793" s="6"/>
      <c r="T1793" s="6"/>
      <c r="U1793" s="9"/>
      <c r="AI1793" s="6"/>
      <c r="AJ1793" s="12"/>
      <c r="AL1793" s="13"/>
    </row>
    <row r="1794">
      <c r="A1794" s="5"/>
      <c r="B1794" s="5"/>
      <c r="C1794" s="5"/>
      <c r="D1794" s="5"/>
      <c r="E1794" s="6"/>
      <c r="F1794" s="6"/>
      <c r="G1794" s="18"/>
      <c r="I1794" s="16"/>
      <c r="J1794" s="9"/>
      <c r="K1794" s="10"/>
      <c r="L1794" s="6"/>
      <c r="M1794" s="11"/>
      <c r="N1794" s="6"/>
      <c r="O1794" s="6"/>
      <c r="P1794" s="10"/>
      <c r="Q1794" s="6"/>
      <c r="R1794" s="6"/>
      <c r="S1794" s="6"/>
      <c r="T1794" s="6"/>
      <c r="U1794" s="9"/>
      <c r="AI1794" s="6"/>
      <c r="AJ1794" s="12"/>
      <c r="AL1794" s="13"/>
    </row>
    <row r="1795">
      <c r="A1795" s="5"/>
      <c r="B1795" s="19"/>
      <c r="C1795" s="19"/>
      <c r="D1795" s="19"/>
      <c r="E1795" s="19"/>
      <c r="F1795" s="19"/>
      <c r="G1795" s="22"/>
      <c r="H1795" s="19"/>
      <c r="I1795" s="19"/>
      <c r="J1795" s="9"/>
      <c r="K1795" s="10"/>
      <c r="L1795" s="6"/>
      <c r="M1795" s="11"/>
      <c r="N1795" s="6"/>
      <c r="O1795" s="6"/>
      <c r="P1795" s="10"/>
      <c r="Q1795" s="6"/>
      <c r="R1795" s="6"/>
      <c r="S1795" s="19"/>
      <c r="T1795" s="6"/>
      <c r="U1795" s="9"/>
      <c r="AI1795" s="6"/>
      <c r="AJ1795" s="12"/>
      <c r="AL1795" s="13"/>
    </row>
    <row r="1796">
      <c r="A1796" s="5"/>
      <c r="B1796" s="19"/>
      <c r="C1796" s="19"/>
      <c r="D1796" s="19"/>
      <c r="E1796" s="19"/>
      <c r="F1796" s="19"/>
      <c r="G1796" s="22"/>
      <c r="H1796" s="19"/>
      <c r="I1796" s="19"/>
      <c r="J1796" s="9"/>
      <c r="K1796" s="10"/>
      <c r="L1796" s="6"/>
      <c r="M1796" s="11"/>
      <c r="N1796" s="6"/>
      <c r="O1796" s="6"/>
      <c r="P1796" s="10"/>
      <c r="Q1796" s="6"/>
      <c r="R1796" s="6"/>
      <c r="S1796" s="19"/>
      <c r="T1796" s="6"/>
      <c r="U1796" s="9"/>
      <c r="AI1796" s="6"/>
      <c r="AJ1796" s="12"/>
      <c r="AL1796" s="13"/>
    </row>
    <row r="1797">
      <c r="A1797" s="5"/>
      <c r="B1797" s="19"/>
      <c r="C1797" s="19"/>
      <c r="D1797" s="19"/>
      <c r="E1797" s="19"/>
      <c r="F1797" s="19"/>
      <c r="G1797" s="22"/>
      <c r="H1797" s="19"/>
      <c r="I1797" s="19"/>
      <c r="J1797" s="9"/>
      <c r="K1797" s="10"/>
      <c r="L1797" s="6"/>
      <c r="M1797" s="11"/>
      <c r="N1797" s="6"/>
      <c r="O1797" s="6"/>
      <c r="P1797" s="10"/>
      <c r="Q1797" s="6"/>
      <c r="R1797" s="6"/>
      <c r="S1797" s="19"/>
      <c r="T1797" s="6"/>
      <c r="U1797" s="9"/>
      <c r="AI1797" s="6"/>
      <c r="AJ1797" s="12"/>
      <c r="AL1797" s="13"/>
    </row>
    <row r="1798">
      <c r="A1798" s="5"/>
      <c r="B1798" s="19"/>
      <c r="C1798" s="19"/>
      <c r="D1798" s="19"/>
      <c r="E1798" s="19"/>
      <c r="F1798" s="19"/>
      <c r="G1798" s="22"/>
      <c r="H1798" s="19"/>
      <c r="I1798" s="19"/>
      <c r="J1798" s="9"/>
      <c r="K1798" s="10"/>
      <c r="L1798" s="6"/>
      <c r="M1798" s="11"/>
      <c r="N1798" s="6"/>
      <c r="O1798" s="6"/>
      <c r="P1798" s="10"/>
      <c r="Q1798" s="6"/>
      <c r="R1798" s="6"/>
      <c r="S1798" s="19"/>
      <c r="T1798" s="6"/>
      <c r="U1798" s="9"/>
      <c r="AI1798" s="6"/>
      <c r="AJ1798" s="12"/>
      <c r="AL1798" s="13"/>
    </row>
    <row r="1799">
      <c r="A1799" s="5"/>
      <c r="B1799" s="19"/>
      <c r="C1799" s="19"/>
      <c r="D1799" s="19"/>
      <c r="E1799" s="19"/>
      <c r="F1799" s="19"/>
      <c r="G1799" s="22"/>
      <c r="H1799" s="19"/>
      <c r="I1799" s="19"/>
      <c r="J1799" s="9"/>
      <c r="K1799" s="10"/>
      <c r="L1799" s="6"/>
      <c r="M1799" s="11"/>
      <c r="N1799" s="6"/>
      <c r="O1799" s="6"/>
      <c r="P1799" s="10"/>
      <c r="Q1799" s="6"/>
      <c r="R1799" s="6"/>
      <c r="S1799" s="19"/>
      <c r="T1799" s="6"/>
      <c r="U1799" s="9"/>
      <c r="AI1799" s="6"/>
      <c r="AJ1799" s="12"/>
      <c r="AL1799" s="13"/>
    </row>
    <row r="1800">
      <c r="A1800" s="5"/>
      <c r="B1800" s="19"/>
      <c r="C1800" s="19"/>
      <c r="D1800" s="19"/>
      <c r="E1800" s="19"/>
      <c r="F1800" s="19"/>
      <c r="G1800" s="22"/>
      <c r="H1800" s="19"/>
      <c r="I1800" s="19"/>
      <c r="J1800" s="9"/>
      <c r="K1800" s="10"/>
      <c r="L1800" s="6"/>
      <c r="M1800" s="11"/>
      <c r="N1800" s="6"/>
      <c r="O1800" s="6"/>
      <c r="P1800" s="10"/>
      <c r="Q1800" s="6"/>
      <c r="R1800" s="6"/>
      <c r="S1800" s="19"/>
      <c r="T1800" s="6"/>
      <c r="U1800" s="9"/>
      <c r="AI1800" s="6"/>
      <c r="AJ1800" s="12"/>
      <c r="AL1800" s="13"/>
    </row>
    <row r="1801">
      <c r="A1801" s="5"/>
      <c r="B1801" s="19"/>
      <c r="C1801" s="19"/>
      <c r="D1801" s="19"/>
      <c r="E1801" s="19"/>
      <c r="F1801" s="19"/>
      <c r="G1801" s="22"/>
      <c r="H1801" s="19"/>
      <c r="I1801" s="19"/>
      <c r="J1801" s="9"/>
      <c r="K1801" s="10"/>
      <c r="L1801" s="6"/>
      <c r="M1801" s="11"/>
      <c r="N1801" s="6"/>
      <c r="O1801" s="6"/>
      <c r="P1801" s="10"/>
      <c r="Q1801" s="6"/>
      <c r="R1801" s="6"/>
      <c r="S1801" s="19"/>
      <c r="T1801" s="6"/>
      <c r="U1801" s="9"/>
      <c r="AI1801" s="6"/>
      <c r="AJ1801" s="12"/>
      <c r="AL1801" s="13"/>
    </row>
    <row r="1802">
      <c r="A1802" s="5"/>
      <c r="B1802" s="19"/>
      <c r="C1802" s="19"/>
      <c r="D1802" s="19"/>
      <c r="E1802" s="19"/>
      <c r="F1802" s="19"/>
      <c r="G1802" s="22"/>
      <c r="H1802" s="19"/>
      <c r="I1802" s="19"/>
      <c r="J1802" s="9"/>
      <c r="K1802" s="10"/>
      <c r="L1802" s="6"/>
      <c r="M1802" s="11"/>
      <c r="N1802" s="6"/>
      <c r="O1802" s="6"/>
      <c r="P1802" s="10"/>
      <c r="Q1802" s="6"/>
      <c r="R1802" s="6"/>
      <c r="S1802" s="19"/>
      <c r="T1802" s="6"/>
      <c r="U1802" s="9"/>
      <c r="AI1802" s="6"/>
      <c r="AJ1802" s="12"/>
      <c r="AL1802" s="13"/>
    </row>
    <row r="1803">
      <c r="A1803" s="5"/>
      <c r="B1803" s="19"/>
      <c r="C1803" s="19"/>
      <c r="D1803" s="19"/>
      <c r="E1803" s="19"/>
      <c r="F1803" s="19"/>
      <c r="G1803" s="22"/>
      <c r="H1803" s="19"/>
      <c r="I1803" s="19"/>
      <c r="J1803" s="9"/>
      <c r="K1803" s="10"/>
      <c r="L1803" s="6"/>
      <c r="M1803" s="11"/>
      <c r="N1803" s="6"/>
      <c r="O1803" s="6"/>
      <c r="P1803" s="10"/>
      <c r="Q1803" s="6"/>
      <c r="R1803" s="6"/>
      <c r="S1803" s="19"/>
      <c r="T1803" s="6"/>
      <c r="U1803" s="9"/>
      <c r="AI1803" s="6"/>
      <c r="AJ1803" s="12"/>
      <c r="AL1803" s="13"/>
    </row>
    <row r="1804">
      <c r="A1804" s="5"/>
      <c r="B1804" s="19"/>
      <c r="C1804" s="19"/>
      <c r="D1804" s="19"/>
      <c r="E1804" s="19"/>
      <c r="F1804" s="19"/>
      <c r="G1804" s="22"/>
      <c r="H1804" s="19"/>
      <c r="I1804" s="19"/>
      <c r="J1804" s="9"/>
      <c r="K1804" s="10"/>
      <c r="L1804" s="6"/>
      <c r="M1804" s="11"/>
      <c r="N1804" s="6"/>
      <c r="O1804" s="6"/>
      <c r="P1804" s="10"/>
      <c r="Q1804" s="6"/>
      <c r="R1804" s="6"/>
      <c r="S1804" s="19"/>
      <c r="T1804" s="6"/>
      <c r="U1804" s="9"/>
      <c r="AI1804" s="6"/>
      <c r="AJ1804" s="12"/>
      <c r="AL1804" s="13"/>
    </row>
    <row r="1805">
      <c r="A1805" s="5"/>
      <c r="B1805" s="19"/>
      <c r="C1805" s="19"/>
      <c r="D1805" s="19"/>
      <c r="E1805" s="19"/>
      <c r="F1805" s="19"/>
      <c r="G1805" s="22"/>
      <c r="H1805" s="19"/>
      <c r="I1805" s="19"/>
      <c r="J1805" s="9"/>
      <c r="K1805" s="10"/>
      <c r="L1805" s="6"/>
      <c r="M1805" s="11"/>
      <c r="N1805" s="6"/>
      <c r="O1805" s="6"/>
      <c r="P1805" s="10"/>
      <c r="Q1805" s="6"/>
      <c r="R1805" s="6"/>
      <c r="S1805" s="19"/>
      <c r="T1805" s="6"/>
      <c r="U1805" s="9"/>
      <c r="AI1805" s="6"/>
      <c r="AJ1805" s="12"/>
      <c r="AL1805" s="13"/>
    </row>
    <row r="1806">
      <c r="A1806" s="5"/>
      <c r="B1806" s="19"/>
      <c r="C1806" s="19"/>
      <c r="D1806" s="19"/>
      <c r="E1806" s="19"/>
      <c r="F1806" s="19"/>
      <c r="G1806" s="22"/>
      <c r="H1806" s="19"/>
      <c r="I1806" s="19"/>
      <c r="J1806" s="9"/>
      <c r="K1806" s="10"/>
      <c r="L1806" s="6"/>
      <c r="M1806" s="11"/>
      <c r="N1806" s="6"/>
      <c r="O1806" s="6"/>
      <c r="P1806" s="10"/>
      <c r="Q1806" s="6"/>
      <c r="R1806" s="6"/>
      <c r="S1806" s="19"/>
      <c r="T1806" s="6"/>
      <c r="U1806" s="9"/>
      <c r="AI1806" s="6"/>
      <c r="AJ1806" s="12"/>
      <c r="AL1806" s="13"/>
    </row>
    <row r="1807">
      <c r="A1807" s="5"/>
      <c r="B1807" s="19"/>
      <c r="C1807" s="19"/>
      <c r="D1807" s="19"/>
      <c r="E1807" s="19"/>
      <c r="F1807" s="19"/>
      <c r="G1807" s="22"/>
      <c r="H1807" s="19"/>
      <c r="I1807" s="19"/>
      <c r="J1807" s="9"/>
      <c r="K1807" s="10"/>
      <c r="L1807" s="6"/>
      <c r="M1807" s="11"/>
      <c r="N1807" s="6"/>
      <c r="O1807" s="6"/>
      <c r="P1807" s="10"/>
      <c r="Q1807" s="6"/>
      <c r="R1807" s="6"/>
      <c r="S1807" s="19"/>
      <c r="T1807" s="6"/>
      <c r="U1807" s="9"/>
      <c r="AI1807" s="6"/>
      <c r="AJ1807" s="12"/>
      <c r="AL1807" s="13"/>
    </row>
    <row r="1808">
      <c r="A1808" s="5"/>
      <c r="B1808" s="19"/>
      <c r="C1808" s="19"/>
      <c r="D1808" s="19"/>
      <c r="E1808" s="19"/>
      <c r="F1808" s="19"/>
      <c r="G1808" s="22"/>
      <c r="H1808" s="19"/>
      <c r="I1808" s="19"/>
      <c r="J1808" s="9"/>
      <c r="K1808" s="10"/>
      <c r="L1808" s="6"/>
      <c r="M1808" s="11"/>
      <c r="N1808" s="6"/>
      <c r="O1808" s="6"/>
      <c r="P1808" s="10"/>
      <c r="Q1808" s="6"/>
      <c r="R1808" s="6"/>
      <c r="S1808" s="19"/>
      <c r="T1808" s="6"/>
      <c r="U1808" s="9"/>
      <c r="AI1808" s="6"/>
      <c r="AJ1808" s="12"/>
      <c r="AL1808" s="13"/>
    </row>
    <row r="1809">
      <c r="A1809" s="5"/>
      <c r="B1809" s="19"/>
      <c r="C1809" s="19"/>
      <c r="D1809" s="19"/>
      <c r="E1809" s="19"/>
      <c r="F1809" s="19"/>
      <c r="G1809" s="22"/>
      <c r="H1809" s="19"/>
      <c r="I1809" s="19"/>
      <c r="J1809" s="9"/>
      <c r="K1809" s="10"/>
      <c r="L1809" s="6"/>
      <c r="M1809" s="11"/>
      <c r="N1809" s="6"/>
      <c r="O1809" s="6"/>
      <c r="P1809" s="10"/>
      <c r="Q1809" s="6"/>
      <c r="R1809" s="6"/>
      <c r="S1809" s="19"/>
      <c r="T1809" s="6"/>
      <c r="U1809" s="9"/>
      <c r="AI1809" s="6"/>
      <c r="AJ1809" s="12"/>
      <c r="AL1809" s="13"/>
    </row>
    <row r="1810">
      <c r="A1810" s="5"/>
      <c r="B1810" s="19"/>
      <c r="C1810" s="19"/>
      <c r="D1810" s="19"/>
      <c r="E1810" s="19"/>
      <c r="F1810" s="19"/>
      <c r="G1810" s="22"/>
      <c r="H1810" s="19"/>
      <c r="I1810" s="19"/>
      <c r="J1810" s="9"/>
      <c r="K1810" s="10"/>
      <c r="L1810" s="6"/>
      <c r="M1810" s="11"/>
      <c r="N1810" s="6"/>
      <c r="O1810" s="6"/>
      <c r="P1810" s="10"/>
      <c r="Q1810" s="6"/>
      <c r="R1810" s="6"/>
      <c r="S1810" s="19"/>
      <c r="T1810" s="6"/>
      <c r="U1810" s="9"/>
      <c r="AI1810" s="6"/>
      <c r="AJ1810" s="12"/>
      <c r="AL1810" s="13"/>
    </row>
    <row r="1811">
      <c r="A1811" s="5"/>
      <c r="B1811" s="19"/>
      <c r="C1811" s="19"/>
      <c r="D1811" s="19"/>
      <c r="E1811" s="19"/>
      <c r="F1811" s="19"/>
      <c r="G1811" s="22"/>
      <c r="H1811" s="19"/>
      <c r="I1811" s="19"/>
      <c r="J1811" s="9"/>
      <c r="K1811" s="10"/>
      <c r="L1811" s="6"/>
      <c r="M1811" s="11"/>
      <c r="N1811" s="6"/>
      <c r="O1811" s="6"/>
      <c r="P1811" s="10"/>
      <c r="Q1811" s="6"/>
      <c r="R1811" s="6"/>
      <c r="S1811" s="19"/>
      <c r="T1811" s="6"/>
      <c r="U1811" s="9"/>
      <c r="AI1811" s="6"/>
      <c r="AJ1811" s="12"/>
      <c r="AL1811" s="13"/>
    </row>
    <row r="1812">
      <c r="A1812" s="5"/>
      <c r="B1812" s="19"/>
      <c r="C1812" s="19"/>
      <c r="D1812" s="19"/>
      <c r="E1812" s="19"/>
      <c r="F1812" s="19"/>
      <c r="G1812" s="22"/>
      <c r="H1812" s="19"/>
      <c r="I1812" s="19"/>
      <c r="J1812" s="9"/>
      <c r="K1812" s="10"/>
      <c r="L1812" s="6"/>
      <c r="M1812" s="11"/>
      <c r="N1812" s="6"/>
      <c r="O1812" s="6"/>
      <c r="P1812" s="10"/>
      <c r="Q1812" s="6"/>
      <c r="R1812" s="6"/>
      <c r="S1812" s="19"/>
      <c r="T1812" s="6"/>
      <c r="U1812" s="9"/>
      <c r="AI1812" s="6"/>
      <c r="AJ1812" s="12"/>
      <c r="AL1812" s="13"/>
    </row>
    <row r="1813">
      <c r="A1813" s="5"/>
      <c r="B1813" s="19"/>
      <c r="C1813" s="19"/>
      <c r="D1813" s="19"/>
      <c r="E1813" s="19"/>
      <c r="F1813" s="19"/>
      <c r="G1813" s="22"/>
      <c r="H1813" s="19"/>
      <c r="I1813" s="19"/>
      <c r="J1813" s="9"/>
      <c r="K1813" s="10"/>
      <c r="L1813" s="6"/>
      <c r="M1813" s="11"/>
      <c r="N1813" s="6"/>
      <c r="O1813" s="6"/>
      <c r="P1813" s="10"/>
      <c r="Q1813" s="6"/>
      <c r="R1813" s="6"/>
      <c r="S1813" s="19"/>
      <c r="T1813" s="6"/>
      <c r="U1813" s="9"/>
      <c r="AI1813" s="6"/>
      <c r="AJ1813" s="12"/>
      <c r="AL1813" s="13"/>
    </row>
    <row r="1814">
      <c r="A1814" s="5"/>
      <c r="B1814" s="19"/>
      <c r="C1814" s="19"/>
      <c r="D1814" s="19"/>
      <c r="E1814" s="19"/>
      <c r="F1814" s="19"/>
      <c r="G1814" s="22"/>
      <c r="H1814" s="19"/>
      <c r="I1814" s="19"/>
      <c r="J1814" s="9"/>
      <c r="K1814" s="10"/>
      <c r="L1814" s="6"/>
      <c r="M1814" s="11"/>
      <c r="N1814" s="6"/>
      <c r="O1814" s="6"/>
      <c r="P1814" s="10"/>
      <c r="Q1814" s="6"/>
      <c r="R1814" s="6"/>
      <c r="S1814" s="19"/>
      <c r="T1814" s="6"/>
      <c r="U1814" s="9"/>
      <c r="AI1814" s="6"/>
      <c r="AJ1814" s="12"/>
      <c r="AL1814" s="13"/>
    </row>
    <row r="1815">
      <c r="A1815" s="5"/>
      <c r="B1815" s="19"/>
      <c r="C1815" s="19"/>
      <c r="D1815" s="19"/>
      <c r="E1815" s="19"/>
      <c r="F1815" s="19"/>
      <c r="G1815" s="22"/>
      <c r="H1815" s="19"/>
      <c r="I1815" s="19"/>
      <c r="J1815" s="9"/>
      <c r="K1815" s="10"/>
      <c r="L1815" s="6"/>
      <c r="M1815" s="11"/>
      <c r="N1815" s="6"/>
      <c r="O1815" s="6"/>
      <c r="P1815" s="10"/>
      <c r="Q1815" s="6"/>
      <c r="R1815" s="6"/>
      <c r="S1815" s="19"/>
      <c r="T1815" s="6"/>
      <c r="U1815" s="9"/>
      <c r="AI1815" s="6"/>
      <c r="AJ1815" s="12"/>
      <c r="AL1815" s="13"/>
    </row>
    <row r="1816">
      <c r="A1816" s="5"/>
      <c r="B1816" s="19"/>
      <c r="C1816" s="19"/>
      <c r="D1816" s="19"/>
      <c r="E1816" s="19"/>
      <c r="F1816" s="19"/>
      <c r="G1816" s="22"/>
      <c r="H1816" s="19"/>
      <c r="I1816" s="19"/>
      <c r="J1816" s="9"/>
      <c r="K1816" s="10"/>
      <c r="L1816" s="6"/>
      <c r="M1816" s="11"/>
      <c r="N1816" s="6"/>
      <c r="O1816" s="6"/>
      <c r="P1816" s="10"/>
      <c r="Q1816" s="6"/>
      <c r="R1816" s="6"/>
      <c r="S1816" s="19"/>
      <c r="T1816" s="6"/>
      <c r="U1816" s="9"/>
      <c r="AI1816" s="6"/>
      <c r="AJ1816" s="12"/>
      <c r="AL1816" s="13"/>
    </row>
    <row r="1817">
      <c r="A1817" s="5"/>
      <c r="B1817" s="19"/>
      <c r="C1817" s="19"/>
      <c r="D1817" s="19"/>
      <c r="E1817" s="19"/>
      <c r="F1817" s="19"/>
      <c r="G1817" s="22"/>
      <c r="H1817" s="19"/>
      <c r="I1817" s="19"/>
      <c r="J1817" s="9"/>
      <c r="K1817" s="10"/>
      <c r="L1817" s="6"/>
      <c r="M1817" s="11"/>
      <c r="N1817" s="6"/>
      <c r="O1817" s="6"/>
      <c r="P1817" s="10"/>
      <c r="Q1817" s="6"/>
      <c r="R1817" s="6"/>
      <c r="S1817" s="19"/>
      <c r="T1817" s="6"/>
      <c r="U1817" s="9"/>
      <c r="AI1817" s="6"/>
      <c r="AJ1817" s="12"/>
      <c r="AL1817" s="13"/>
    </row>
    <row r="1818">
      <c r="A1818" s="5"/>
      <c r="B1818" s="19"/>
      <c r="C1818" s="19"/>
      <c r="D1818" s="19"/>
      <c r="E1818" s="19"/>
      <c r="F1818" s="19"/>
      <c r="G1818" s="22"/>
      <c r="H1818" s="19"/>
      <c r="I1818" s="19"/>
      <c r="J1818" s="9"/>
      <c r="K1818" s="10"/>
      <c r="L1818" s="6"/>
      <c r="M1818" s="11"/>
      <c r="N1818" s="6"/>
      <c r="O1818" s="6"/>
      <c r="P1818" s="10"/>
      <c r="Q1818" s="6"/>
      <c r="R1818" s="6"/>
      <c r="S1818" s="19"/>
      <c r="T1818" s="6"/>
      <c r="U1818" s="9"/>
      <c r="AI1818" s="6"/>
      <c r="AJ1818" s="12"/>
      <c r="AL1818" s="13"/>
    </row>
    <row r="1819">
      <c r="A1819" s="5"/>
      <c r="B1819" s="19"/>
      <c r="C1819" s="19"/>
      <c r="D1819" s="19"/>
      <c r="E1819" s="19"/>
      <c r="F1819" s="19"/>
      <c r="G1819" s="22"/>
      <c r="H1819" s="19"/>
      <c r="I1819" s="19"/>
      <c r="J1819" s="9"/>
      <c r="K1819" s="10"/>
      <c r="L1819" s="6"/>
      <c r="M1819" s="11"/>
      <c r="N1819" s="6"/>
      <c r="O1819" s="6"/>
      <c r="P1819" s="10"/>
      <c r="Q1819" s="6"/>
      <c r="R1819" s="6"/>
      <c r="S1819" s="19"/>
      <c r="T1819" s="6"/>
      <c r="U1819" s="9"/>
      <c r="AI1819" s="6"/>
      <c r="AJ1819" s="12"/>
      <c r="AL1819" s="13"/>
    </row>
    <row r="1820">
      <c r="A1820" s="5"/>
      <c r="B1820" s="19"/>
      <c r="C1820" s="19"/>
      <c r="D1820" s="19"/>
      <c r="E1820" s="19"/>
      <c r="F1820" s="19"/>
      <c r="G1820" s="22"/>
      <c r="H1820" s="19"/>
      <c r="I1820" s="19"/>
      <c r="J1820" s="9"/>
      <c r="K1820" s="10"/>
      <c r="L1820" s="6"/>
      <c r="M1820" s="11"/>
      <c r="N1820" s="6"/>
      <c r="O1820" s="6"/>
      <c r="P1820" s="10"/>
      <c r="Q1820" s="6"/>
      <c r="R1820" s="6"/>
      <c r="S1820" s="19"/>
      <c r="T1820" s="6"/>
      <c r="U1820" s="9"/>
      <c r="AI1820" s="6"/>
      <c r="AJ1820" s="12"/>
      <c r="AL1820" s="13"/>
    </row>
    <row r="1821">
      <c r="A1821" s="5"/>
      <c r="B1821" s="19"/>
      <c r="C1821" s="19"/>
      <c r="D1821" s="19"/>
      <c r="E1821" s="19"/>
      <c r="F1821" s="19"/>
      <c r="G1821" s="22"/>
      <c r="H1821" s="19"/>
      <c r="I1821" s="19"/>
      <c r="J1821" s="9"/>
      <c r="K1821" s="10"/>
      <c r="L1821" s="6"/>
      <c r="M1821" s="11"/>
      <c r="N1821" s="6"/>
      <c r="O1821" s="6"/>
      <c r="P1821" s="10"/>
      <c r="Q1821" s="6"/>
      <c r="R1821" s="6"/>
      <c r="S1821" s="19"/>
      <c r="T1821" s="6"/>
      <c r="U1821" s="9"/>
      <c r="AI1821" s="6"/>
      <c r="AJ1821" s="12"/>
      <c r="AL1821" s="13"/>
    </row>
    <row r="1822">
      <c r="A1822" s="5"/>
      <c r="B1822" s="19"/>
      <c r="C1822" s="19"/>
      <c r="D1822" s="19"/>
      <c r="E1822" s="19"/>
      <c r="F1822" s="19"/>
      <c r="G1822" s="22"/>
      <c r="H1822" s="19"/>
      <c r="I1822" s="19"/>
      <c r="J1822" s="9"/>
      <c r="K1822" s="10"/>
      <c r="L1822" s="6"/>
      <c r="M1822" s="11"/>
      <c r="N1822" s="6"/>
      <c r="O1822" s="6"/>
      <c r="P1822" s="10"/>
      <c r="Q1822" s="6"/>
      <c r="R1822" s="6"/>
      <c r="S1822" s="19"/>
      <c r="T1822" s="6"/>
      <c r="U1822" s="9"/>
      <c r="AI1822" s="6"/>
      <c r="AJ1822" s="12"/>
      <c r="AL1822" s="13"/>
    </row>
    <row r="1823">
      <c r="A1823" s="5"/>
      <c r="B1823" s="19"/>
      <c r="C1823" s="19"/>
      <c r="D1823" s="19"/>
      <c r="E1823" s="19"/>
      <c r="F1823" s="19"/>
      <c r="G1823" s="22"/>
      <c r="H1823" s="19"/>
      <c r="I1823" s="19"/>
      <c r="J1823" s="9"/>
      <c r="K1823" s="10"/>
      <c r="L1823" s="6"/>
      <c r="M1823" s="11"/>
      <c r="N1823" s="6"/>
      <c r="O1823" s="6"/>
      <c r="P1823" s="10"/>
      <c r="Q1823" s="6"/>
      <c r="R1823" s="6"/>
      <c r="S1823" s="19"/>
      <c r="T1823" s="6"/>
      <c r="U1823" s="9"/>
      <c r="AI1823" s="6"/>
      <c r="AJ1823" s="12"/>
      <c r="AL1823" s="13"/>
    </row>
    <row r="1824">
      <c r="A1824" s="5"/>
      <c r="B1824" s="19"/>
      <c r="C1824" s="19"/>
      <c r="D1824" s="19"/>
      <c r="E1824" s="19"/>
      <c r="F1824" s="19"/>
      <c r="G1824" s="22"/>
      <c r="H1824" s="19"/>
      <c r="I1824" s="19"/>
      <c r="J1824" s="9"/>
      <c r="K1824" s="10"/>
      <c r="L1824" s="6"/>
      <c r="M1824" s="11"/>
      <c r="N1824" s="6"/>
      <c r="O1824" s="6"/>
      <c r="P1824" s="10"/>
      <c r="Q1824" s="6"/>
      <c r="R1824" s="6"/>
      <c r="S1824" s="19"/>
      <c r="T1824" s="6"/>
      <c r="U1824" s="9"/>
      <c r="AI1824" s="6"/>
      <c r="AJ1824" s="12"/>
      <c r="AL1824" s="13"/>
    </row>
    <row r="1825">
      <c r="A1825" s="5"/>
      <c r="B1825" s="19"/>
      <c r="C1825" s="19"/>
      <c r="D1825" s="19"/>
      <c r="E1825" s="19"/>
      <c r="F1825" s="19"/>
      <c r="G1825" s="22"/>
      <c r="H1825" s="19"/>
      <c r="I1825" s="19"/>
      <c r="J1825" s="9"/>
      <c r="K1825" s="10"/>
      <c r="L1825" s="6"/>
      <c r="M1825" s="11"/>
      <c r="N1825" s="6"/>
      <c r="O1825" s="6"/>
      <c r="P1825" s="10"/>
      <c r="Q1825" s="6"/>
      <c r="R1825" s="6"/>
      <c r="S1825" s="19"/>
      <c r="T1825" s="6"/>
      <c r="U1825" s="9"/>
      <c r="AI1825" s="6"/>
      <c r="AJ1825" s="12"/>
      <c r="AL1825" s="13"/>
    </row>
    <row r="1826">
      <c r="A1826" s="5"/>
      <c r="B1826" s="19"/>
      <c r="C1826" s="19"/>
      <c r="D1826" s="19"/>
      <c r="E1826" s="19"/>
      <c r="F1826" s="19"/>
      <c r="G1826" s="22"/>
      <c r="H1826" s="19"/>
      <c r="I1826" s="19"/>
      <c r="J1826" s="9"/>
      <c r="K1826" s="10"/>
      <c r="L1826" s="6"/>
      <c r="M1826" s="11"/>
      <c r="N1826" s="6"/>
      <c r="O1826" s="6"/>
      <c r="P1826" s="10"/>
      <c r="Q1826" s="6"/>
      <c r="R1826" s="6"/>
      <c r="S1826" s="19"/>
      <c r="T1826" s="6"/>
      <c r="U1826" s="9"/>
      <c r="AI1826" s="6"/>
      <c r="AJ1826" s="12"/>
      <c r="AL1826" s="13"/>
    </row>
    <row r="1827">
      <c r="A1827" s="5"/>
      <c r="B1827" s="19"/>
      <c r="C1827" s="19"/>
      <c r="D1827" s="19"/>
      <c r="E1827" s="19"/>
      <c r="F1827" s="19"/>
      <c r="G1827" s="22"/>
      <c r="H1827" s="19"/>
      <c r="I1827" s="19"/>
      <c r="J1827" s="9"/>
      <c r="K1827" s="10"/>
      <c r="L1827" s="6"/>
      <c r="M1827" s="11"/>
      <c r="N1827" s="6"/>
      <c r="O1827" s="6"/>
      <c r="P1827" s="10"/>
      <c r="Q1827" s="6"/>
      <c r="R1827" s="6"/>
      <c r="S1827" s="19"/>
      <c r="T1827" s="6"/>
      <c r="U1827" s="9"/>
      <c r="AI1827" s="6"/>
      <c r="AJ1827" s="12"/>
      <c r="AL1827" s="13"/>
    </row>
    <row r="1828">
      <c r="A1828" s="5"/>
      <c r="B1828" s="19"/>
      <c r="C1828" s="19"/>
      <c r="D1828" s="19"/>
      <c r="E1828" s="19"/>
      <c r="F1828" s="19"/>
      <c r="G1828" s="22"/>
      <c r="H1828" s="19"/>
      <c r="I1828" s="19"/>
      <c r="J1828" s="9"/>
      <c r="K1828" s="10"/>
      <c r="L1828" s="6"/>
      <c r="M1828" s="11"/>
      <c r="N1828" s="6"/>
      <c r="O1828" s="6"/>
      <c r="P1828" s="10"/>
      <c r="Q1828" s="6"/>
      <c r="R1828" s="6"/>
      <c r="S1828" s="19"/>
      <c r="T1828" s="6"/>
      <c r="U1828" s="9"/>
      <c r="AI1828" s="6"/>
      <c r="AJ1828" s="12"/>
      <c r="AL1828" s="13"/>
    </row>
    <row r="1829">
      <c r="A1829" s="5"/>
      <c r="B1829" s="19"/>
      <c r="C1829" s="19"/>
      <c r="D1829" s="19"/>
      <c r="E1829" s="19"/>
      <c r="F1829" s="19"/>
      <c r="G1829" s="22"/>
      <c r="H1829" s="19"/>
      <c r="I1829" s="19"/>
      <c r="J1829" s="9"/>
      <c r="K1829" s="10"/>
      <c r="L1829" s="6"/>
      <c r="M1829" s="11"/>
      <c r="N1829" s="6"/>
      <c r="O1829" s="6"/>
      <c r="P1829" s="10"/>
      <c r="Q1829" s="6"/>
      <c r="R1829" s="6"/>
      <c r="S1829" s="19"/>
      <c r="T1829" s="6"/>
      <c r="U1829" s="9"/>
      <c r="AI1829" s="6"/>
      <c r="AJ1829" s="12"/>
      <c r="AL1829" s="13"/>
    </row>
    <row r="1830">
      <c r="A1830" s="5"/>
      <c r="B1830" s="19"/>
      <c r="C1830" s="19"/>
      <c r="D1830" s="19"/>
      <c r="E1830" s="19"/>
      <c r="F1830" s="19"/>
      <c r="G1830" s="22"/>
      <c r="H1830" s="19"/>
      <c r="I1830" s="19"/>
      <c r="J1830" s="9"/>
      <c r="K1830" s="10"/>
      <c r="L1830" s="6"/>
      <c r="M1830" s="11"/>
      <c r="N1830" s="6"/>
      <c r="O1830" s="6"/>
      <c r="P1830" s="10"/>
      <c r="Q1830" s="6"/>
      <c r="R1830" s="6"/>
      <c r="S1830" s="19"/>
      <c r="T1830" s="6"/>
      <c r="U1830" s="9"/>
      <c r="AI1830" s="6"/>
      <c r="AJ1830" s="12"/>
      <c r="AL1830" s="13"/>
    </row>
    <row r="1831">
      <c r="A1831" s="5"/>
      <c r="B1831" s="19"/>
      <c r="C1831" s="19"/>
      <c r="D1831" s="19"/>
      <c r="E1831" s="19"/>
      <c r="F1831" s="19"/>
      <c r="G1831" s="22"/>
      <c r="H1831" s="19"/>
      <c r="I1831" s="19"/>
      <c r="J1831" s="9"/>
      <c r="K1831" s="10"/>
      <c r="L1831" s="6"/>
      <c r="M1831" s="11"/>
      <c r="N1831" s="6"/>
      <c r="O1831" s="6"/>
      <c r="P1831" s="10"/>
      <c r="Q1831" s="6"/>
      <c r="R1831" s="6"/>
      <c r="S1831" s="19"/>
      <c r="T1831" s="6"/>
      <c r="U1831" s="9"/>
      <c r="AI1831" s="6"/>
      <c r="AJ1831" s="12"/>
      <c r="AL1831" s="13"/>
    </row>
    <row r="1832">
      <c r="A1832" s="5"/>
      <c r="B1832" s="19"/>
      <c r="C1832" s="19"/>
      <c r="D1832" s="19"/>
      <c r="E1832" s="19"/>
      <c r="F1832" s="19"/>
      <c r="G1832" s="22"/>
      <c r="H1832" s="19"/>
      <c r="I1832" s="19"/>
      <c r="J1832" s="9"/>
      <c r="K1832" s="10"/>
      <c r="L1832" s="6"/>
      <c r="M1832" s="11"/>
      <c r="N1832" s="6"/>
      <c r="O1832" s="6"/>
      <c r="P1832" s="10"/>
      <c r="Q1832" s="6"/>
      <c r="R1832" s="6"/>
      <c r="S1832" s="19"/>
      <c r="T1832" s="6"/>
      <c r="U1832" s="9"/>
      <c r="AI1832" s="6"/>
      <c r="AJ1832" s="12"/>
      <c r="AL1832" s="13"/>
    </row>
    <row r="1833">
      <c r="A1833" s="5"/>
      <c r="B1833" s="19"/>
      <c r="C1833" s="19"/>
      <c r="D1833" s="19"/>
      <c r="E1833" s="19"/>
      <c r="F1833" s="19"/>
      <c r="G1833" s="22"/>
      <c r="H1833" s="19"/>
      <c r="I1833" s="19"/>
      <c r="J1833" s="9"/>
      <c r="K1833" s="10"/>
      <c r="L1833" s="6"/>
      <c r="M1833" s="11"/>
      <c r="N1833" s="6"/>
      <c r="O1833" s="6"/>
      <c r="P1833" s="10"/>
      <c r="Q1833" s="6"/>
      <c r="R1833" s="6"/>
      <c r="S1833" s="19"/>
      <c r="T1833" s="6"/>
      <c r="U1833" s="9"/>
      <c r="AI1833" s="6"/>
      <c r="AJ1833" s="12"/>
      <c r="AL1833" s="13"/>
    </row>
    <row r="1834">
      <c r="A1834" s="5"/>
      <c r="B1834" s="19"/>
      <c r="C1834" s="19"/>
      <c r="D1834" s="19"/>
      <c r="E1834" s="19"/>
      <c r="F1834" s="19"/>
      <c r="G1834" s="22"/>
      <c r="H1834" s="19"/>
      <c r="I1834" s="19"/>
      <c r="J1834" s="9"/>
      <c r="K1834" s="10"/>
      <c r="L1834" s="6"/>
      <c r="M1834" s="11"/>
      <c r="N1834" s="6"/>
      <c r="O1834" s="6"/>
      <c r="P1834" s="10"/>
      <c r="Q1834" s="6"/>
      <c r="R1834" s="6"/>
      <c r="S1834" s="19"/>
      <c r="T1834" s="6"/>
      <c r="U1834" s="9"/>
      <c r="AI1834" s="6"/>
      <c r="AJ1834" s="12"/>
      <c r="AL1834" s="13"/>
    </row>
    <row r="1835">
      <c r="A1835" s="5"/>
      <c r="B1835" s="19"/>
      <c r="C1835" s="19"/>
      <c r="D1835" s="19"/>
      <c r="E1835" s="19"/>
      <c r="F1835" s="19"/>
      <c r="G1835" s="22"/>
      <c r="H1835" s="19"/>
      <c r="I1835" s="19"/>
      <c r="J1835" s="9"/>
      <c r="K1835" s="10"/>
      <c r="L1835" s="6"/>
      <c r="M1835" s="11"/>
      <c r="N1835" s="6"/>
      <c r="O1835" s="6"/>
      <c r="P1835" s="10"/>
      <c r="Q1835" s="6"/>
      <c r="R1835" s="6"/>
      <c r="S1835" s="19"/>
      <c r="T1835" s="6"/>
      <c r="U1835" s="9"/>
      <c r="AI1835" s="6"/>
      <c r="AJ1835" s="12"/>
      <c r="AL1835" s="13"/>
    </row>
    <row r="1836">
      <c r="A1836" s="5"/>
      <c r="B1836" s="19"/>
      <c r="C1836" s="19"/>
      <c r="D1836" s="19"/>
      <c r="E1836" s="19"/>
      <c r="F1836" s="19"/>
      <c r="G1836" s="22"/>
      <c r="H1836" s="19"/>
      <c r="I1836" s="19"/>
      <c r="J1836" s="9"/>
      <c r="K1836" s="10"/>
      <c r="L1836" s="6"/>
      <c r="M1836" s="11"/>
      <c r="N1836" s="6"/>
      <c r="O1836" s="6"/>
      <c r="P1836" s="10"/>
      <c r="Q1836" s="6"/>
      <c r="R1836" s="6"/>
      <c r="S1836" s="19"/>
      <c r="T1836" s="6"/>
      <c r="U1836" s="9"/>
      <c r="AI1836" s="6"/>
      <c r="AJ1836" s="12"/>
      <c r="AL1836" s="13"/>
    </row>
    <row r="1837">
      <c r="A1837" s="5"/>
      <c r="B1837" s="19"/>
      <c r="C1837" s="19"/>
      <c r="D1837" s="19"/>
      <c r="E1837" s="19"/>
      <c r="F1837" s="19"/>
      <c r="G1837" s="22"/>
      <c r="H1837" s="19"/>
      <c r="I1837" s="19"/>
      <c r="J1837" s="9"/>
      <c r="K1837" s="10"/>
      <c r="L1837" s="6"/>
      <c r="M1837" s="11"/>
      <c r="N1837" s="6"/>
      <c r="O1837" s="6"/>
      <c r="P1837" s="10"/>
      <c r="Q1837" s="6"/>
      <c r="R1837" s="6"/>
      <c r="S1837" s="19"/>
      <c r="T1837" s="6"/>
      <c r="U1837" s="9"/>
      <c r="AI1837" s="6"/>
      <c r="AJ1837" s="12"/>
      <c r="AL1837" s="13"/>
    </row>
    <row r="1838">
      <c r="A1838" s="5"/>
      <c r="B1838" s="19"/>
      <c r="C1838" s="19"/>
      <c r="D1838" s="19"/>
      <c r="E1838" s="19"/>
      <c r="F1838" s="19"/>
      <c r="G1838" s="22"/>
      <c r="H1838" s="19"/>
      <c r="I1838" s="19"/>
      <c r="J1838" s="9"/>
      <c r="K1838" s="10"/>
      <c r="L1838" s="6"/>
      <c r="M1838" s="11"/>
      <c r="N1838" s="6"/>
      <c r="O1838" s="6"/>
      <c r="P1838" s="10"/>
      <c r="Q1838" s="6"/>
      <c r="R1838" s="6"/>
      <c r="S1838" s="19"/>
      <c r="T1838" s="6"/>
      <c r="U1838" s="9"/>
      <c r="AI1838" s="6"/>
      <c r="AJ1838" s="12"/>
      <c r="AL1838" s="13"/>
    </row>
    <row r="1839">
      <c r="A1839" s="5"/>
      <c r="B1839" s="19"/>
      <c r="C1839" s="19"/>
      <c r="D1839" s="19"/>
      <c r="E1839" s="19"/>
      <c r="F1839" s="19"/>
      <c r="G1839" s="22"/>
      <c r="H1839" s="19"/>
      <c r="I1839" s="19"/>
      <c r="J1839" s="9"/>
      <c r="K1839" s="10"/>
      <c r="L1839" s="6"/>
      <c r="M1839" s="11"/>
      <c r="N1839" s="6"/>
      <c r="O1839" s="6"/>
      <c r="P1839" s="10"/>
      <c r="Q1839" s="6"/>
      <c r="R1839" s="6"/>
      <c r="S1839" s="19"/>
      <c r="T1839" s="6"/>
      <c r="U1839" s="9"/>
      <c r="AI1839" s="6"/>
      <c r="AJ1839" s="12"/>
      <c r="AL1839" s="13"/>
    </row>
    <row r="1840">
      <c r="A1840" s="5"/>
      <c r="B1840" s="19"/>
      <c r="C1840" s="19"/>
      <c r="D1840" s="19"/>
      <c r="E1840" s="19"/>
      <c r="F1840" s="19"/>
      <c r="G1840" s="22"/>
      <c r="H1840" s="19"/>
      <c r="I1840" s="19"/>
      <c r="J1840" s="9"/>
      <c r="K1840" s="10"/>
      <c r="L1840" s="6"/>
      <c r="M1840" s="11"/>
      <c r="N1840" s="6"/>
      <c r="O1840" s="6"/>
      <c r="P1840" s="10"/>
      <c r="Q1840" s="6"/>
      <c r="R1840" s="6"/>
      <c r="S1840" s="19"/>
      <c r="T1840" s="6"/>
      <c r="U1840" s="9"/>
      <c r="AI1840" s="6"/>
      <c r="AJ1840" s="12"/>
      <c r="AL1840" s="13"/>
    </row>
    <row r="1841">
      <c r="A1841" s="5"/>
      <c r="B1841" s="19"/>
      <c r="C1841" s="19"/>
      <c r="D1841" s="19"/>
      <c r="E1841" s="19"/>
      <c r="F1841" s="19"/>
      <c r="G1841" s="22"/>
      <c r="H1841" s="19"/>
      <c r="I1841" s="19"/>
      <c r="J1841" s="9"/>
      <c r="K1841" s="10"/>
      <c r="L1841" s="6"/>
      <c r="M1841" s="11"/>
      <c r="N1841" s="6"/>
      <c r="O1841" s="6"/>
      <c r="P1841" s="10"/>
      <c r="Q1841" s="6"/>
      <c r="R1841" s="6"/>
      <c r="S1841" s="19"/>
      <c r="T1841" s="6"/>
      <c r="U1841" s="9"/>
      <c r="AI1841" s="6"/>
      <c r="AJ1841" s="12"/>
      <c r="AL1841" s="13"/>
    </row>
    <row r="1842">
      <c r="A1842" s="5"/>
      <c r="B1842" s="19"/>
      <c r="C1842" s="19"/>
      <c r="D1842" s="19"/>
      <c r="E1842" s="19"/>
      <c r="F1842" s="19"/>
      <c r="G1842" s="22"/>
      <c r="H1842" s="19"/>
      <c r="I1842" s="19"/>
      <c r="J1842" s="9"/>
      <c r="K1842" s="10"/>
      <c r="L1842" s="6"/>
      <c r="M1842" s="11"/>
      <c r="N1842" s="6"/>
      <c r="O1842" s="6"/>
      <c r="P1842" s="10"/>
      <c r="Q1842" s="6"/>
      <c r="R1842" s="6"/>
      <c r="S1842" s="19"/>
      <c r="T1842" s="6"/>
      <c r="U1842" s="9"/>
      <c r="AI1842" s="6"/>
      <c r="AJ1842" s="12"/>
      <c r="AL1842" s="13"/>
    </row>
    <row r="1843">
      <c r="A1843" s="5"/>
      <c r="B1843" s="19"/>
      <c r="C1843" s="19"/>
      <c r="D1843" s="19"/>
      <c r="E1843" s="19"/>
      <c r="F1843" s="19"/>
      <c r="G1843" s="22"/>
      <c r="H1843" s="19"/>
      <c r="I1843" s="19"/>
      <c r="J1843" s="9"/>
      <c r="K1843" s="10"/>
      <c r="L1843" s="6"/>
      <c r="M1843" s="11"/>
      <c r="N1843" s="6"/>
      <c r="O1843" s="6"/>
      <c r="P1843" s="10"/>
      <c r="Q1843" s="6"/>
      <c r="R1843" s="6"/>
      <c r="S1843" s="19"/>
      <c r="T1843" s="6"/>
      <c r="U1843" s="9"/>
      <c r="AI1843" s="6"/>
      <c r="AJ1843" s="12"/>
      <c r="AL1843" s="13"/>
    </row>
    <row r="1844">
      <c r="A1844" s="5"/>
      <c r="B1844" s="19"/>
      <c r="C1844" s="19"/>
      <c r="D1844" s="19"/>
      <c r="E1844" s="19"/>
      <c r="F1844" s="19"/>
      <c r="G1844" s="22"/>
      <c r="H1844" s="19"/>
      <c r="I1844" s="19"/>
      <c r="J1844" s="9"/>
      <c r="K1844" s="10"/>
      <c r="L1844" s="6"/>
      <c r="M1844" s="11"/>
      <c r="N1844" s="6"/>
      <c r="O1844" s="6"/>
      <c r="P1844" s="10"/>
      <c r="Q1844" s="6"/>
      <c r="R1844" s="6"/>
      <c r="S1844" s="19"/>
      <c r="T1844" s="6"/>
      <c r="U1844" s="9"/>
      <c r="AI1844" s="6"/>
      <c r="AJ1844" s="12"/>
      <c r="AL1844" s="13"/>
    </row>
    <row r="1845">
      <c r="A1845" s="5"/>
      <c r="B1845" s="19"/>
      <c r="C1845" s="19"/>
      <c r="D1845" s="19"/>
      <c r="E1845" s="19"/>
      <c r="F1845" s="19"/>
      <c r="G1845" s="22"/>
      <c r="H1845" s="19"/>
      <c r="I1845" s="19"/>
      <c r="J1845" s="9"/>
      <c r="K1845" s="10"/>
      <c r="L1845" s="6"/>
      <c r="M1845" s="11"/>
      <c r="N1845" s="6"/>
      <c r="O1845" s="6"/>
      <c r="P1845" s="10"/>
      <c r="Q1845" s="6"/>
      <c r="R1845" s="6"/>
      <c r="S1845" s="19"/>
      <c r="T1845" s="6"/>
      <c r="U1845" s="9"/>
      <c r="AI1845" s="6"/>
      <c r="AJ1845" s="12"/>
      <c r="AL1845" s="13"/>
    </row>
    <row r="1846">
      <c r="A1846" s="5"/>
      <c r="B1846" s="19"/>
      <c r="C1846" s="19"/>
      <c r="D1846" s="19"/>
      <c r="E1846" s="19"/>
      <c r="F1846" s="19"/>
      <c r="G1846" s="22"/>
      <c r="H1846" s="19"/>
      <c r="I1846" s="19"/>
      <c r="J1846" s="9"/>
      <c r="K1846" s="10"/>
      <c r="L1846" s="6"/>
      <c r="M1846" s="11"/>
      <c r="N1846" s="6"/>
      <c r="O1846" s="6"/>
      <c r="P1846" s="10"/>
      <c r="Q1846" s="6"/>
      <c r="R1846" s="6"/>
      <c r="S1846" s="19"/>
      <c r="T1846" s="6"/>
      <c r="U1846" s="9"/>
      <c r="AI1846" s="6"/>
      <c r="AJ1846" s="12"/>
      <c r="AL1846" s="13"/>
    </row>
    <row r="1847">
      <c r="A1847" s="5"/>
      <c r="B1847" s="19"/>
      <c r="C1847" s="19"/>
      <c r="D1847" s="19"/>
      <c r="E1847" s="19"/>
      <c r="F1847" s="19"/>
      <c r="G1847" s="22"/>
      <c r="H1847" s="19"/>
      <c r="I1847" s="19"/>
      <c r="J1847" s="9"/>
      <c r="K1847" s="10"/>
      <c r="L1847" s="6"/>
      <c r="M1847" s="11"/>
      <c r="N1847" s="6"/>
      <c r="O1847" s="6"/>
      <c r="P1847" s="10"/>
      <c r="Q1847" s="6"/>
      <c r="R1847" s="6"/>
      <c r="S1847" s="19"/>
      <c r="T1847" s="6"/>
      <c r="U1847" s="9"/>
      <c r="AI1847" s="6"/>
      <c r="AJ1847" s="12"/>
      <c r="AL1847" s="13"/>
    </row>
    <row r="1848">
      <c r="A1848" s="5"/>
      <c r="B1848" s="19"/>
      <c r="C1848" s="19"/>
      <c r="D1848" s="19"/>
      <c r="E1848" s="19"/>
      <c r="F1848" s="19"/>
      <c r="G1848" s="22"/>
      <c r="H1848" s="19"/>
      <c r="I1848" s="19"/>
      <c r="J1848" s="9"/>
      <c r="K1848" s="10"/>
      <c r="L1848" s="6"/>
      <c r="M1848" s="11"/>
      <c r="N1848" s="6"/>
      <c r="O1848" s="6"/>
      <c r="P1848" s="10"/>
      <c r="Q1848" s="6"/>
      <c r="R1848" s="6"/>
      <c r="S1848" s="19"/>
      <c r="T1848" s="6"/>
      <c r="U1848" s="9"/>
      <c r="AI1848" s="6"/>
      <c r="AJ1848" s="12"/>
      <c r="AL1848" s="13"/>
    </row>
    <row r="1849">
      <c r="A1849" s="5"/>
      <c r="B1849" s="19"/>
      <c r="C1849" s="19"/>
      <c r="D1849" s="19"/>
      <c r="E1849" s="19"/>
      <c r="F1849" s="19"/>
      <c r="G1849" s="22"/>
      <c r="H1849" s="19"/>
      <c r="I1849" s="19"/>
      <c r="J1849" s="9"/>
      <c r="K1849" s="10"/>
      <c r="L1849" s="6"/>
      <c r="M1849" s="11"/>
      <c r="N1849" s="6"/>
      <c r="O1849" s="6"/>
      <c r="P1849" s="10"/>
      <c r="Q1849" s="6"/>
      <c r="R1849" s="6"/>
      <c r="S1849" s="19"/>
      <c r="T1849" s="6"/>
      <c r="U1849" s="9"/>
      <c r="AI1849" s="6"/>
      <c r="AJ1849" s="12"/>
      <c r="AL1849" s="13"/>
    </row>
    <row r="1850">
      <c r="A1850" s="5"/>
      <c r="B1850" s="19"/>
      <c r="C1850" s="19"/>
      <c r="D1850" s="19"/>
      <c r="E1850" s="19"/>
      <c r="F1850" s="19"/>
      <c r="G1850" s="22"/>
      <c r="H1850" s="19"/>
      <c r="I1850" s="19"/>
      <c r="J1850" s="9"/>
      <c r="K1850" s="10"/>
      <c r="L1850" s="6"/>
      <c r="M1850" s="11"/>
      <c r="N1850" s="6"/>
      <c r="O1850" s="6"/>
      <c r="P1850" s="10"/>
      <c r="Q1850" s="6"/>
      <c r="R1850" s="6"/>
      <c r="S1850" s="19"/>
      <c r="T1850" s="6"/>
      <c r="U1850" s="9"/>
      <c r="AI1850" s="6"/>
      <c r="AJ1850" s="12"/>
      <c r="AL1850" s="13"/>
    </row>
    <row r="1851">
      <c r="A1851" s="5"/>
      <c r="B1851" s="19"/>
      <c r="C1851" s="19"/>
      <c r="D1851" s="19"/>
      <c r="E1851" s="19"/>
      <c r="F1851" s="19"/>
      <c r="G1851" s="22"/>
      <c r="H1851" s="19"/>
      <c r="I1851" s="19"/>
      <c r="J1851" s="9"/>
      <c r="K1851" s="10"/>
      <c r="L1851" s="6"/>
      <c r="M1851" s="11"/>
      <c r="N1851" s="6"/>
      <c r="O1851" s="6"/>
      <c r="P1851" s="10"/>
      <c r="Q1851" s="6"/>
      <c r="R1851" s="6"/>
      <c r="S1851" s="19"/>
      <c r="T1851" s="6"/>
      <c r="U1851" s="9"/>
      <c r="AI1851" s="6"/>
      <c r="AJ1851" s="12"/>
      <c r="AL1851" s="13"/>
    </row>
    <row r="1852">
      <c r="A1852" s="5"/>
      <c r="B1852" s="19"/>
      <c r="C1852" s="19"/>
      <c r="D1852" s="19"/>
      <c r="E1852" s="19"/>
      <c r="F1852" s="19"/>
      <c r="G1852" s="22"/>
      <c r="H1852" s="19"/>
      <c r="I1852" s="19"/>
      <c r="J1852" s="9"/>
      <c r="K1852" s="10"/>
      <c r="L1852" s="6"/>
      <c r="M1852" s="11"/>
      <c r="N1852" s="6"/>
      <c r="O1852" s="6"/>
      <c r="P1852" s="10"/>
      <c r="Q1852" s="6"/>
      <c r="R1852" s="6"/>
      <c r="S1852" s="19"/>
      <c r="T1852" s="6"/>
      <c r="U1852" s="9"/>
      <c r="AI1852" s="6"/>
      <c r="AJ1852" s="12"/>
      <c r="AL1852" s="13"/>
    </row>
    <row r="1853">
      <c r="A1853" s="5"/>
      <c r="B1853" s="19"/>
      <c r="C1853" s="19"/>
      <c r="D1853" s="19"/>
      <c r="E1853" s="19"/>
      <c r="F1853" s="19"/>
      <c r="G1853" s="22"/>
      <c r="H1853" s="19"/>
      <c r="I1853" s="19"/>
      <c r="J1853" s="9"/>
      <c r="K1853" s="10"/>
      <c r="L1853" s="6"/>
      <c r="M1853" s="11"/>
      <c r="N1853" s="6"/>
      <c r="O1853" s="6"/>
      <c r="P1853" s="10"/>
      <c r="Q1853" s="6"/>
      <c r="R1853" s="6"/>
      <c r="S1853" s="19"/>
      <c r="T1853" s="6"/>
      <c r="U1853" s="9"/>
      <c r="AI1853" s="6"/>
      <c r="AJ1853" s="12"/>
      <c r="AL1853" s="13"/>
    </row>
    <row r="1854">
      <c r="A1854" s="5"/>
      <c r="B1854" s="19"/>
      <c r="C1854" s="19"/>
      <c r="D1854" s="19"/>
      <c r="E1854" s="19"/>
      <c r="F1854" s="19"/>
      <c r="G1854" s="22"/>
      <c r="H1854" s="19"/>
      <c r="I1854" s="19"/>
      <c r="J1854" s="9"/>
      <c r="K1854" s="10"/>
      <c r="L1854" s="6"/>
      <c r="M1854" s="11"/>
      <c r="N1854" s="6"/>
      <c r="O1854" s="6"/>
      <c r="P1854" s="10"/>
      <c r="Q1854" s="6"/>
      <c r="R1854" s="6"/>
      <c r="S1854" s="19"/>
      <c r="T1854" s="6"/>
      <c r="U1854" s="9"/>
      <c r="AI1854" s="6"/>
      <c r="AJ1854" s="12"/>
      <c r="AL1854" s="13"/>
    </row>
    <row r="1855">
      <c r="A1855" s="5"/>
      <c r="B1855" s="19"/>
      <c r="C1855" s="19"/>
      <c r="D1855" s="19"/>
      <c r="E1855" s="19"/>
      <c r="F1855" s="19"/>
      <c r="G1855" s="22"/>
      <c r="H1855" s="19"/>
      <c r="I1855" s="19"/>
      <c r="J1855" s="9"/>
      <c r="K1855" s="10"/>
      <c r="L1855" s="6"/>
      <c r="M1855" s="11"/>
      <c r="N1855" s="6"/>
      <c r="O1855" s="6"/>
      <c r="P1855" s="10"/>
      <c r="Q1855" s="6"/>
      <c r="R1855" s="6"/>
      <c r="S1855" s="19"/>
      <c r="T1855" s="6"/>
      <c r="U1855" s="9"/>
      <c r="AI1855" s="6"/>
      <c r="AJ1855" s="12"/>
      <c r="AL1855" s="13"/>
    </row>
    <row r="1856">
      <c r="A1856" s="5"/>
      <c r="B1856" s="19"/>
      <c r="C1856" s="19"/>
      <c r="D1856" s="19"/>
      <c r="E1856" s="19"/>
      <c r="F1856" s="19"/>
      <c r="G1856" s="22"/>
      <c r="H1856" s="19"/>
      <c r="I1856" s="19"/>
      <c r="J1856" s="9"/>
      <c r="K1856" s="10"/>
      <c r="L1856" s="6"/>
      <c r="M1856" s="11"/>
      <c r="N1856" s="6"/>
      <c r="O1856" s="6"/>
      <c r="P1856" s="10"/>
      <c r="Q1856" s="6"/>
      <c r="R1856" s="6"/>
      <c r="S1856" s="19"/>
      <c r="T1856" s="6"/>
      <c r="U1856" s="9"/>
      <c r="AI1856" s="6"/>
      <c r="AJ1856" s="12"/>
      <c r="AL1856" s="13"/>
    </row>
    <row r="1857">
      <c r="A1857" s="5"/>
      <c r="B1857" s="19"/>
      <c r="C1857" s="19"/>
      <c r="D1857" s="19"/>
      <c r="E1857" s="19"/>
      <c r="F1857" s="19"/>
      <c r="G1857" s="22"/>
      <c r="H1857" s="19"/>
      <c r="I1857" s="19"/>
      <c r="J1857" s="9"/>
      <c r="K1857" s="10"/>
      <c r="L1857" s="6"/>
      <c r="M1857" s="11"/>
      <c r="N1857" s="6"/>
      <c r="O1857" s="6"/>
      <c r="P1857" s="10"/>
      <c r="Q1857" s="6"/>
      <c r="R1857" s="6"/>
      <c r="S1857" s="19"/>
      <c r="T1857" s="6"/>
      <c r="U1857" s="9"/>
      <c r="AI1857" s="6"/>
      <c r="AJ1857" s="12"/>
      <c r="AL1857" s="13"/>
    </row>
    <row r="1858">
      <c r="A1858" s="5"/>
      <c r="B1858" s="19"/>
      <c r="C1858" s="19"/>
      <c r="D1858" s="19"/>
      <c r="E1858" s="19"/>
      <c r="F1858" s="19"/>
      <c r="G1858" s="22"/>
      <c r="H1858" s="19"/>
      <c r="I1858" s="19"/>
      <c r="J1858" s="9"/>
      <c r="K1858" s="10"/>
      <c r="L1858" s="6"/>
      <c r="M1858" s="11"/>
      <c r="N1858" s="6"/>
      <c r="O1858" s="6"/>
      <c r="P1858" s="10"/>
      <c r="Q1858" s="6"/>
      <c r="R1858" s="6"/>
      <c r="S1858" s="19"/>
      <c r="T1858" s="6"/>
      <c r="U1858" s="9"/>
      <c r="AI1858" s="6"/>
      <c r="AJ1858" s="12"/>
      <c r="AL1858" s="13"/>
    </row>
    <row r="1859">
      <c r="A1859" s="5"/>
      <c r="B1859" s="19"/>
      <c r="C1859" s="19"/>
      <c r="D1859" s="19"/>
      <c r="E1859" s="19"/>
      <c r="F1859" s="19"/>
      <c r="G1859" s="22"/>
      <c r="H1859" s="19"/>
      <c r="I1859" s="19"/>
      <c r="J1859" s="9"/>
      <c r="K1859" s="10"/>
      <c r="L1859" s="6"/>
      <c r="M1859" s="11"/>
      <c r="N1859" s="6"/>
      <c r="O1859" s="6"/>
      <c r="P1859" s="10"/>
      <c r="Q1859" s="6"/>
      <c r="R1859" s="6"/>
      <c r="S1859" s="19"/>
      <c r="T1859" s="6"/>
      <c r="U1859" s="9"/>
      <c r="AI1859" s="6"/>
      <c r="AJ1859" s="12"/>
      <c r="AL1859" s="13"/>
    </row>
    <row r="1860">
      <c r="A1860" s="5"/>
      <c r="B1860" s="19"/>
      <c r="C1860" s="19"/>
      <c r="D1860" s="19"/>
      <c r="E1860" s="19"/>
      <c r="F1860" s="19"/>
      <c r="G1860" s="22"/>
      <c r="H1860" s="19"/>
      <c r="I1860" s="19"/>
      <c r="J1860" s="9"/>
      <c r="K1860" s="10"/>
      <c r="L1860" s="6"/>
      <c r="M1860" s="11"/>
      <c r="N1860" s="6"/>
      <c r="O1860" s="6"/>
      <c r="P1860" s="10"/>
      <c r="Q1860" s="6"/>
      <c r="R1860" s="6"/>
      <c r="S1860" s="19"/>
      <c r="T1860" s="6"/>
      <c r="U1860" s="9"/>
      <c r="AI1860" s="6"/>
      <c r="AJ1860" s="12"/>
      <c r="AL1860" s="13"/>
    </row>
    <row r="1861">
      <c r="A1861" s="5"/>
      <c r="B1861" s="19"/>
      <c r="C1861" s="19"/>
      <c r="D1861" s="19"/>
      <c r="E1861" s="19"/>
      <c r="F1861" s="19"/>
      <c r="G1861" s="22"/>
      <c r="H1861" s="19"/>
      <c r="I1861" s="19"/>
      <c r="J1861" s="9"/>
      <c r="K1861" s="10"/>
      <c r="L1861" s="6"/>
      <c r="M1861" s="11"/>
      <c r="N1861" s="6"/>
      <c r="O1861" s="6"/>
      <c r="P1861" s="10"/>
      <c r="Q1861" s="6"/>
      <c r="R1861" s="6"/>
      <c r="S1861" s="19"/>
      <c r="T1861" s="6"/>
      <c r="U1861" s="9"/>
      <c r="AI1861" s="6"/>
      <c r="AJ1861" s="12"/>
      <c r="AL1861" s="13"/>
    </row>
    <row r="1862">
      <c r="A1862" s="5"/>
      <c r="B1862" s="19"/>
      <c r="C1862" s="19"/>
      <c r="D1862" s="19"/>
      <c r="E1862" s="19"/>
      <c r="F1862" s="19"/>
      <c r="G1862" s="22"/>
      <c r="H1862" s="19"/>
      <c r="I1862" s="19"/>
      <c r="J1862" s="9"/>
      <c r="K1862" s="10"/>
      <c r="L1862" s="6"/>
      <c r="M1862" s="11"/>
      <c r="N1862" s="6"/>
      <c r="O1862" s="6"/>
      <c r="P1862" s="10"/>
      <c r="Q1862" s="6"/>
      <c r="R1862" s="6"/>
      <c r="S1862" s="19"/>
      <c r="T1862" s="6"/>
      <c r="U1862" s="9"/>
      <c r="AI1862" s="6"/>
      <c r="AJ1862" s="12"/>
      <c r="AL1862" s="13"/>
    </row>
    <row r="1863">
      <c r="A1863" s="5"/>
      <c r="B1863" s="19"/>
      <c r="C1863" s="19"/>
      <c r="D1863" s="19"/>
      <c r="E1863" s="19"/>
      <c r="F1863" s="19"/>
      <c r="G1863" s="22"/>
      <c r="H1863" s="19"/>
      <c r="I1863" s="19"/>
      <c r="J1863" s="9"/>
      <c r="K1863" s="10"/>
      <c r="L1863" s="6"/>
      <c r="M1863" s="11"/>
      <c r="N1863" s="6"/>
      <c r="O1863" s="6"/>
      <c r="P1863" s="10"/>
      <c r="Q1863" s="6"/>
      <c r="R1863" s="6"/>
      <c r="S1863" s="19"/>
      <c r="T1863" s="6"/>
      <c r="U1863" s="9"/>
      <c r="AI1863" s="6"/>
      <c r="AJ1863" s="12"/>
      <c r="AL1863" s="13"/>
    </row>
    <row r="1864">
      <c r="A1864" s="5"/>
      <c r="B1864" s="19"/>
      <c r="C1864" s="19"/>
      <c r="D1864" s="19"/>
      <c r="E1864" s="19"/>
      <c r="F1864" s="19"/>
      <c r="G1864" s="22"/>
      <c r="H1864" s="19"/>
      <c r="I1864" s="19"/>
      <c r="J1864" s="9"/>
      <c r="K1864" s="10"/>
      <c r="L1864" s="6"/>
      <c r="M1864" s="11"/>
      <c r="N1864" s="6"/>
      <c r="O1864" s="6"/>
      <c r="P1864" s="10"/>
      <c r="Q1864" s="6"/>
      <c r="R1864" s="6"/>
      <c r="S1864" s="19"/>
      <c r="T1864" s="6"/>
      <c r="U1864" s="9"/>
      <c r="AI1864" s="6"/>
      <c r="AJ1864" s="12"/>
      <c r="AL1864" s="13"/>
    </row>
    <row r="1865">
      <c r="A1865" s="5"/>
      <c r="B1865" s="19"/>
      <c r="C1865" s="19"/>
      <c r="D1865" s="19"/>
      <c r="E1865" s="19"/>
      <c r="F1865" s="19"/>
      <c r="G1865" s="22"/>
      <c r="H1865" s="19"/>
      <c r="I1865" s="19"/>
      <c r="J1865" s="9"/>
      <c r="K1865" s="10"/>
      <c r="L1865" s="6"/>
      <c r="M1865" s="11"/>
      <c r="N1865" s="6"/>
      <c r="O1865" s="6"/>
      <c r="P1865" s="10"/>
      <c r="Q1865" s="6"/>
      <c r="R1865" s="6"/>
      <c r="S1865" s="19"/>
      <c r="T1865" s="6"/>
      <c r="U1865" s="9"/>
      <c r="AI1865" s="6"/>
      <c r="AJ1865" s="12"/>
      <c r="AL1865" s="13"/>
    </row>
    <row r="1866">
      <c r="A1866" s="5"/>
      <c r="B1866" s="19"/>
      <c r="C1866" s="19"/>
      <c r="D1866" s="19"/>
      <c r="E1866" s="19"/>
      <c r="F1866" s="19"/>
      <c r="G1866" s="22"/>
      <c r="H1866" s="19"/>
      <c r="I1866" s="19"/>
      <c r="J1866" s="9"/>
      <c r="K1866" s="10"/>
      <c r="L1866" s="6"/>
      <c r="M1866" s="11"/>
      <c r="N1866" s="6"/>
      <c r="O1866" s="6"/>
      <c r="P1866" s="10"/>
      <c r="Q1866" s="6"/>
      <c r="R1866" s="6"/>
      <c r="S1866" s="19"/>
      <c r="T1866" s="6"/>
      <c r="U1866" s="9"/>
      <c r="AI1866" s="6"/>
      <c r="AJ1866" s="12"/>
      <c r="AL1866" s="13"/>
    </row>
    <row r="1867">
      <c r="A1867" s="5"/>
      <c r="B1867" s="19"/>
      <c r="C1867" s="19"/>
      <c r="D1867" s="19"/>
      <c r="E1867" s="19"/>
      <c r="F1867" s="19"/>
      <c r="G1867" s="22"/>
      <c r="H1867" s="19"/>
      <c r="I1867" s="19"/>
      <c r="J1867" s="9"/>
      <c r="K1867" s="10"/>
      <c r="L1867" s="6"/>
      <c r="M1867" s="11"/>
      <c r="N1867" s="6"/>
      <c r="O1867" s="6"/>
      <c r="P1867" s="10"/>
      <c r="Q1867" s="6"/>
      <c r="R1867" s="6"/>
      <c r="S1867" s="19"/>
      <c r="T1867" s="6"/>
      <c r="U1867" s="9"/>
      <c r="AI1867" s="6"/>
      <c r="AJ1867" s="12"/>
      <c r="AL1867" s="13"/>
    </row>
    <row r="1868">
      <c r="A1868" s="5"/>
      <c r="B1868" s="19"/>
      <c r="C1868" s="19"/>
      <c r="D1868" s="19"/>
      <c r="E1868" s="19"/>
      <c r="F1868" s="19"/>
      <c r="G1868" s="22"/>
      <c r="H1868" s="19"/>
      <c r="I1868" s="19"/>
      <c r="J1868" s="9"/>
      <c r="K1868" s="10"/>
      <c r="L1868" s="6"/>
      <c r="M1868" s="11"/>
      <c r="N1868" s="6"/>
      <c r="O1868" s="6"/>
      <c r="P1868" s="10"/>
      <c r="Q1868" s="6"/>
      <c r="R1868" s="6"/>
      <c r="S1868" s="19"/>
      <c r="T1868" s="6"/>
      <c r="U1868" s="9"/>
      <c r="AI1868" s="6"/>
      <c r="AJ1868" s="12"/>
      <c r="AL1868" s="13"/>
    </row>
    <row r="1869">
      <c r="A1869" s="5"/>
      <c r="B1869" s="19"/>
      <c r="C1869" s="19"/>
      <c r="D1869" s="19"/>
      <c r="E1869" s="19"/>
      <c r="F1869" s="19"/>
      <c r="G1869" s="22"/>
      <c r="H1869" s="19"/>
      <c r="I1869" s="19"/>
      <c r="J1869" s="9"/>
      <c r="K1869" s="10"/>
      <c r="L1869" s="6"/>
      <c r="M1869" s="11"/>
      <c r="N1869" s="6"/>
      <c r="O1869" s="6"/>
      <c r="P1869" s="10"/>
      <c r="Q1869" s="6"/>
      <c r="R1869" s="6"/>
      <c r="S1869" s="19"/>
      <c r="T1869" s="6"/>
      <c r="U1869" s="9"/>
      <c r="AI1869" s="6"/>
      <c r="AJ1869" s="12"/>
      <c r="AL1869" s="13"/>
    </row>
    <row r="1870">
      <c r="A1870" s="5"/>
      <c r="B1870" s="19"/>
      <c r="C1870" s="19"/>
      <c r="D1870" s="19"/>
      <c r="E1870" s="19"/>
      <c r="F1870" s="19"/>
      <c r="G1870" s="22"/>
      <c r="H1870" s="19"/>
      <c r="I1870" s="19"/>
      <c r="J1870" s="9"/>
      <c r="K1870" s="10"/>
      <c r="L1870" s="6"/>
      <c r="M1870" s="11"/>
      <c r="N1870" s="6"/>
      <c r="O1870" s="6"/>
      <c r="P1870" s="10"/>
      <c r="Q1870" s="6"/>
      <c r="R1870" s="6"/>
      <c r="S1870" s="19"/>
      <c r="T1870" s="6"/>
      <c r="U1870" s="9"/>
      <c r="AI1870" s="6"/>
      <c r="AJ1870" s="12"/>
      <c r="AL1870" s="13"/>
    </row>
    <row r="1871">
      <c r="A1871" s="5"/>
      <c r="B1871" s="19"/>
      <c r="C1871" s="19"/>
      <c r="D1871" s="19"/>
      <c r="E1871" s="19"/>
      <c r="F1871" s="19"/>
      <c r="G1871" s="22"/>
      <c r="H1871" s="19"/>
      <c r="I1871" s="19"/>
      <c r="J1871" s="9"/>
      <c r="K1871" s="10"/>
      <c r="L1871" s="6"/>
      <c r="M1871" s="11"/>
      <c r="N1871" s="6"/>
      <c r="O1871" s="6"/>
      <c r="P1871" s="10"/>
      <c r="Q1871" s="6"/>
      <c r="R1871" s="6"/>
      <c r="S1871" s="19"/>
      <c r="T1871" s="6"/>
      <c r="U1871" s="9"/>
      <c r="AI1871" s="6"/>
      <c r="AJ1871" s="12"/>
      <c r="AL1871" s="13"/>
    </row>
    <row r="1872">
      <c r="A1872" s="5"/>
      <c r="B1872" s="19"/>
      <c r="C1872" s="19"/>
      <c r="D1872" s="19"/>
      <c r="E1872" s="19"/>
      <c r="F1872" s="19"/>
      <c r="G1872" s="22"/>
      <c r="H1872" s="19"/>
      <c r="I1872" s="19"/>
      <c r="J1872" s="9"/>
      <c r="K1872" s="10"/>
      <c r="L1872" s="6"/>
      <c r="M1872" s="11"/>
      <c r="N1872" s="6"/>
      <c r="O1872" s="6"/>
      <c r="P1872" s="10"/>
      <c r="Q1872" s="6"/>
      <c r="R1872" s="6"/>
      <c r="S1872" s="19"/>
      <c r="T1872" s="6"/>
      <c r="U1872" s="9"/>
      <c r="AI1872" s="6"/>
      <c r="AJ1872" s="12"/>
      <c r="AL1872" s="13"/>
    </row>
    <row r="1873">
      <c r="A1873" s="5"/>
      <c r="B1873" s="19"/>
      <c r="C1873" s="19"/>
      <c r="D1873" s="19"/>
      <c r="E1873" s="19"/>
      <c r="F1873" s="19"/>
      <c r="G1873" s="22"/>
      <c r="H1873" s="19"/>
      <c r="I1873" s="19"/>
      <c r="J1873" s="9"/>
      <c r="K1873" s="10"/>
      <c r="L1873" s="6"/>
      <c r="M1873" s="11"/>
      <c r="N1873" s="6"/>
      <c r="O1873" s="6"/>
      <c r="P1873" s="10"/>
      <c r="Q1873" s="6"/>
      <c r="R1873" s="6"/>
      <c r="S1873" s="19"/>
      <c r="T1873" s="6"/>
      <c r="U1873" s="9"/>
      <c r="AI1873" s="6"/>
      <c r="AJ1873" s="12"/>
      <c r="AL1873" s="13"/>
    </row>
    <row r="1874">
      <c r="A1874" s="5"/>
      <c r="B1874" s="19"/>
      <c r="C1874" s="19"/>
      <c r="D1874" s="19"/>
      <c r="E1874" s="19"/>
      <c r="F1874" s="19"/>
      <c r="G1874" s="22"/>
      <c r="H1874" s="19"/>
      <c r="I1874" s="19"/>
      <c r="J1874" s="9"/>
      <c r="K1874" s="10"/>
      <c r="L1874" s="6"/>
      <c r="M1874" s="11"/>
      <c r="N1874" s="6"/>
      <c r="O1874" s="6"/>
      <c r="P1874" s="10"/>
      <c r="Q1874" s="6"/>
      <c r="R1874" s="6"/>
      <c r="S1874" s="19"/>
      <c r="T1874" s="6"/>
      <c r="U1874" s="9"/>
      <c r="AI1874" s="6"/>
      <c r="AJ1874" s="12"/>
      <c r="AL1874" s="13"/>
    </row>
    <row r="1875">
      <c r="A1875" s="5"/>
      <c r="B1875" s="19"/>
      <c r="C1875" s="19"/>
      <c r="D1875" s="19"/>
      <c r="E1875" s="19"/>
      <c r="F1875" s="19"/>
      <c r="G1875" s="22"/>
      <c r="H1875" s="19"/>
      <c r="I1875" s="19"/>
      <c r="J1875" s="9"/>
      <c r="K1875" s="10"/>
      <c r="L1875" s="6"/>
      <c r="M1875" s="11"/>
      <c r="N1875" s="6"/>
      <c r="O1875" s="6"/>
      <c r="P1875" s="10"/>
      <c r="Q1875" s="6"/>
      <c r="R1875" s="6"/>
      <c r="S1875" s="19"/>
      <c r="T1875" s="6"/>
      <c r="U1875" s="9"/>
      <c r="AI1875" s="6"/>
      <c r="AJ1875" s="12"/>
      <c r="AL1875" s="13"/>
    </row>
    <row r="1876">
      <c r="A1876" s="5"/>
      <c r="B1876" s="19"/>
      <c r="C1876" s="19"/>
      <c r="D1876" s="19"/>
      <c r="E1876" s="19"/>
      <c r="F1876" s="19"/>
      <c r="G1876" s="22"/>
      <c r="H1876" s="19"/>
      <c r="I1876" s="19"/>
      <c r="J1876" s="9"/>
      <c r="K1876" s="10"/>
      <c r="L1876" s="6"/>
      <c r="M1876" s="11"/>
      <c r="N1876" s="6"/>
      <c r="O1876" s="6"/>
      <c r="P1876" s="10"/>
      <c r="Q1876" s="6"/>
      <c r="R1876" s="6"/>
      <c r="S1876" s="19"/>
      <c r="T1876" s="6"/>
      <c r="U1876" s="9"/>
      <c r="AI1876" s="6"/>
      <c r="AJ1876" s="12"/>
      <c r="AL1876" s="13"/>
    </row>
    <row r="1877">
      <c r="A1877" s="5"/>
      <c r="B1877" s="19"/>
      <c r="C1877" s="19"/>
      <c r="D1877" s="19"/>
      <c r="E1877" s="19"/>
      <c r="F1877" s="19"/>
      <c r="G1877" s="22"/>
      <c r="H1877" s="19"/>
      <c r="I1877" s="19"/>
      <c r="J1877" s="9"/>
      <c r="K1877" s="10"/>
      <c r="L1877" s="6"/>
      <c r="M1877" s="11"/>
      <c r="N1877" s="6"/>
      <c r="O1877" s="6"/>
      <c r="P1877" s="10"/>
      <c r="Q1877" s="6"/>
      <c r="R1877" s="6"/>
      <c r="S1877" s="19"/>
      <c r="T1877" s="6"/>
      <c r="U1877" s="9"/>
      <c r="AI1877" s="6"/>
      <c r="AJ1877" s="12"/>
      <c r="AL1877" s="13"/>
    </row>
    <row r="1878">
      <c r="A1878" s="5"/>
      <c r="B1878" s="19"/>
      <c r="C1878" s="19"/>
      <c r="D1878" s="19"/>
      <c r="E1878" s="19"/>
      <c r="F1878" s="19"/>
      <c r="G1878" s="22"/>
      <c r="H1878" s="19"/>
      <c r="I1878" s="19"/>
      <c r="J1878" s="9"/>
      <c r="K1878" s="10"/>
      <c r="L1878" s="6"/>
      <c r="M1878" s="11"/>
      <c r="N1878" s="6"/>
      <c r="O1878" s="6"/>
      <c r="P1878" s="10"/>
      <c r="Q1878" s="6"/>
      <c r="R1878" s="6"/>
      <c r="S1878" s="19"/>
      <c r="T1878" s="6"/>
      <c r="U1878" s="9"/>
      <c r="AI1878" s="6"/>
      <c r="AJ1878" s="12"/>
      <c r="AL1878" s="13"/>
    </row>
    <row r="1879">
      <c r="A1879" s="5"/>
      <c r="B1879" s="19"/>
      <c r="C1879" s="19"/>
      <c r="D1879" s="19"/>
      <c r="E1879" s="19"/>
      <c r="F1879" s="19"/>
      <c r="G1879" s="22"/>
      <c r="H1879" s="19"/>
      <c r="I1879" s="19"/>
      <c r="J1879" s="9"/>
      <c r="K1879" s="10"/>
      <c r="L1879" s="6"/>
      <c r="M1879" s="11"/>
      <c r="N1879" s="6"/>
      <c r="O1879" s="6"/>
      <c r="P1879" s="10"/>
      <c r="Q1879" s="6"/>
      <c r="R1879" s="6"/>
      <c r="S1879" s="19"/>
      <c r="T1879" s="6"/>
      <c r="U1879" s="9"/>
      <c r="AI1879" s="6"/>
      <c r="AJ1879" s="12"/>
      <c r="AL1879" s="13"/>
    </row>
    <row r="1880">
      <c r="A1880" s="5"/>
      <c r="B1880" s="19"/>
      <c r="C1880" s="19"/>
      <c r="D1880" s="19"/>
      <c r="E1880" s="19"/>
      <c r="F1880" s="19"/>
      <c r="G1880" s="22"/>
      <c r="H1880" s="19"/>
      <c r="I1880" s="19"/>
      <c r="J1880" s="9"/>
      <c r="K1880" s="10"/>
      <c r="L1880" s="6"/>
      <c r="M1880" s="11"/>
      <c r="N1880" s="6"/>
      <c r="O1880" s="6"/>
      <c r="P1880" s="10"/>
      <c r="Q1880" s="6"/>
      <c r="R1880" s="6"/>
      <c r="S1880" s="19"/>
      <c r="T1880" s="6"/>
      <c r="U1880" s="9"/>
      <c r="AI1880" s="6"/>
      <c r="AJ1880" s="12"/>
      <c r="AL1880" s="13"/>
    </row>
    <row r="1881">
      <c r="A1881" s="5"/>
      <c r="B1881" s="19"/>
      <c r="C1881" s="19"/>
      <c r="D1881" s="19"/>
      <c r="E1881" s="19"/>
      <c r="F1881" s="19"/>
      <c r="G1881" s="22"/>
      <c r="H1881" s="19"/>
      <c r="I1881" s="19"/>
      <c r="J1881" s="9"/>
      <c r="K1881" s="10"/>
      <c r="L1881" s="6"/>
      <c r="M1881" s="11"/>
      <c r="N1881" s="6"/>
      <c r="O1881" s="6"/>
      <c r="P1881" s="10"/>
      <c r="Q1881" s="6"/>
      <c r="R1881" s="6"/>
      <c r="S1881" s="19"/>
      <c r="T1881" s="6"/>
      <c r="U1881" s="9"/>
      <c r="AI1881" s="6"/>
      <c r="AJ1881" s="12"/>
      <c r="AL1881" s="13"/>
    </row>
    <row r="1882">
      <c r="A1882" s="5"/>
      <c r="B1882" s="19"/>
      <c r="C1882" s="19"/>
      <c r="D1882" s="19"/>
      <c r="E1882" s="19"/>
      <c r="F1882" s="19"/>
      <c r="G1882" s="22"/>
      <c r="H1882" s="19"/>
      <c r="I1882" s="19"/>
      <c r="J1882" s="9"/>
      <c r="K1882" s="10"/>
      <c r="L1882" s="6"/>
      <c r="M1882" s="11"/>
      <c r="N1882" s="6"/>
      <c r="O1882" s="6"/>
      <c r="P1882" s="10"/>
      <c r="Q1882" s="6"/>
      <c r="R1882" s="6"/>
      <c r="S1882" s="19"/>
      <c r="T1882" s="6"/>
      <c r="U1882" s="9"/>
      <c r="AI1882" s="6"/>
      <c r="AJ1882" s="12"/>
      <c r="AL1882" s="13"/>
    </row>
    <row r="1883">
      <c r="A1883" s="5"/>
      <c r="B1883" s="19"/>
      <c r="C1883" s="19"/>
      <c r="D1883" s="19"/>
      <c r="E1883" s="19"/>
      <c r="F1883" s="19"/>
      <c r="G1883" s="22"/>
      <c r="H1883" s="19"/>
      <c r="I1883" s="19"/>
      <c r="J1883" s="9"/>
      <c r="K1883" s="10"/>
      <c r="L1883" s="6"/>
      <c r="M1883" s="11"/>
      <c r="N1883" s="6"/>
      <c r="O1883" s="6"/>
      <c r="P1883" s="10"/>
      <c r="Q1883" s="6"/>
      <c r="R1883" s="6"/>
      <c r="S1883" s="19"/>
      <c r="T1883" s="6"/>
      <c r="U1883" s="9"/>
      <c r="AI1883" s="6"/>
      <c r="AJ1883" s="12"/>
      <c r="AL1883" s="13"/>
    </row>
    <row r="1884">
      <c r="A1884" s="5"/>
      <c r="B1884" s="19"/>
      <c r="C1884" s="19"/>
      <c r="D1884" s="19"/>
      <c r="E1884" s="19"/>
      <c r="F1884" s="19"/>
      <c r="G1884" s="22"/>
      <c r="H1884" s="19"/>
      <c r="I1884" s="19"/>
      <c r="J1884" s="9"/>
      <c r="K1884" s="10"/>
      <c r="L1884" s="6"/>
      <c r="M1884" s="11"/>
      <c r="N1884" s="6"/>
      <c r="O1884" s="6"/>
      <c r="P1884" s="10"/>
      <c r="Q1884" s="6"/>
      <c r="R1884" s="6"/>
      <c r="S1884" s="19"/>
      <c r="T1884" s="6"/>
      <c r="U1884" s="9"/>
      <c r="AI1884" s="6"/>
      <c r="AJ1884" s="12"/>
      <c r="AL1884" s="13"/>
    </row>
    <row r="1885">
      <c r="A1885" s="5"/>
      <c r="B1885" s="19"/>
      <c r="C1885" s="19"/>
      <c r="D1885" s="19"/>
      <c r="E1885" s="19"/>
      <c r="F1885" s="19"/>
      <c r="G1885" s="22"/>
      <c r="H1885" s="19"/>
      <c r="I1885" s="19"/>
      <c r="J1885" s="9"/>
      <c r="K1885" s="10"/>
      <c r="L1885" s="6"/>
      <c r="M1885" s="11"/>
      <c r="N1885" s="6"/>
      <c r="O1885" s="6"/>
      <c r="P1885" s="10"/>
      <c r="Q1885" s="6"/>
      <c r="R1885" s="6"/>
      <c r="S1885" s="19"/>
      <c r="T1885" s="6"/>
      <c r="U1885" s="9"/>
      <c r="AI1885" s="6"/>
      <c r="AJ1885" s="12"/>
      <c r="AL1885" s="13"/>
    </row>
    <row r="1886">
      <c r="A1886" s="5"/>
      <c r="B1886" s="19"/>
      <c r="C1886" s="19"/>
      <c r="D1886" s="19"/>
      <c r="E1886" s="19"/>
      <c r="F1886" s="19"/>
      <c r="G1886" s="22"/>
      <c r="H1886" s="19"/>
      <c r="I1886" s="19"/>
      <c r="J1886" s="9"/>
      <c r="K1886" s="10"/>
      <c r="L1886" s="6"/>
      <c r="M1886" s="11"/>
      <c r="N1886" s="6"/>
      <c r="O1886" s="6"/>
      <c r="P1886" s="10"/>
      <c r="Q1886" s="6"/>
      <c r="R1886" s="6"/>
      <c r="S1886" s="19"/>
      <c r="T1886" s="6"/>
      <c r="U1886" s="9"/>
      <c r="AI1886" s="6"/>
      <c r="AJ1886" s="12"/>
      <c r="AL1886" s="13"/>
    </row>
    <row r="1887">
      <c r="A1887" s="5"/>
      <c r="B1887" s="5"/>
      <c r="C1887" s="19"/>
      <c r="D1887" s="19"/>
      <c r="E1887" s="19"/>
      <c r="F1887" s="19"/>
      <c r="G1887" s="22"/>
      <c r="H1887" s="19"/>
      <c r="I1887" s="19"/>
      <c r="J1887" s="9"/>
      <c r="K1887" s="10"/>
      <c r="L1887" s="6"/>
      <c r="M1887" s="11"/>
      <c r="N1887" s="6"/>
      <c r="O1887" s="6"/>
      <c r="P1887" s="10"/>
      <c r="Q1887" s="6"/>
      <c r="R1887" s="6"/>
      <c r="S1887" s="19"/>
      <c r="T1887" s="6"/>
      <c r="U1887" s="9"/>
      <c r="AI1887" s="6"/>
      <c r="AJ1887" s="12"/>
      <c r="AL1887" s="13"/>
    </row>
    <row r="1888">
      <c r="A1888" s="5"/>
      <c r="B1888" s="5"/>
      <c r="C1888" s="19"/>
      <c r="D1888" s="19"/>
      <c r="E1888" s="19"/>
      <c r="F1888" s="19"/>
      <c r="G1888" s="22"/>
      <c r="H1888" s="19"/>
      <c r="I1888" s="19"/>
      <c r="J1888" s="9"/>
      <c r="K1888" s="10"/>
      <c r="L1888" s="6"/>
      <c r="M1888" s="11"/>
      <c r="N1888" s="6"/>
      <c r="O1888" s="6"/>
      <c r="P1888" s="10"/>
      <c r="Q1888" s="6"/>
      <c r="R1888" s="6"/>
      <c r="S1888" s="19"/>
      <c r="T1888" s="6"/>
      <c r="U1888" s="9"/>
      <c r="AI1888" s="6"/>
      <c r="AJ1888" s="12"/>
      <c r="AL1888" s="13"/>
    </row>
  </sheetData>
  <dataValidations>
    <dataValidation type="list" allowBlank="1" showErrorMessage="1" sqref="AI1795:AI1886">
      <formula1>'Feuille 5'!$AI$2:$AI$1793</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howErrorMessage="1" sqref="D2 D5 D56:D1801 D1804:D1806 D1812:D1814 D1817:D1864 D1875:D1877 D1879:D1884">
      <formula1>"in_stock,out_of_stock,preorder,backorder"</formula1>
    </dataValidation>
    <dataValidation type="list" allowBlank="1" sqref="T3:T4 T6:T55">
      <formula1>",new,refurbished,used"</formula1>
    </dataValidation>
    <dataValidation type="list" allowBlank="1" showErrorMessage="1" sqref="M2:M1801 M1804:M1806 M1812:M1814 M1817:M1864 M1875:M1877 M1879:M1884">
      <formula1>",yes,no"</formula1>
    </dataValidation>
  </dataValidations>
  <drawing r:id="rId1"/>
</worksheet>
</file>